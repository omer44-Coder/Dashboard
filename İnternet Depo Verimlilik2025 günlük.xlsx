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lcwonline-my.sharepoint.com/personal/omer_ilter_lcwaikiki_com/Documents/Masaüstü/Dashboard otomatik/"/>
    </mc:Choice>
  </mc:AlternateContent>
  <xr:revisionPtr revIDLastSave="100" documentId="8_{CEE3634B-FE9E-4873-9A98-81E1D239CB53}" xr6:coauthVersionLast="47" xr6:coauthVersionMax="47" xr10:uidLastSave="{7CBABB8C-3186-46FF-A44B-37278AD443FD}"/>
  <bookViews>
    <workbookView xWindow="-108" yWindow="-108" windowWidth="23256" windowHeight="13896" firstSheet="9" activeTab="18" xr2:uid="{00000000-000D-0000-FFFF-FFFF00000000}"/>
  </bookViews>
  <sheets>
    <sheet name="Genel" sheetId="11" r:id="rId1"/>
    <sheet name="Genel Müşteri Çıkış" sheetId="41" r:id="rId2"/>
    <sheet name="Genel Müşteri Çıkış (2)" sheetId="86" state="hidden" r:id="rId3"/>
    <sheet name="Çalışma saatleri" sheetId="8" r:id="rId4"/>
    <sheet name="Sayfa1" sheetId="85" state="hidden" r:id="rId5"/>
    <sheet name="2025 Birimler Pivot" sheetId="54" state="hidden" r:id="rId6"/>
    <sheet name="Haftalık Genel" sheetId="76" r:id="rId7"/>
    <sheet name="KPI TABLO" sheetId="79" r:id="rId8"/>
    <sheet name="Koli Kabul" sheetId="1" state="hidden" r:id="rId9"/>
    <sheet name="Adresleme" sheetId="2" r:id="rId10"/>
    <sheet name="Takım Lideri+Odp Çalışma Saat" sheetId="48" state="hidden" r:id="rId11"/>
    <sheet name="Toplama" sheetId="3" r:id="rId12"/>
    <sheet name="Sorter" sheetId="4" r:id="rId13"/>
    <sheet name="Taşıma Süre" sheetId="38" state="hidden" r:id="rId14"/>
    <sheet name="Tekli-Eksik Sevk" sheetId="16" r:id="rId15"/>
    <sheet name="Kargo" sheetId="5" r:id="rId16"/>
    <sheet name="Adres Denetim" sheetId="6" r:id="rId17"/>
    <sheet name="İade Kabul" sheetId="7" r:id="rId18"/>
    <sheet name="Personel Listesi" sheetId="91" r:id="rId19"/>
    <sheet name="Parametreler" sheetId="13" state="hidden" r:id="rId20"/>
  </sheets>
  <externalReferences>
    <externalReference r:id="rId21"/>
  </externalReferences>
  <definedNames>
    <definedName name="_xlnm._FilterDatabase" localSheetId="3" hidden="1">'Çalışma saatleri'!$A$1:$AI$552</definedName>
    <definedName name="_xlnm._FilterDatabase" localSheetId="18" hidden="1">'Personel Listesi'!$A$1:$I$1130</definedName>
  </definedNames>
  <calcPr calcId="191029"/>
  <pivotCaches>
    <pivotCache cacheId="0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T11" i="4" l="1"/>
  <c r="JU11" i="4"/>
  <c r="JV11" i="4"/>
  <c r="JW11" i="4"/>
  <c r="JX11" i="4"/>
  <c r="JY11" i="4"/>
  <c r="JS11" i="3"/>
  <c r="JT11" i="3"/>
  <c r="JU11" i="3"/>
  <c r="JV11" i="3"/>
  <c r="JW11" i="3"/>
  <c r="JX11" i="3"/>
  <c r="JY11" i="3"/>
  <c r="JZ11" i="3"/>
  <c r="JS11" i="41"/>
  <c r="JT11" i="41"/>
  <c r="JU11" i="41"/>
  <c r="JV11" i="41"/>
  <c r="JW11" i="41"/>
  <c r="JX11" i="41"/>
  <c r="JY11" i="41"/>
  <c r="JZ11" i="41"/>
  <c r="O645" i="8"/>
  <c r="JS11" i="11"/>
  <c r="JT11" i="11"/>
  <c r="JU11" i="11"/>
  <c r="JV11" i="11"/>
  <c r="JW11" i="11"/>
  <c r="JX11" i="11"/>
  <c r="JY11" i="11"/>
  <c r="O644" i="8"/>
  <c r="O646" i="8"/>
  <c r="O647" i="8"/>
  <c r="O648" i="8"/>
  <c r="O649" i="8"/>
  <c r="W645" i="8"/>
  <c r="AE644" i="8"/>
  <c r="AG644" i="8"/>
  <c r="R644" i="8" s="1"/>
  <c r="AI644" i="8"/>
  <c r="AE645" i="8"/>
  <c r="AG645" i="8"/>
  <c r="R645" i="8" s="1"/>
  <c r="AI645" i="8"/>
  <c r="AE646" i="8"/>
  <c r="AG646" i="8"/>
  <c r="R646" i="8" s="1"/>
  <c r="AI646" i="8"/>
  <c r="AE647" i="8"/>
  <c r="AG647" i="8" s="1"/>
  <c r="R647" i="8" s="1"/>
  <c r="AI647" i="8"/>
  <c r="AE648" i="8"/>
  <c r="AG648" i="8"/>
  <c r="R648" i="8" s="1"/>
  <c r="AI648" i="8"/>
  <c r="AE649" i="8"/>
  <c r="AG649" i="8"/>
  <c r="R649" i="8" s="1"/>
  <c r="AI649" i="8"/>
  <c r="AD645" i="8"/>
  <c r="AF645" i="8" s="1"/>
  <c r="AH645" i="8" s="1"/>
  <c r="X643" i="8"/>
  <c r="AD643" i="8" s="1"/>
  <c r="X644" i="8"/>
  <c r="AD644" i="8" s="1"/>
  <c r="X645" i="8"/>
  <c r="Y645" i="8" s="1"/>
  <c r="X646" i="8"/>
  <c r="AD646" i="8" s="1"/>
  <c r="X647" i="8"/>
  <c r="AD647" i="8" s="1"/>
  <c r="AF647" i="8" s="1"/>
  <c r="AH647" i="8" s="1"/>
  <c r="X648" i="8"/>
  <c r="Y648" i="8" s="1"/>
  <c r="X649" i="8"/>
  <c r="AD649" i="8" s="1"/>
  <c r="W643" i="8"/>
  <c r="W644" i="8"/>
  <c r="W646" i="8"/>
  <c r="W647" i="8"/>
  <c r="W648" i="8"/>
  <c r="W649" i="8"/>
  <c r="Q645" i="8" l="1"/>
  <c r="N645" i="8"/>
  <c r="AJ649" i="8"/>
  <c r="AF649" i="8"/>
  <c r="AH649" i="8" s="1"/>
  <c r="AJ646" i="8"/>
  <c r="AF646" i="8"/>
  <c r="AH646" i="8" s="1"/>
  <c r="AJ645" i="8"/>
  <c r="Y647" i="8"/>
  <c r="AD648" i="8"/>
  <c r="Y649" i="8"/>
  <c r="Y646" i="8"/>
  <c r="AJ644" i="8"/>
  <c r="AF644" i="8"/>
  <c r="AH644" i="8" s="1"/>
  <c r="N647" i="8"/>
  <c r="Q647" i="8"/>
  <c r="P647" i="8" s="1"/>
  <c r="P645" i="8"/>
  <c r="Y643" i="8"/>
  <c r="Y644" i="8"/>
  <c r="AJ647" i="8"/>
  <c r="JS11" i="7"/>
  <c r="JT11" i="7"/>
  <c r="JU11" i="7"/>
  <c r="JV11" i="7"/>
  <c r="JW11" i="7"/>
  <c r="JX11" i="7"/>
  <c r="JY11" i="7"/>
  <c r="JZ11" i="7"/>
  <c r="JS11" i="6"/>
  <c r="JT11" i="6"/>
  <c r="JU11" i="6"/>
  <c r="JV11" i="6"/>
  <c r="JW11" i="6"/>
  <c r="JX11" i="6"/>
  <c r="JY11" i="6"/>
  <c r="JZ11" i="6"/>
  <c r="JS11" i="5"/>
  <c r="JT11" i="5"/>
  <c r="JU11" i="5"/>
  <c r="JV11" i="5"/>
  <c r="JW11" i="5"/>
  <c r="JX11" i="5"/>
  <c r="JY11" i="5"/>
  <c r="JZ11" i="5"/>
  <c r="JS11" i="2"/>
  <c r="JT11" i="2"/>
  <c r="JU11" i="2"/>
  <c r="JV11" i="2"/>
  <c r="JW11" i="2"/>
  <c r="JX11" i="2"/>
  <c r="JY11" i="2"/>
  <c r="JZ11" i="2"/>
  <c r="JZ11" i="11"/>
  <c r="JS11" i="16"/>
  <c r="JT11" i="16"/>
  <c r="JU11" i="16"/>
  <c r="JV11" i="16"/>
  <c r="JW11" i="16"/>
  <c r="JX11" i="16"/>
  <c r="JY11" i="16"/>
  <c r="JZ11" i="16"/>
  <c r="AF648" i="8" l="1"/>
  <c r="AH648" i="8" s="1"/>
  <c r="AJ648" i="8"/>
  <c r="Q646" i="8"/>
  <c r="P646" i="8" s="1"/>
  <c r="N646" i="8"/>
  <c r="N649" i="8"/>
  <c r="Q649" i="8"/>
  <c r="P649" i="8" s="1"/>
  <c r="N644" i="8"/>
  <c r="Q644" i="8"/>
  <c r="P644" i="8" s="1"/>
  <c r="O637" i="8"/>
  <c r="O638" i="8"/>
  <c r="O639" i="8"/>
  <c r="O640" i="8"/>
  <c r="O641" i="8"/>
  <c r="O642" i="8"/>
  <c r="JL11" i="6"/>
  <c r="JM11" i="6"/>
  <c r="JN11" i="6"/>
  <c r="JO11" i="6"/>
  <c r="JP11" i="6"/>
  <c r="JQ11" i="6"/>
  <c r="JR11" i="6"/>
  <c r="AD636" i="8"/>
  <c r="W637" i="8"/>
  <c r="X637" i="8"/>
  <c r="Y637" i="8" s="1"/>
  <c r="W638" i="8"/>
  <c r="X638" i="8"/>
  <c r="AD638" i="8" s="1"/>
  <c r="Y638" i="8"/>
  <c r="W639" i="8"/>
  <c r="X639" i="8"/>
  <c r="AD639" i="8" s="1"/>
  <c r="W640" i="8"/>
  <c r="X640" i="8"/>
  <c r="AD640" i="8" s="1"/>
  <c r="Y640" i="8"/>
  <c r="W641" i="8"/>
  <c r="X641" i="8"/>
  <c r="AD641" i="8" s="1"/>
  <c r="Y641" i="8"/>
  <c r="W642" i="8"/>
  <c r="X642" i="8"/>
  <c r="Y642" i="8"/>
  <c r="AE637" i="8"/>
  <c r="AG637" i="8" s="1"/>
  <c r="R637" i="8" s="1"/>
  <c r="AI637" i="8"/>
  <c r="AJ637" i="8"/>
  <c r="AE638" i="8"/>
  <c r="AG638" i="8" s="1"/>
  <c r="R638" i="8" s="1"/>
  <c r="AI638" i="8"/>
  <c r="AE639" i="8"/>
  <c r="AG639" i="8" s="1"/>
  <c r="R639" i="8" s="1"/>
  <c r="AI639" i="8"/>
  <c r="AE640" i="8"/>
  <c r="AG640" i="8" s="1"/>
  <c r="R640" i="8" s="1"/>
  <c r="AI640" i="8"/>
  <c r="AE641" i="8"/>
  <c r="AG641" i="8" s="1"/>
  <c r="R641" i="8" s="1"/>
  <c r="AI641" i="8"/>
  <c r="AE642" i="8"/>
  <c r="AG642" i="8" s="1"/>
  <c r="R642" i="8" s="1"/>
  <c r="AI642" i="8"/>
  <c r="AD637" i="8"/>
  <c r="AF637" i="8" s="1"/>
  <c r="AH637" i="8" s="1"/>
  <c r="N637" i="8" s="1"/>
  <c r="AD642" i="8"/>
  <c r="AF642" i="8" s="1"/>
  <c r="AH642" i="8" s="1"/>
  <c r="N642" i="8" s="1"/>
  <c r="AJ638" i="8" l="1"/>
  <c r="AF638" i="8"/>
  <c r="AH638" i="8" s="1"/>
  <c r="N638" i="8" s="1"/>
  <c r="Y639" i="8"/>
  <c r="Q642" i="8"/>
  <c r="Q648" i="8"/>
  <c r="P648" i="8" s="1"/>
  <c r="N648" i="8"/>
  <c r="AJ641" i="8"/>
  <c r="AF641" i="8"/>
  <c r="AH641" i="8" s="1"/>
  <c r="P642" i="8"/>
  <c r="Q638" i="8"/>
  <c r="P638" i="8" s="1"/>
  <c r="Q637" i="8"/>
  <c r="P637" i="8" s="1"/>
  <c r="AF640" i="8"/>
  <c r="AH640" i="8" s="1"/>
  <c r="AJ640" i="8"/>
  <c r="AF639" i="8"/>
  <c r="AH639" i="8" s="1"/>
  <c r="AJ639" i="8"/>
  <c r="AJ642" i="8"/>
  <c r="N639" i="8" l="1"/>
  <c r="Q639" i="8"/>
  <c r="P639" i="8" s="1"/>
  <c r="Q640" i="8"/>
  <c r="P640" i="8" s="1"/>
  <c r="N640" i="8"/>
  <c r="N641" i="8"/>
  <c r="Q641" i="8"/>
  <c r="P641" i="8" s="1"/>
  <c r="JL11" i="41"/>
  <c r="JM11" i="41"/>
  <c r="JN11" i="41"/>
  <c r="JO11" i="41"/>
  <c r="JP11" i="41"/>
  <c r="JQ11" i="41"/>
  <c r="JR11" i="41"/>
  <c r="JL11" i="11"/>
  <c r="JM11" i="11"/>
  <c r="JN11" i="11"/>
  <c r="JO11" i="11"/>
  <c r="JP11" i="11"/>
  <c r="JQ11" i="11"/>
  <c r="JR11" i="11"/>
  <c r="JL11" i="7"/>
  <c r="JM11" i="7"/>
  <c r="JN11" i="7"/>
  <c r="JO11" i="7"/>
  <c r="JP11" i="7"/>
  <c r="JQ11" i="7"/>
  <c r="JR11" i="7"/>
  <c r="JL11" i="5"/>
  <c r="JM11" i="5"/>
  <c r="JN11" i="5"/>
  <c r="JO11" i="5"/>
  <c r="JP11" i="5"/>
  <c r="JQ11" i="5"/>
  <c r="JR11" i="5"/>
  <c r="JL11" i="16"/>
  <c r="JM11" i="16"/>
  <c r="JN11" i="16"/>
  <c r="JO11" i="16"/>
  <c r="JP11" i="16"/>
  <c r="JQ11" i="16"/>
  <c r="JR11" i="16"/>
  <c r="JM11" i="4"/>
  <c r="JN11" i="4"/>
  <c r="JO11" i="4"/>
  <c r="JP11" i="4"/>
  <c r="JQ11" i="4"/>
  <c r="JR11" i="4"/>
  <c r="JL11" i="2"/>
  <c r="JM11" i="2"/>
  <c r="JN11" i="2"/>
  <c r="JO11" i="2"/>
  <c r="JP11" i="2"/>
  <c r="JQ11" i="2"/>
  <c r="JR11" i="2"/>
  <c r="JL11" i="3"/>
  <c r="JM11" i="3"/>
  <c r="JN11" i="3"/>
  <c r="JO11" i="3"/>
  <c r="JP11" i="3"/>
  <c r="JQ11" i="3"/>
  <c r="JR11" i="3"/>
  <c r="JF11" i="11"/>
  <c r="N629" i="8"/>
  <c r="O629" i="8"/>
  <c r="Q629" i="8"/>
  <c r="R629" i="8"/>
  <c r="O630" i="8"/>
  <c r="O631" i="8"/>
  <c r="O632" i="8"/>
  <c r="O633" i="8"/>
  <c r="O634" i="8"/>
  <c r="O635" i="8"/>
  <c r="P629" i="8" l="1"/>
  <c r="JE11" i="3"/>
  <c r="JF11" i="3"/>
  <c r="JG11" i="3"/>
  <c r="JH11" i="3"/>
  <c r="JI11" i="3"/>
  <c r="JJ11" i="3"/>
  <c r="JK11" i="3"/>
  <c r="AI633" i="8"/>
  <c r="JE11" i="7"/>
  <c r="JF11" i="7"/>
  <c r="JG11" i="7"/>
  <c r="JH11" i="7"/>
  <c r="JI11" i="7"/>
  <c r="JJ11" i="7"/>
  <c r="JK11" i="7"/>
  <c r="JE11" i="5"/>
  <c r="JF11" i="5"/>
  <c r="JG11" i="5"/>
  <c r="JH11" i="5"/>
  <c r="JI11" i="5"/>
  <c r="JJ11" i="5"/>
  <c r="JK11" i="5"/>
  <c r="X631" i="8"/>
  <c r="Y631" i="8" s="1"/>
  <c r="X630" i="8"/>
  <c r="AD630" i="8" s="1"/>
  <c r="W632" i="8"/>
  <c r="AE630" i="8"/>
  <c r="AG630" i="8"/>
  <c r="R630" i="8" s="1"/>
  <c r="AI630" i="8"/>
  <c r="AE631" i="8"/>
  <c r="AG631" i="8" s="1"/>
  <c r="R631" i="8" s="1"/>
  <c r="AI631" i="8"/>
  <c r="AE632" i="8"/>
  <c r="AG632" i="8" s="1"/>
  <c r="R632" i="8" s="1"/>
  <c r="AI632" i="8"/>
  <c r="AE633" i="8"/>
  <c r="AG633" i="8"/>
  <c r="R633" i="8" s="1"/>
  <c r="AE634" i="8"/>
  <c r="AG634" i="8" s="1"/>
  <c r="R634" i="8" s="1"/>
  <c r="AI634" i="8"/>
  <c r="AE635" i="8"/>
  <c r="AG635" i="8" s="1"/>
  <c r="R635" i="8" s="1"/>
  <c r="AI635" i="8"/>
  <c r="AD631" i="8"/>
  <c r="AF631" i="8" s="1"/>
  <c r="AH631" i="8" s="1"/>
  <c r="Y630" i="8"/>
  <c r="X632" i="8"/>
  <c r="Y632" i="8" s="1"/>
  <c r="X633" i="8"/>
  <c r="Y633" i="8" s="1"/>
  <c r="X634" i="8"/>
  <c r="AD634" i="8" s="1"/>
  <c r="AF634" i="8" s="1"/>
  <c r="AH634" i="8" s="1"/>
  <c r="X635" i="8"/>
  <c r="AD635" i="8" s="1"/>
  <c r="AF635" i="8" s="1"/>
  <c r="AH635" i="8" s="1"/>
  <c r="W630" i="8"/>
  <c r="W631" i="8"/>
  <c r="W633" i="8"/>
  <c r="W634" i="8"/>
  <c r="W635" i="8"/>
  <c r="AF630" i="8" l="1"/>
  <c r="AH630" i="8" s="1"/>
  <c r="AJ630" i="8"/>
  <c r="AD633" i="8"/>
  <c r="AF633" i="8" s="1"/>
  <c r="AH633" i="8" s="1"/>
  <c r="AD632" i="8"/>
  <c r="AF632" i="8" s="1"/>
  <c r="AH632" i="8" s="1"/>
  <c r="Y635" i="8"/>
  <c r="Y634" i="8"/>
  <c r="AJ633" i="8"/>
  <c r="N635" i="8"/>
  <c r="Q635" i="8"/>
  <c r="P635" i="8" s="1"/>
  <c r="N633" i="8"/>
  <c r="Q633" i="8"/>
  <c r="P633" i="8" s="1"/>
  <c r="N632" i="8"/>
  <c r="Q632" i="8"/>
  <c r="P632" i="8" s="1"/>
  <c r="N631" i="8"/>
  <c r="Q631" i="8"/>
  <c r="P631" i="8" s="1"/>
  <c r="Q634" i="8"/>
  <c r="P634" i="8" s="1"/>
  <c r="N634" i="8"/>
  <c r="Q630" i="8"/>
  <c r="P630" i="8" s="1"/>
  <c r="N630" i="8"/>
  <c r="AJ635" i="8"/>
  <c r="AJ634" i="8"/>
  <c r="AJ631" i="8"/>
  <c r="JE11" i="41"/>
  <c r="JF11" i="41"/>
  <c r="JG11" i="41"/>
  <c r="JH11" i="41"/>
  <c r="JI11" i="41"/>
  <c r="JJ11" i="41"/>
  <c r="JK11" i="41"/>
  <c r="JE11" i="11"/>
  <c r="JG11" i="11"/>
  <c r="JH11" i="11"/>
  <c r="JI11" i="11"/>
  <c r="JJ11" i="11"/>
  <c r="JK11" i="11"/>
  <c r="JE11" i="6"/>
  <c r="JF11" i="6"/>
  <c r="JG11" i="6"/>
  <c r="JH11" i="6"/>
  <c r="JI11" i="6"/>
  <c r="JJ11" i="6"/>
  <c r="JK11" i="6"/>
  <c r="JE11" i="16"/>
  <c r="JF11" i="16"/>
  <c r="JG11" i="16"/>
  <c r="JH11" i="16"/>
  <c r="JI11" i="16"/>
  <c r="JJ11" i="16"/>
  <c r="JK11" i="16"/>
  <c r="JF11" i="4"/>
  <c r="JG11" i="4"/>
  <c r="JH11" i="4"/>
  <c r="JI11" i="4"/>
  <c r="JJ11" i="4"/>
  <c r="JK11" i="4"/>
  <c r="JE11" i="2"/>
  <c r="JF11" i="2"/>
  <c r="JG11" i="2"/>
  <c r="JH11" i="2"/>
  <c r="JI11" i="2"/>
  <c r="JJ11" i="2"/>
  <c r="JK11" i="2"/>
  <c r="O626" i="8"/>
  <c r="O623" i="8"/>
  <c r="O624" i="8"/>
  <c r="O625" i="8"/>
  <c r="O627" i="8"/>
  <c r="O628" i="8"/>
  <c r="X625" i="8"/>
  <c r="Y625" i="8" s="1"/>
  <c r="R622" i="8"/>
  <c r="AE623" i="8"/>
  <c r="AG623" i="8"/>
  <c r="R623" i="8" s="1"/>
  <c r="AI623" i="8"/>
  <c r="AE624" i="8"/>
  <c r="AG624" i="8" s="1"/>
  <c r="R624" i="8" s="1"/>
  <c r="AI624" i="8"/>
  <c r="AE625" i="8"/>
  <c r="AG625" i="8"/>
  <c r="R625" i="8" s="1"/>
  <c r="AI625" i="8"/>
  <c r="AE626" i="8"/>
  <c r="AG626" i="8" s="1"/>
  <c r="R626" i="8" s="1"/>
  <c r="AI626" i="8"/>
  <c r="AE627" i="8"/>
  <c r="AG627" i="8"/>
  <c r="R627" i="8" s="1"/>
  <c r="AI627" i="8"/>
  <c r="AE628" i="8"/>
  <c r="AG628" i="8" s="1"/>
  <c r="R628" i="8" s="1"/>
  <c r="AI628" i="8"/>
  <c r="X623" i="8"/>
  <c r="Y623" i="8" s="1"/>
  <c r="X624" i="8"/>
  <c r="Y624" i="8" s="1"/>
  <c r="X626" i="8"/>
  <c r="Y626" i="8" s="1"/>
  <c r="X627" i="8"/>
  <c r="Y627" i="8" s="1"/>
  <c r="X628" i="8"/>
  <c r="Y628" i="8" s="1"/>
  <c r="W623" i="8"/>
  <c r="W624" i="8"/>
  <c r="W625" i="8"/>
  <c r="W626" i="8"/>
  <c r="W627" i="8"/>
  <c r="W628" i="8"/>
  <c r="IX11" i="41"/>
  <c r="IY11" i="41"/>
  <c r="IZ11" i="41"/>
  <c r="JA11" i="41"/>
  <c r="JB11" i="41"/>
  <c r="JC11" i="41"/>
  <c r="JD11" i="41"/>
  <c r="IX11" i="11"/>
  <c r="IY11" i="11"/>
  <c r="IZ11" i="11"/>
  <c r="JA11" i="11"/>
  <c r="JB11" i="11"/>
  <c r="JC11" i="11"/>
  <c r="JD11" i="11"/>
  <c r="IX11" i="2"/>
  <c r="IY11" i="2"/>
  <c r="IZ11" i="2"/>
  <c r="JA11" i="2"/>
  <c r="JB11" i="2"/>
  <c r="JC11" i="2"/>
  <c r="JD11" i="2"/>
  <c r="IX11" i="3"/>
  <c r="IY11" i="3"/>
  <c r="IZ11" i="3"/>
  <c r="JA11" i="3"/>
  <c r="JB11" i="3"/>
  <c r="JC11" i="3"/>
  <c r="JD11" i="3"/>
  <c r="IY11" i="4"/>
  <c r="IZ11" i="4"/>
  <c r="JA11" i="4"/>
  <c r="JB11" i="4"/>
  <c r="JC11" i="4"/>
  <c r="JD11" i="4"/>
  <c r="IX11" i="16"/>
  <c r="IY11" i="16"/>
  <c r="IZ11" i="16"/>
  <c r="JA11" i="16"/>
  <c r="JB11" i="16"/>
  <c r="JC11" i="16"/>
  <c r="JD11" i="16"/>
  <c r="IX11" i="5"/>
  <c r="IY11" i="5"/>
  <c r="IZ11" i="5"/>
  <c r="JA11" i="5"/>
  <c r="JB11" i="5"/>
  <c r="JC11" i="5"/>
  <c r="JD11" i="5"/>
  <c r="IX11" i="6"/>
  <c r="IY11" i="6"/>
  <c r="IZ11" i="6"/>
  <c r="JA11" i="6"/>
  <c r="JB11" i="6"/>
  <c r="JC11" i="6"/>
  <c r="JD11" i="6"/>
  <c r="IX11" i="7"/>
  <c r="IY11" i="7"/>
  <c r="IZ11" i="7"/>
  <c r="JA11" i="7"/>
  <c r="JB11" i="7"/>
  <c r="JC11" i="7"/>
  <c r="JD11" i="7"/>
  <c r="X616" i="8"/>
  <c r="AD616" i="8" s="1"/>
  <c r="O616" i="8"/>
  <c r="O617" i="8"/>
  <c r="O618" i="8"/>
  <c r="O619" i="8"/>
  <c r="O620" i="8"/>
  <c r="O621" i="8"/>
  <c r="O622" i="8"/>
  <c r="IR11" i="5"/>
  <c r="IS11" i="5"/>
  <c r="IT11" i="5"/>
  <c r="IU11" i="5"/>
  <c r="IV11" i="5"/>
  <c r="IW11" i="5"/>
  <c r="W618" i="8"/>
  <c r="AE616" i="8"/>
  <c r="AG616" i="8" s="1"/>
  <c r="R616" i="8" s="1"/>
  <c r="AI616" i="8"/>
  <c r="AE617" i="8"/>
  <c r="AG617" i="8"/>
  <c r="R617" i="8" s="1"/>
  <c r="AI617" i="8"/>
  <c r="AE618" i="8"/>
  <c r="AG618" i="8"/>
  <c r="R618" i="8" s="1"/>
  <c r="AI618" i="8"/>
  <c r="AE619" i="8"/>
  <c r="AG619" i="8" s="1"/>
  <c r="R619" i="8" s="1"/>
  <c r="AI619" i="8"/>
  <c r="AE620" i="8"/>
  <c r="AG620" i="8" s="1"/>
  <c r="R620" i="8" s="1"/>
  <c r="AI620" i="8"/>
  <c r="AE621" i="8"/>
  <c r="AG621" i="8" s="1"/>
  <c r="R621" i="8" s="1"/>
  <c r="AI621" i="8"/>
  <c r="X617" i="8"/>
  <c r="AD617" i="8" s="1"/>
  <c r="X618" i="8"/>
  <c r="AD618" i="8" s="1"/>
  <c r="X619" i="8"/>
  <c r="AD619" i="8" s="1"/>
  <c r="X620" i="8"/>
  <c r="AD620" i="8" s="1"/>
  <c r="X621" i="8"/>
  <c r="AD621" i="8" s="1"/>
  <c r="W616" i="8"/>
  <c r="W617" i="8"/>
  <c r="W619" i="8"/>
  <c r="W620" i="8"/>
  <c r="W621" i="8"/>
  <c r="AJ621" i="8" l="1"/>
  <c r="AF621" i="8"/>
  <c r="AH621" i="8" s="1"/>
  <c r="N621" i="8" s="1"/>
  <c r="AD623" i="8"/>
  <c r="AF623" i="8" s="1"/>
  <c r="AH623" i="8" s="1"/>
  <c r="Y621" i="8"/>
  <c r="AF616" i="8"/>
  <c r="AH616" i="8" s="1"/>
  <c r="AJ616" i="8"/>
  <c r="AF620" i="8"/>
  <c r="AH620" i="8" s="1"/>
  <c r="AJ620" i="8"/>
  <c r="AF619" i="8"/>
  <c r="AH619" i="8" s="1"/>
  <c r="AJ619" i="8"/>
  <c r="AJ618" i="8"/>
  <c r="AF618" i="8"/>
  <c r="AH618" i="8" s="1"/>
  <c r="AJ617" i="8"/>
  <c r="AF617" i="8"/>
  <c r="AH617" i="8" s="1"/>
  <c r="AJ623" i="8"/>
  <c r="Y620" i="8"/>
  <c r="Y618" i="8"/>
  <c r="AD628" i="8"/>
  <c r="AF628" i="8" s="1"/>
  <c r="AH628" i="8" s="1"/>
  <c r="Q628" i="8" s="1"/>
  <c r="P628" i="8" s="1"/>
  <c r="Y619" i="8"/>
  <c r="AD627" i="8"/>
  <c r="AF627" i="8" s="1"/>
  <c r="AH627" i="8" s="1"/>
  <c r="N627" i="8" s="1"/>
  <c r="AJ632" i="8"/>
  <c r="Y616" i="8"/>
  <c r="AD626" i="8"/>
  <c r="Y617" i="8"/>
  <c r="AD625" i="8"/>
  <c r="AF625" i="8" s="1"/>
  <c r="AH625" i="8" s="1"/>
  <c r="AD624" i="8"/>
  <c r="N625" i="8"/>
  <c r="Q625" i="8"/>
  <c r="P625" i="8" s="1"/>
  <c r="N623" i="8"/>
  <c r="Q623" i="8"/>
  <c r="P623" i="8" s="1"/>
  <c r="N628" i="8"/>
  <c r="AJ627" i="8"/>
  <c r="N622" i="8"/>
  <c r="Q622" i="8"/>
  <c r="P622" i="8" s="1"/>
  <c r="IR11" i="7"/>
  <c r="IS11" i="7"/>
  <c r="IT11" i="7"/>
  <c r="IU11" i="7"/>
  <c r="IV11" i="7"/>
  <c r="IW11" i="7"/>
  <c r="IR11" i="6"/>
  <c r="IS11" i="6"/>
  <c r="IT11" i="6"/>
  <c r="IU11" i="6"/>
  <c r="IV11" i="6"/>
  <c r="IW11" i="6"/>
  <c r="Q627" i="8" l="1"/>
  <c r="P627" i="8" s="1"/>
  <c r="Q621" i="8"/>
  <c r="P621" i="8" s="1"/>
  <c r="N617" i="8"/>
  <c r="Q617" i="8"/>
  <c r="P617" i="8" s="1"/>
  <c r="Q618" i="8"/>
  <c r="P618" i="8" s="1"/>
  <c r="N618" i="8"/>
  <c r="AJ628" i="8"/>
  <c r="AJ624" i="8"/>
  <c r="AF624" i="8"/>
  <c r="AH624" i="8" s="1"/>
  <c r="N619" i="8"/>
  <c r="Q619" i="8"/>
  <c r="P619" i="8" s="1"/>
  <c r="AJ625" i="8"/>
  <c r="AF626" i="8"/>
  <c r="AH626" i="8" s="1"/>
  <c r="AJ626" i="8"/>
  <c r="N620" i="8"/>
  <c r="Q620" i="8"/>
  <c r="P620" i="8" s="1"/>
  <c r="N616" i="8"/>
  <c r="Q616" i="8"/>
  <c r="P616" i="8" s="1"/>
  <c r="IJ11" i="16"/>
  <c r="IK11" i="16"/>
  <c r="IL11" i="16"/>
  <c r="IM11" i="16"/>
  <c r="IN11" i="16"/>
  <c r="IO11" i="16"/>
  <c r="IP11" i="16"/>
  <c r="IQ11" i="16"/>
  <c r="IR11" i="16"/>
  <c r="IS11" i="16"/>
  <c r="IT11" i="16"/>
  <c r="IU11" i="16"/>
  <c r="IV11" i="16"/>
  <c r="IW11" i="16"/>
  <c r="IR11" i="4"/>
  <c r="IS11" i="4"/>
  <c r="IT11" i="4"/>
  <c r="IU11" i="4"/>
  <c r="IV11" i="4"/>
  <c r="IW11" i="4"/>
  <c r="IR11" i="3"/>
  <c r="IS11" i="3"/>
  <c r="IT11" i="3"/>
  <c r="IU11" i="3"/>
  <c r="IV11" i="3"/>
  <c r="IW11" i="3"/>
  <c r="IR11" i="2"/>
  <c r="IS11" i="2"/>
  <c r="IT11" i="2"/>
  <c r="IU11" i="2"/>
  <c r="IV11" i="2"/>
  <c r="IW11" i="2"/>
  <c r="IR11" i="11"/>
  <c r="IS11" i="11"/>
  <c r="IT11" i="11"/>
  <c r="IU11" i="11"/>
  <c r="IV11" i="11"/>
  <c r="IW11" i="11"/>
  <c r="AF615" i="8"/>
  <c r="AF609" i="8"/>
  <c r="R608" i="8"/>
  <c r="R614" i="8"/>
  <c r="Q608" i="8"/>
  <c r="O608" i="8"/>
  <c r="O609" i="8"/>
  <c r="O610" i="8"/>
  <c r="O611" i="8"/>
  <c r="O612" i="8"/>
  <c r="O613" i="8"/>
  <c r="O614" i="8"/>
  <c r="O615" i="8"/>
  <c r="IJ11" i="5"/>
  <c r="IK11" i="5"/>
  <c r="IL11" i="5"/>
  <c r="IM11" i="5"/>
  <c r="IN11" i="5"/>
  <c r="IO11" i="5"/>
  <c r="IP11" i="5"/>
  <c r="IQ11" i="5"/>
  <c r="AE609" i="8"/>
  <c r="AG609" i="8" s="1"/>
  <c r="R609" i="8" s="1"/>
  <c r="AI609" i="8"/>
  <c r="AE610" i="8"/>
  <c r="AG610" i="8" s="1"/>
  <c r="R610" i="8" s="1"/>
  <c r="AI610" i="8"/>
  <c r="AE611" i="8"/>
  <c r="AG611" i="8"/>
  <c r="R611" i="8" s="1"/>
  <c r="AI611" i="8"/>
  <c r="AE612" i="8"/>
  <c r="AG612" i="8"/>
  <c r="R612" i="8" s="1"/>
  <c r="AI612" i="8"/>
  <c r="AE613" i="8"/>
  <c r="AG613" i="8" s="1"/>
  <c r="R613" i="8" s="1"/>
  <c r="AI613" i="8"/>
  <c r="AE614" i="8"/>
  <c r="AG614" i="8" s="1"/>
  <c r="AI614" i="8"/>
  <c r="AE615" i="8"/>
  <c r="AG615" i="8"/>
  <c r="R615" i="8" s="1"/>
  <c r="AI615" i="8"/>
  <c r="Y615" i="8"/>
  <c r="X608" i="8"/>
  <c r="Y608" i="8" s="1"/>
  <c r="X609" i="8"/>
  <c r="AD609" i="8" s="1"/>
  <c r="X610" i="8"/>
  <c r="Y610" i="8" s="1"/>
  <c r="X611" i="8"/>
  <c r="AD611" i="8" s="1"/>
  <c r="AF611" i="8" s="1"/>
  <c r="X612" i="8"/>
  <c r="AD612" i="8" s="1"/>
  <c r="AF612" i="8" s="1"/>
  <c r="X613" i="8"/>
  <c r="AD613" i="8" s="1"/>
  <c r="AF613" i="8" s="1"/>
  <c r="X614" i="8"/>
  <c r="AD614" i="8" s="1"/>
  <c r="AF614" i="8" s="1"/>
  <c r="X615" i="8"/>
  <c r="AD615" i="8" s="1"/>
  <c r="W609" i="8"/>
  <c r="W610" i="8"/>
  <c r="W611" i="8"/>
  <c r="W612" i="8"/>
  <c r="W613" i="8"/>
  <c r="W614" i="8"/>
  <c r="W615" i="8"/>
  <c r="W607" i="8"/>
  <c r="N626" i="8" l="1"/>
  <c r="Q626" i="8"/>
  <c r="P626" i="8" s="1"/>
  <c r="Y613" i="8"/>
  <c r="Y609" i="8"/>
  <c r="Y612" i="8"/>
  <c r="AD610" i="8"/>
  <c r="N624" i="8"/>
  <c r="Q624" i="8"/>
  <c r="P624" i="8" s="1"/>
  <c r="Y614" i="8"/>
  <c r="Y611" i="8"/>
  <c r="AJ614" i="8"/>
  <c r="AH614" i="8"/>
  <c r="AH615" i="8"/>
  <c r="AJ615" i="8"/>
  <c r="AJ613" i="8"/>
  <c r="AH613" i="8"/>
  <c r="AH612" i="8"/>
  <c r="AJ612" i="8"/>
  <c r="AH611" i="8"/>
  <c r="AJ611" i="8"/>
  <c r="AH609" i="8"/>
  <c r="AJ609" i="8"/>
  <c r="P608" i="8"/>
  <c r="IJ11" i="7"/>
  <c r="IK11" i="7"/>
  <c r="IL11" i="7"/>
  <c r="IM11" i="7"/>
  <c r="IN11" i="7"/>
  <c r="IO11" i="7"/>
  <c r="IP11" i="7"/>
  <c r="IQ11" i="7"/>
  <c r="IJ11" i="6"/>
  <c r="IK11" i="6"/>
  <c r="IL11" i="6"/>
  <c r="IM11" i="6"/>
  <c r="IN11" i="6"/>
  <c r="IO11" i="6"/>
  <c r="IP11" i="6"/>
  <c r="IQ11" i="6"/>
  <c r="IK11" i="4"/>
  <c r="IL11" i="4"/>
  <c r="IM11" i="4"/>
  <c r="IN11" i="4"/>
  <c r="IO11" i="4"/>
  <c r="IP11" i="4"/>
  <c r="IQ11" i="4"/>
  <c r="IJ11" i="3"/>
  <c r="IK11" i="3"/>
  <c r="IL11" i="3"/>
  <c r="IM11" i="3"/>
  <c r="IN11" i="3"/>
  <c r="IO11" i="3"/>
  <c r="IP11" i="3"/>
  <c r="IQ11" i="3"/>
  <c r="IJ11" i="2"/>
  <c r="IK11" i="2"/>
  <c r="IL11" i="2"/>
  <c r="IM11" i="2"/>
  <c r="IN11" i="2"/>
  <c r="IO11" i="2"/>
  <c r="IP11" i="2"/>
  <c r="IQ11" i="2"/>
  <c r="IJ11" i="41"/>
  <c r="IK11" i="41"/>
  <c r="IL11" i="41"/>
  <c r="IM11" i="41"/>
  <c r="IN11" i="41"/>
  <c r="IO11" i="41"/>
  <c r="IP11" i="41"/>
  <c r="IQ11" i="41"/>
  <c r="IJ11" i="11"/>
  <c r="IK11" i="11"/>
  <c r="IL11" i="11"/>
  <c r="IM11" i="11"/>
  <c r="IN11" i="11"/>
  <c r="IO11" i="11"/>
  <c r="IP11" i="11"/>
  <c r="IQ11" i="11"/>
  <c r="O602" i="8"/>
  <c r="O603" i="8"/>
  <c r="O604" i="8"/>
  <c r="O605" i="8"/>
  <c r="O606" i="8"/>
  <c r="O607" i="8"/>
  <c r="N608" i="8"/>
  <c r="AJ610" i="8" l="1"/>
  <c r="AF610" i="8"/>
  <c r="AH610" i="8" s="1"/>
  <c r="Q610" i="8" s="1"/>
  <c r="P610" i="8" s="1"/>
  <c r="Q609" i="8"/>
  <c r="P609" i="8" s="1"/>
  <c r="N609" i="8"/>
  <c r="N615" i="8"/>
  <c r="Q615" i="8"/>
  <c r="P615" i="8" s="1"/>
  <c r="N611" i="8"/>
  <c r="Q611" i="8"/>
  <c r="P611" i="8" s="1"/>
  <c r="Q613" i="8"/>
  <c r="P613" i="8" s="1"/>
  <c r="N613" i="8"/>
  <c r="N612" i="8"/>
  <c r="Q612" i="8"/>
  <c r="P612" i="8" s="1"/>
  <c r="N614" i="8"/>
  <c r="Q614" i="8"/>
  <c r="P614" i="8" s="1"/>
  <c r="ID11" i="11"/>
  <c r="IE11" i="11"/>
  <c r="IF11" i="11"/>
  <c r="IG11" i="11"/>
  <c r="IH11" i="11"/>
  <c r="II11" i="11"/>
  <c r="ID11" i="41"/>
  <c r="IE11" i="41"/>
  <c r="IF11" i="41"/>
  <c r="IG11" i="41"/>
  <c r="IH11" i="41"/>
  <c r="II11" i="41"/>
  <c r="Y603" i="8"/>
  <c r="ID11" i="7"/>
  <c r="IE11" i="7"/>
  <c r="IF11" i="7"/>
  <c r="IG11" i="7"/>
  <c r="IH11" i="7"/>
  <c r="II11" i="7"/>
  <c r="IE11" i="6"/>
  <c r="IF11" i="6"/>
  <c r="IG11" i="6"/>
  <c r="IH11" i="6"/>
  <c r="II11" i="6"/>
  <c r="ID11" i="6"/>
  <c r="W602" i="8"/>
  <c r="X603" i="8"/>
  <c r="AD603" i="8" s="1"/>
  <c r="AE602" i="8"/>
  <c r="AG602" i="8" s="1"/>
  <c r="R602" i="8" s="1"/>
  <c r="AI602" i="8"/>
  <c r="AE603" i="8"/>
  <c r="AG603" i="8" s="1"/>
  <c r="R603" i="8" s="1"/>
  <c r="AI603" i="8"/>
  <c r="AE604" i="8"/>
  <c r="AG604" i="8" s="1"/>
  <c r="R604" i="8" s="1"/>
  <c r="AI604" i="8"/>
  <c r="AE605" i="8"/>
  <c r="AG605" i="8" s="1"/>
  <c r="R605" i="8" s="1"/>
  <c r="AI605" i="8"/>
  <c r="AE606" i="8"/>
  <c r="AG606" i="8" s="1"/>
  <c r="R606" i="8" s="1"/>
  <c r="AI606" i="8"/>
  <c r="AE607" i="8"/>
  <c r="AG607" i="8" s="1"/>
  <c r="R607" i="8" s="1"/>
  <c r="AI607" i="8"/>
  <c r="X602" i="8"/>
  <c r="AD602" i="8" s="1"/>
  <c r="X604" i="8"/>
  <c r="Y604" i="8" s="1"/>
  <c r="X605" i="8"/>
  <c r="Y605" i="8" s="1"/>
  <c r="X606" i="8"/>
  <c r="Y606" i="8" s="1"/>
  <c r="X607" i="8"/>
  <c r="Y607" i="8" s="1"/>
  <c r="W603" i="8"/>
  <c r="W604" i="8"/>
  <c r="W605" i="8"/>
  <c r="W606" i="8"/>
  <c r="N610" i="8" l="1"/>
  <c r="AD607" i="8"/>
  <c r="AJ607" i="8" s="1"/>
  <c r="AF602" i="8"/>
  <c r="AH602" i="8" s="1"/>
  <c r="AJ602" i="8"/>
  <c r="AF603" i="8"/>
  <c r="AH603" i="8" s="1"/>
  <c r="AJ603" i="8"/>
  <c r="AD605" i="8"/>
  <c r="AD604" i="8"/>
  <c r="Y602" i="8"/>
  <c r="AD606" i="8"/>
  <c r="AF606" i="8" s="1"/>
  <c r="AH606" i="8" s="1"/>
  <c r="Q606" i="8"/>
  <c r="N606" i="8"/>
  <c r="AF607" i="8"/>
  <c r="AH607" i="8" s="1"/>
  <c r="N607" i="8" s="1"/>
  <c r="AJ606" i="8"/>
  <c r="Q607" i="8"/>
  <c r="ID11" i="5"/>
  <c r="IE11" i="5"/>
  <c r="IF11" i="5"/>
  <c r="IG11" i="5"/>
  <c r="IH11" i="5"/>
  <c r="II11" i="5"/>
  <c r="ID11" i="16"/>
  <c r="IE11" i="16"/>
  <c r="IF11" i="16"/>
  <c r="IG11" i="16"/>
  <c r="IH11" i="16"/>
  <c r="II11" i="16"/>
  <c r="ID11" i="4"/>
  <c r="IE11" i="4"/>
  <c r="IF11" i="4"/>
  <c r="IG11" i="4"/>
  <c r="IH11" i="4"/>
  <c r="II11" i="4"/>
  <c r="ID11" i="3"/>
  <c r="IE11" i="3"/>
  <c r="IF11" i="3"/>
  <c r="IG11" i="3"/>
  <c r="IH11" i="3"/>
  <c r="II11" i="3"/>
  <c r="ID11" i="2"/>
  <c r="IE11" i="2"/>
  <c r="IF11" i="2"/>
  <c r="IG11" i="2"/>
  <c r="IH11" i="2"/>
  <c r="II11" i="2"/>
  <c r="IH24" i="86"/>
  <c r="IG24" i="86"/>
  <c r="IF24" i="86"/>
  <c r="IE24" i="86"/>
  <c r="ID24" i="86"/>
  <c r="IC24" i="86"/>
  <c r="IB24" i="86"/>
  <c r="HW17" i="86"/>
  <c r="HW19" i="86" s="1"/>
  <c r="HX16" i="86"/>
  <c r="HX17" i="86" s="1"/>
  <c r="HW16" i="86"/>
  <c r="HZ15" i="86"/>
  <c r="HZ17" i="86" s="1"/>
  <c r="HX15" i="86"/>
  <c r="IC11" i="86"/>
  <c r="IB11" i="86"/>
  <c r="IA11" i="86"/>
  <c r="HZ11" i="86"/>
  <c r="HY11" i="86"/>
  <c r="HX11" i="86"/>
  <c r="HW11" i="86"/>
  <c r="HV11" i="86"/>
  <c r="HU11" i="86"/>
  <c r="HT11" i="86"/>
  <c r="HS11" i="86"/>
  <c r="HR11" i="86"/>
  <c r="HQ11" i="86"/>
  <c r="HP11" i="86"/>
  <c r="HO11" i="86"/>
  <c r="HN11" i="86"/>
  <c r="HM11" i="86"/>
  <c r="HL11" i="86"/>
  <c r="HK11" i="86"/>
  <c r="HJ11" i="86"/>
  <c r="HI11" i="86"/>
  <c r="HH11" i="86"/>
  <c r="HG11" i="86"/>
  <c r="HF11" i="86"/>
  <c r="HE11" i="86"/>
  <c r="HD11" i="86"/>
  <c r="HC11" i="86"/>
  <c r="HB11" i="86"/>
  <c r="HA11" i="86"/>
  <c r="GZ11" i="86"/>
  <c r="GY11" i="86"/>
  <c r="GX11" i="86"/>
  <c r="GW11" i="86"/>
  <c r="GV11" i="86"/>
  <c r="GU11" i="86"/>
  <c r="GT11" i="86"/>
  <c r="GS11" i="86"/>
  <c r="GR11" i="86"/>
  <c r="GQ11" i="86"/>
  <c r="GP11" i="86"/>
  <c r="GO11" i="86"/>
  <c r="GN11" i="86"/>
  <c r="GM11" i="86"/>
  <c r="GL11" i="86"/>
  <c r="GK11" i="86"/>
  <c r="GJ11" i="86"/>
  <c r="GI11" i="86"/>
  <c r="GH11" i="86"/>
  <c r="GG11" i="86"/>
  <c r="GF11" i="86"/>
  <c r="GE11" i="86"/>
  <c r="GD11" i="86"/>
  <c r="GC11" i="86"/>
  <c r="GB11" i="86"/>
  <c r="GA11" i="86"/>
  <c r="FZ11" i="86"/>
  <c r="FY11" i="86"/>
  <c r="FX11" i="86"/>
  <c r="FW11" i="86"/>
  <c r="FV11" i="86"/>
  <c r="FU11" i="86"/>
  <c r="FT11" i="86"/>
  <c r="FS11" i="86"/>
  <c r="FR11" i="86"/>
  <c r="FQ11" i="86"/>
  <c r="FP11" i="86"/>
  <c r="FO11" i="86"/>
  <c r="FN11" i="86"/>
  <c r="FM11" i="86"/>
  <c r="FL11" i="86"/>
  <c r="FK11" i="86"/>
  <c r="FJ11" i="86"/>
  <c r="FI11" i="86"/>
  <c r="FH11" i="86"/>
  <c r="FG11" i="86"/>
  <c r="FF11" i="86"/>
  <c r="FE11" i="86"/>
  <c r="FD11" i="86"/>
  <c r="FC11" i="86"/>
  <c r="FB11" i="86"/>
  <c r="FA11" i="86"/>
  <c r="EZ11" i="86"/>
  <c r="EY11" i="86"/>
  <c r="EX11" i="86"/>
  <c r="EW11" i="86"/>
  <c r="EV11" i="86"/>
  <c r="ER11" i="86"/>
  <c r="EQ11" i="86"/>
  <c r="EP11" i="86"/>
  <c r="EO11" i="86"/>
  <c r="EN11" i="86"/>
  <c r="EM11" i="86"/>
  <c r="EL11" i="86"/>
  <c r="EK11" i="86"/>
  <c r="EJ11" i="86"/>
  <c r="EI11" i="86"/>
  <c r="EH11" i="86"/>
  <c r="EG11" i="86"/>
  <c r="EF11" i="86"/>
  <c r="EE11" i="86"/>
  <c r="ED11" i="86"/>
  <c r="EC11" i="86"/>
  <c r="EB11" i="86"/>
  <c r="EA11" i="86"/>
  <c r="DZ11" i="86"/>
  <c r="DY11" i="86"/>
  <c r="DX11" i="86"/>
  <c r="DW11" i="86"/>
  <c r="DV11" i="86"/>
  <c r="DU11" i="86"/>
  <c r="DT11" i="86"/>
  <c r="DS11" i="86"/>
  <c r="DR11" i="86"/>
  <c r="DQ11" i="86"/>
  <c r="DP11" i="86"/>
  <c r="DO11" i="86"/>
  <c r="DN11" i="86"/>
  <c r="DM11" i="86"/>
  <c r="DL11" i="86"/>
  <c r="DK11" i="86"/>
  <c r="DJ11" i="86"/>
  <c r="DI11" i="86"/>
  <c r="DH11" i="86"/>
  <c r="DG11" i="86"/>
  <c r="DF11" i="86"/>
  <c r="DE11" i="86"/>
  <c r="DD11" i="86"/>
  <c r="DC11" i="86"/>
  <c r="DB11" i="86"/>
  <c r="DA11" i="86"/>
  <c r="CZ11" i="86"/>
  <c r="CY11" i="86"/>
  <c r="CX11" i="86"/>
  <c r="CW11" i="86"/>
  <c r="CV11" i="86"/>
  <c r="CU11" i="86"/>
  <c r="CT11" i="86"/>
  <c r="CS11" i="86"/>
  <c r="CR11" i="86"/>
  <c r="CQ11" i="86"/>
  <c r="CP11" i="86"/>
  <c r="CO11" i="86"/>
  <c r="CN11" i="86"/>
  <c r="CM11" i="86"/>
  <c r="CL11" i="86"/>
  <c r="CK11" i="86"/>
  <c r="CJ11" i="86"/>
  <c r="CI11" i="86"/>
  <c r="CH11" i="86"/>
  <c r="CG11" i="86"/>
  <c r="CF11" i="86"/>
  <c r="CE11" i="86"/>
  <c r="CD11" i="86"/>
  <c r="CC11" i="86"/>
  <c r="CB11" i="86"/>
  <c r="CA11" i="86"/>
  <c r="BZ11" i="86"/>
  <c r="BY11" i="86"/>
  <c r="BX11" i="86"/>
  <c r="BW11" i="86"/>
  <c r="BV11" i="86"/>
  <c r="BU11" i="86"/>
  <c r="BT11" i="86"/>
  <c r="BS11" i="86"/>
  <c r="BR11" i="86"/>
  <c r="BQ11" i="86"/>
  <c r="BP11" i="86"/>
  <c r="BO11" i="86"/>
  <c r="BN11" i="86"/>
  <c r="BM11" i="86"/>
  <c r="BL11" i="86"/>
  <c r="BK11" i="86"/>
  <c r="BJ11" i="86"/>
  <c r="BI11" i="86"/>
  <c r="BH11" i="86"/>
  <c r="BG11" i="86"/>
  <c r="BF11" i="86"/>
  <c r="BE11" i="86"/>
  <c r="BD11" i="86"/>
  <c r="BC11" i="86"/>
  <c r="BB11" i="86"/>
  <c r="BA11" i="86"/>
  <c r="AZ11" i="86"/>
  <c r="AY11" i="86"/>
  <c r="AX11" i="86"/>
  <c r="AW11" i="86"/>
  <c r="AV11" i="86"/>
  <c r="AU11" i="86"/>
  <c r="AT11" i="86"/>
  <c r="AS11" i="86"/>
  <c r="AR11" i="86"/>
  <c r="AQ11" i="86"/>
  <c r="AP11" i="86"/>
  <c r="AO11" i="86"/>
  <c r="AN11" i="86"/>
  <c r="AM11" i="86"/>
  <c r="AL11" i="86"/>
  <c r="AK11" i="86"/>
  <c r="AJ11" i="86"/>
  <c r="AI11" i="86"/>
  <c r="AH11" i="86"/>
  <c r="AG11" i="86"/>
  <c r="AF11" i="86"/>
  <c r="AE11" i="86"/>
  <c r="AD11" i="86"/>
  <c r="AC11" i="86"/>
  <c r="AB11" i="86"/>
  <c r="AA11" i="86"/>
  <c r="Z11" i="86"/>
  <c r="Y11" i="86"/>
  <c r="X11" i="86"/>
  <c r="W11" i="86"/>
  <c r="V11" i="86"/>
  <c r="U11" i="86"/>
  <c r="T11" i="86"/>
  <c r="S11" i="86"/>
  <c r="R11" i="86"/>
  <c r="Q11" i="86"/>
  <c r="P11" i="86"/>
  <c r="O11" i="86"/>
  <c r="N11" i="86"/>
  <c r="M11" i="86"/>
  <c r="L11" i="86"/>
  <c r="K11" i="86"/>
  <c r="J11" i="86"/>
  <c r="I11" i="86"/>
  <c r="H11" i="86"/>
  <c r="G11" i="86"/>
  <c r="E11" i="86"/>
  <c r="D11" i="86"/>
  <c r="A10" i="86"/>
  <c r="A11" i="86" s="1"/>
  <c r="A9" i="86"/>
  <c r="D7" i="86"/>
  <c r="E7" i="86" s="1"/>
  <c r="F7" i="86" s="1"/>
  <c r="G7" i="86" s="1"/>
  <c r="H7" i="86" s="1"/>
  <c r="I7" i="86" s="1"/>
  <c r="J7" i="86" s="1"/>
  <c r="K7" i="86" s="1"/>
  <c r="L7" i="86" s="1"/>
  <c r="M7" i="86" s="1"/>
  <c r="N7" i="86" s="1"/>
  <c r="O7" i="86" s="1"/>
  <c r="P7" i="86" s="1"/>
  <c r="Q7" i="86" s="1"/>
  <c r="R7" i="86" s="1"/>
  <c r="S7" i="86" s="1"/>
  <c r="T7" i="86" s="1"/>
  <c r="U7" i="86" s="1"/>
  <c r="V7" i="86" s="1"/>
  <c r="W7" i="86" s="1"/>
  <c r="X7" i="86" s="1"/>
  <c r="Y7" i="86" s="1"/>
  <c r="Z7" i="86" s="1"/>
  <c r="AA7" i="86" s="1"/>
  <c r="AB7" i="86" s="1"/>
  <c r="AC7" i="86" s="1"/>
  <c r="AD7" i="86" s="1"/>
  <c r="AE7" i="86" s="1"/>
  <c r="AF7" i="86" s="1"/>
  <c r="AG7" i="86" s="1"/>
  <c r="AH7" i="86" s="1"/>
  <c r="AI7" i="86" s="1"/>
  <c r="AJ7" i="86" s="1"/>
  <c r="AK7" i="86" s="1"/>
  <c r="AL7" i="86" s="1"/>
  <c r="AM7" i="86" s="1"/>
  <c r="AN7" i="86" s="1"/>
  <c r="AO7" i="86" s="1"/>
  <c r="AP7" i="86" s="1"/>
  <c r="AQ7" i="86" s="1"/>
  <c r="AR7" i="86" s="1"/>
  <c r="AS7" i="86" s="1"/>
  <c r="AT7" i="86" s="1"/>
  <c r="AU7" i="86" s="1"/>
  <c r="AV7" i="86" s="1"/>
  <c r="AW7" i="86" s="1"/>
  <c r="AX7" i="86" s="1"/>
  <c r="AY7" i="86" s="1"/>
  <c r="AZ7" i="86" s="1"/>
  <c r="BA7" i="86" s="1"/>
  <c r="BB7" i="86" s="1"/>
  <c r="BC7" i="86" s="1"/>
  <c r="BD7" i="86" s="1"/>
  <c r="BE7" i="86" s="1"/>
  <c r="BF7" i="86" s="1"/>
  <c r="BG7" i="86" s="1"/>
  <c r="BH7" i="86" s="1"/>
  <c r="BI7" i="86" s="1"/>
  <c r="BJ7" i="86" s="1"/>
  <c r="BK7" i="86" s="1"/>
  <c r="BL7" i="86" s="1"/>
  <c r="BM7" i="86" s="1"/>
  <c r="BN7" i="86" s="1"/>
  <c r="BO7" i="86" s="1"/>
  <c r="BP7" i="86" s="1"/>
  <c r="BQ7" i="86" s="1"/>
  <c r="BR7" i="86" s="1"/>
  <c r="BS7" i="86" s="1"/>
  <c r="BT7" i="86" s="1"/>
  <c r="BU7" i="86" s="1"/>
  <c r="BV7" i="86" s="1"/>
  <c r="BW7" i="86" s="1"/>
  <c r="BX7" i="86" s="1"/>
  <c r="BY7" i="86" s="1"/>
  <c r="BZ7" i="86" s="1"/>
  <c r="CA7" i="86" s="1"/>
  <c r="CB7" i="86" s="1"/>
  <c r="CC7" i="86" s="1"/>
  <c r="CD7" i="86" s="1"/>
  <c r="CE7" i="86" s="1"/>
  <c r="CF7" i="86" s="1"/>
  <c r="CG7" i="86" s="1"/>
  <c r="CH7" i="86" s="1"/>
  <c r="CI7" i="86" s="1"/>
  <c r="CJ7" i="86" s="1"/>
  <c r="CK7" i="86" s="1"/>
  <c r="CL7" i="86" s="1"/>
  <c r="CM7" i="86" s="1"/>
  <c r="CN7" i="86" s="1"/>
  <c r="CO7" i="86" s="1"/>
  <c r="CP7" i="86" s="1"/>
  <c r="CQ7" i="86" s="1"/>
  <c r="CR7" i="86" s="1"/>
  <c r="CS7" i="86" s="1"/>
  <c r="CT7" i="86" s="1"/>
  <c r="CU7" i="86" s="1"/>
  <c r="CV7" i="86" s="1"/>
  <c r="CW7" i="86" s="1"/>
  <c r="CX7" i="86" s="1"/>
  <c r="CY7" i="86" s="1"/>
  <c r="CZ7" i="86" s="1"/>
  <c r="DA7" i="86" s="1"/>
  <c r="DB7" i="86" s="1"/>
  <c r="DC7" i="86" s="1"/>
  <c r="DD7" i="86" s="1"/>
  <c r="DE7" i="86" s="1"/>
  <c r="DF7" i="86" s="1"/>
  <c r="DG7" i="86" s="1"/>
  <c r="DH7" i="86" s="1"/>
  <c r="DI7" i="86" s="1"/>
  <c r="DJ7" i="86" s="1"/>
  <c r="DK7" i="86" s="1"/>
  <c r="DL7" i="86" s="1"/>
  <c r="DM7" i="86" s="1"/>
  <c r="DN7" i="86" s="1"/>
  <c r="DO7" i="86" s="1"/>
  <c r="DP7" i="86" s="1"/>
  <c r="DQ7" i="86" s="1"/>
  <c r="DR7" i="86" s="1"/>
  <c r="DS7" i="86" s="1"/>
  <c r="DT7" i="86" s="1"/>
  <c r="DU7" i="86" s="1"/>
  <c r="DV7" i="86" s="1"/>
  <c r="DW7" i="86" s="1"/>
  <c r="DX7" i="86" s="1"/>
  <c r="DY7" i="86" s="1"/>
  <c r="DZ7" i="86" s="1"/>
  <c r="EA7" i="86" s="1"/>
  <c r="EB7" i="86" s="1"/>
  <c r="EC7" i="86" s="1"/>
  <c r="ED7" i="86" s="1"/>
  <c r="EE7" i="86" s="1"/>
  <c r="EF7" i="86" s="1"/>
  <c r="EG7" i="86" s="1"/>
  <c r="EH7" i="86" s="1"/>
  <c r="EI7" i="86" s="1"/>
  <c r="EJ7" i="86" s="1"/>
  <c r="EK7" i="86" s="1"/>
  <c r="EL7" i="86" s="1"/>
  <c r="EM7" i="86" s="1"/>
  <c r="EN7" i="86" s="1"/>
  <c r="EO7" i="86" s="1"/>
  <c r="EP7" i="86" s="1"/>
  <c r="EQ7" i="86" s="1"/>
  <c r="ER7" i="86" s="1"/>
  <c r="ES7" i="86" s="1"/>
  <c r="ET7" i="86" s="1"/>
  <c r="EU7" i="86" s="1"/>
  <c r="EV7" i="86" s="1"/>
  <c r="EW7" i="86" s="1"/>
  <c r="EX7" i="86" s="1"/>
  <c r="EY7" i="86" s="1"/>
  <c r="EZ7" i="86" s="1"/>
  <c r="FA7" i="86" s="1"/>
  <c r="FB7" i="86" s="1"/>
  <c r="FC7" i="86" s="1"/>
  <c r="FD7" i="86" s="1"/>
  <c r="FE7" i="86" s="1"/>
  <c r="FF7" i="86" s="1"/>
  <c r="FG7" i="86" s="1"/>
  <c r="FH7" i="86" s="1"/>
  <c r="FI7" i="86" s="1"/>
  <c r="FJ7" i="86" s="1"/>
  <c r="FK7" i="86" s="1"/>
  <c r="FL7" i="86" s="1"/>
  <c r="FM7" i="86" s="1"/>
  <c r="FN7" i="86" s="1"/>
  <c r="FO7" i="86" s="1"/>
  <c r="FP7" i="86" s="1"/>
  <c r="FQ7" i="86" s="1"/>
  <c r="FR7" i="86" s="1"/>
  <c r="FS7" i="86" s="1"/>
  <c r="FT7" i="86" s="1"/>
  <c r="FU7" i="86" s="1"/>
  <c r="FV7" i="86" s="1"/>
  <c r="FW7" i="86" s="1"/>
  <c r="FX7" i="86" s="1"/>
  <c r="FY7" i="86" s="1"/>
  <c r="FZ7" i="86" s="1"/>
  <c r="GA7" i="86" s="1"/>
  <c r="GB7" i="86" s="1"/>
  <c r="GC7" i="86" s="1"/>
  <c r="GD7" i="86" s="1"/>
  <c r="GE7" i="86" s="1"/>
  <c r="GF7" i="86" s="1"/>
  <c r="GG7" i="86" s="1"/>
  <c r="GH7" i="86" s="1"/>
  <c r="GI7" i="86" s="1"/>
  <c r="GJ7" i="86" s="1"/>
  <c r="GK7" i="86" s="1"/>
  <c r="GL7" i="86" s="1"/>
  <c r="GM7" i="86" s="1"/>
  <c r="GN7" i="86" s="1"/>
  <c r="GO7" i="86" s="1"/>
  <c r="GP7" i="86" s="1"/>
  <c r="GQ7" i="86" s="1"/>
  <c r="GR7" i="86" s="1"/>
  <c r="GS7" i="86" s="1"/>
  <c r="GT7" i="86" s="1"/>
  <c r="GU7" i="86" s="1"/>
  <c r="GV7" i="86" s="1"/>
  <c r="GW7" i="86" s="1"/>
  <c r="GX7" i="86" s="1"/>
  <c r="GY7" i="86" s="1"/>
  <c r="GZ7" i="86" s="1"/>
  <c r="HA7" i="86" s="1"/>
  <c r="HB7" i="86" s="1"/>
  <c r="HC7" i="86" s="1"/>
  <c r="HD7" i="86" s="1"/>
  <c r="HE7" i="86" s="1"/>
  <c r="HF7" i="86" s="1"/>
  <c r="HG7" i="86" s="1"/>
  <c r="HH7" i="86" s="1"/>
  <c r="HI7" i="86" s="1"/>
  <c r="HJ7" i="86" s="1"/>
  <c r="HK7" i="86" s="1"/>
  <c r="HL7" i="86" s="1"/>
  <c r="HM7" i="86" s="1"/>
  <c r="HN7" i="86" s="1"/>
  <c r="HO7" i="86" s="1"/>
  <c r="HP7" i="86" s="1"/>
  <c r="HQ7" i="86" s="1"/>
  <c r="HR7" i="86" s="1"/>
  <c r="HS7" i="86" s="1"/>
  <c r="HT7" i="86" s="1"/>
  <c r="HU7" i="86" s="1"/>
  <c r="HV7" i="86" s="1"/>
  <c r="HW7" i="86" s="1"/>
  <c r="HX7" i="86" s="1"/>
  <c r="HY7" i="86" s="1"/>
  <c r="HZ7" i="86" s="1"/>
  <c r="IA7" i="86" s="1"/>
  <c r="IB7" i="86" s="1"/>
  <c r="IC7" i="86" s="1"/>
  <c r="ID7" i="86" s="1"/>
  <c r="IE7" i="86" s="1"/>
  <c r="IF7" i="86" s="1"/>
  <c r="IG7" i="86" s="1"/>
  <c r="IH7" i="86" s="1"/>
  <c r="II7" i="86" s="1"/>
  <c r="IJ7" i="86" s="1"/>
  <c r="IK7" i="86" s="1"/>
  <c r="IL7" i="86" s="1"/>
  <c r="IM7" i="86" s="1"/>
  <c r="IN7" i="86" s="1"/>
  <c r="IO7" i="86" s="1"/>
  <c r="IP7" i="86" s="1"/>
  <c r="IQ7" i="86" s="1"/>
  <c r="IR7" i="86" s="1"/>
  <c r="IS7" i="86" s="1"/>
  <c r="IT7" i="86" s="1"/>
  <c r="IU7" i="86" s="1"/>
  <c r="IV7" i="86" s="1"/>
  <c r="IW7" i="86" s="1"/>
  <c r="IX7" i="86" s="1"/>
  <c r="IY7" i="86" s="1"/>
  <c r="IZ7" i="86" s="1"/>
  <c r="JA7" i="86" s="1"/>
  <c r="JB7" i="86" s="1"/>
  <c r="JC7" i="86" s="1"/>
  <c r="JD7" i="86" s="1"/>
  <c r="JE7" i="86" s="1"/>
  <c r="JF7" i="86" s="1"/>
  <c r="JG7" i="86" s="1"/>
  <c r="JH7" i="86" s="1"/>
  <c r="JI7" i="86" s="1"/>
  <c r="JJ7" i="86" s="1"/>
  <c r="JK7" i="86" s="1"/>
  <c r="JL7" i="86" s="1"/>
  <c r="JM7" i="86" s="1"/>
  <c r="JN7" i="86" s="1"/>
  <c r="JO7" i="86" s="1"/>
  <c r="JP7" i="86" s="1"/>
  <c r="JQ7" i="86" s="1"/>
  <c r="JR7" i="86" s="1"/>
  <c r="JS7" i="86" s="1"/>
  <c r="JT7" i="86" s="1"/>
  <c r="JU7" i="86" s="1"/>
  <c r="JV7" i="86" s="1"/>
  <c r="JW7" i="86" s="1"/>
  <c r="JX7" i="86" s="1"/>
  <c r="JY7" i="86" s="1"/>
  <c r="JZ7" i="86" s="1"/>
  <c r="KA7" i="86" s="1"/>
  <c r="KB7" i="86" s="1"/>
  <c r="KC7" i="86" s="1"/>
  <c r="KD7" i="86" s="1"/>
  <c r="KE7" i="86" s="1"/>
  <c r="KF7" i="86" s="1"/>
  <c r="KG7" i="86" s="1"/>
  <c r="KH7" i="86" s="1"/>
  <c r="KI7" i="86" s="1"/>
  <c r="KJ7" i="86" s="1"/>
  <c r="KK7" i="86" s="1"/>
  <c r="KL7" i="86" s="1"/>
  <c r="KM7" i="86" s="1"/>
  <c r="KN7" i="86" s="1"/>
  <c r="KO7" i="86" s="1"/>
  <c r="KP7" i="86" s="1"/>
  <c r="KQ7" i="86" s="1"/>
  <c r="KR7" i="86" s="1"/>
  <c r="KS7" i="86" s="1"/>
  <c r="KT7" i="86" s="1"/>
  <c r="KU7" i="86" s="1"/>
  <c r="KV7" i="86" s="1"/>
  <c r="KW7" i="86" s="1"/>
  <c r="KX7" i="86" s="1"/>
  <c r="KY7" i="86" s="1"/>
  <c r="KZ7" i="86" s="1"/>
  <c r="LA7" i="86" s="1"/>
  <c r="LB7" i="86" s="1"/>
  <c r="LC7" i="86" s="1"/>
  <c r="LD7" i="86" s="1"/>
  <c r="LE7" i="86" s="1"/>
  <c r="LF7" i="86" s="1"/>
  <c r="LG7" i="86" s="1"/>
  <c r="LH7" i="86" s="1"/>
  <c r="LI7" i="86" s="1"/>
  <c r="LJ7" i="86" s="1"/>
  <c r="LK7" i="86" s="1"/>
  <c r="LL7" i="86" s="1"/>
  <c r="LM7" i="86" s="1"/>
  <c r="LN7" i="86" s="1"/>
  <c r="LO7" i="86" s="1"/>
  <c r="LP7" i="86" s="1"/>
  <c r="LQ7" i="86" s="1"/>
  <c r="LR7" i="86" s="1"/>
  <c r="LS7" i="86" s="1"/>
  <c r="LT7" i="86" s="1"/>
  <c r="LU7" i="86" s="1"/>
  <c r="LV7" i="86" s="1"/>
  <c r="LW7" i="86" s="1"/>
  <c r="LX7" i="86" s="1"/>
  <c r="LY7" i="86" s="1"/>
  <c r="LZ7" i="86" s="1"/>
  <c r="MA7" i="86" s="1"/>
  <c r="MB7" i="86" s="1"/>
  <c r="MC7" i="86" s="1"/>
  <c r="MD7" i="86" s="1"/>
  <c r="ME7" i="86" s="1"/>
  <c r="MF7" i="86" s="1"/>
  <c r="MG7" i="86" s="1"/>
  <c r="MH7" i="86" s="1"/>
  <c r="MI7" i="86" s="1"/>
  <c r="MJ7" i="86" s="1"/>
  <c r="MK7" i="86" s="1"/>
  <c r="ML7" i="86" s="1"/>
  <c r="MM7" i="86" s="1"/>
  <c r="MN7" i="86" s="1"/>
  <c r="MO7" i="86" s="1"/>
  <c r="MP7" i="86" s="1"/>
  <c r="MQ7" i="86" s="1"/>
  <c r="MR7" i="86" s="1"/>
  <c r="MS7" i="86" s="1"/>
  <c r="MT7" i="86" s="1"/>
  <c r="MU7" i="86" s="1"/>
  <c r="MV7" i="86" s="1"/>
  <c r="MW7" i="86" s="1"/>
  <c r="MX7" i="86" s="1"/>
  <c r="MY7" i="86" s="1"/>
  <c r="MZ7" i="86" s="1"/>
  <c r="NA7" i="86" s="1"/>
  <c r="NB7" i="86" s="1"/>
  <c r="NC7" i="86" s="1"/>
  <c r="NC5" i="86"/>
  <c r="NB5" i="86"/>
  <c r="NA5" i="86"/>
  <c r="MZ5" i="86"/>
  <c r="MY5" i="86"/>
  <c r="MX5" i="86"/>
  <c r="MW5" i="86"/>
  <c r="MV5" i="86"/>
  <c r="MU5" i="86"/>
  <c r="MT5" i="86"/>
  <c r="MS5" i="86"/>
  <c r="MR5" i="86"/>
  <c r="MQ5" i="86"/>
  <c r="MP5" i="86"/>
  <c r="MO5" i="86"/>
  <c r="MN5" i="86"/>
  <c r="MM5" i="86"/>
  <c r="ML5" i="86"/>
  <c r="MK5" i="86"/>
  <c r="MJ5" i="86"/>
  <c r="MI5" i="86"/>
  <c r="MH5" i="86"/>
  <c r="MG5" i="86"/>
  <c r="MF5" i="86"/>
  <c r="ME5" i="86"/>
  <c r="MD5" i="86"/>
  <c r="MC5" i="86"/>
  <c r="MB5" i="86"/>
  <c r="MA5" i="86"/>
  <c r="LZ5" i="86"/>
  <c r="LY5" i="86"/>
  <c r="LX5" i="86"/>
  <c r="LW5" i="86"/>
  <c r="LV5" i="86"/>
  <c r="LU5" i="86"/>
  <c r="LT5" i="86"/>
  <c r="LS5" i="86"/>
  <c r="LR5" i="86"/>
  <c r="LQ5" i="86"/>
  <c r="LP5" i="86"/>
  <c r="LO5" i="86"/>
  <c r="LN5" i="86"/>
  <c r="LM5" i="86"/>
  <c r="LL5" i="86"/>
  <c r="LK5" i="86"/>
  <c r="LJ5" i="86"/>
  <c r="LI5" i="86"/>
  <c r="LH5" i="86"/>
  <c r="LG5" i="86"/>
  <c r="LF5" i="86"/>
  <c r="LE5" i="86"/>
  <c r="LD5" i="86"/>
  <c r="LC5" i="86"/>
  <c r="LB5" i="86"/>
  <c r="LA5" i="86"/>
  <c r="KZ5" i="86"/>
  <c r="KY5" i="86"/>
  <c r="KX5" i="86"/>
  <c r="KW5" i="86"/>
  <c r="KV5" i="86"/>
  <c r="KU5" i="86"/>
  <c r="KT5" i="86"/>
  <c r="KS5" i="86"/>
  <c r="KR5" i="86"/>
  <c r="KQ5" i="86"/>
  <c r="KP5" i="86"/>
  <c r="KO5" i="86"/>
  <c r="KN5" i="86"/>
  <c r="KM5" i="86"/>
  <c r="KL5" i="86"/>
  <c r="KK5" i="86"/>
  <c r="KJ5" i="86"/>
  <c r="KI5" i="86"/>
  <c r="KH5" i="86"/>
  <c r="KG5" i="86"/>
  <c r="KF5" i="86"/>
  <c r="KE5" i="86"/>
  <c r="KD5" i="86"/>
  <c r="KC5" i="86"/>
  <c r="KB5" i="86"/>
  <c r="KA5" i="86"/>
  <c r="JZ5" i="86"/>
  <c r="JY5" i="86"/>
  <c r="JX5" i="86"/>
  <c r="JW5" i="86"/>
  <c r="JV5" i="86"/>
  <c r="JU5" i="86"/>
  <c r="JT5" i="86"/>
  <c r="JS5" i="86"/>
  <c r="JR5" i="86"/>
  <c r="JQ5" i="86"/>
  <c r="JP5" i="86"/>
  <c r="JO5" i="86"/>
  <c r="JN5" i="86"/>
  <c r="JM5" i="86"/>
  <c r="JL5" i="86"/>
  <c r="JK5" i="86"/>
  <c r="JJ5" i="86"/>
  <c r="JI5" i="86"/>
  <c r="JH5" i="86"/>
  <c r="JG5" i="86"/>
  <c r="JF5" i="86"/>
  <c r="JE5" i="86"/>
  <c r="JD5" i="86"/>
  <c r="JC5" i="86"/>
  <c r="JB5" i="86"/>
  <c r="JA5" i="86"/>
  <c r="IZ5" i="86"/>
  <c r="IY5" i="86"/>
  <c r="IX5" i="86"/>
  <c r="IW5" i="86"/>
  <c r="IV5" i="86"/>
  <c r="IU5" i="86"/>
  <c r="IT5" i="86"/>
  <c r="IS5" i="86"/>
  <c r="IR5" i="86"/>
  <c r="IQ5" i="86"/>
  <c r="IP5" i="86"/>
  <c r="IO5" i="86"/>
  <c r="IN5" i="86"/>
  <c r="IM5" i="86"/>
  <c r="IL5" i="86"/>
  <c r="IK5" i="86"/>
  <c r="IJ5" i="86"/>
  <c r="II5" i="86"/>
  <c r="IH5" i="86"/>
  <c r="IG5" i="86"/>
  <c r="IF5" i="86"/>
  <c r="IE5" i="86"/>
  <c r="ID5" i="86"/>
  <c r="IC5" i="86"/>
  <c r="IB5" i="86"/>
  <c r="IA5" i="86"/>
  <c r="HZ5" i="86"/>
  <c r="HY5" i="86"/>
  <c r="HX5" i="86"/>
  <c r="HW5" i="86"/>
  <c r="HV5" i="86"/>
  <c r="HU5" i="86"/>
  <c r="HT5" i="86"/>
  <c r="HS5" i="86"/>
  <c r="HR5" i="86"/>
  <c r="HQ5" i="86"/>
  <c r="HP5" i="86"/>
  <c r="HO5" i="86"/>
  <c r="HN5" i="86"/>
  <c r="HM5" i="86"/>
  <c r="HL5" i="86"/>
  <c r="HK5" i="86"/>
  <c r="HJ5" i="86"/>
  <c r="HI5" i="86"/>
  <c r="HH5" i="86"/>
  <c r="HG5" i="86"/>
  <c r="HF5" i="86"/>
  <c r="HE5" i="86"/>
  <c r="HD5" i="86"/>
  <c r="HC5" i="86"/>
  <c r="HB5" i="86"/>
  <c r="HA5" i="86"/>
  <c r="GZ5" i="86"/>
  <c r="GY5" i="86"/>
  <c r="GX5" i="86"/>
  <c r="GW5" i="86"/>
  <c r="GV5" i="86"/>
  <c r="GU5" i="86"/>
  <c r="GT5" i="86"/>
  <c r="GS5" i="86"/>
  <c r="GR5" i="86"/>
  <c r="GQ5" i="86"/>
  <c r="GO5" i="86"/>
  <c r="GN5" i="86"/>
  <c r="GM5" i="86"/>
  <c r="GL5" i="86"/>
  <c r="GK5" i="86"/>
  <c r="GJ5" i="86"/>
  <c r="GI5" i="86"/>
  <c r="GH5" i="86"/>
  <c r="GG5" i="86"/>
  <c r="GF5" i="86"/>
  <c r="GE5" i="86"/>
  <c r="GD5" i="86"/>
  <c r="GC5" i="86"/>
  <c r="GB5" i="86"/>
  <c r="GA5" i="86"/>
  <c r="FZ5" i="86"/>
  <c r="FY5" i="86"/>
  <c r="FX5" i="86"/>
  <c r="FW5" i="86"/>
  <c r="FV5" i="86"/>
  <c r="FU5" i="86"/>
  <c r="FT5" i="86"/>
  <c r="FS5" i="86"/>
  <c r="FR5" i="86"/>
  <c r="FQ5" i="86"/>
  <c r="FP5" i="86"/>
  <c r="FO5" i="86"/>
  <c r="FN5" i="86"/>
  <c r="FM5" i="86"/>
  <c r="FL5" i="86"/>
  <c r="FK5" i="86"/>
  <c r="FJ5" i="86"/>
  <c r="FI5" i="86"/>
  <c r="FH5" i="86"/>
  <c r="FG5" i="86"/>
  <c r="FB5" i="86"/>
  <c r="FA5" i="86"/>
  <c r="EZ5" i="86"/>
  <c r="EY5" i="86"/>
  <c r="EX5" i="86"/>
  <c r="EW5" i="86"/>
  <c r="EV5" i="86"/>
  <c r="EU5" i="86"/>
  <c r="ET5" i="86"/>
  <c r="ES5" i="86"/>
  <c r="ER5" i="86"/>
  <c r="EQ5" i="86"/>
  <c r="EP5" i="86"/>
  <c r="EO5" i="86"/>
  <c r="EN5" i="86"/>
  <c r="EM5" i="86"/>
  <c r="EL5" i="86"/>
  <c r="EK5" i="86"/>
  <c r="EJ5" i="86"/>
  <c r="EI5" i="86"/>
  <c r="EH5" i="86"/>
  <c r="EG5" i="86"/>
  <c r="EF5" i="86"/>
  <c r="EE5" i="86"/>
  <c r="ED5" i="86"/>
  <c r="EC5" i="86"/>
  <c r="EB5" i="86"/>
  <c r="EA5" i="86"/>
  <c r="DZ5" i="86"/>
  <c r="DY5" i="86"/>
  <c r="DX5" i="86"/>
  <c r="DW5" i="86"/>
  <c r="DV5" i="86"/>
  <c r="DU5" i="86"/>
  <c r="DT5" i="86"/>
  <c r="DR5" i="86"/>
  <c r="DQ5" i="86"/>
  <c r="DP5" i="86"/>
  <c r="DO5" i="86"/>
  <c r="DN5" i="86"/>
  <c r="DM5" i="86"/>
  <c r="DK5" i="86"/>
  <c r="DJ5" i="86"/>
  <c r="DI5" i="86"/>
  <c r="DH5" i="86"/>
  <c r="DG5" i="86"/>
  <c r="DF5" i="86"/>
  <c r="DE5" i="86"/>
  <c r="DD5" i="86"/>
  <c r="DC5" i="86"/>
  <c r="DB5" i="86"/>
  <c r="DA5" i="86"/>
  <c r="CZ5" i="86"/>
  <c r="CY5" i="86"/>
  <c r="CX5" i="86"/>
  <c r="CW5" i="86"/>
  <c r="CV5" i="86"/>
  <c r="CU5" i="86"/>
  <c r="CT5" i="86"/>
  <c r="CS5" i="86"/>
  <c r="CR5" i="86"/>
  <c r="CQ5" i="86"/>
  <c r="CP5" i="86"/>
  <c r="CL5" i="86"/>
  <c r="CK5" i="86"/>
  <c r="CJ5" i="86"/>
  <c r="CI5" i="86"/>
  <c r="CH5" i="86"/>
  <c r="CG5" i="86"/>
  <c r="CF5" i="86"/>
  <c r="CE5" i="86"/>
  <c r="CD5" i="86"/>
  <c r="CC5" i="86"/>
  <c r="CB5" i="86"/>
  <c r="CA5" i="86"/>
  <c r="BZ5" i="86"/>
  <c r="BY5" i="86"/>
  <c r="BX5" i="86"/>
  <c r="BW5" i="86"/>
  <c r="BV5" i="86"/>
  <c r="BU5" i="86"/>
  <c r="BT5" i="86"/>
  <c r="BS5" i="86"/>
  <c r="BR5" i="86"/>
  <c r="BQ5" i="86"/>
  <c r="BP5" i="86"/>
  <c r="BO5" i="86"/>
  <c r="BN5" i="86"/>
  <c r="BM5" i="86"/>
  <c r="BL5" i="86"/>
  <c r="BK5" i="86"/>
  <c r="BJ5" i="86"/>
  <c r="BI5" i="86"/>
  <c r="BH5" i="86"/>
  <c r="BG5" i="86"/>
  <c r="BF5" i="86"/>
  <c r="BE5" i="86"/>
  <c r="BD5" i="86"/>
  <c r="BC5" i="86"/>
  <c r="BB5" i="86"/>
  <c r="BA5" i="86"/>
  <c r="AZ5" i="86"/>
  <c r="AY5" i="86"/>
  <c r="AX5" i="86"/>
  <c r="AW5" i="86"/>
  <c r="AV5" i="86"/>
  <c r="AU5" i="86"/>
  <c r="AT5" i="86"/>
  <c r="AS5" i="86"/>
  <c r="AR5" i="86"/>
  <c r="AQ5" i="86"/>
  <c r="AP5" i="86"/>
  <c r="AO5" i="86"/>
  <c r="AN5" i="86"/>
  <c r="AM5" i="86"/>
  <c r="AL5" i="86"/>
  <c r="AK5" i="86"/>
  <c r="AJ5" i="86"/>
  <c r="AI5" i="86"/>
  <c r="AH5" i="86"/>
  <c r="AG5" i="86"/>
  <c r="AF5" i="86"/>
  <c r="AE5" i="86"/>
  <c r="AD5" i="86"/>
  <c r="AC5" i="86"/>
  <c r="AB5" i="86"/>
  <c r="AA5" i="86"/>
  <c r="Z5" i="86"/>
  <c r="Y5" i="86"/>
  <c r="X5" i="86"/>
  <c r="W5" i="86"/>
  <c r="V5" i="86"/>
  <c r="U5" i="86"/>
  <c r="T5" i="86"/>
  <c r="S5" i="86"/>
  <c r="R5" i="86"/>
  <c r="Q5" i="86"/>
  <c r="P5" i="86"/>
  <c r="O5" i="86"/>
  <c r="N5" i="86"/>
  <c r="M5" i="86"/>
  <c r="L5" i="86"/>
  <c r="K5" i="86"/>
  <c r="J5" i="86"/>
  <c r="I5" i="86"/>
  <c r="H5" i="86"/>
  <c r="G5" i="86"/>
  <c r="F5" i="86"/>
  <c r="E5" i="86"/>
  <c r="D5" i="86"/>
  <c r="A4" i="86"/>
  <c r="A5" i="86" s="1"/>
  <c r="A3" i="86"/>
  <c r="H9" i="85"/>
  <c r="H8" i="85"/>
  <c r="H11" i="85"/>
  <c r="H12" i="85" s="1"/>
  <c r="AJ604" i="8" l="1"/>
  <c r="AF604" i="8"/>
  <c r="AH604" i="8" s="1"/>
  <c r="Q603" i="8"/>
  <c r="P603" i="8" s="1"/>
  <c r="N603" i="8"/>
  <c r="AF605" i="8"/>
  <c r="AH605" i="8" s="1"/>
  <c r="AJ605" i="8"/>
  <c r="N602" i="8"/>
  <c r="Q602" i="8"/>
  <c r="P602" i="8" s="1"/>
  <c r="P606" i="8"/>
  <c r="P607" i="8"/>
  <c r="D11" i="54"/>
  <c r="D12" i="54"/>
  <c r="D13" i="54"/>
  <c r="D10" i="54"/>
  <c r="R594" i="8"/>
  <c r="Q594" i="8"/>
  <c r="P594" i="8" s="1"/>
  <c r="O594" i="8"/>
  <c r="O595" i="8"/>
  <c r="O596" i="8"/>
  <c r="O597" i="8"/>
  <c r="O598" i="8"/>
  <c r="O599" i="8"/>
  <c r="O600" i="8"/>
  <c r="O601" i="8"/>
  <c r="N594" i="8"/>
  <c r="HV11" i="7"/>
  <c r="HW11" i="7"/>
  <c r="HX11" i="7"/>
  <c r="HY11" i="7"/>
  <c r="HZ11" i="7"/>
  <c r="IA11" i="7"/>
  <c r="IB11" i="7"/>
  <c r="IC11" i="7"/>
  <c r="HV11" i="6"/>
  <c r="HW11" i="6"/>
  <c r="HX11" i="6"/>
  <c r="HY11" i="6"/>
  <c r="HZ11" i="6"/>
  <c r="IA11" i="6"/>
  <c r="IB11" i="6"/>
  <c r="IC11" i="6"/>
  <c r="N605" i="8" l="1"/>
  <c r="Q605" i="8"/>
  <c r="P605" i="8" s="1"/>
  <c r="N604" i="8"/>
  <c r="Q604" i="8"/>
  <c r="P604" i="8" s="1"/>
  <c r="HW11" i="2"/>
  <c r="W595" i="8"/>
  <c r="AI596" i="8"/>
  <c r="X594" i="8"/>
  <c r="Y594" i="8" s="1"/>
  <c r="X595" i="8"/>
  <c r="AD595" i="8" s="1"/>
  <c r="X596" i="8"/>
  <c r="AD596" i="8" s="1"/>
  <c r="X597" i="8"/>
  <c r="AD597" i="8" s="1"/>
  <c r="X598" i="8"/>
  <c r="AD598" i="8" s="1"/>
  <c r="X599" i="8"/>
  <c r="Y599" i="8" s="1"/>
  <c r="X600" i="8"/>
  <c r="AD600" i="8" s="1"/>
  <c r="X601" i="8"/>
  <c r="Y601" i="8" s="1"/>
  <c r="W594" i="8"/>
  <c r="W596" i="8"/>
  <c r="W597" i="8"/>
  <c r="W598" i="8"/>
  <c r="W599" i="8"/>
  <c r="W600" i="8"/>
  <c r="W601" i="8"/>
  <c r="AE595" i="8"/>
  <c r="AG595" i="8"/>
  <c r="R595" i="8" s="1"/>
  <c r="AI595" i="8"/>
  <c r="AE596" i="8"/>
  <c r="AG596" i="8"/>
  <c r="R596" i="8" s="1"/>
  <c r="AE597" i="8"/>
  <c r="AG597" i="8" s="1"/>
  <c r="R597" i="8" s="1"/>
  <c r="AI597" i="8"/>
  <c r="AE598" i="8"/>
  <c r="AG598" i="8"/>
  <c r="R598" i="8" s="1"/>
  <c r="AI598" i="8"/>
  <c r="AE599" i="8"/>
  <c r="AG599" i="8" s="1"/>
  <c r="R599" i="8" s="1"/>
  <c r="AI599" i="8"/>
  <c r="AE600" i="8"/>
  <c r="AG600" i="8"/>
  <c r="R600" i="8" s="1"/>
  <c r="AI600" i="8"/>
  <c r="AE601" i="8"/>
  <c r="AG601" i="8" s="1"/>
  <c r="R601" i="8" s="1"/>
  <c r="AI601" i="8"/>
  <c r="AJ600" i="8" l="1"/>
  <c r="AF600" i="8"/>
  <c r="AH600" i="8" s="1"/>
  <c r="N600" i="8" s="1"/>
  <c r="AD599" i="8"/>
  <c r="AF599" i="8" s="1"/>
  <c r="AH599" i="8" s="1"/>
  <c r="Y600" i="8"/>
  <c r="AD601" i="8"/>
  <c r="AF601" i="8" s="1"/>
  <c r="AH601" i="8" s="1"/>
  <c r="AF598" i="8"/>
  <c r="AH598" i="8" s="1"/>
  <c r="AJ598" i="8"/>
  <c r="AJ597" i="8"/>
  <c r="AF597" i="8"/>
  <c r="AH597" i="8" s="1"/>
  <c r="AJ596" i="8"/>
  <c r="AF596" i="8"/>
  <c r="AH596" i="8" s="1"/>
  <c r="AF595" i="8"/>
  <c r="AH595" i="8" s="1"/>
  <c r="AJ595" i="8"/>
  <c r="Y598" i="8"/>
  <c r="Y595" i="8"/>
  <c r="Q600" i="8"/>
  <c r="P600" i="8" s="1"/>
  <c r="Y597" i="8"/>
  <c r="Y596" i="8"/>
  <c r="HV11" i="11"/>
  <c r="HW11" i="11"/>
  <c r="HX11" i="11"/>
  <c r="HY11" i="11"/>
  <c r="HZ11" i="11"/>
  <c r="IA11" i="11"/>
  <c r="IB11" i="11"/>
  <c r="IC11" i="11"/>
  <c r="HV11" i="41"/>
  <c r="HW11" i="41"/>
  <c r="HX11" i="41"/>
  <c r="HY11" i="41"/>
  <c r="HZ11" i="41"/>
  <c r="IA11" i="41"/>
  <c r="IB11" i="41"/>
  <c r="IC11" i="41"/>
  <c r="HV11" i="2"/>
  <c r="HX11" i="2"/>
  <c r="HY11" i="2"/>
  <c r="HZ11" i="2"/>
  <c r="IA11" i="2"/>
  <c r="IB11" i="2"/>
  <c r="IC11" i="2"/>
  <c r="HV11" i="3"/>
  <c r="HW11" i="3"/>
  <c r="HX11" i="3"/>
  <c r="HY11" i="3"/>
  <c r="HZ11" i="3"/>
  <c r="IA11" i="3"/>
  <c r="IB11" i="3"/>
  <c r="IC11" i="3"/>
  <c r="HW11" i="4"/>
  <c r="HX11" i="4"/>
  <c r="HY11" i="4"/>
  <c r="HZ11" i="4"/>
  <c r="IA11" i="4"/>
  <c r="IB11" i="4"/>
  <c r="IC11" i="4"/>
  <c r="HV11" i="16"/>
  <c r="HW11" i="16"/>
  <c r="HX11" i="16"/>
  <c r="HY11" i="16"/>
  <c r="HZ11" i="16"/>
  <c r="IA11" i="16"/>
  <c r="IB11" i="16"/>
  <c r="IC11" i="16"/>
  <c r="HV11" i="5"/>
  <c r="HW11" i="5"/>
  <c r="HX11" i="5"/>
  <c r="HY11" i="5"/>
  <c r="HZ11" i="5"/>
  <c r="IA11" i="5"/>
  <c r="IB11" i="5"/>
  <c r="IC11" i="5"/>
  <c r="X588" i="8"/>
  <c r="O588" i="8"/>
  <c r="X589" i="8"/>
  <c r="O589" i="8"/>
  <c r="O590" i="8"/>
  <c r="O591" i="8"/>
  <c r="O592" i="8"/>
  <c r="O593" i="8"/>
  <c r="AJ599" i="8" l="1"/>
  <c r="AJ601" i="8"/>
  <c r="Q601" i="8"/>
  <c r="N601" i="8"/>
  <c r="N596" i="8"/>
  <c r="Q596" i="8"/>
  <c r="P596" i="8" s="1"/>
  <c r="Q597" i="8"/>
  <c r="P597" i="8" s="1"/>
  <c r="N597" i="8"/>
  <c r="N595" i="8"/>
  <c r="Q595" i="8"/>
  <c r="P595" i="8" s="1"/>
  <c r="Q599" i="8"/>
  <c r="P599" i="8" s="1"/>
  <c r="N599" i="8"/>
  <c r="Q598" i="8"/>
  <c r="P598" i="8" s="1"/>
  <c r="N598" i="8"/>
  <c r="HO11" i="7"/>
  <c r="HP11" i="7"/>
  <c r="HQ11" i="7"/>
  <c r="HR11" i="7"/>
  <c r="HS11" i="7"/>
  <c r="HT11" i="7"/>
  <c r="HU11" i="7"/>
  <c r="HP11" i="6"/>
  <c r="HQ11" i="6"/>
  <c r="HR11" i="6"/>
  <c r="HS11" i="6"/>
  <c r="HT11" i="6"/>
  <c r="HU11" i="6"/>
  <c r="HP11" i="5"/>
  <c r="HQ11" i="5"/>
  <c r="HR11" i="5"/>
  <c r="HS11" i="5"/>
  <c r="HT11" i="5"/>
  <c r="HU11" i="5"/>
  <c r="HP11" i="16"/>
  <c r="HQ11" i="16"/>
  <c r="HR11" i="16"/>
  <c r="HS11" i="16"/>
  <c r="HT11" i="16"/>
  <c r="HU11" i="16"/>
  <c r="HP11" i="41"/>
  <c r="HQ11" i="41"/>
  <c r="HR11" i="41"/>
  <c r="HS11" i="41"/>
  <c r="HT11" i="41"/>
  <c r="HU11" i="41"/>
  <c r="Y589" i="8"/>
  <c r="W590" i="8"/>
  <c r="HP11" i="11"/>
  <c r="HQ11" i="11"/>
  <c r="HR11" i="11"/>
  <c r="HS11" i="11"/>
  <c r="HT11" i="11"/>
  <c r="HU11" i="11"/>
  <c r="X591" i="8"/>
  <c r="AD591" i="8" s="1"/>
  <c r="HP11" i="4"/>
  <c r="HQ11" i="4"/>
  <c r="HR11" i="4"/>
  <c r="HS11" i="4"/>
  <c r="HT11" i="4"/>
  <c r="HU11" i="4"/>
  <c r="W589" i="8"/>
  <c r="HP11" i="3"/>
  <c r="HQ11" i="3"/>
  <c r="HR11" i="3"/>
  <c r="HS11" i="3"/>
  <c r="HT11" i="3"/>
  <c r="HU11" i="3"/>
  <c r="AI592" i="8"/>
  <c r="AE588" i="8"/>
  <c r="AG588" i="8" s="1"/>
  <c r="R588" i="8" s="1"/>
  <c r="AI588" i="8"/>
  <c r="AE589" i="8"/>
  <c r="AG589" i="8" s="1"/>
  <c r="R589" i="8" s="1"/>
  <c r="AI589" i="8"/>
  <c r="AE590" i="8"/>
  <c r="AG590" i="8" s="1"/>
  <c r="R590" i="8" s="1"/>
  <c r="AI590" i="8"/>
  <c r="AE591" i="8"/>
  <c r="AG591" i="8" s="1"/>
  <c r="R591" i="8" s="1"/>
  <c r="AI591" i="8"/>
  <c r="AE592" i="8"/>
  <c r="AG592" i="8" s="1"/>
  <c r="R592" i="8" s="1"/>
  <c r="AE593" i="8"/>
  <c r="AG593" i="8" s="1"/>
  <c r="R593" i="8" s="1"/>
  <c r="AI593" i="8"/>
  <c r="AD589" i="8"/>
  <c r="Y588" i="8"/>
  <c r="X590" i="8"/>
  <c r="Y590" i="8" s="1"/>
  <c r="X592" i="8"/>
  <c r="Y592" i="8" s="1"/>
  <c r="X593" i="8"/>
  <c r="Y593" i="8" s="1"/>
  <c r="W588" i="8"/>
  <c r="W591" i="8"/>
  <c r="W592" i="8"/>
  <c r="W593" i="8"/>
  <c r="P601" i="8" l="1"/>
  <c r="AF589" i="8"/>
  <c r="AH589" i="8" s="1"/>
  <c r="AJ589" i="8"/>
  <c r="AF591" i="8"/>
  <c r="AH591" i="8" s="1"/>
  <c r="Q591" i="8" s="1"/>
  <c r="P591" i="8" s="1"/>
  <c r="AJ591" i="8"/>
  <c r="Y591" i="8"/>
  <c r="AD593" i="8"/>
  <c r="AD592" i="8"/>
  <c r="AD590" i="8"/>
  <c r="AD588" i="8"/>
  <c r="N589" i="8"/>
  <c r="Q589" i="8"/>
  <c r="P589" i="8" s="1"/>
  <c r="N591" i="8"/>
  <c r="HP11" i="2"/>
  <c r="HQ11" i="2"/>
  <c r="HR11" i="2"/>
  <c r="HS11" i="2"/>
  <c r="HT11" i="2"/>
  <c r="HU11" i="2"/>
  <c r="AF588" i="8" l="1"/>
  <c r="AH588" i="8" s="1"/>
  <c r="AJ588" i="8"/>
  <c r="AF590" i="8"/>
  <c r="AH590" i="8" s="1"/>
  <c r="AJ590" i="8"/>
  <c r="AF592" i="8"/>
  <c r="AH592" i="8" s="1"/>
  <c r="Q592" i="8" s="1"/>
  <c r="P592" i="8" s="1"/>
  <c r="AJ592" i="8"/>
  <c r="AF593" i="8"/>
  <c r="AH593" i="8" s="1"/>
  <c r="N593" i="8" s="1"/>
  <c r="AJ593" i="8"/>
  <c r="HH11" i="5"/>
  <c r="HI11" i="5"/>
  <c r="HJ11" i="5"/>
  <c r="HK11" i="5"/>
  <c r="HL11" i="5"/>
  <c r="HM11" i="5"/>
  <c r="HN11" i="5"/>
  <c r="HO11" i="5"/>
  <c r="O580" i="8"/>
  <c r="Q580" i="8"/>
  <c r="R580" i="8"/>
  <c r="O581" i="8"/>
  <c r="O582" i="8"/>
  <c r="O583" i="8"/>
  <c r="O584" i="8"/>
  <c r="O585" i="8"/>
  <c r="R585" i="8"/>
  <c r="O586" i="8"/>
  <c r="O587" i="8"/>
  <c r="N580" i="8"/>
  <c r="HH11" i="2"/>
  <c r="HI11" i="2"/>
  <c r="HJ11" i="2"/>
  <c r="HK11" i="2"/>
  <c r="HL11" i="2"/>
  <c r="HM11" i="2"/>
  <c r="HN11" i="2"/>
  <c r="HO11" i="2"/>
  <c r="HH11" i="7"/>
  <c r="HI11" i="7"/>
  <c r="HJ11" i="7"/>
  <c r="HK11" i="7"/>
  <c r="HL11" i="7"/>
  <c r="HM11" i="7"/>
  <c r="HN11" i="7"/>
  <c r="HH11" i="6"/>
  <c r="HI11" i="6"/>
  <c r="HJ11" i="6"/>
  <c r="HK11" i="6"/>
  <c r="HL11" i="6"/>
  <c r="HM11" i="6"/>
  <c r="HN11" i="6"/>
  <c r="HO11" i="6"/>
  <c r="HH11" i="16"/>
  <c r="HI11" i="16"/>
  <c r="HJ11" i="16"/>
  <c r="HK11" i="16"/>
  <c r="HL11" i="16"/>
  <c r="HM11" i="16"/>
  <c r="HN11" i="16"/>
  <c r="HO11" i="16"/>
  <c r="HH11" i="41"/>
  <c r="HI11" i="41"/>
  <c r="HJ11" i="41"/>
  <c r="HK11" i="41"/>
  <c r="HL11" i="41"/>
  <c r="HM11" i="41"/>
  <c r="HN11" i="41"/>
  <c r="HO11" i="41"/>
  <c r="X581" i="8"/>
  <c r="Y581" i="8" s="1"/>
  <c r="W581" i="8"/>
  <c r="HH11" i="11"/>
  <c r="HI11" i="11"/>
  <c r="HJ11" i="11"/>
  <c r="HK11" i="11"/>
  <c r="HL11" i="11"/>
  <c r="HM11" i="11"/>
  <c r="HN11" i="11"/>
  <c r="HO11" i="11"/>
  <c r="HI11" i="4"/>
  <c r="HJ11" i="4"/>
  <c r="HK11" i="4"/>
  <c r="HL11" i="4"/>
  <c r="HM11" i="4"/>
  <c r="HN11" i="4"/>
  <c r="HO11" i="4"/>
  <c r="HH11" i="3"/>
  <c r="HI11" i="3"/>
  <c r="HJ11" i="3"/>
  <c r="HK11" i="3"/>
  <c r="HL11" i="3"/>
  <c r="HM11" i="3"/>
  <c r="HN11" i="3"/>
  <c r="HO11" i="3"/>
  <c r="AI581" i="8"/>
  <c r="AE581" i="8"/>
  <c r="AG581" i="8" s="1"/>
  <c r="R581" i="8" s="1"/>
  <c r="AE582" i="8"/>
  <c r="AG582" i="8" s="1"/>
  <c r="R582" i="8" s="1"/>
  <c r="AI582" i="8"/>
  <c r="AE583" i="8"/>
  <c r="AG583" i="8" s="1"/>
  <c r="R583" i="8" s="1"/>
  <c r="AI583" i="8"/>
  <c r="AE584" i="8"/>
  <c r="AG584" i="8" s="1"/>
  <c r="R584" i="8" s="1"/>
  <c r="AI584" i="8"/>
  <c r="AE585" i="8"/>
  <c r="AG585" i="8" s="1"/>
  <c r="AI585" i="8"/>
  <c r="AE586" i="8"/>
  <c r="AG586" i="8" s="1"/>
  <c r="R586" i="8" s="1"/>
  <c r="AI586" i="8"/>
  <c r="AE587" i="8"/>
  <c r="AG587" i="8" s="1"/>
  <c r="R587" i="8" s="1"/>
  <c r="AI587" i="8"/>
  <c r="X582" i="8"/>
  <c r="AD582" i="8" s="1"/>
  <c r="W582" i="8"/>
  <c r="W3" i="8"/>
  <c r="X3" i="8"/>
  <c r="W4" i="8"/>
  <c r="X4" i="8"/>
  <c r="W5" i="8"/>
  <c r="X5" i="8"/>
  <c r="W6" i="8"/>
  <c r="X6" i="8"/>
  <c r="W7" i="8"/>
  <c r="X7" i="8"/>
  <c r="W8" i="8"/>
  <c r="X8" i="8"/>
  <c r="W9" i="8"/>
  <c r="X9" i="8"/>
  <c r="W10" i="8"/>
  <c r="X10" i="8"/>
  <c r="W11" i="8"/>
  <c r="X11" i="8"/>
  <c r="W12" i="8"/>
  <c r="X12" i="8"/>
  <c r="W13" i="8"/>
  <c r="X13" i="8"/>
  <c r="W14" i="8"/>
  <c r="X14" i="8"/>
  <c r="W15" i="8"/>
  <c r="X15" i="8"/>
  <c r="W16" i="8"/>
  <c r="X16" i="8"/>
  <c r="W17" i="8"/>
  <c r="X17" i="8"/>
  <c r="W18" i="8"/>
  <c r="X18" i="8"/>
  <c r="W19" i="8"/>
  <c r="X19" i="8"/>
  <c r="W20" i="8"/>
  <c r="X20" i="8"/>
  <c r="W21" i="8"/>
  <c r="X21" i="8"/>
  <c r="W22" i="8"/>
  <c r="X22" i="8"/>
  <c r="W23" i="8"/>
  <c r="X23" i="8"/>
  <c r="W24" i="8"/>
  <c r="X24" i="8"/>
  <c r="W25" i="8"/>
  <c r="X25" i="8"/>
  <c r="W26" i="8"/>
  <c r="X26" i="8"/>
  <c r="W27" i="8"/>
  <c r="X27" i="8"/>
  <c r="W28" i="8"/>
  <c r="X28" i="8"/>
  <c r="W29" i="8"/>
  <c r="X29" i="8"/>
  <c r="W30" i="8"/>
  <c r="X30" i="8"/>
  <c r="W31" i="8"/>
  <c r="X31" i="8"/>
  <c r="W32" i="8"/>
  <c r="X32" i="8"/>
  <c r="W33" i="8"/>
  <c r="X33" i="8"/>
  <c r="W34" i="8"/>
  <c r="X34" i="8"/>
  <c r="W35" i="8"/>
  <c r="X35" i="8"/>
  <c r="W36" i="8"/>
  <c r="X36" i="8"/>
  <c r="W37" i="8"/>
  <c r="X37" i="8"/>
  <c r="W38" i="8"/>
  <c r="X38" i="8"/>
  <c r="W39" i="8"/>
  <c r="X39" i="8"/>
  <c r="W40" i="8"/>
  <c r="X40" i="8"/>
  <c r="W41" i="8"/>
  <c r="X41" i="8"/>
  <c r="W42" i="8"/>
  <c r="X42" i="8"/>
  <c r="W43" i="8"/>
  <c r="X43" i="8"/>
  <c r="W44" i="8"/>
  <c r="X44" i="8"/>
  <c r="W45" i="8"/>
  <c r="X45" i="8"/>
  <c r="W46" i="8"/>
  <c r="X46" i="8"/>
  <c r="W47" i="8"/>
  <c r="X47" i="8"/>
  <c r="W48" i="8"/>
  <c r="X48" i="8"/>
  <c r="W49" i="8"/>
  <c r="X49" i="8"/>
  <c r="W50" i="8"/>
  <c r="X50" i="8"/>
  <c r="W51" i="8"/>
  <c r="X51" i="8"/>
  <c r="W52" i="8"/>
  <c r="X52" i="8"/>
  <c r="W53" i="8"/>
  <c r="X53" i="8"/>
  <c r="W54" i="8"/>
  <c r="X54" i="8"/>
  <c r="W55" i="8"/>
  <c r="X55" i="8"/>
  <c r="W56" i="8"/>
  <c r="X56" i="8"/>
  <c r="W57" i="8"/>
  <c r="X57" i="8"/>
  <c r="W58" i="8"/>
  <c r="X58" i="8"/>
  <c r="W59" i="8"/>
  <c r="X59" i="8"/>
  <c r="W60" i="8"/>
  <c r="X60" i="8"/>
  <c r="W61" i="8"/>
  <c r="X61" i="8"/>
  <c r="W62" i="8"/>
  <c r="X62" i="8"/>
  <c r="W63" i="8"/>
  <c r="X63" i="8"/>
  <c r="W64" i="8"/>
  <c r="X64" i="8"/>
  <c r="W65" i="8"/>
  <c r="X65" i="8"/>
  <c r="W66" i="8"/>
  <c r="X66" i="8"/>
  <c r="W67" i="8"/>
  <c r="X67" i="8"/>
  <c r="W68" i="8"/>
  <c r="X68" i="8"/>
  <c r="W69" i="8"/>
  <c r="X69" i="8"/>
  <c r="W70" i="8"/>
  <c r="X70" i="8"/>
  <c r="W71" i="8"/>
  <c r="X71" i="8"/>
  <c r="W72" i="8"/>
  <c r="X72" i="8"/>
  <c r="W73" i="8"/>
  <c r="X73" i="8"/>
  <c r="W74" i="8"/>
  <c r="X74" i="8"/>
  <c r="W75" i="8"/>
  <c r="X75" i="8"/>
  <c r="W76" i="8"/>
  <c r="X76" i="8"/>
  <c r="W77" i="8"/>
  <c r="X77" i="8"/>
  <c r="W78" i="8"/>
  <c r="X78" i="8"/>
  <c r="W79" i="8"/>
  <c r="X79" i="8"/>
  <c r="W80" i="8"/>
  <c r="X80" i="8"/>
  <c r="W81" i="8"/>
  <c r="X81" i="8"/>
  <c r="W82" i="8"/>
  <c r="X82" i="8"/>
  <c r="W83" i="8"/>
  <c r="X83" i="8"/>
  <c r="W84" i="8"/>
  <c r="X84" i="8"/>
  <c r="W85" i="8"/>
  <c r="X85" i="8"/>
  <c r="W86" i="8"/>
  <c r="X86" i="8"/>
  <c r="W87" i="8"/>
  <c r="X87" i="8"/>
  <c r="W88" i="8"/>
  <c r="X88" i="8"/>
  <c r="W89" i="8"/>
  <c r="X89" i="8"/>
  <c r="W90" i="8"/>
  <c r="X90" i="8"/>
  <c r="W91" i="8"/>
  <c r="X91" i="8"/>
  <c r="W92" i="8"/>
  <c r="X92" i="8"/>
  <c r="W93" i="8"/>
  <c r="X93" i="8"/>
  <c r="W94" i="8"/>
  <c r="X94" i="8"/>
  <c r="W95" i="8"/>
  <c r="X95" i="8"/>
  <c r="W96" i="8"/>
  <c r="X96" i="8"/>
  <c r="W97" i="8"/>
  <c r="X97" i="8"/>
  <c r="W98" i="8"/>
  <c r="X98" i="8"/>
  <c r="W99" i="8"/>
  <c r="X99" i="8"/>
  <c r="W100" i="8"/>
  <c r="X100" i="8"/>
  <c r="W101" i="8"/>
  <c r="X101" i="8"/>
  <c r="W102" i="8"/>
  <c r="X102" i="8"/>
  <c r="W103" i="8"/>
  <c r="X103" i="8"/>
  <c r="W104" i="8"/>
  <c r="X104" i="8"/>
  <c r="W105" i="8"/>
  <c r="X105" i="8"/>
  <c r="W106" i="8"/>
  <c r="X106" i="8"/>
  <c r="W107" i="8"/>
  <c r="X107" i="8"/>
  <c r="W108" i="8"/>
  <c r="X108" i="8"/>
  <c r="W109" i="8"/>
  <c r="X109" i="8"/>
  <c r="W110" i="8"/>
  <c r="X110" i="8"/>
  <c r="W111" i="8"/>
  <c r="X111" i="8"/>
  <c r="W112" i="8"/>
  <c r="X112" i="8"/>
  <c r="W113" i="8"/>
  <c r="X113" i="8"/>
  <c r="W114" i="8"/>
  <c r="X114" i="8"/>
  <c r="W115" i="8"/>
  <c r="X115" i="8"/>
  <c r="W116" i="8"/>
  <c r="X116" i="8"/>
  <c r="W117" i="8"/>
  <c r="X117" i="8"/>
  <c r="W118" i="8"/>
  <c r="X118" i="8"/>
  <c r="W119" i="8"/>
  <c r="X119" i="8"/>
  <c r="W120" i="8"/>
  <c r="X120" i="8"/>
  <c r="W121" i="8"/>
  <c r="X121" i="8"/>
  <c r="W122" i="8"/>
  <c r="X122" i="8"/>
  <c r="W123" i="8"/>
  <c r="X123" i="8"/>
  <c r="W124" i="8"/>
  <c r="X124" i="8"/>
  <c r="W125" i="8"/>
  <c r="X125" i="8"/>
  <c r="W126" i="8"/>
  <c r="X126" i="8"/>
  <c r="W127" i="8"/>
  <c r="X127" i="8"/>
  <c r="W128" i="8"/>
  <c r="X128" i="8"/>
  <c r="W129" i="8"/>
  <c r="X129" i="8"/>
  <c r="W130" i="8"/>
  <c r="X130" i="8"/>
  <c r="W131" i="8"/>
  <c r="X131" i="8"/>
  <c r="W132" i="8"/>
  <c r="X132" i="8"/>
  <c r="W133" i="8"/>
  <c r="X133" i="8"/>
  <c r="W134" i="8"/>
  <c r="X134" i="8"/>
  <c r="W135" i="8"/>
  <c r="X135" i="8"/>
  <c r="W136" i="8"/>
  <c r="X136" i="8"/>
  <c r="W137" i="8"/>
  <c r="X137" i="8"/>
  <c r="W138" i="8"/>
  <c r="X138" i="8"/>
  <c r="W139" i="8"/>
  <c r="X139" i="8"/>
  <c r="W140" i="8"/>
  <c r="X140" i="8"/>
  <c r="W141" i="8"/>
  <c r="X141" i="8"/>
  <c r="W142" i="8"/>
  <c r="X142" i="8"/>
  <c r="W143" i="8"/>
  <c r="X143" i="8"/>
  <c r="W144" i="8"/>
  <c r="X144" i="8"/>
  <c r="W145" i="8"/>
  <c r="X145" i="8"/>
  <c r="W146" i="8"/>
  <c r="X146" i="8"/>
  <c r="W147" i="8"/>
  <c r="X147" i="8"/>
  <c r="W148" i="8"/>
  <c r="X148" i="8"/>
  <c r="W149" i="8"/>
  <c r="X149" i="8"/>
  <c r="W150" i="8"/>
  <c r="X150" i="8"/>
  <c r="W151" i="8"/>
  <c r="X151" i="8"/>
  <c r="W152" i="8"/>
  <c r="X152" i="8"/>
  <c r="W153" i="8"/>
  <c r="X153" i="8"/>
  <c r="W154" i="8"/>
  <c r="X154" i="8"/>
  <c r="W155" i="8"/>
  <c r="X155" i="8"/>
  <c r="W156" i="8"/>
  <c r="X156" i="8"/>
  <c r="W157" i="8"/>
  <c r="X157" i="8"/>
  <c r="W158" i="8"/>
  <c r="X158" i="8"/>
  <c r="W159" i="8"/>
  <c r="X159" i="8"/>
  <c r="W160" i="8"/>
  <c r="X160" i="8"/>
  <c r="W161" i="8"/>
  <c r="X161" i="8"/>
  <c r="W162" i="8"/>
  <c r="X162" i="8"/>
  <c r="W163" i="8"/>
  <c r="X163" i="8"/>
  <c r="W164" i="8"/>
  <c r="X164" i="8"/>
  <c r="W165" i="8"/>
  <c r="X165" i="8"/>
  <c r="W166" i="8"/>
  <c r="X166" i="8"/>
  <c r="W167" i="8"/>
  <c r="X167" i="8"/>
  <c r="W168" i="8"/>
  <c r="X168" i="8"/>
  <c r="W169" i="8"/>
  <c r="X169" i="8"/>
  <c r="W170" i="8"/>
  <c r="X170" i="8"/>
  <c r="W171" i="8"/>
  <c r="X171" i="8"/>
  <c r="W172" i="8"/>
  <c r="X172" i="8"/>
  <c r="W173" i="8"/>
  <c r="X173" i="8"/>
  <c r="W174" i="8"/>
  <c r="X174" i="8"/>
  <c r="W175" i="8"/>
  <c r="X175" i="8"/>
  <c r="W176" i="8"/>
  <c r="X176" i="8"/>
  <c r="W177" i="8"/>
  <c r="X177" i="8"/>
  <c r="W178" i="8"/>
  <c r="X178" i="8"/>
  <c r="W179" i="8"/>
  <c r="X179" i="8"/>
  <c r="W180" i="8"/>
  <c r="X180" i="8"/>
  <c r="W181" i="8"/>
  <c r="X181" i="8"/>
  <c r="W182" i="8"/>
  <c r="X182" i="8"/>
  <c r="W183" i="8"/>
  <c r="X183" i="8"/>
  <c r="W184" i="8"/>
  <c r="X184" i="8"/>
  <c r="W185" i="8"/>
  <c r="X185" i="8"/>
  <c r="W186" i="8"/>
  <c r="X186" i="8"/>
  <c r="W187" i="8"/>
  <c r="X187" i="8"/>
  <c r="W188" i="8"/>
  <c r="X188" i="8"/>
  <c r="W189" i="8"/>
  <c r="X189" i="8"/>
  <c r="W190" i="8"/>
  <c r="X190" i="8"/>
  <c r="W191" i="8"/>
  <c r="X191" i="8"/>
  <c r="W192" i="8"/>
  <c r="X192" i="8"/>
  <c r="W193" i="8"/>
  <c r="X193" i="8"/>
  <c r="W194" i="8"/>
  <c r="X194" i="8"/>
  <c r="W195" i="8"/>
  <c r="X195" i="8"/>
  <c r="W196" i="8"/>
  <c r="X196" i="8"/>
  <c r="W197" i="8"/>
  <c r="X197" i="8"/>
  <c r="W198" i="8"/>
  <c r="X198" i="8"/>
  <c r="W199" i="8"/>
  <c r="X199" i="8"/>
  <c r="W200" i="8"/>
  <c r="X200" i="8"/>
  <c r="W201" i="8"/>
  <c r="X201" i="8"/>
  <c r="W202" i="8"/>
  <c r="X202" i="8"/>
  <c r="W203" i="8"/>
  <c r="X203" i="8"/>
  <c r="W204" i="8"/>
  <c r="X204" i="8"/>
  <c r="W205" i="8"/>
  <c r="X205" i="8"/>
  <c r="W206" i="8"/>
  <c r="X206" i="8"/>
  <c r="W207" i="8"/>
  <c r="X207" i="8"/>
  <c r="W208" i="8"/>
  <c r="X208" i="8"/>
  <c r="W209" i="8"/>
  <c r="X209" i="8"/>
  <c r="W210" i="8"/>
  <c r="X210" i="8"/>
  <c r="W211" i="8"/>
  <c r="X211" i="8"/>
  <c r="W212" i="8"/>
  <c r="X212" i="8"/>
  <c r="W213" i="8"/>
  <c r="X213" i="8"/>
  <c r="W214" i="8"/>
  <c r="X214" i="8"/>
  <c r="W215" i="8"/>
  <c r="X215" i="8"/>
  <c r="W216" i="8"/>
  <c r="X216" i="8"/>
  <c r="W217" i="8"/>
  <c r="X217" i="8"/>
  <c r="W218" i="8"/>
  <c r="X218" i="8"/>
  <c r="W219" i="8"/>
  <c r="X219" i="8"/>
  <c r="W220" i="8"/>
  <c r="X220" i="8"/>
  <c r="W221" i="8"/>
  <c r="X221" i="8"/>
  <c r="W222" i="8"/>
  <c r="X222" i="8"/>
  <c r="W223" i="8"/>
  <c r="X223" i="8"/>
  <c r="W224" i="8"/>
  <c r="X224" i="8"/>
  <c r="W225" i="8"/>
  <c r="X225" i="8"/>
  <c r="W226" i="8"/>
  <c r="X226" i="8"/>
  <c r="W227" i="8"/>
  <c r="X227" i="8"/>
  <c r="W228" i="8"/>
  <c r="X228" i="8"/>
  <c r="W229" i="8"/>
  <c r="X229" i="8"/>
  <c r="W230" i="8"/>
  <c r="X230" i="8"/>
  <c r="W231" i="8"/>
  <c r="X231" i="8"/>
  <c r="W232" i="8"/>
  <c r="X232" i="8"/>
  <c r="W233" i="8"/>
  <c r="X233" i="8"/>
  <c r="W234" i="8"/>
  <c r="X234" i="8"/>
  <c r="W235" i="8"/>
  <c r="X235" i="8"/>
  <c r="W236" i="8"/>
  <c r="X236" i="8"/>
  <c r="W237" i="8"/>
  <c r="X237" i="8"/>
  <c r="W238" i="8"/>
  <c r="X238" i="8"/>
  <c r="W239" i="8"/>
  <c r="X239" i="8"/>
  <c r="W240" i="8"/>
  <c r="X240" i="8"/>
  <c r="W241" i="8"/>
  <c r="X241" i="8"/>
  <c r="W242" i="8"/>
  <c r="X242" i="8"/>
  <c r="W243" i="8"/>
  <c r="X243" i="8"/>
  <c r="W244" i="8"/>
  <c r="X244" i="8"/>
  <c r="W245" i="8"/>
  <c r="X245" i="8"/>
  <c r="W246" i="8"/>
  <c r="X246" i="8"/>
  <c r="W247" i="8"/>
  <c r="X247" i="8"/>
  <c r="W248" i="8"/>
  <c r="X248" i="8"/>
  <c r="W249" i="8"/>
  <c r="X249" i="8"/>
  <c r="W250" i="8"/>
  <c r="X250" i="8"/>
  <c r="W251" i="8"/>
  <c r="X251" i="8"/>
  <c r="W252" i="8"/>
  <c r="X252" i="8"/>
  <c r="W253" i="8"/>
  <c r="X253" i="8"/>
  <c r="W254" i="8"/>
  <c r="X254" i="8"/>
  <c r="W255" i="8"/>
  <c r="X255" i="8"/>
  <c r="W256" i="8"/>
  <c r="X256" i="8"/>
  <c r="W257" i="8"/>
  <c r="X257" i="8"/>
  <c r="W258" i="8"/>
  <c r="X258" i="8"/>
  <c r="W259" i="8"/>
  <c r="X259" i="8"/>
  <c r="W260" i="8"/>
  <c r="X260" i="8"/>
  <c r="W261" i="8"/>
  <c r="X261" i="8"/>
  <c r="W262" i="8"/>
  <c r="X262" i="8"/>
  <c r="W263" i="8"/>
  <c r="X263" i="8"/>
  <c r="W264" i="8"/>
  <c r="X264" i="8"/>
  <c r="W265" i="8"/>
  <c r="X265" i="8"/>
  <c r="W266" i="8"/>
  <c r="X266" i="8"/>
  <c r="W267" i="8"/>
  <c r="X267" i="8"/>
  <c r="W268" i="8"/>
  <c r="X268" i="8"/>
  <c r="W269" i="8"/>
  <c r="X269" i="8"/>
  <c r="W270" i="8"/>
  <c r="X270" i="8"/>
  <c r="W271" i="8"/>
  <c r="X271" i="8"/>
  <c r="W272" i="8"/>
  <c r="X272" i="8"/>
  <c r="W273" i="8"/>
  <c r="X273" i="8"/>
  <c r="W274" i="8"/>
  <c r="X274" i="8"/>
  <c r="W275" i="8"/>
  <c r="X275" i="8"/>
  <c r="W276" i="8"/>
  <c r="X276" i="8"/>
  <c r="W277" i="8"/>
  <c r="X277" i="8"/>
  <c r="W278" i="8"/>
  <c r="X278" i="8"/>
  <c r="W279" i="8"/>
  <c r="X279" i="8"/>
  <c r="W280" i="8"/>
  <c r="X280" i="8"/>
  <c r="W281" i="8"/>
  <c r="X281" i="8"/>
  <c r="W282" i="8"/>
  <c r="X282" i="8"/>
  <c r="W283" i="8"/>
  <c r="X283" i="8"/>
  <c r="W284" i="8"/>
  <c r="X284" i="8"/>
  <c r="W285" i="8"/>
  <c r="X285" i="8"/>
  <c r="W286" i="8"/>
  <c r="X286" i="8"/>
  <c r="W287" i="8"/>
  <c r="X287" i="8"/>
  <c r="W288" i="8"/>
  <c r="X288" i="8"/>
  <c r="W289" i="8"/>
  <c r="X289" i="8"/>
  <c r="W290" i="8"/>
  <c r="X290" i="8"/>
  <c r="W291" i="8"/>
  <c r="X291" i="8"/>
  <c r="W292" i="8"/>
  <c r="X292" i="8"/>
  <c r="W293" i="8"/>
  <c r="X293" i="8"/>
  <c r="W294" i="8"/>
  <c r="X294" i="8"/>
  <c r="W295" i="8"/>
  <c r="X295" i="8"/>
  <c r="W296" i="8"/>
  <c r="X296" i="8"/>
  <c r="W297" i="8"/>
  <c r="X297" i="8"/>
  <c r="W298" i="8"/>
  <c r="X298" i="8"/>
  <c r="W299" i="8"/>
  <c r="X299" i="8"/>
  <c r="W300" i="8"/>
  <c r="X300" i="8"/>
  <c r="W301" i="8"/>
  <c r="X301" i="8"/>
  <c r="W302" i="8"/>
  <c r="X302" i="8"/>
  <c r="W303" i="8"/>
  <c r="X303" i="8"/>
  <c r="W304" i="8"/>
  <c r="X304" i="8"/>
  <c r="W305" i="8"/>
  <c r="X305" i="8"/>
  <c r="W306" i="8"/>
  <c r="X306" i="8"/>
  <c r="W307" i="8"/>
  <c r="X307" i="8"/>
  <c r="W308" i="8"/>
  <c r="X308" i="8"/>
  <c r="W309" i="8"/>
  <c r="X309" i="8"/>
  <c r="W310" i="8"/>
  <c r="X310" i="8"/>
  <c r="W311" i="8"/>
  <c r="X311" i="8"/>
  <c r="W312" i="8"/>
  <c r="X312" i="8"/>
  <c r="W313" i="8"/>
  <c r="X313" i="8"/>
  <c r="W314" i="8"/>
  <c r="X314" i="8"/>
  <c r="W315" i="8"/>
  <c r="X315" i="8"/>
  <c r="W316" i="8"/>
  <c r="X316" i="8"/>
  <c r="W317" i="8"/>
  <c r="X317" i="8"/>
  <c r="W318" i="8"/>
  <c r="X318" i="8"/>
  <c r="W319" i="8"/>
  <c r="X319" i="8"/>
  <c r="W320" i="8"/>
  <c r="X320" i="8"/>
  <c r="W321" i="8"/>
  <c r="X321" i="8"/>
  <c r="W322" i="8"/>
  <c r="X322" i="8"/>
  <c r="W323" i="8"/>
  <c r="X323" i="8"/>
  <c r="W324" i="8"/>
  <c r="X324" i="8"/>
  <c r="W325" i="8"/>
  <c r="X325" i="8"/>
  <c r="W326" i="8"/>
  <c r="X326" i="8"/>
  <c r="W327" i="8"/>
  <c r="X327" i="8"/>
  <c r="W328" i="8"/>
  <c r="X328" i="8"/>
  <c r="W329" i="8"/>
  <c r="X329" i="8"/>
  <c r="W330" i="8"/>
  <c r="X330" i="8"/>
  <c r="W331" i="8"/>
  <c r="X331" i="8"/>
  <c r="W332" i="8"/>
  <c r="X332" i="8"/>
  <c r="W333" i="8"/>
  <c r="X333" i="8"/>
  <c r="W334" i="8"/>
  <c r="X334" i="8"/>
  <c r="W335" i="8"/>
  <c r="X335" i="8"/>
  <c r="W336" i="8"/>
  <c r="X336" i="8"/>
  <c r="W337" i="8"/>
  <c r="X337" i="8"/>
  <c r="W338" i="8"/>
  <c r="X338" i="8"/>
  <c r="W339" i="8"/>
  <c r="X339" i="8"/>
  <c r="W340" i="8"/>
  <c r="X340" i="8"/>
  <c r="W341" i="8"/>
  <c r="X341" i="8"/>
  <c r="W342" i="8"/>
  <c r="X342" i="8"/>
  <c r="W343" i="8"/>
  <c r="X343" i="8"/>
  <c r="W344" i="8"/>
  <c r="X344" i="8"/>
  <c r="W345" i="8"/>
  <c r="X345" i="8"/>
  <c r="W346" i="8"/>
  <c r="X346" i="8"/>
  <c r="W347" i="8"/>
  <c r="X347" i="8"/>
  <c r="W348" i="8"/>
  <c r="X348" i="8"/>
  <c r="W349" i="8"/>
  <c r="X349" i="8"/>
  <c r="W350" i="8"/>
  <c r="X350" i="8"/>
  <c r="W351" i="8"/>
  <c r="X351" i="8"/>
  <c r="W352" i="8"/>
  <c r="X352" i="8"/>
  <c r="W353" i="8"/>
  <c r="X353" i="8"/>
  <c r="W354" i="8"/>
  <c r="X354" i="8"/>
  <c r="W355" i="8"/>
  <c r="X355" i="8"/>
  <c r="W356" i="8"/>
  <c r="X356" i="8"/>
  <c r="W357" i="8"/>
  <c r="X357" i="8"/>
  <c r="W358" i="8"/>
  <c r="X358" i="8"/>
  <c r="W359" i="8"/>
  <c r="X359" i="8"/>
  <c r="W360" i="8"/>
  <c r="X360" i="8"/>
  <c r="W361" i="8"/>
  <c r="X361" i="8"/>
  <c r="W362" i="8"/>
  <c r="X362" i="8"/>
  <c r="W363" i="8"/>
  <c r="X363" i="8"/>
  <c r="W364" i="8"/>
  <c r="X364" i="8"/>
  <c r="W365" i="8"/>
  <c r="X365" i="8"/>
  <c r="W366" i="8"/>
  <c r="X366" i="8"/>
  <c r="W367" i="8"/>
  <c r="X367" i="8"/>
  <c r="W368" i="8"/>
  <c r="X368" i="8"/>
  <c r="W369" i="8"/>
  <c r="X369" i="8"/>
  <c r="W370" i="8"/>
  <c r="X370" i="8"/>
  <c r="W371" i="8"/>
  <c r="X371" i="8"/>
  <c r="W372" i="8"/>
  <c r="X372" i="8"/>
  <c r="W373" i="8"/>
  <c r="X373" i="8"/>
  <c r="W374" i="8"/>
  <c r="X374" i="8"/>
  <c r="W375" i="8"/>
  <c r="X375" i="8"/>
  <c r="W376" i="8"/>
  <c r="X376" i="8"/>
  <c r="W377" i="8"/>
  <c r="X377" i="8"/>
  <c r="W378" i="8"/>
  <c r="X378" i="8"/>
  <c r="W379" i="8"/>
  <c r="X379" i="8"/>
  <c r="W380" i="8"/>
  <c r="X380" i="8"/>
  <c r="W381" i="8"/>
  <c r="X381" i="8"/>
  <c r="W382" i="8"/>
  <c r="X382" i="8"/>
  <c r="W383" i="8"/>
  <c r="X383" i="8"/>
  <c r="W384" i="8"/>
  <c r="X384" i="8"/>
  <c r="W385" i="8"/>
  <c r="X385" i="8"/>
  <c r="W386" i="8"/>
  <c r="X386" i="8"/>
  <c r="W387" i="8"/>
  <c r="X387" i="8"/>
  <c r="W388" i="8"/>
  <c r="X388" i="8"/>
  <c r="W389" i="8"/>
  <c r="X389" i="8"/>
  <c r="W390" i="8"/>
  <c r="X390" i="8"/>
  <c r="W391" i="8"/>
  <c r="X391" i="8"/>
  <c r="W392" i="8"/>
  <c r="X392" i="8"/>
  <c r="W393" i="8"/>
  <c r="X393" i="8"/>
  <c r="W394" i="8"/>
  <c r="X394" i="8"/>
  <c r="W395" i="8"/>
  <c r="X395" i="8"/>
  <c r="W396" i="8"/>
  <c r="X396" i="8"/>
  <c r="W397" i="8"/>
  <c r="X397" i="8"/>
  <c r="W398" i="8"/>
  <c r="X398" i="8"/>
  <c r="W399" i="8"/>
  <c r="X399" i="8"/>
  <c r="W400" i="8"/>
  <c r="X400" i="8"/>
  <c r="W401" i="8"/>
  <c r="X401" i="8"/>
  <c r="W402" i="8"/>
  <c r="X402" i="8"/>
  <c r="W403" i="8"/>
  <c r="X403" i="8"/>
  <c r="W404" i="8"/>
  <c r="X404" i="8"/>
  <c r="W405" i="8"/>
  <c r="X405" i="8"/>
  <c r="W406" i="8"/>
  <c r="X406" i="8"/>
  <c r="W407" i="8"/>
  <c r="X407" i="8"/>
  <c r="W408" i="8"/>
  <c r="X408" i="8"/>
  <c r="W409" i="8"/>
  <c r="X409" i="8"/>
  <c r="W410" i="8"/>
  <c r="X410" i="8"/>
  <c r="W411" i="8"/>
  <c r="X411" i="8"/>
  <c r="W412" i="8"/>
  <c r="X412" i="8"/>
  <c r="W413" i="8"/>
  <c r="X413" i="8"/>
  <c r="W414" i="8"/>
  <c r="X414" i="8"/>
  <c r="W415" i="8"/>
  <c r="X415" i="8"/>
  <c r="W416" i="8"/>
  <c r="X416" i="8"/>
  <c r="W417" i="8"/>
  <c r="X417" i="8"/>
  <c r="W418" i="8"/>
  <c r="X418" i="8"/>
  <c r="W419" i="8"/>
  <c r="X419" i="8"/>
  <c r="W420" i="8"/>
  <c r="X420" i="8"/>
  <c r="W421" i="8"/>
  <c r="X421" i="8"/>
  <c r="W422" i="8"/>
  <c r="X422" i="8"/>
  <c r="W423" i="8"/>
  <c r="X423" i="8"/>
  <c r="W424" i="8"/>
  <c r="X424" i="8"/>
  <c r="W425" i="8"/>
  <c r="X425" i="8"/>
  <c r="W426" i="8"/>
  <c r="X426" i="8"/>
  <c r="W427" i="8"/>
  <c r="X427" i="8"/>
  <c r="W428" i="8"/>
  <c r="X428" i="8"/>
  <c r="W429" i="8"/>
  <c r="X429" i="8"/>
  <c r="W430" i="8"/>
  <c r="X430" i="8"/>
  <c r="W431" i="8"/>
  <c r="X431" i="8"/>
  <c r="W432" i="8"/>
  <c r="X432" i="8"/>
  <c r="W433" i="8"/>
  <c r="X433" i="8"/>
  <c r="W434" i="8"/>
  <c r="X434" i="8"/>
  <c r="W435" i="8"/>
  <c r="X435" i="8"/>
  <c r="W436" i="8"/>
  <c r="X436" i="8"/>
  <c r="W437" i="8"/>
  <c r="X437" i="8"/>
  <c r="W438" i="8"/>
  <c r="X438" i="8"/>
  <c r="W439" i="8"/>
  <c r="X439" i="8"/>
  <c r="W440" i="8"/>
  <c r="X440" i="8"/>
  <c r="W441" i="8"/>
  <c r="X441" i="8"/>
  <c r="W442" i="8"/>
  <c r="X442" i="8"/>
  <c r="W443" i="8"/>
  <c r="X443" i="8"/>
  <c r="W444" i="8"/>
  <c r="X444" i="8"/>
  <c r="W445" i="8"/>
  <c r="X445" i="8"/>
  <c r="W446" i="8"/>
  <c r="X446" i="8"/>
  <c r="W447" i="8"/>
  <c r="X447" i="8"/>
  <c r="W448" i="8"/>
  <c r="X448" i="8"/>
  <c r="W449" i="8"/>
  <c r="X449" i="8"/>
  <c r="W450" i="8"/>
  <c r="X450" i="8"/>
  <c r="W451" i="8"/>
  <c r="X451" i="8"/>
  <c r="W452" i="8"/>
  <c r="X452" i="8"/>
  <c r="W453" i="8"/>
  <c r="X453" i="8"/>
  <c r="W454" i="8"/>
  <c r="X454" i="8"/>
  <c r="W455" i="8"/>
  <c r="X455" i="8"/>
  <c r="W456" i="8"/>
  <c r="X456" i="8"/>
  <c r="W457" i="8"/>
  <c r="X457" i="8"/>
  <c r="W458" i="8"/>
  <c r="X458" i="8"/>
  <c r="W459" i="8"/>
  <c r="X459" i="8"/>
  <c r="W460" i="8"/>
  <c r="X460" i="8"/>
  <c r="W461" i="8"/>
  <c r="X461" i="8"/>
  <c r="W462" i="8"/>
  <c r="X462" i="8"/>
  <c r="W463" i="8"/>
  <c r="X463" i="8"/>
  <c r="W464" i="8"/>
  <c r="X464" i="8"/>
  <c r="W465" i="8"/>
  <c r="X465" i="8"/>
  <c r="W466" i="8"/>
  <c r="X466" i="8"/>
  <c r="W467" i="8"/>
  <c r="X467" i="8"/>
  <c r="W468" i="8"/>
  <c r="X468" i="8"/>
  <c r="W469" i="8"/>
  <c r="X469" i="8"/>
  <c r="W470" i="8"/>
  <c r="X470" i="8"/>
  <c r="W471" i="8"/>
  <c r="X471" i="8"/>
  <c r="W472" i="8"/>
  <c r="X472" i="8"/>
  <c r="W473" i="8"/>
  <c r="X473" i="8"/>
  <c r="W474" i="8"/>
  <c r="X474" i="8"/>
  <c r="W475" i="8"/>
  <c r="X475" i="8"/>
  <c r="W476" i="8"/>
  <c r="X476" i="8"/>
  <c r="W477" i="8"/>
  <c r="X477" i="8"/>
  <c r="W478" i="8"/>
  <c r="X478" i="8"/>
  <c r="W479" i="8"/>
  <c r="X479" i="8"/>
  <c r="W480" i="8"/>
  <c r="X480" i="8"/>
  <c r="W481" i="8"/>
  <c r="X481" i="8"/>
  <c r="W482" i="8"/>
  <c r="X482" i="8"/>
  <c r="W483" i="8"/>
  <c r="X483" i="8"/>
  <c r="W484" i="8"/>
  <c r="X484" i="8"/>
  <c r="W485" i="8"/>
  <c r="X485" i="8"/>
  <c r="W486" i="8"/>
  <c r="X486" i="8"/>
  <c r="W487" i="8"/>
  <c r="X487" i="8"/>
  <c r="W488" i="8"/>
  <c r="X488" i="8"/>
  <c r="W489" i="8"/>
  <c r="X489" i="8"/>
  <c r="W490" i="8"/>
  <c r="X490" i="8"/>
  <c r="W491" i="8"/>
  <c r="X491" i="8"/>
  <c r="W492" i="8"/>
  <c r="X492" i="8"/>
  <c r="W493" i="8"/>
  <c r="X493" i="8"/>
  <c r="W494" i="8"/>
  <c r="X494" i="8"/>
  <c r="W495" i="8"/>
  <c r="X495" i="8"/>
  <c r="W496" i="8"/>
  <c r="X496" i="8"/>
  <c r="W497" i="8"/>
  <c r="X497" i="8"/>
  <c r="W498" i="8"/>
  <c r="X498" i="8"/>
  <c r="W499" i="8"/>
  <c r="X499" i="8"/>
  <c r="W500" i="8"/>
  <c r="X500" i="8"/>
  <c r="W501" i="8"/>
  <c r="X501" i="8"/>
  <c r="W502" i="8"/>
  <c r="X502" i="8"/>
  <c r="W503" i="8"/>
  <c r="X503" i="8"/>
  <c r="W504" i="8"/>
  <c r="X504" i="8"/>
  <c r="W505" i="8"/>
  <c r="X505" i="8"/>
  <c r="W506" i="8"/>
  <c r="X506" i="8"/>
  <c r="W507" i="8"/>
  <c r="X507" i="8"/>
  <c r="W508" i="8"/>
  <c r="X508" i="8"/>
  <c r="W509" i="8"/>
  <c r="X509" i="8"/>
  <c r="W510" i="8"/>
  <c r="X510" i="8"/>
  <c r="W511" i="8"/>
  <c r="X511" i="8"/>
  <c r="W512" i="8"/>
  <c r="X512" i="8"/>
  <c r="W513" i="8"/>
  <c r="X513" i="8"/>
  <c r="W514" i="8"/>
  <c r="X514" i="8"/>
  <c r="W515" i="8"/>
  <c r="X515" i="8"/>
  <c r="W516" i="8"/>
  <c r="X516" i="8"/>
  <c r="W517" i="8"/>
  <c r="X517" i="8"/>
  <c r="W518" i="8"/>
  <c r="X518" i="8"/>
  <c r="W519" i="8"/>
  <c r="X519" i="8"/>
  <c r="W520" i="8"/>
  <c r="X520" i="8"/>
  <c r="W521" i="8"/>
  <c r="X521" i="8"/>
  <c r="W522" i="8"/>
  <c r="X522" i="8"/>
  <c r="W523" i="8"/>
  <c r="X523" i="8"/>
  <c r="W524" i="8"/>
  <c r="X524" i="8"/>
  <c r="W525" i="8"/>
  <c r="X525" i="8"/>
  <c r="W526" i="8"/>
  <c r="X526" i="8"/>
  <c r="W527" i="8"/>
  <c r="X527" i="8"/>
  <c r="W528" i="8"/>
  <c r="X528" i="8"/>
  <c r="W529" i="8"/>
  <c r="X529" i="8"/>
  <c r="W530" i="8"/>
  <c r="X530" i="8"/>
  <c r="W531" i="8"/>
  <c r="X531" i="8"/>
  <c r="W532" i="8"/>
  <c r="X532" i="8"/>
  <c r="W533" i="8"/>
  <c r="X533" i="8"/>
  <c r="W534" i="8"/>
  <c r="X534" i="8"/>
  <c r="W535" i="8"/>
  <c r="X535" i="8"/>
  <c r="W536" i="8"/>
  <c r="X536" i="8"/>
  <c r="W537" i="8"/>
  <c r="X537" i="8"/>
  <c r="W538" i="8"/>
  <c r="X538" i="8"/>
  <c r="W539" i="8"/>
  <c r="X539" i="8"/>
  <c r="W540" i="8"/>
  <c r="X540" i="8"/>
  <c r="W541" i="8"/>
  <c r="X541" i="8"/>
  <c r="W542" i="8"/>
  <c r="X542" i="8"/>
  <c r="W543" i="8"/>
  <c r="X543" i="8"/>
  <c r="W544" i="8"/>
  <c r="X544" i="8"/>
  <c r="W545" i="8"/>
  <c r="X545" i="8"/>
  <c r="W546" i="8"/>
  <c r="X546" i="8"/>
  <c r="W547" i="8"/>
  <c r="X547" i="8"/>
  <c r="W548" i="8"/>
  <c r="X548" i="8"/>
  <c r="W549" i="8"/>
  <c r="X549" i="8"/>
  <c r="W550" i="8"/>
  <c r="X550" i="8"/>
  <c r="W551" i="8"/>
  <c r="X551" i="8"/>
  <c r="W552" i="8"/>
  <c r="X552" i="8"/>
  <c r="W553" i="8"/>
  <c r="X553" i="8"/>
  <c r="W554" i="8"/>
  <c r="X554" i="8"/>
  <c r="W555" i="8"/>
  <c r="X555" i="8"/>
  <c r="W556" i="8"/>
  <c r="X556" i="8"/>
  <c r="W557" i="8"/>
  <c r="X557" i="8"/>
  <c r="W558" i="8"/>
  <c r="X558" i="8"/>
  <c r="W559" i="8"/>
  <c r="X559" i="8"/>
  <c r="W560" i="8"/>
  <c r="X560" i="8"/>
  <c r="W561" i="8"/>
  <c r="X561" i="8"/>
  <c r="W562" i="8"/>
  <c r="X562" i="8"/>
  <c r="W563" i="8"/>
  <c r="X563" i="8"/>
  <c r="W564" i="8"/>
  <c r="X564" i="8"/>
  <c r="W565" i="8"/>
  <c r="X565" i="8"/>
  <c r="W566" i="8"/>
  <c r="X566" i="8"/>
  <c r="W567" i="8"/>
  <c r="X567" i="8"/>
  <c r="W568" i="8"/>
  <c r="X568" i="8"/>
  <c r="W569" i="8"/>
  <c r="X569" i="8"/>
  <c r="W570" i="8"/>
  <c r="X570" i="8"/>
  <c r="W571" i="8"/>
  <c r="X571" i="8"/>
  <c r="W572" i="8"/>
  <c r="X572" i="8"/>
  <c r="W573" i="8"/>
  <c r="X573" i="8"/>
  <c r="W574" i="8"/>
  <c r="X574" i="8"/>
  <c r="W575" i="8"/>
  <c r="X575" i="8"/>
  <c r="W576" i="8"/>
  <c r="X576" i="8"/>
  <c r="AD576" i="8" s="1"/>
  <c r="W577" i="8"/>
  <c r="X577" i="8"/>
  <c r="W578" i="8"/>
  <c r="X578" i="8"/>
  <c r="W579" i="8"/>
  <c r="X579" i="8"/>
  <c r="W580" i="8"/>
  <c r="X580" i="8"/>
  <c r="AD580" i="8" s="1"/>
  <c r="W583" i="8"/>
  <c r="X583" i="8"/>
  <c r="AD583" i="8" s="1"/>
  <c r="W584" i="8"/>
  <c r="X584" i="8"/>
  <c r="AD584" i="8" s="1"/>
  <c r="W585" i="8"/>
  <c r="X585" i="8"/>
  <c r="AD585" i="8" s="1"/>
  <c r="W586" i="8"/>
  <c r="X586" i="8"/>
  <c r="AD586" i="8" s="1"/>
  <c r="W587" i="8"/>
  <c r="X587" i="8"/>
  <c r="X2" i="8"/>
  <c r="W2" i="8"/>
  <c r="AD581" i="8"/>
  <c r="AF585" i="8" l="1"/>
  <c r="AH585" i="8" s="1"/>
  <c r="N585" i="8" s="1"/>
  <c r="AJ585" i="8"/>
  <c r="AF586" i="8"/>
  <c r="AH586" i="8" s="1"/>
  <c r="N586" i="8" s="1"/>
  <c r="AJ586" i="8"/>
  <c r="Q593" i="8"/>
  <c r="P593" i="8" s="1"/>
  <c r="AF584" i="8"/>
  <c r="AH584" i="8" s="1"/>
  <c r="N584" i="8" s="1"/>
  <c r="AJ584" i="8"/>
  <c r="N592" i="8"/>
  <c r="AF583" i="8"/>
  <c r="AH583" i="8" s="1"/>
  <c r="Q583" i="8" s="1"/>
  <c r="P583" i="8" s="1"/>
  <c r="AJ583" i="8"/>
  <c r="P580" i="8"/>
  <c r="N590" i="8"/>
  <c r="Q590" i="8"/>
  <c r="P590" i="8" s="1"/>
  <c r="AF581" i="8"/>
  <c r="AH581" i="8" s="1"/>
  <c r="Q581" i="8" s="1"/>
  <c r="P581" i="8" s="1"/>
  <c r="AJ581" i="8"/>
  <c r="AF582" i="8"/>
  <c r="AH582" i="8" s="1"/>
  <c r="Q582" i="8" s="1"/>
  <c r="P582" i="8" s="1"/>
  <c r="AJ582" i="8"/>
  <c r="N588" i="8"/>
  <c r="Q588" i="8"/>
  <c r="P588" i="8" s="1"/>
  <c r="Q586" i="8"/>
  <c r="P586" i="8" s="1"/>
  <c r="Y582" i="8"/>
  <c r="Y586" i="8"/>
  <c r="Y585" i="8"/>
  <c r="AD587" i="8"/>
  <c r="Y587" i="8"/>
  <c r="Y584" i="8"/>
  <c r="Y583" i="8"/>
  <c r="G11" i="54"/>
  <c r="H11" i="54"/>
  <c r="O574" i="8"/>
  <c r="O575" i="8"/>
  <c r="O576" i="8"/>
  <c r="O577" i="8"/>
  <c r="O578" i="8"/>
  <c r="O579" i="8"/>
  <c r="Q584" i="8" l="1"/>
  <c r="P584" i="8" s="1"/>
  <c r="N583" i="8"/>
  <c r="N582" i="8"/>
  <c r="Q585" i="8"/>
  <c r="P585" i="8" s="1"/>
  <c r="N581" i="8"/>
  <c r="AF587" i="8"/>
  <c r="AH587" i="8" s="1"/>
  <c r="Q587" i="8" s="1"/>
  <c r="P587" i="8" s="1"/>
  <c r="AJ587" i="8"/>
  <c r="N587" i="8"/>
  <c r="HB11" i="5"/>
  <c r="HC11" i="5"/>
  <c r="HD11" i="5"/>
  <c r="HE11" i="5"/>
  <c r="HF11" i="5"/>
  <c r="HG11" i="5"/>
  <c r="HB11" i="11"/>
  <c r="HC11" i="11"/>
  <c r="HD11" i="11"/>
  <c r="HE11" i="11"/>
  <c r="HF11" i="11"/>
  <c r="HG11" i="11"/>
  <c r="HB11" i="41"/>
  <c r="HC11" i="41"/>
  <c r="HD11" i="41"/>
  <c r="HE11" i="41"/>
  <c r="HF11" i="41"/>
  <c r="HG11" i="41"/>
  <c r="HB11" i="7" l="1"/>
  <c r="HC11" i="7"/>
  <c r="HD11" i="7"/>
  <c r="HE11" i="7"/>
  <c r="HF11" i="7"/>
  <c r="HG11" i="7"/>
  <c r="HB11" i="6"/>
  <c r="HC11" i="6"/>
  <c r="HD11" i="6"/>
  <c r="HE11" i="6"/>
  <c r="HF11" i="6"/>
  <c r="HG11" i="6"/>
  <c r="HB11" i="16"/>
  <c r="HC11" i="16"/>
  <c r="HD11" i="16"/>
  <c r="HE11" i="16"/>
  <c r="HF11" i="16"/>
  <c r="HG11" i="16"/>
  <c r="HB11" i="4"/>
  <c r="HC11" i="4"/>
  <c r="HD11" i="4"/>
  <c r="HE11" i="4"/>
  <c r="HF11" i="4"/>
  <c r="HG11" i="4"/>
  <c r="HB11" i="3"/>
  <c r="HC11" i="3"/>
  <c r="HD11" i="3"/>
  <c r="HE11" i="3"/>
  <c r="HF11" i="3"/>
  <c r="HG11" i="3"/>
  <c r="AE574" i="8"/>
  <c r="AG574" i="8" s="1"/>
  <c r="R574" i="8" s="1"/>
  <c r="AI574" i="8"/>
  <c r="AE575" i="8"/>
  <c r="AG575" i="8" s="1"/>
  <c r="R575" i="8" s="1"/>
  <c r="AI575" i="8"/>
  <c r="AE576" i="8"/>
  <c r="AG576" i="8" s="1"/>
  <c r="R576" i="8" s="1"/>
  <c r="AI576" i="8"/>
  <c r="AE577" i="8"/>
  <c r="AG577" i="8" s="1"/>
  <c r="R577" i="8" s="1"/>
  <c r="AI577" i="8"/>
  <c r="AE578" i="8"/>
  <c r="AG578" i="8"/>
  <c r="R578" i="8" s="1"/>
  <c r="AI578" i="8"/>
  <c r="AE579" i="8"/>
  <c r="AG579" i="8" s="1"/>
  <c r="R579" i="8" s="1"/>
  <c r="AI579" i="8"/>
  <c r="AD574" i="8"/>
  <c r="AF574" i="8" s="1"/>
  <c r="AH574" i="8" s="1"/>
  <c r="AD575" i="8"/>
  <c r="AF575" i="8" s="1"/>
  <c r="AH575" i="8" s="1"/>
  <c r="AF576" i="8"/>
  <c r="AH576" i="8" s="1"/>
  <c r="AD577" i="8"/>
  <c r="AF577" i="8" s="1"/>
  <c r="AH577" i="8" s="1"/>
  <c r="AD578" i="8"/>
  <c r="AF578" i="8" s="1"/>
  <c r="AH578" i="8" s="1"/>
  <c r="AD579" i="8"/>
  <c r="AF579" i="8" s="1"/>
  <c r="AH579" i="8" s="1"/>
  <c r="HB11" i="2"/>
  <c r="HC11" i="2"/>
  <c r="HD11" i="2"/>
  <c r="HE11" i="2"/>
  <c r="HF11" i="2"/>
  <c r="HG11" i="2"/>
  <c r="AA24" i="54"/>
  <c r="H10" i="54"/>
  <c r="O567" i="8"/>
  <c r="O568" i="8"/>
  <c r="O569" i="8"/>
  <c r="O570" i="8"/>
  <c r="O571" i="8"/>
  <c r="O572" i="8"/>
  <c r="O573" i="8"/>
  <c r="GT11" i="7"/>
  <c r="GU11" i="7"/>
  <c r="GV11" i="7"/>
  <c r="GW11" i="7"/>
  <c r="GX11" i="7"/>
  <c r="GY11" i="7"/>
  <c r="GZ11" i="7"/>
  <c r="GT11" i="5"/>
  <c r="GU11" i="5"/>
  <c r="GV11" i="5"/>
  <c r="GW11" i="5"/>
  <c r="GX11" i="5"/>
  <c r="GY11" i="5"/>
  <c r="GZ11" i="5"/>
  <c r="HA11" i="5"/>
  <c r="GT11" i="6"/>
  <c r="GU11" i="6"/>
  <c r="GV11" i="6"/>
  <c r="GW11" i="6"/>
  <c r="GX11" i="6"/>
  <c r="GY11" i="6"/>
  <c r="GZ11" i="6"/>
  <c r="HA11" i="6"/>
  <c r="GT11" i="2"/>
  <c r="GU11" i="2"/>
  <c r="GV11" i="2"/>
  <c r="GW11" i="2"/>
  <c r="GX11" i="2"/>
  <c r="GY11" i="2"/>
  <c r="GZ11" i="2"/>
  <c r="HA11" i="2"/>
  <c r="GT11" i="41"/>
  <c r="GU11" i="41"/>
  <c r="GV11" i="41"/>
  <c r="GW11" i="41"/>
  <c r="GX11" i="41"/>
  <c r="GY11" i="41"/>
  <c r="GZ11" i="41"/>
  <c r="HA11" i="41"/>
  <c r="GT11" i="11"/>
  <c r="GU11" i="11"/>
  <c r="GV11" i="11"/>
  <c r="GW11" i="11"/>
  <c r="GX11" i="11"/>
  <c r="GY11" i="11"/>
  <c r="GZ11" i="11"/>
  <c r="HA11" i="11"/>
  <c r="GU11" i="4"/>
  <c r="GV11" i="4"/>
  <c r="GW11" i="4"/>
  <c r="GX11" i="4"/>
  <c r="GY11" i="4"/>
  <c r="GZ11" i="4"/>
  <c r="HA11" i="4"/>
  <c r="GT11" i="16"/>
  <c r="GU11" i="16"/>
  <c r="GV11" i="16"/>
  <c r="GW11" i="16"/>
  <c r="GX11" i="16"/>
  <c r="GY11" i="16"/>
  <c r="GZ11" i="16"/>
  <c r="HA11" i="16"/>
  <c r="GT11" i="3"/>
  <c r="GU11" i="3"/>
  <c r="GV11" i="3"/>
  <c r="GW11" i="3"/>
  <c r="GX11" i="3"/>
  <c r="GY11" i="3"/>
  <c r="GZ11" i="3"/>
  <c r="HA11" i="3"/>
  <c r="AE567" i="8"/>
  <c r="AG567" i="8" s="1"/>
  <c r="R567" i="8" s="1"/>
  <c r="AI567" i="8"/>
  <c r="AE568" i="8"/>
  <c r="AG568" i="8" s="1"/>
  <c r="R568" i="8" s="1"/>
  <c r="AI568" i="8"/>
  <c r="AE569" i="8"/>
  <c r="AG569" i="8" s="1"/>
  <c r="R569" i="8" s="1"/>
  <c r="AI569" i="8"/>
  <c r="AE570" i="8"/>
  <c r="AG570" i="8"/>
  <c r="R570" i="8" s="1"/>
  <c r="AI570" i="8"/>
  <c r="AE571" i="8"/>
  <c r="AG571" i="8" s="1"/>
  <c r="R571" i="8" s="1"/>
  <c r="AI571" i="8"/>
  <c r="AE572" i="8"/>
  <c r="AG572" i="8" s="1"/>
  <c r="R572" i="8" s="1"/>
  <c r="AI572" i="8"/>
  <c r="AE573" i="8"/>
  <c r="AG573" i="8"/>
  <c r="R573" i="8" s="1"/>
  <c r="AI573" i="8"/>
  <c r="AD564" i="8"/>
  <c r="AD565" i="8"/>
  <c r="AD567" i="8"/>
  <c r="AF567" i="8" s="1"/>
  <c r="AH567" i="8" s="1"/>
  <c r="AD568" i="8"/>
  <c r="AF568" i="8" s="1"/>
  <c r="AH568" i="8" s="1"/>
  <c r="AD569" i="8"/>
  <c r="AF569" i="8" s="1"/>
  <c r="AH569" i="8" s="1"/>
  <c r="AD570" i="8"/>
  <c r="AF570" i="8" s="1"/>
  <c r="AH570" i="8" s="1"/>
  <c r="AD571" i="8"/>
  <c r="AF571" i="8" s="1"/>
  <c r="AH571" i="8" s="1"/>
  <c r="AD572" i="8"/>
  <c r="AF572" i="8" s="1"/>
  <c r="AH572" i="8" s="1"/>
  <c r="AD573" i="8"/>
  <c r="AF573" i="8" s="1"/>
  <c r="AH573" i="8" s="1"/>
  <c r="Q567" i="8" l="1"/>
  <c r="P567" i="8" s="1"/>
  <c r="N567" i="8"/>
  <c r="Q577" i="8"/>
  <c r="P577" i="8" s="1"/>
  <c r="N577" i="8"/>
  <c r="N579" i="8"/>
  <c r="Q579" i="8"/>
  <c r="P579" i="8" s="1"/>
  <c r="N578" i="8"/>
  <c r="Q578" i="8"/>
  <c r="P578" i="8" s="1"/>
  <c r="N573" i="8"/>
  <c r="Q573" i="8"/>
  <c r="P573" i="8" s="1"/>
  <c r="N572" i="8"/>
  <c r="Q572" i="8"/>
  <c r="P572" i="8" s="1"/>
  <c r="N575" i="8"/>
  <c r="Q575" i="8"/>
  <c r="P575" i="8" s="1"/>
  <c r="N570" i="8"/>
  <c r="Q570" i="8"/>
  <c r="P570" i="8" s="1"/>
  <c r="Q574" i="8"/>
  <c r="P574" i="8" s="1"/>
  <c r="N574" i="8"/>
  <c r="Q568" i="8"/>
  <c r="P568" i="8" s="1"/>
  <c r="N568" i="8"/>
  <c r="N576" i="8"/>
  <c r="Q576" i="8"/>
  <c r="P576" i="8" s="1"/>
  <c r="Q571" i="8"/>
  <c r="P571" i="8" s="1"/>
  <c r="N571" i="8"/>
  <c r="N569" i="8"/>
  <c r="Q569" i="8"/>
  <c r="P569" i="8" s="1"/>
  <c r="GN11" i="7"/>
  <c r="GO11" i="7"/>
  <c r="GP11" i="7"/>
  <c r="GQ11" i="7"/>
  <c r="GR11" i="7"/>
  <c r="GS11" i="7"/>
  <c r="GN11" i="6"/>
  <c r="GO11" i="6"/>
  <c r="GP11" i="6"/>
  <c r="GQ11" i="6"/>
  <c r="GR11" i="6"/>
  <c r="GS11" i="6"/>
  <c r="GN11" i="41"/>
  <c r="GO11" i="41"/>
  <c r="GP11" i="41"/>
  <c r="GQ11" i="41"/>
  <c r="GR11" i="41"/>
  <c r="GS11" i="41"/>
  <c r="GN11" i="11"/>
  <c r="GO11" i="11"/>
  <c r="GP11" i="11"/>
  <c r="GQ11" i="11"/>
  <c r="GR11" i="11"/>
  <c r="GS11" i="11"/>
  <c r="AE560" i="8"/>
  <c r="AG560" i="8" s="1"/>
  <c r="R560" i="8" s="1"/>
  <c r="AE561" i="8"/>
  <c r="AG561" i="8" s="1"/>
  <c r="R561" i="8" s="1"/>
  <c r="AE562" i="8"/>
  <c r="AG562" i="8" s="1"/>
  <c r="R562" i="8" s="1"/>
  <c r="AE563" i="8"/>
  <c r="AG563" i="8" s="1"/>
  <c r="R563" i="8" s="1"/>
  <c r="AE564" i="8"/>
  <c r="AG564" i="8" s="1"/>
  <c r="R564" i="8" s="1"/>
  <c r="AE565" i="8"/>
  <c r="AG565" i="8" s="1"/>
  <c r="R565" i="8" s="1"/>
  <c r="R566" i="8"/>
  <c r="Q566" i="8"/>
  <c r="O560" i="8"/>
  <c r="O561" i="8"/>
  <c r="O562" i="8"/>
  <c r="O563" i="8"/>
  <c r="O564" i="8"/>
  <c r="O565" i="8"/>
  <c r="O566" i="8"/>
  <c r="N566" i="8"/>
  <c r="GN11" i="5"/>
  <c r="GO11" i="5"/>
  <c r="GP11" i="5"/>
  <c r="GQ11" i="5"/>
  <c r="GR11" i="5"/>
  <c r="GS11" i="5"/>
  <c r="P566" i="8" l="1"/>
  <c r="GN11" i="16"/>
  <c r="GO11" i="16"/>
  <c r="GP11" i="16"/>
  <c r="GQ11" i="16"/>
  <c r="GR11" i="16"/>
  <c r="GS11" i="16"/>
  <c r="GN11" i="4"/>
  <c r="GO11" i="4"/>
  <c r="GP11" i="4"/>
  <c r="GQ11" i="4"/>
  <c r="GR11" i="4"/>
  <c r="GS11" i="4"/>
  <c r="GN11" i="3"/>
  <c r="GO11" i="3"/>
  <c r="GP11" i="3"/>
  <c r="GQ11" i="3"/>
  <c r="GR11" i="3"/>
  <c r="GS11" i="3"/>
  <c r="AI561" i="8"/>
  <c r="AI560" i="8"/>
  <c r="AI562" i="8"/>
  <c r="AI563" i="8"/>
  <c r="AI564" i="8"/>
  <c r="AI565" i="8"/>
  <c r="AD563" i="8"/>
  <c r="AF563" i="8" s="1"/>
  <c r="AH563" i="8" s="1"/>
  <c r="Q563" i="8" s="1"/>
  <c r="P563" i="8" s="1"/>
  <c r="AF564" i="8"/>
  <c r="AH564" i="8" s="1"/>
  <c r="Q564" i="8" s="1"/>
  <c r="P564" i="8" s="1"/>
  <c r="AF565" i="8"/>
  <c r="AH565" i="8" s="1"/>
  <c r="N565" i="8" s="1"/>
  <c r="AD560" i="8"/>
  <c r="AF560" i="8" s="1"/>
  <c r="AH560" i="8" s="1"/>
  <c r="AD561" i="8"/>
  <c r="AF561" i="8" s="1"/>
  <c r="AH561" i="8" s="1"/>
  <c r="AD562" i="8"/>
  <c r="AF562" i="8" s="1"/>
  <c r="AH562" i="8" s="1"/>
  <c r="Q562" i="8" s="1"/>
  <c r="P562" i="8" s="1"/>
  <c r="GN11" i="2"/>
  <c r="GO11" i="2"/>
  <c r="GP11" i="2"/>
  <c r="GQ11" i="2"/>
  <c r="GR11" i="2"/>
  <c r="GS11" i="2"/>
  <c r="N560" i="8" l="1"/>
  <c r="Q560" i="8"/>
  <c r="P560" i="8" s="1"/>
  <c r="Q561" i="8"/>
  <c r="P561" i="8" s="1"/>
  <c r="N561" i="8"/>
  <c r="Q565" i="8"/>
  <c r="P565" i="8" s="1"/>
  <c r="N564" i="8"/>
  <c r="N562" i="8"/>
  <c r="N563" i="8"/>
  <c r="AD553" i="8"/>
  <c r="AF553" i="8" s="1"/>
  <c r="AH553" i="8" s="1"/>
  <c r="AD554" i="8"/>
  <c r="AF554" i="8" s="1"/>
  <c r="AH554" i="8" s="1"/>
  <c r="AD555" i="8"/>
  <c r="AF555" i="8" s="1"/>
  <c r="AH555" i="8" s="1"/>
  <c r="AD556" i="8"/>
  <c r="AF556" i="8" s="1"/>
  <c r="AH556" i="8" s="1"/>
  <c r="AD557" i="8"/>
  <c r="AF557" i="8" s="1"/>
  <c r="AH557" i="8" s="1"/>
  <c r="AD558" i="8"/>
  <c r="AF558" i="8" s="1"/>
  <c r="AH558" i="8" s="1"/>
  <c r="AD559" i="8"/>
  <c r="AF559" i="8" s="1"/>
  <c r="AH559" i="8" s="1"/>
  <c r="Q559" i="8" s="1"/>
  <c r="P559" i="8" s="1"/>
  <c r="R552" i="8"/>
  <c r="AE553" i="8"/>
  <c r="AG553" i="8" s="1"/>
  <c r="R553" i="8" s="1"/>
  <c r="AE554" i="8"/>
  <c r="AG554" i="8" s="1"/>
  <c r="R554" i="8" s="1"/>
  <c r="AE555" i="8"/>
  <c r="AG555" i="8"/>
  <c r="R555" i="8" s="1"/>
  <c r="AE556" i="8"/>
  <c r="AG556" i="8" s="1"/>
  <c r="R556" i="8" s="1"/>
  <c r="AE557" i="8"/>
  <c r="AG557" i="8"/>
  <c r="R557" i="8" s="1"/>
  <c r="AE558" i="8"/>
  <c r="AG558" i="8" s="1"/>
  <c r="R558" i="8" s="1"/>
  <c r="AE559" i="8"/>
  <c r="AG559" i="8" s="1"/>
  <c r="R559" i="8" s="1"/>
  <c r="O552" i="8"/>
  <c r="O553" i="8"/>
  <c r="O554" i="8"/>
  <c r="O555" i="8"/>
  <c r="O556" i="8"/>
  <c r="O557" i="8"/>
  <c r="O558" i="8"/>
  <c r="O559" i="8"/>
  <c r="AI553" i="8"/>
  <c r="AI554" i="8"/>
  <c r="AI555" i="8"/>
  <c r="AI556" i="8"/>
  <c r="AI557" i="8"/>
  <c r="AI558" i="8"/>
  <c r="AI559" i="8"/>
  <c r="AI551" i="8"/>
  <c r="GF11" i="5"/>
  <c r="GG11" i="5"/>
  <c r="GH11" i="5"/>
  <c r="GI11" i="5"/>
  <c r="GJ11" i="5"/>
  <c r="GK11" i="5"/>
  <c r="GL11" i="5"/>
  <c r="GM11" i="5"/>
  <c r="N555" i="8" l="1"/>
  <c r="Q555" i="8"/>
  <c r="P555" i="8" s="1"/>
  <c r="N559" i="8"/>
  <c r="N554" i="8"/>
  <c r="Q554" i="8"/>
  <c r="P554" i="8" s="1"/>
  <c r="Q557" i="8"/>
  <c r="P557" i="8" s="1"/>
  <c r="N557" i="8"/>
  <c r="N556" i="8"/>
  <c r="Q556" i="8"/>
  <c r="P556" i="8" s="1"/>
  <c r="Q553" i="8"/>
  <c r="P553" i="8" s="1"/>
  <c r="N553" i="8"/>
  <c r="N558" i="8"/>
  <c r="Q558" i="8"/>
  <c r="P558" i="8" s="1"/>
  <c r="N552" i="8"/>
  <c r="Q552" i="8"/>
  <c r="P552" i="8" s="1"/>
  <c r="GF11" i="2"/>
  <c r="GG11" i="2"/>
  <c r="GH11" i="2"/>
  <c r="GI11" i="2"/>
  <c r="GJ11" i="2"/>
  <c r="GK11" i="2"/>
  <c r="GL11" i="2"/>
  <c r="GM11" i="2"/>
  <c r="FR29" i="1"/>
  <c r="FS29" i="1"/>
  <c r="FT29" i="1"/>
  <c r="FU29" i="1"/>
  <c r="FV29" i="1"/>
  <c r="FW29" i="1"/>
  <c r="FX29" i="1"/>
  <c r="FY29" i="1"/>
  <c r="FZ29" i="1"/>
  <c r="GA29" i="1"/>
  <c r="GB29" i="1"/>
  <c r="GC29" i="1"/>
  <c r="GD29" i="1"/>
  <c r="GE29" i="1"/>
  <c r="GF29" i="1"/>
  <c r="GG29" i="1"/>
  <c r="GH29" i="1"/>
  <c r="GI29" i="1"/>
  <c r="GJ29" i="1"/>
  <c r="GK29" i="1"/>
  <c r="GL29" i="1"/>
  <c r="GM29" i="1"/>
  <c r="FL11" i="1"/>
  <c r="FM11" i="1"/>
  <c r="FN11" i="1"/>
  <c r="FO11" i="1"/>
  <c r="FP11" i="1"/>
  <c r="FQ11" i="1"/>
  <c r="FR11" i="1"/>
  <c r="FS11" i="1"/>
  <c r="FT11" i="1"/>
  <c r="FU11" i="1"/>
  <c r="FV11" i="1"/>
  <c r="FW11" i="1"/>
  <c r="FX11" i="1"/>
  <c r="FY11" i="1"/>
  <c r="FZ11" i="1"/>
  <c r="GA11" i="1"/>
  <c r="GB11" i="1"/>
  <c r="GC11" i="1"/>
  <c r="GD11" i="1"/>
  <c r="GE11" i="1"/>
  <c r="GF11" i="1"/>
  <c r="GG11" i="1"/>
  <c r="GH11" i="1"/>
  <c r="GI11" i="1"/>
  <c r="GJ11" i="1"/>
  <c r="GK11" i="1"/>
  <c r="GL11" i="1"/>
  <c r="GM11" i="1"/>
  <c r="GF11" i="7"/>
  <c r="GG11" i="7"/>
  <c r="GH11" i="7"/>
  <c r="GI11" i="7"/>
  <c r="GJ11" i="7"/>
  <c r="GK11" i="7"/>
  <c r="GL11" i="7"/>
  <c r="GF11" i="6"/>
  <c r="GG11" i="6"/>
  <c r="GH11" i="6"/>
  <c r="GI11" i="6"/>
  <c r="GJ11" i="6"/>
  <c r="GK11" i="6"/>
  <c r="GL11" i="6"/>
  <c r="GM11" i="6"/>
  <c r="GF11" i="16"/>
  <c r="GG11" i="16"/>
  <c r="GH11" i="16"/>
  <c r="GI11" i="16"/>
  <c r="GJ11" i="16"/>
  <c r="GK11" i="16"/>
  <c r="GL11" i="16"/>
  <c r="GM11" i="16"/>
  <c r="GG11" i="4"/>
  <c r="GH11" i="4"/>
  <c r="GI11" i="4"/>
  <c r="GJ11" i="4"/>
  <c r="GK11" i="4"/>
  <c r="GL11" i="4"/>
  <c r="GM11" i="4"/>
  <c r="GF11" i="3"/>
  <c r="GG11" i="3"/>
  <c r="GH11" i="3"/>
  <c r="GI11" i="3"/>
  <c r="GJ11" i="3"/>
  <c r="GK11" i="3"/>
  <c r="GL11" i="3"/>
  <c r="GM11" i="3"/>
  <c r="GF11" i="41"/>
  <c r="GG11" i="41"/>
  <c r="GH11" i="41"/>
  <c r="GI11" i="41"/>
  <c r="GJ11" i="41"/>
  <c r="GK11" i="41"/>
  <c r="GL11" i="41"/>
  <c r="GM11" i="41"/>
  <c r="GM11" i="11"/>
  <c r="GF11" i="11"/>
  <c r="GG11" i="11"/>
  <c r="GH11" i="11"/>
  <c r="GI11" i="11"/>
  <c r="GJ11" i="11"/>
  <c r="GK11" i="11"/>
  <c r="GL11" i="11"/>
  <c r="O546" i="8"/>
  <c r="O547" i="8"/>
  <c r="O548" i="8"/>
  <c r="O549" i="8"/>
  <c r="O550" i="8"/>
  <c r="O551" i="8"/>
  <c r="AD546" i="8"/>
  <c r="AF546" i="8" s="1"/>
  <c r="AH546" i="8" s="1"/>
  <c r="FZ11" i="4"/>
  <c r="GA11" i="4"/>
  <c r="GB11" i="4"/>
  <c r="GC11" i="4"/>
  <c r="GD11" i="4"/>
  <c r="GE11" i="4"/>
  <c r="AE546" i="8"/>
  <c r="AG546" i="8" s="1"/>
  <c r="R546" i="8" s="1"/>
  <c r="AI546" i="8"/>
  <c r="AE547" i="8"/>
  <c r="AG547" i="8" s="1"/>
  <c r="R547" i="8" s="1"/>
  <c r="AI547" i="8"/>
  <c r="AE548" i="8"/>
  <c r="AG548" i="8" s="1"/>
  <c r="R548" i="8" s="1"/>
  <c r="AI548" i="8"/>
  <c r="AE549" i="8"/>
  <c r="AG549" i="8" s="1"/>
  <c r="R549" i="8" s="1"/>
  <c r="AI549" i="8"/>
  <c r="AE550" i="8"/>
  <c r="AG550" i="8" s="1"/>
  <c r="R550" i="8" s="1"/>
  <c r="AI550" i="8"/>
  <c r="AE551" i="8"/>
  <c r="AG551" i="8"/>
  <c r="R551" i="8" s="1"/>
  <c r="AD538" i="8"/>
  <c r="AD551" i="8"/>
  <c r="AF551" i="8" s="1"/>
  <c r="AH551" i="8" s="1"/>
  <c r="AD547" i="8"/>
  <c r="AF547" i="8" s="1"/>
  <c r="AH547" i="8" s="1"/>
  <c r="AD548" i="8"/>
  <c r="AF548" i="8" s="1"/>
  <c r="AH548" i="8" s="1"/>
  <c r="AD549" i="8"/>
  <c r="AF549" i="8" s="1"/>
  <c r="AH549" i="8" s="1"/>
  <c r="AD550" i="8"/>
  <c r="AF550" i="8" s="1"/>
  <c r="AH550" i="8" s="1"/>
  <c r="N551" i="8" l="1"/>
  <c r="Q551" i="8"/>
  <c r="P551" i="8" s="1"/>
  <c r="N546" i="8"/>
  <c r="Q546" i="8"/>
  <c r="P546" i="8" s="1"/>
  <c r="Q550" i="8"/>
  <c r="P550" i="8" s="1"/>
  <c r="N550" i="8"/>
  <c r="Q549" i="8"/>
  <c r="P549" i="8" s="1"/>
  <c r="N549" i="8"/>
  <c r="Q548" i="8"/>
  <c r="P548" i="8" s="1"/>
  <c r="N548" i="8"/>
  <c r="N547" i="8"/>
  <c r="Q547" i="8"/>
  <c r="P547" i="8" s="1"/>
  <c r="FY11" i="7"/>
  <c r="FZ11" i="7"/>
  <c r="GA11" i="7"/>
  <c r="GB11" i="7"/>
  <c r="GC11" i="7"/>
  <c r="GD11" i="7"/>
  <c r="GE11" i="7"/>
  <c r="FZ11" i="6"/>
  <c r="GA11" i="6"/>
  <c r="GB11" i="6"/>
  <c r="GC11" i="6"/>
  <c r="GD11" i="6"/>
  <c r="GE11" i="6"/>
  <c r="FZ11" i="5"/>
  <c r="GA11" i="5"/>
  <c r="GB11" i="5"/>
  <c r="GC11" i="5"/>
  <c r="GD11" i="5"/>
  <c r="GE11" i="5"/>
  <c r="FZ11" i="16"/>
  <c r="GA11" i="16"/>
  <c r="GB11" i="16"/>
  <c r="GC11" i="16"/>
  <c r="GD11" i="16"/>
  <c r="GE11" i="16"/>
  <c r="FZ11" i="3"/>
  <c r="GA11" i="3"/>
  <c r="GB11" i="3"/>
  <c r="GC11" i="3"/>
  <c r="GD11" i="3"/>
  <c r="GE11" i="3"/>
  <c r="FZ11" i="2"/>
  <c r="GA11" i="2"/>
  <c r="GB11" i="2"/>
  <c r="GC11" i="2"/>
  <c r="GD11" i="2"/>
  <c r="GE11" i="2"/>
  <c r="FZ11" i="41"/>
  <c r="GA11" i="41"/>
  <c r="GB11" i="41"/>
  <c r="GC11" i="41"/>
  <c r="GD11" i="41"/>
  <c r="GE11" i="41"/>
  <c r="FZ11" i="11"/>
  <c r="GA11" i="11"/>
  <c r="GB11" i="11"/>
  <c r="GC11" i="11"/>
  <c r="GD11" i="11"/>
  <c r="GE11" i="11"/>
  <c r="FW11" i="41"/>
  <c r="FX11" i="41"/>
  <c r="FY11" i="41"/>
  <c r="FR11" i="41"/>
  <c r="FS11" i="41"/>
  <c r="FT11" i="41"/>
  <c r="FU11" i="41"/>
  <c r="FV11" i="41"/>
  <c r="E11" i="11"/>
  <c r="D11" i="11"/>
  <c r="O539" i="8"/>
  <c r="O540" i="8"/>
  <c r="O541" i="8"/>
  <c r="O542" i="8"/>
  <c r="O543" i="8"/>
  <c r="O544" i="8"/>
  <c r="O545" i="8"/>
  <c r="FL11" i="2"/>
  <c r="FR11" i="11"/>
  <c r="FS11" i="11"/>
  <c r="FT11" i="11"/>
  <c r="FU11" i="11"/>
  <c r="FV11" i="11"/>
  <c r="FW11" i="11"/>
  <c r="FX11" i="11"/>
  <c r="FY11" i="11"/>
  <c r="AD539" i="8"/>
  <c r="AF539" i="8" s="1"/>
  <c r="AH539" i="8" s="1"/>
  <c r="AD540" i="8"/>
  <c r="AF540" i="8" s="1"/>
  <c r="AH540" i="8" s="1"/>
  <c r="Q540" i="8" s="1"/>
  <c r="AD541" i="8"/>
  <c r="AF541" i="8" s="1"/>
  <c r="AH541" i="8" s="1"/>
  <c r="Q541" i="8" s="1"/>
  <c r="AD542" i="8"/>
  <c r="AF542" i="8" s="1"/>
  <c r="AH542" i="8" s="1"/>
  <c r="N542" i="8" s="1"/>
  <c r="AD543" i="8"/>
  <c r="AF543" i="8" s="1"/>
  <c r="AH543" i="8" s="1"/>
  <c r="AD544" i="8"/>
  <c r="AF544" i="8" s="1"/>
  <c r="AH544" i="8" s="1"/>
  <c r="N544" i="8" s="1"/>
  <c r="AD545" i="8"/>
  <c r="AF545" i="8" s="1"/>
  <c r="AH545" i="8" s="1"/>
  <c r="Q545" i="8" s="1"/>
  <c r="FS11" i="3"/>
  <c r="AE539" i="8"/>
  <c r="AG539" i="8" s="1"/>
  <c r="R539" i="8" s="1"/>
  <c r="AI539" i="8"/>
  <c r="AE540" i="8"/>
  <c r="AG540" i="8" s="1"/>
  <c r="R540" i="8" s="1"/>
  <c r="AI540" i="8"/>
  <c r="AE541" i="8"/>
  <c r="AG541" i="8" s="1"/>
  <c r="AI541" i="8"/>
  <c r="AE542" i="8"/>
  <c r="AG542" i="8" s="1"/>
  <c r="R542" i="8" s="1"/>
  <c r="AI542" i="8"/>
  <c r="AE543" i="8"/>
  <c r="AG543" i="8" s="1"/>
  <c r="R543" i="8" s="1"/>
  <c r="AI543" i="8"/>
  <c r="AE544" i="8"/>
  <c r="AG544" i="8" s="1"/>
  <c r="R544" i="8" s="1"/>
  <c r="AI544" i="8"/>
  <c r="AE545" i="8"/>
  <c r="AG545" i="8" s="1"/>
  <c r="AI545" i="8"/>
  <c r="N541" i="8" l="1"/>
  <c r="N545" i="8"/>
  <c r="R545" i="8"/>
  <c r="P545" i="8" s="1"/>
  <c r="N539" i="8"/>
  <c r="Q539" i="8"/>
  <c r="P539" i="8" s="1"/>
  <c r="N543" i="8"/>
  <c r="Q543" i="8"/>
  <c r="P543" i="8" s="1"/>
  <c r="P540" i="8"/>
  <c r="R541" i="8"/>
  <c r="P541" i="8" s="1"/>
  <c r="N540" i="8"/>
  <c r="Q544" i="8"/>
  <c r="P544" i="8" s="1"/>
  <c r="Q542" i="8"/>
  <c r="P542" i="8" s="1"/>
  <c r="FR11" i="7"/>
  <c r="FS11" i="7"/>
  <c r="FT11" i="7"/>
  <c r="FU11" i="7"/>
  <c r="FV11" i="7"/>
  <c r="FW11" i="7"/>
  <c r="FX11" i="7"/>
  <c r="FR11" i="6"/>
  <c r="FS11" i="6"/>
  <c r="FT11" i="6"/>
  <c r="FU11" i="6"/>
  <c r="FV11" i="6"/>
  <c r="FW11" i="6"/>
  <c r="FX11" i="6"/>
  <c r="FY11" i="6"/>
  <c r="FR11" i="5"/>
  <c r="FS11" i="5"/>
  <c r="FT11" i="5"/>
  <c r="FU11" i="5"/>
  <c r="FV11" i="5"/>
  <c r="FW11" i="5"/>
  <c r="FX11" i="5"/>
  <c r="FY11" i="5"/>
  <c r="FR11" i="16"/>
  <c r="FS11" i="16"/>
  <c r="FT11" i="16"/>
  <c r="FU11" i="16"/>
  <c r="FV11" i="16"/>
  <c r="FW11" i="16"/>
  <c r="FX11" i="16"/>
  <c r="FY11" i="16"/>
  <c r="FS11" i="4"/>
  <c r="FT11" i="4"/>
  <c r="FU11" i="4"/>
  <c r="FV11" i="4"/>
  <c r="FW11" i="4"/>
  <c r="FX11" i="4"/>
  <c r="FY11" i="4"/>
  <c r="FR11" i="2"/>
  <c r="FS11" i="2"/>
  <c r="FT11" i="2"/>
  <c r="FU11" i="2"/>
  <c r="FV11" i="2"/>
  <c r="FW11" i="2"/>
  <c r="FX11" i="2"/>
  <c r="FY11" i="2"/>
  <c r="FR11" i="3"/>
  <c r="FT11" i="3"/>
  <c r="FU11" i="3"/>
  <c r="FV11" i="3"/>
  <c r="FW11" i="3"/>
  <c r="FX11" i="3"/>
  <c r="FY11" i="3"/>
  <c r="N426" i="8"/>
  <c r="N433" i="8"/>
  <c r="N445" i="8"/>
  <c r="N446" i="8"/>
  <c r="N447" i="8"/>
  <c r="N454" i="8"/>
  <c r="N461" i="8"/>
  <c r="N468" i="8"/>
  <c r="N496" i="8"/>
  <c r="N510" i="8"/>
  <c r="N513" i="8"/>
  <c r="N514" i="8"/>
  <c r="N515" i="8"/>
  <c r="N517" i="8"/>
  <c r="N524" i="8"/>
  <c r="N538" i="8"/>
  <c r="O532" i="8"/>
  <c r="O533" i="8"/>
  <c r="O534" i="8"/>
  <c r="O535" i="8"/>
  <c r="O536" i="8"/>
  <c r="O537" i="8"/>
  <c r="O538" i="8"/>
  <c r="Q538" i="8"/>
  <c r="R538" i="8"/>
  <c r="FM11" i="4"/>
  <c r="FN11" i="4"/>
  <c r="FO11" i="4"/>
  <c r="FP11" i="4"/>
  <c r="FQ11" i="4"/>
  <c r="FL11" i="4"/>
  <c r="AI532" i="8"/>
  <c r="AE532" i="8"/>
  <c r="AG532" i="8" s="1"/>
  <c r="R532" i="8" s="1"/>
  <c r="AE533" i="8"/>
  <c r="AG533" i="8" s="1"/>
  <c r="R533" i="8" s="1"/>
  <c r="AI533" i="8"/>
  <c r="AE534" i="8"/>
  <c r="AG534" i="8" s="1"/>
  <c r="R534" i="8" s="1"/>
  <c r="AI534" i="8"/>
  <c r="AE535" i="8"/>
  <c r="AG535" i="8" s="1"/>
  <c r="R535" i="8" s="1"/>
  <c r="AI535" i="8"/>
  <c r="AE536" i="8"/>
  <c r="AG536" i="8" s="1"/>
  <c r="R536" i="8" s="1"/>
  <c r="AI536" i="8"/>
  <c r="AE537" i="8"/>
  <c r="AG537" i="8" s="1"/>
  <c r="R537" i="8" s="1"/>
  <c r="AI537" i="8"/>
  <c r="AD532" i="8"/>
  <c r="AF532" i="8" s="1"/>
  <c r="AH532" i="8" s="1"/>
  <c r="AD536" i="8" l="1"/>
  <c r="AF536" i="8" s="1"/>
  <c r="AH536" i="8" s="1"/>
  <c r="AD534" i="8"/>
  <c r="AF534" i="8" s="1"/>
  <c r="AH534" i="8" s="1"/>
  <c r="AD533" i="8"/>
  <c r="AF533" i="8" s="1"/>
  <c r="AH533" i="8" s="1"/>
  <c r="AD537" i="8"/>
  <c r="AF537" i="8" s="1"/>
  <c r="AH537" i="8" s="1"/>
  <c r="AD535" i="8"/>
  <c r="AF535" i="8" s="1"/>
  <c r="AH535" i="8" s="1"/>
  <c r="N532" i="8"/>
  <c r="Q532" i="8"/>
  <c r="P532" i="8" s="1"/>
  <c r="P538" i="8"/>
  <c r="FL11" i="11"/>
  <c r="FM11" i="11"/>
  <c r="FN11" i="11"/>
  <c r="FO11" i="11"/>
  <c r="FP11" i="11"/>
  <c r="FQ11" i="11"/>
  <c r="FL11" i="41"/>
  <c r="FM11" i="41"/>
  <c r="FN11" i="41"/>
  <c r="FO11" i="41"/>
  <c r="FP11" i="41"/>
  <c r="FQ11" i="41"/>
  <c r="FL29" i="1"/>
  <c r="FM29" i="1"/>
  <c r="FN29" i="1"/>
  <c r="FO29" i="1"/>
  <c r="FP29" i="1"/>
  <c r="FQ29" i="1"/>
  <c r="FM11" i="2"/>
  <c r="FN11" i="2"/>
  <c r="FO11" i="2"/>
  <c r="FP11" i="2"/>
  <c r="FQ11" i="2"/>
  <c r="FL11" i="3"/>
  <c r="FM11" i="3"/>
  <c r="FN11" i="3"/>
  <c r="FO11" i="3"/>
  <c r="FP11" i="3"/>
  <c r="FQ11" i="3"/>
  <c r="FL11" i="16"/>
  <c r="FM11" i="16"/>
  <c r="FN11" i="16"/>
  <c r="FO11" i="16"/>
  <c r="FP11" i="16"/>
  <c r="FQ11" i="16"/>
  <c r="FL11" i="5"/>
  <c r="FM11" i="5"/>
  <c r="FN11" i="5"/>
  <c r="FO11" i="5"/>
  <c r="FP11" i="5"/>
  <c r="FQ11" i="5"/>
  <c r="FL11" i="6"/>
  <c r="FM11" i="6"/>
  <c r="FN11" i="6"/>
  <c r="FO11" i="6"/>
  <c r="FP11" i="6"/>
  <c r="FQ11" i="6"/>
  <c r="FK11" i="7"/>
  <c r="FL11" i="7"/>
  <c r="FM11" i="7"/>
  <c r="FN11" i="7"/>
  <c r="FO11" i="7"/>
  <c r="FP11" i="7"/>
  <c r="FQ11" i="7"/>
  <c r="O524" i="8"/>
  <c r="Q524" i="8"/>
  <c r="R524" i="8"/>
  <c r="O525" i="8"/>
  <c r="O526" i="8"/>
  <c r="O527" i="8"/>
  <c r="O528" i="8"/>
  <c r="O529" i="8"/>
  <c r="O530" i="8"/>
  <c r="O531" i="8"/>
  <c r="AI524" i="8"/>
  <c r="AI525" i="8"/>
  <c r="AI526" i="8"/>
  <c r="AI527" i="8"/>
  <c r="AI528" i="8"/>
  <c r="AI529" i="8"/>
  <c r="AI530" i="8"/>
  <c r="AI531" i="8"/>
  <c r="AE525" i="8"/>
  <c r="AG525" i="8" s="1"/>
  <c r="R525" i="8" s="1"/>
  <c r="AE526" i="8"/>
  <c r="AG526" i="8" s="1"/>
  <c r="R526" i="8" s="1"/>
  <c r="AE527" i="8"/>
  <c r="AG527" i="8" s="1"/>
  <c r="R527" i="8" s="1"/>
  <c r="AE528" i="8"/>
  <c r="AG528" i="8" s="1"/>
  <c r="R528" i="8" s="1"/>
  <c r="AE529" i="8"/>
  <c r="AG529" i="8"/>
  <c r="R529" i="8" s="1"/>
  <c r="AE530" i="8"/>
  <c r="AG530" i="8" s="1"/>
  <c r="R530" i="8" s="1"/>
  <c r="AE531" i="8"/>
  <c r="AG531" i="8" s="1"/>
  <c r="R531" i="8" s="1"/>
  <c r="AD524" i="8"/>
  <c r="AD525" i="8"/>
  <c r="AF525" i="8" s="1"/>
  <c r="AH525" i="8" s="1"/>
  <c r="AD526" i="8"/>
  <c r="AF526" i="8" s="1"/>
  <c r="AH526" i="8" s="1"/>
  <c r="AD527" i="8"/>
  <c r="AF527" i="8" s="1"/>
  <c r="AH527" i="8" s="1"/>
  <c r="AD528" i="8"/>
  <c r="AF528" i="8" s="1"/>
  <c r="AH528" i="8" s="1"/>
  <c r="AD529" i="8"/>
  <c r="AF529" i="8" s="1"/>
  <c r="AH529" i="8" s="1"/>
  <c r="AD530" i="8"/>
  <c r="AF530" i="8" s="1"/>
  <c r="AH530" i="8" s="1"/>
  <c r="P524" i="8" l="1"/>
  <c r="Q535" i="8"/>
  <c r="P535" i="8" s="1"/>
  <c r="N535" i="8"/>
  <c r="Q537" i="8"/>
  <c r="P537" i="8" s="1"/>
  <c r="N537" i="8"/>
  <c r="Q533" i="8"/>
  <c r="P533" i="8" s="1"/>
  <c r="N533" i="8"/>
  <c r="Q534" i="8"/>
  <c r="P534" i="8" s="1"/>
  <c r="N534" i="8"/>
  <c r="Q536" i="8"/>
  <c r="P536" i="8" s="1"/>
  <c r="N536" i="8"/>
  <c r="AD531" i="8"/>
  <c r="AF531" i="8" s="1"/>
  <c r="AH531" i="8" s="1"/>
  <c r="N528" i="8"/>
  <c r="Q528" i="8"/>
  <c r="P528" i="8" s="1"/>
  <c r="N530" i="8"/>
  <c r="Q530" i="8"/>
  <c r="P530" i="8" s="1"/>
  <c r="N525" i="8"/>
  <c r="Q525" i="8"/>
  <c r="P525" i="8" s="1"/>
  <c r="N526" i="8"/>
  <c r="Q526" i="8"/>
  <c r="P526" i="8" s="1"/>
  <c r="N529" i="8"/>
  <c r="Q529" i="8"/>
  <c r="P529" i="8" s="1"/>
  <c r="N527" i="8"/>
  <c r="Q527" i="8"/>
  <c r="P527" i="8" s="1"/>
  <c r="FD11" i="7"/>
  <c r="FE11" i="7"/>
  <c r="FF11" i="7"/>
  <c r="FG11" i="7"/>
  <c r="FH11" i="7"/>
  <c r="FI11" i="7"/>
  <c r="FJ11" i="7"/>
  <c r="FD11" i="6"/>
  <c r="FE11" i="6"/>
  <c r="FF11" i="6"/>
  <c r="FG11" i="6"/>
  <c r="FH11" i="6"/>
  <c r="FI11" i="6"/>
  <c r="FJ11" i="6"/>
  <c r="FK11" i="6"/>
  <c r="FD11" i="5"/>
  <c r="FE11" i="5"/>
  <c r="FF11" i="5"/>
  <c r="FG11" i="5"/>
  <c r="FH11" i="5"/>
  <c r="FI11" i="5"/>
  <c r="FJ11" i="5"/>
  <c r="FK11" i="5"/>
  <c r="FD11" i="16"/>
  <c r="FE11" i="16"/>
  <c r="FF11" i="16"/>
  <c r="FG11" i="16"/>
  <c r="FH11" i="16"/>
  <c r="FI11" i="16"/>
  <c r="FJ11" i="16"/>
  <c r="FK11" i="16"/>
  <c r="FD11" i="4"/>
  <c r="FE11" i="4"/>
  <c r="FF11" i="4"/>
  <c r="FG11" i="4"/>
  <c r="FH11" i="4"/>
  <c r="FI11" i="4"/>
  <c r="FJ11" i="4"/>
  <c r="FK11" i="4"/>
  <c r="FD11" i="3"/>
  <c r="FE11" i="3"/>
  <c r="FF11" i="3"/>
  <c r="FG11" i="3"/>
  <c r="FH11" i="3"/>
  <c r="FI11" i="3"/>
  <c r="FJ11" i="3"/>
  <c r="FK11" i="3"/>
  <c r="FD11" i="2"/>
  <c r="FE11" i="2"/>
  <c r="FF11" i="2"/>
  <c r="FG11" i="2"/>
  <c r="FH11" i="2"/>
  <c r="FI11" i="2"/>
  <c r="FJ11" i="2"/>
  <c r="FK11" i="2"/>
  <c r="FD11" i="1"/>
  <c r="FE11" i="1"/>
  <c r="FF11" i="1"/>
  <c r="FG11" i="1"/>
  <c r="FH11" i="1"/>
  <c r="FI11" i="1"/>
  <c r="FJ11" i="1"/>
  <c r="FK11" i="1"/>
  <c r="FD29" i="1"/>
  <c r="FE29" i="1"/>
  <c r="FF29" i="1"/>
  <c r="FG29" i="1"/>
  <c r="FH29" i="1"/>
  <c r="FI29" i="1"/>
  <c r="FJ29" i="1"/>
  <c r="FK29" i="1"/>
  <c r="FD11" i="41"/>
  <c r="FE11" i="41"/>
  <c r="FF11" i="41"/>
  <c r="FG11" i="41"/>
  <c r="FH11" i="41"/>
  <c r="FI11" i="41"/>
  <c r="FJ11" i="41"/>
  <c r="FK11" i="41"/>
  <c r="FD11" i="11"/>
  <c r="FE11" i="11"/>
  <c r="FF11" i="11"/>
  <c r="FG11" i="11"/>
  <c r="FH11" i="11"/>
  <c r="FI11" i="11"/>
  <c r="FJ11" i="11"/>
  <c r="FK11" i="11"/>
  <c r="A10" i="11"/>
  <c r="O517" i="8"/>
  <c r="Q517" i="8"/>
  <c r="R517" i="8"/>
  <c r="O518" i="8"/>
  <c r="O519" i="8"/>
  <c r="O520" i="8"/>
  <c r="O521" i="8"/>
  <c r="O522" i="8"/>
  <c r="O523" i="8"/>
  <c r="AD521" i="8"/>
  <c r="AF521" i="8" s="1"/>
  <c r="AH521" i="8" s="1"/>
  <c r="AI519" i="8"/>
  <c r="AI520" i="8"/>
  <c r="AI521" i="8"/>
  <c r="AI522" i="8"/>
  <c r="AI523" i="8"/>
  <c r="AI518" i="8"/>
  <c r="AE518" i="8"/>
  <c r="AG518" i="8" s="1"/>
  <c r="R518" i="8" s="1"/>
  <c r="AE519" i="8"/>
  <c r="AG519" i="8" s="1"/>
  <c r="R519" i="8" s="1"/>
  <c r="AE520" i="8"/>
  <c r="AG520" i="8"/>
  <c r="R520" i="8" s="1"/>
  <c r="AE521" i="8"/>
  <c r="AG521" i="8" s="1"/>
  <c r="R521" i="8" s="1"/>
  <c r="AE522" i="8"/>
  <c r="AG522" i="8" s="1"/>
  <c r="R522" i="8" s="1"/>
  <c r="AE523" i="8"/>
  <c r="AG523" i="8" s="1"/>
  <c r="R523" i="8" s="1"/>
  <c r="AD518" i="8"/>
  <c r="AF518" i="8" s="1"/>
  <c r="AH518" i="8" s="1"/>
  <c r="AD519" i="8"/>
  <c r="AF519" i="8" s="1"/>
  <c r="AH519" i="8" s="1"/>
  <c r="AD520" i="8"/>
  <c r="AF520" i="8" s="1"/>
  <c r="AH520" i="8" s="1"/>
  <c r="AD522" i="8"/>
  <c r="AF522" i="8" s="1"/>
  <c r="AH522" i="8" s="1"/>
  <c r="AD523" i="8"/>
  <c r="AF523" i="8" s="1"/>
  <c r="AH523" i="8" s="1"/>
  <c r="N531" i="8" l="1"/>
  <c r="Q531" i="8"/>
  <c r="P531" i="8" s="1"/>
  <c r="P517" i="8"/>
  <c r="N518" i="8"/>
  <c r="Q518" i="8"/>
  <c r="P518" i="8" s="1"/>
  <c r="N520" i="8"/>
  <c r="Q520" i="8"/>
  <c r="P520" i="8" s="1"/>
  <c r="N521" i="8"/>
  <c r="Q521" i="8"/>
  <c r="P521" i="8" s="1"/>
  <c r="N522" i="8"/>
  <c r="Q522" i="8"/>
  <c r="P522" i="8" s="1"/>
  <c r="N519" i="8"/>
  <c r="Q519" i="8"/>
  <c r="P519" i="8" s="1"/>
  <c r="Q523" i="8"/>
  <c r="P523" i="8" s="1"/>
  <c r="N523" i="8"/>
  <c r="ER11" i="7"/>
  <c r="ES11" i="7"/>
  <c r="ET11" i="7"/>
  <c r="EU11" i="7"/>
  <c r="EV11" i="7"/>
  <c r="EW11" i="7"/>
  <c r="EX11" i="7"/>
  <c r="EY11" i="7"/>
  <c r="EZ11" i="7"/>
  <c r="FA11" i="7"/>
  <c r="FB11" i="7"/>
  <c r="FC11" i="7"/>
  <c r="EW11" i="6" l="1"/>
  <c r="EX11" i="6"/>
  <c r="EY11" i="6"/>
  <c r="EZ11" i="6"/>
  <c r="FA11" i="6"/>
  <c r="FB11" i="6"/>
  <c r="FC11" i="6"/>
  <c r="EW11" i="5"/>
  <c r="EX11" i="5"/>
  <c r="EY11" i="5"/>
  <c r="EZ11" i="5"/>
  <c r="FA11" i="5"/>
  <c r="FB11" i="5"/>
  <c r="FC11" i="5"/>
  <c r="EW11" i="16"/>
  <c r="EX11" i="16"/>
  <c r="EY11" i="16"/>
  <c r="EZ11" i="16"/>
  <c r="FA11" i="16"/>
  <c r="FB11" i="16"/>
  <c r="FC11" i="16"/>
  <c r="EW11" i="4"/>
  <c r="EX11" i="4"/>
  <c r="EY11" i="4"/>
  <c r="EZ11" i="4"/>
  <c r="FA11" i="4"/>
  <c r="FB11" i="4"/>
  <c r="FC11" i="4"/>
  <c r="EW11" i="3"/>
  <c r="EX11" i="3"/>
  <c r="EY11" i="3"/>
  <c r="EZ11" i="3"/>
  <c r="FA11" i="3"/>
  <c r="FB11" i="3"/>
  <c r="FC11" i="3"/>
  <c r="EW11" i="2"/>
  <c r="EX11" i="2"/>
  <c r="EY11" i="2"/>
  <c r="EZ11" i="2"/>
  <c r="FA11" i="2"/>
  <c r="FB11" i="2"/>
  <c r="FC11" i="2"/>
  <c r="EW29" i="1"/>
  <c r="EX29" i="1"/>
  <c r="EY29" i="1"/>
  <c r="EZ29" i="1"/>
  <c r="FA29" i="1"/>
  <c r="FB29" i="1"/>
  <c r="FC29" i="1"/>
  <c r="EW11" i="1"/>
  <c r="EX11" i="1"/>
  <c r="EY11" i="1"/>
  <c r="EZ11" i="1"/>
  <c r="FA11" i="1"/>
  <c r="FB11" i="1"/>
  <c r="FC11" i="1"/>
  <c r="EW11" i="41"/>
  <c r="EX11" i="41"/>
  <c r="EY11" i="41"/>
  <c r="EZ11" i="41"/>
  <c r="FA11" i="41"/>
  <c r="FB11" i="41"/>
  <c r="FC11" i="41"/>
  <c r="EW11" i="11"/>
  <c r="EX11" i="11"/>
  <c r="EY11" i="11"/>
  <c r="EZ11" i="11"/>
  <c r="FA11" i="11"/>
  <c r="FB11" i="11"/>
  <c r="FC11" i="11"/>
  <c r="R496" i="8"/>
  <c r="AE497" i="8"/>
  <c r="AG497" i="8" s="1"/>
  <c r="R497" i="8" s="1"/>
  <c r="AE498" i="8"/>
  <c r="AG498" i="8" s="1"/>
  <c r="R498" i="8" s="1"/>
  <c r="AE499" i="8"/>
  <c r="AG499" i="8" s="1"/>
  <c r="R499" i="8" s="1"/>
  <c r="AE500" i="8"/>
  <c r="AG500" i="8"/>
  <c r="R500" i="8" s="1"/>
  <c r="AE501" i="8"/>
  <c r="AG501" i="8" s="1"/>
  <c r="R501" i="8" s="1"/>
  <c r="AE502" i="8"/>
  <c r="AG502" i="8" s="1"/>
  <c r="R502" i="8" s="1"/>
  <c r="AE503" i="8"/>
  <c r="AG503" i="8" s="1"/>
  <c r="R503" i="8" s="1"/>
  <c r="AE504" i="8"/>
  <c r="AG504" i="8" s="1"/>
  <c r="R504" i="8" s="1"/>
  <c r="AE505" i="8"/>
  <c r="AG505" i="8" s="1"/>
  <c r="R505" i="8" s="1"/>
  <c r="AE506" i="8"/>
  <c r="AG506" i="8" s="1"/>
  <c r="R506" i="8" s="1"/>
  <c r="AE507" i="8"/>
  <c r="AG507" i="8" s="1"/>
  <c r="R507" i="8" s="1"/>
  <c r="AE508" i="8"/>
  <c r="AG508" i="8"/>
  <c r="R508" i="8" s="1"/>
  <c r="AE509" i="8"/>
  <c r="AG509" i="8" s="1"/>
  <c r="R509" i="8" s="1"/>
  <c r="R510" i="8"/>
  <c r="AE511" i="8"/>
  <c r="AG511" i="8" s="1"/>
  <c r="R511" i="8" s="1"/>
  <c r="AE512" i="8"/>
  <c r="AG512" i="8" s="1"/>
  <c r="R512" i="8" s="1"/>
  <c r="R513" i="8"/>
  <c r="R514" i="8"/>
  <c r="R515" i="8"/>
  <c r="AE516" i="8"/>
  <c r="AG516" i="8" s="1"/>
  <c r="R516" i="8" s="1"/>
  <c r="AD510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AD497" i="8"/>
  <c r="AF497" i="8" s="1"/>
  <c r="AH497" i="8" s="1"/>
  <c r="AD498" i="8"/>
  <c r="AF498" i="8" s="1"/>
  <c r="AH498" i="8" s="1"/>
  <c r="AD499" i="8"/>
  <c r="AF499" i="8" s="1"/>
  <c r="AH499" i="8" s="1"/>
  <c r="AD500" i="8"/>
  <c r="AF500" i="8" s="1"/>
  <c r="AH500" i="8" s="1"/>
  <c r="AD501" i="8"/>
  <c r="AF501" i="8" s="1"/>
  <c r="AH501" i="8" s="1"/>
  <c r="AD502" i="8"/>
  <c r="AF502" i="8" s="1"/>
  <c r="AH502" i="8" s="1"/>
  <c r="AD503" i="8"/>
  <c r="AF503" i="8" s="1"/>
  <c r="AH503" i="8" s="1"/>
  <c r="AD504" i="8"/>
  <c r="AF504" i="8" s="1"/>
  <c r="AH504" i="8" s="1"/>
  <c r="AD505" i="8"/>
  <c r="AF505" i="8" s="1"/>
  <c r="AH505" i="8" s="1"/>
  <c r="AD506" i="8"/>
  <c r="AF506" i="8" s="1"/>
  <c r="AH506" i="8" s="1"/>
  <c r="N506" i="8" s="1"/>
  <c r="AD507" i="8"/>
  <c r="AF507" i="8" s="1"/>
  <c r="AH507" i="8" s="1"/>
  <c r="N507" i="8" s="1"/>
  <c r="AD508" i="8"/>
  <c r="AF508" i="8" s="1"/>
  <c r="AH508" i="8" s="1"/>
  <c r="AD509" i="8"/>
  <c r="AF509" i="8" s="1"/>
  <c r="AH509" i="8" s="1"/>
  <c r="AD511" i="8"/>
  <c r="AF511" i="8" s="1"/>
  <c r="AH511" i="8" s="1"/>
  <c r="AD512" i="8"/>
  <c r="AF512" i="8" s="1"/>
  <c r="AH512" i="8" s="1"/>
  <c r="AD513" i="8"/>
  <c r="AD514" i="8"/>
  <c r="AD515" i="8"/>
  <c r="AD516" i="8"/>
  <c r="AF516" i="8" s="1"/>
  <c r="AH516" i="8" s="1"/>
  <c r="N505" i="8" l="1"/>
  <c r="N504" i="8"/>
  <c r="N503" i="8"/>
  <c r="N497" i="8"/>
  <c r="N509" i="8"/>
  <c r="N511" i="8"/>
  <c r="N500" i="8"/>
  <c r="N502" i="8"/>
  <c r="N499" i="8"/>
  <c r="N501" i="8"/>
  <c r="N508" i="8"/>
  <c r="N512" i="8"/>
  <c r="N516" i="8"/>
  <c r="N498" i="8"/>
  <c r="Q496" i="8"/>
  <c r="P496" i="8" s="1"/>
  <c r="Q505" i="8"/>
  <c r="P505" i="8" s="1"/>
  <c r="Q502" i="8"/>
  <c r="P502" i="8" s="1"/>
  <c r="Q511" i="8"/>
  <c r="P511" i="8" s="1"/>
  <c r="Q508" i="8"/>
  <c r="P508" i="8" s="1"/>
  <c r="Q512" i="8"/>
  <c r="P512" i="8" s="1"/>
  <c r="Q499" i="8"/>
  <c r="P499" i="8" s="1"/>
  <c r="Q514" i="8"/>
  <c r="P514" i="8" s="1"/>
  <c r="Q501" i="8"/>
  <c r="P501" i="8" s="1"/>
  <c r="Q498" i="8"/>
  <c r="P498" i="8" s="1"/>
  <c r="Q509" i="8"/>
  <c r="P509" i="8" s="1"/>
  <c r="Q506" i="8"/>
  <c r="P506" i="8" s="1"/>
  <c r="Q515" i="8"/>
  <c r="P515" i="8" s="1"/>
  <c r="Q507" i="8"/>
  <c r="P507" i="8" s="1"/>
  <c r="Q504" i="8"/>
  <c r="P504" i="8" s="1"/>
  <c r="Q513" i="8"/>
  <c r="P513" i="8" s="1"/>
  <c r="Q510" i="8"/>
  <c r="P510" i="8" s="1"/>
  <c r="Q497" i="8"/>
  <c r="P497" i="8" s="1"/>
  <c r="Q516" i="8"/>
  <c r="P516" i="8" s="1"/>
  <c r="Q503" i="8"/>
  <c r="P503" i="8" s="1"/>
  <c r="Q500" i="8"/>
  <c r="P500" i="8" s="1"/>
  <c r="EB11" i="7"/>
  <c r="EC11" i="7"/>
  <c r="ED11" i="7"/>
  <c r="EE11" i="7"/>
  <c r="EF11" i="7"/>
  <c r="EG11" i="7"/>
  <c r="EH11" i="7"/>
  <c r="EI11" i="7"/>
  <c r="EJ11" i="7"/>
  <c r="EK11" i="7"/>
  <c r="EL11" i="7"/>
  <c r="EM11" i="7"/>
  <c r="EN11" i="7"/>
  <c r="EO11" i="7"/>
  <c r="EP11" i="7"/>
  <c r="EQ11" i="7"/>
  <c r="EB11" i="6"/>
  <c r="EC11" i="6"/>
  <c r="ED11" i="6"/>
  <c r="EE11" i="6"/>
  <c r="EF11" i="6"/>
  <c r="EG11" i="6"/>
  <c r="EH11" i="6"/>
  <c r="EI11" i="6"/>
  <c r="EJ11" i="6"/>
  <c r="EK11" i="6"/>
  <c r="EL11" i="6"/>
  <c r="EM11" i="6"/>
  <c r="EN11" i="6"/>
  <c r="EO11" i="6"/>
  <c r="EP11" i="6"/>
  <c r="EQ11" i="6"/>
  <c r="ER11" i="6"/>
  <c r="ES11" i="6"/>
  <c r="ET11" i="6"/>
  <c r="EU11" i="6"/>
  <c r="EV11" i="6"/>
  <c r="EB11" i="5"/>
  <c r="EC11" i="5"/>
  <c r="ED11" i="5"/>
  <c r="EE11" i="5"/>
  <c r="EF11" i="5"/>
  <c r="EG11" i="5"/>
  <c r="EH11" i="5"/>
  <c r="EI11" i="5"/>
  <c r="EJ11" i="5"/>
  <c r="EK11" i="5"/>
  <c r="EL11" i="5"/>
  <c r="EM11" i="5"/>
  <c r="EN11" i="5"/>
  <c r="EO11" i="5"/>
  <c r="EP11" i="5"/>
  <c r="EQ11" i="5"/>
  <c r="ER11" i="5"/>
  <c r="ES11" i="5"/>
  <c r="ET11" i="5"/>
  <c r="EU11" i="5"/>
  <c r="EV11" i="5"/>
  <c r="EB11" i="16"/>
  <c r="EC11" i="16"/>
  <c r="ED11" i="16"/>
  <c r="EE11" i="16"/>
  <c r="EF11" i="16"/>
  <c r="EG11" i="16"/>
  <c r="EH11" i="16"/>
  <c r="EI11" i="16"/>
  <c r="EJ11" i="16"/>
  <c r="EK11" i="16"/>
  <c r="EL11" i="16"/>
  <c r="EM11" i="16"/>
  <c r="EN11" i="16"/>
  <c r="EO11" i="16"/>
  <c r="EP11" i="16"/>
  <c r="EQ11" i="16"/>
  <c r="ER11" i="16"/>
  <c r="ES11" i="16"/>
  <c r="ET11" i="16"/>
  <c r="EU11" i="16"/>
  <c r="EV11" i="16"/>
  <c r="EB11" i="4"/>
  <c r="EC11" i="4"/>
  <c r="ED11" i="4"/>
  <c r="EE11" i="4"/>
  <c r="EF11" i="4"/>
  <c r="EG11" i="4"/>
  <c r="EH11" i="4"/>
  <c r="EI11" i="4"/>
  <c r="EJ11" i="4"/>
  <c r="EK11" i="4"/>
  <c r="EL11" i="4"/>
  <c r="EM11" i="4"/>
  <c r="EN11" i="4"/>
  <c r="EO11" i="4"/>
  <c r="EP11" i="4"/>
  <c r="EQ11" i="4"/>
  <c r="ER11" i="4"/>
  <c r="EV11" i="4"/>
  <c r="EB11" i="3"/>
  <c r="EC11" i="3"/>
  <c r="ED11" i="3"/>
  <c r="EE11" i="3"/>
  <c r="EF11" i="3"/>
  <c r="EG11" i="3"/>
  <c r="EH11" i="3"/>
  <c r="EI11" i="3"/>
  <c r="EJ11" i="3"/>
  <c r="EK11" i="3"/>
  <c r="EL11" i="3"/>
  <c r="EM11" i="3"/>
  <c r="EN11" i="3"/>
  <c r="EO11" i="3"/>
  <c r="EQ11" i="3"/>
  <c r="ER11" i="3"/>
  <c r="EV11" i="3"/>
  <c r="NC11" i="2"/>
  <c r="NB11" i="2"/>
  <c r="NA11" i="2"/>
  <c r="MZ11" i="2"/>
  <c r="MY11" i="2"/>
  <c r="MX11" i="2"/>
  <c r="MW11" i="2"/>
  <c r="MV11" i="2"/>
  <c r="MU11" i="2"/>
  <c r="MT11" i="2"/>
  <c r="MS11" i="2"/>
  <c r="MR11" i="2"/>
  <c r="MQ11" i="2"/>
  <c r="MP11" i="2"/>
  <c r="MO11" i="2"/>
  <c r="MN11" i="2"/>
  <c r="MM11" i="2"/>
  <c r="ML11" i="2"/>
  <c r="MK11" i="2"/>
  <c r="MJ11" i="2"/>
  <c r="MI11" i="2"/>
  <c r="MH11" i="2"/>
  <c r="MG11" i="2"/>
  <c r="MF11" i="2"/>
  <c r="ME11" i="2"/>
  <c r="MD11" i="2"/>
  <c r="MC11" i="2"/>
  <c r="MB11" i="2"/>
  <c r="MA11" i="2"/>
  <c r="LZ11" i="2"/>
  <c r="LY11" i="2"/>
  <c r="LX11" i="2"/>
  <c r="LW11" i="2"/>
  <c r="LV11" i="2"/>
  <c r="LU11" i="2"/>
  <c r="LT11" i="2"/>
  <c r="LS11" i="2"/>
  <c r="LR11" i="2"/>
  <c r="LQ11" i="2"/>
  <c r="LP11" i="2"/>
  <c r="LO11" i="2"/>
  <c r="LN11" i="2"/>
  <c r="LM11" i="2"/>
  <c r="LL11" i="2"/>
  <c r="LK11" i="2"/>
  <c r="LJ11" i="2"/>
  <c r="LI11" i="2"/>
  <c r="LH11" i="2"/>
  <c r="LG11" i="2"/>
  <c r="LF11" i="2"/>
  <c r="LE11" i="2"/>
  <c r="LD11" i="2"/>
  <c r="LC11" i="2"/>
  <c r="LB11" i="2"/>
  <c r="LA11" i="2"/>
  <c r="KZ11" i="2"/>
  <c r="KY11" i="2"/>
  <c r="KX11" i="2"/>
  <c r="KW11" i="2"/>
  <c r="KV11" i="2"/>
  <c r="KU11" i="2"/>
  <c r="KT11" i="2"/>
  <c r="KS11" i="2"/>
  <c r="KR11" i="2"/>
  <c r="KQ11" i="2"/>
  <c r="KP11" i="2"/>
  <c r="KO11" i="2"/>
  <c r="KN11" i="2"/>
  <c r="KM11" i="2"/>
  <c r="KL11" i="2"/>
  <c r="KK11" i="2"/>
  <c r="KJ11" i="2"/>
  <c r="KI11" i="2"/>
  <c r="KH11" i="2"/>
  <c r="KG11" i="2"/>
  <c r="KF11" i="2"/>
  <c r="KE11" i="2"/>
  <c r="KD11" i="2"/>
  <c r="KC11" i="2"/>
  <c r="KB11" i="2"/>
  <c r="KA11" i="2"/>
  <c r="EV11" i="2"/>
  <c r="EU11" i="2"/>
  <c r="ET11" i="2"/>
  <c r="ES11" i="2"/>
  <c r="ER11" i="2"/>
  <c r="EQ11" i="2"/>
  <c r="EP11" i="2"/>
  <c r="EO11" i="2"/>
  <c r="EN11" i="2"/>
  <c r="EM11" i="2"/>
  <c r="EL11" i="2"/>
  <c r="EK11" i="2"/>
  <c r="EJ11" i="2"/>
  <c r="EI11" i="2"/>
  <c r="EH11" i="2"/>
  <c r="EG11" i="2"/>
  <c r="EF11" i="2"/>
  <c r="EE11" i="2"/>
  <c r="ED11" i="2"/>
  <c r="EC11" i="2"/>
  <c r="EB11" i="2"/>
  <c r="EB11" i="11"/>
  <c r="EC11" i="11"/>
  <c r="ED11" i="11"/>
  <c r="EE11" i="11"/>
  <c r="EF11" i="11"/>
  <c r="EG11" i="11"/>
  <c r="EH11" i="11"/>
  <c r="EI11" i="11"/>
  <c r="EJ11" i="11"/>
  <c r="EK11" i="11"/>
  <c r="EL11" i="11"/>
  <c r="EM11" i="11"/>
  <c r="EN11" i="11"/>
  <c r="EO11" i="11"/>
  <c r="EP11" i="11"/>
  <c r="EQ11" i="11"/>
  <c r="ER11" i="11"/>
  <c r="EV11" i="11"/>
  <c r="EB11" i="41"/>
  <c r="EC11" i="41"/>
  <c r="ED11" i="41"/>
  <c r="EE11" i="41"/>
  <c r="EF11" i="41"/>
  <c r="EG11" i="41"/>
  <c r="EH11" i="41"/>
  <c r="EI11" i="41"/>
  <c r="EJ11" i="41"/>
  <c r="EK11" i="41"/>
  <c r="EL11" i="41"/>
  <c r="EM11" i="41"/>
  <c r="EN11" i="41"/>
  <c r="EO11" i="41"/>
  <c r="EP11" i="41"/>
  <c r="EQ11" i="41"/>
  <c r="ER11" i="41"/>
  <c r="EV11" i="41"/>
  <c r="EB29" i="1"/>
  <c r="EC29" i="1"/>
  <c r="ED29" i="1"/>
  <c r="EE29" i="1"/>
  <c r="EF29" i="1"/>
  <c r="EG29" i="1"/>
  <c r="EH29" i="1"/>
  <c r="EI29" i="1"/>
  <c r="EJ29" i="1"/>
  <c r="EK29" i="1"/>
  <c r="EL29" i="1"/>
  <c r="EM29" i="1"/>
  <c r="EN29" i="1"/>
  <c r="EO29" i="1"/>
  <c r="EP29" i="1"/>
  <c r="EQ29" i="1"/>
  <c r="ER29" i="1"/>
  <c r="ES29" i="1"/>
  <c r="ET29" i="1"/>
  <c r="EU29" i="1"/>
  <c r="EV29" i="1"/>
  <c r="EB11" i="1"/>
  <c r="EC11" i="1"/>
  <c r="ED11" i="1"/>
  <c r="EE11" i="1"/>
  <c r="EF11" i="1"/>
  <c r="EG11" i="1"/>
  <c r="EH11" i="1"/>
  <c r="EI11" i="1"/>
  <c r="EJ11" i="1"/>
  <c r="EK11" i="1"/>
  <c r="EL11" i="1"/>
  <c r="EM11" i="1"/>
  <c r="EN11" i="1"/>
  <c r="EO11" i="1"/>
  <c r="EP11" i="1"/>
  <c r="EQ11" i="1"/>
  <c r="ER11" i="1"/>
  <c r="ES11" i="1"/>
  <c r="ET11" i="1"/>
  <c r="EU11" i="1"/>
  <c r="EV11" i="1"/>
  <c r="O475" i="8" l="1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AG482" i="8"/>
  <c r="R482" i="8" s="1"/>
  <c r="AH482" i="8"/>
  <c r="AG487" i="8"/>
  <c r="R487" i="8" s="1"/>
  <c r="AH487" i="8"/>
  <c r="Q487" i="8" s="1"/>
  <c r="AD490" i="8"/>
  <c r="AF490" i="8" s="1"/>
  <c r="AH490" i="8" s="1"/>
  <c r="AD491" i="8"/>
  <c r="AF491" i="8" s="1"/>
  <c r="AH491" i="8" s="1"/>
  <c r="AD492" i="8"/>
  <c r="AF492" i="8" s="1"/>
  <c r="AH492" i="8" s="1"/>
  <c r="AD493" i="8"/>
  <c r="AF493" i="8" s="1"/>
  <c r="AH493" i="8" s="1"/>
  <c r="AD494" i="8"/>
  <c r="AF494" i="8" s="1"/>
  <c r="AH494" i="8" s="1"/>
  <c r="AD495" i="8"/>
  <c r="AF495" i="8" s="1"/>
  <c r="AH495" i="8" s="1"/>
  <c r="AE490" i="8"/>
  <c r="AG490" i="8" s="1"/>
  <c r="R490" i="8" s="1"/>
  <c r="AE491" i="8"/>
  <c r="AG491" i="8" s="1"/>
  <c r="R491" i="8" s="1"/>
  <c r="AE492" i="8"/>
  <c r="AG492" i="8" s="1"/>
  <c r="R492" i="8" s="1"/>
  <c r="AE493" i="8"/>
  <c r="AG493" i="8" s="1"/>
  <c r="R493" i="8" s="1"/>
  <c r="AE494" i="8"/>
  <c r="AG494" i="8" s="1"/>
  <c r="R494" i="8" s="1"/>
  <c r="AE495" i="8"/>
  <c r="AG495" i="8" s="1"/>
  <c r="R495" i="8" s="1"/>
  <c r="DU11" i="7"/>
  <c r="DV11" i="7"/>
  <c r="DW11" i="7"/>
  <c r="DX11" i="7"/>
  <c r="DY11" i="7"/>
  <c r="DZ11" i="7"/>
  <c r="EA11" i="7"/>
  <c r="DV11" i="6"/>
  <c r="DW11" i="6"/>
  <c r="DX11" i="6"/>
  <c r="DY11" i="6"/>
  <c r="DZ11" i="6"/>
  <c r="EA11" i="6"/>
  <c r="DV11" i="5"/>
  <c r="DW11" i="5"/>
  <c r="DX11" i="5"/>
  <c r="DY11" i="5"/>
  <c r="DZ11" i="5"/>
  <c r="EA11" i="5"/>
  <c r="DV11" i="16"/>
  <c r="DW11" i="16"/>
  <c r="DX11" i="16"/>
  <c r="DY11" i="16"/>
  <c r="DZ11" i="16"/>
  <c r="EA11" i="16"/>
  <c r="DV11" i="4"/>
  <c r="DW11" i="4"/>
  <c r="DX11" i="4"/>
  <c r="DY11" i="4"/>
  <c r="DZ11" i="4"/>
  <c r="EA11" i="4"/>
  <c r="DV11" i="3"/>
  <c r="DW11" i="3"/>
  <c r="DX11" i="3"/>
  <c r="DY11" i="3"/>
  <c r="DZ11" i="3"/>
  <c r="EA11" i="3"/>
  <c r="DV11" i="2"/>
  <c r="DW11" i="2"/>
  <c r="DX11" i="2"/>
  <c r="DY11" i="2"/>
  <c r="DZ11" i="2"/>
  <c r="EA11" i="2"/>
  <c r="DV11" i="1"/>
  <c r="DW11" i="1"/>
  <c r="DX11" i="1"/>
  <c r="DY11" i="1"/>
  <c r="DZ11" i="1"/>
  <c r="EA11" i="1"/>
  <c r="DV29" i="1"/>
  <c r="DW29" i="1"/>
  <c r="DX29" i="1"/>
  <c r="DY29" i="1"/>
  <c r="DZ29" i="1"/>
  <c r="EA29" i="1"/>
  <c r="DV11" i="41"/>
  <c r="DW11" i="41"/>
  <c r="DX11" i="41"/>
  <c r="DY11" i="41"/>
  <c r="DZ11" i="41"/>
  <c r="EA11" i="41"/>
  <c r="DV11" i="11"/>
  <c r="DW11" i="11"/>
  <c r="DX11" i="11"/>
  <c r="DY11" i="11"/>
  <c r="DZ11" i="11"/>
  <c r="EA11" i="11"/>
  <c r="N492" i="8" l="1"/>
  <c r="N491" i="8"/>
  <c r="N482" i="8"/>
  <c r="N490" i="8"/>
  <c r="Q494" i="8"/>
  <c r="P494" i="8" s="1"/>
  <c r="N494" i="8"/>
  <c r="N493" i="8"/>
  <c r="Q482" i="8"/>
  <c r="P482" i="8" s="1"/>
  <c r="Q495" i="8"/>
  <c r="P495" i="8" s="1"/>
  <c r="N495" i="8"/>
  <c r="N487" i="8"/>
  <c r="Q490" i="8"/>
  <c r="P490" i="8" s="1"/>
  <c r="Q493" i="8"/>
  <c r="P493" i="8" s="1"/>
  <c r="Q491" i="8"/>
  <c r="P491" i="8" s="1"/>
  <c r="P487" i="8"/>
  <c r="Q492" i="8"/>
  <c r="P492" i="8" s="1"/>
  <c r="AH6" i="79"/>
  <c r="AD6" i="79"/>
  <c r="AD5" i="79" s="1"/>
  <c r="Z6" i="79"/>
  <c r="V6" i="79"/>
  <c r="R6" i="79"/>
  <c r="N6" i="79"/>
  <c r="J6" i="79"/>
  <c r="F6" i="79"/>
  <c r="B6" i="79"/>
  <c r="B5" i="79" l="1"/>
  <c r="C6" i="79"/>
  <c r="D6" i="79"/>
  <c r="K6" i="79"/>
  <c r="L6" i="79"/>
  <c r="N5" i="79"/>
  <c r="O6" i="79"/>
  <c r="P6" i="79"/>
  <c r="R5" i="79"/>
  <c r="S6" i="79"/>
  <c r="T6" i="79"/>
  <c r="V5" i="79"/>
  <c r="W6" i="79"/>
  <c r="X6" i="79"/>
  <c r="Z5" i="79"/>
  <c r="AA6" i="79"/>
  <c r="AB6" i="79"/>
  <c r="AD4" i="79"/>
  <c r="AE5" i="79"/>
  <c r="AF5" i="79"/>
  <c r="F5" i="79"/>
  <c r="G6" i="79"/>
  <c r="H6" i="79"/>
  <c r="AE6" i="79"/>
  <c r="AF6" i="79"/>
  <c r="J5" i="79"/>
  <c r="AH5" i="79"/>
  <c r="AI6" i="79"/>
  <c r="AJ6" i="79"/>
  <c r="AD485" i="8"/>
  <c r="AF485" i="8" s="1"/>
  <c r="AH485" i="8" s="1"/>
  <c r="N485" i="8" s="1"/>
  <c r="AE479" i="8"/>
  <c r="AG479" i="8" s="1"/>
  <c r="R479" i="8" s="1"/>
  <c r="AE480" i="8"/>
  <c r="AG480" i="8" s="1"/>
  <c r="R480" i="8" s="1"/>
  <c r="AE481" i="8"/>
  <c r="AG481" i="8" s="1"/>
  <c r="R481" i="8" s="1"/>
  <c r="AE483" i="8"/>
  <c r="AG483" i="8" s="1"/>
  <c r="R483" i="8" s="1"/>
  <c r="AE484" i="8"/>
  <c r="AG484" i="8" s="1"/>
  <c r="R484" i="8" s="1"/>
  <c r="AE485" i="8"/>
  <c r="AG485" i="8" s="1"/>
  <c r="R485" i="8" s="1"/>
  <c r="AE486" i="8"/>
  <c r="AG486" i="8" s="1"/>
  <c r="R486" i="8" s="1"/>
  <c r="AE488" i="8"/>
  <c r="AG488" i="8" s="1"/>
  <c r="R488" i="8" s="1"/>
  <c r="AE489" i="8"/>
  <c r="AG489" i="8" s="1"/>
  <c r="R489" i="8" s="1"/>
  <c r="AD483" i="8"/>
  <c r="AF483" i="8" s="1"/>
  <c r="AD484" i="8"/>
  <c r="AF484" i="8" s="1"/>
  <c r="AH484" i="8" s="1"/>
  <c r="N484" i="8" s="1"/>
  <c r="AD486" i="8"/>
  <c r="AF486" i="8" s="1"/>
  <c r="AH486" i="8" s="1"/>
  <c r="AD488" i="8"/>
  <c r="AF488" i="8" s="1"/>
  <c r="AH488" i="8" s="1"/>
  <c r="AD489" i="8"/>
  <c r="AF489" i="8" s="1"/>
  <c r="AH489" i="8" s="1"/>
  <c r="N489" i="8" s="1"/>
  <c r="DO11" i="4"/>
  <c r="Q488" i="8" l="1"/>
  <c r="P488" i="8" s="1"/>
  <c r="N488" i="8"/>
  <c r="Q486" i="8"/>
  <c r="P486" i="8" s="1"/>
  <c r="N486" i="8"/>
  <c r="Q484" i="8"/>
  <c r="P484" i="8" s="1"/>
  <c r="Q485" i="8"/>
  <c r="P485" i="8" s="1"/>
  <c r="AH483" i="8"/>
  <c r="Q489" i="8"/>
  <c r="P489" i="8" s="1"/>
  <c r="J4" i="79"/>
  <c r="K5" i="79"/>
  <c r="L5" i="79"/>
  <c r="Z4" i="79"/>
  <c r="AA5" i="79"/>
  <c r="AB5" i="79"/>
  <c r="N4" i="79"/>
  <c r="O5" i="79"/>
  <c r="P5" i="79"/>
  <c r="AH4" i="79"/>
  <c r="AI5" i="79"/>
  <c r="AJ5" i="79"/>
  <c r="F4" i="79"/>
  <c r="G5" i="79"/>
  <c r="H5" i="79"/>
  <c r="AD3" i="79"/>
  <c r="AE4" i="79"/>
  <c r="AF4" i="79"/>
  <c r="V4" i="79"/>
  <c r="W5" i="79"/>
  <c r="X5" i="79"/>
  <c r="R4" i="79"/>
  <c r="S5" i="79"/>
  <c r="T5" i="79"/>
  <c r="B4" i="79"/>
  <c r="C5" i="79"/>
  <c r="D5" i="79"/>
  <c r="DN11" i="7"/>
  <c r="DO11" i="7"/>
  <c r="DP11" i="7"/>
  <c r="DQ11" i="7"/>
  <c r="DR11" i="7"/>
  <c r="DS11" i="7"/>
  <c r="DT11" i="7"/>
  <c r="DN11" i="6"/>
  <c r="DO11" i="6"/>
  <c r="DP11" i="6"/>
  <c r="DQ11" i="6"/>
  <c r="DR11" i="6"/>
  <c r="DS11" i="6"/>
  <c r="DT11" i="6"/>
  <c r="DU11" i="6"/>
  <c r="DN11" i="5"/>
  <c r="DO11" i="5"/>
  <c r="DP11" i="5"/>
  <c r="DQ11" i="5"/>
  <c r="DR11" i="5"/>
  <c r="DS11" i="5"/>
  <c r="DT11" i="5"/>
  <c r="DU11" i="5"/>
  <c r="DN11" i="16"/>
  <c r="DO11" i="16"/>
  <c r="DP11" i="16"/>
  <c r="DQ11" i="16"/>
  <c r="DR11" i="16"/>
  <c r="DS11" i="16"/>
  <c r="DT11" i="16"/>
  <c r="DU11" i="16"/>
  <c r="DN11" i="4"/>
  <c r="DP11" i="4"/>
  <c r="DQ11" i="4"/>
  <c r="DR11" i="4"/>
  <c r="DS11" i="4"/>
  <c r="DT11" i="4"/>
  <c r="DU11" i="4"/>
  <c r="DN11" i="3"/>
  <c r="DO11" i="3"/>
  <c r="DP11" i="3"/>
  <c r="DQ11" i="3"/>
  <c r="DR11" i="3"/>
  <c r="DS11" i="3"/>
  <c r="DT11" i="3"/>
  <c r="DU11" i="3"/>
  <c r="DN11" i="2"/>
  <c r="DO11" i="2"/>
  <c r="DP11" i="2"/>
  <c r="DQ11" i="2"/>
  <c r="DR11" i="2"/>
  <c r="DS11" i="2"/>
  <c r="DT11" i="2"/>
  <c r="DU11" i="2"/>
  <c r="DI11" i="1"/>
  <c r="DJ11" i="1"/>
  <c r="DK11" i="1"/>
  <c r="DL11" i="1"/>
  <c r="DM11" i="1"/>
  <c r="DN11" i="1"/>
  <c r="DO11" i="1"/>
  <c r="DP11" i="1"/>
  <c r="DQ11" i="1"/>
  <c r="DR11" i="1"/>
  <c r="DS11" i="1"/>
  <c r="DT11" i="1"/>
  <c r="DU11" i="1"/>
  <c r="DI29" i="1"/>
  <c r="DJ29" i="1"/>
  <c r="DK29" i="1"/>
  <c r="DL29" i="1"/>
  <c r="DM29" i="1"/>
  <c r="DN29" i="1"/>
  <c r="DO29" i="1"/>
  <c r="DP29" i="1"/>
  <c r="DQ29" i="1"/>
  <c r="DR29" i="1"/>
  <c r="DS29" i="1"/>
  <c r="DT29" i="1"/>
  <c r="DU29" i="1"/>
  <c r="DN11" i="41"/>
  <c r="DO11" i="41"/>
  <c r="DP11" i="41"/>
  <c r="DQ11" i="41"/>
  <c r="DR11" i="41"/>
  <c r="DS11" i="41"/>
  <c r="DT11" i="41"/>
  <c r="DU11" i="41"/>
  <c r="DN11" i="11"/>
  <c r="DO11" i="11"/>
  <c r="DP11" i="11"/>
  <c r="DQ11" i="11"/>
  <c r="DR11" i="11"/>
  <c r="DS11" i="11"/>
  <c r="DT11" i="11"/>
  <c r="DU11" i="11"/>
  <c r="AE476" i="8"/>
  <c r="AG476" i="8" s="1"/>
  <c r="R476" i="8" s="1"/>
  <c r="AE477" i="8"/>
  <c r="AG477" i="8" s="1"/>
  <c r="R477" i="8" s="1"/>
  <c r="AE478" i="8"/>
  <c r="AG478" i="8" s="1"/>
  <c r="R478" i="8" s="1"/>
  <c r="AD476" i="8"/>
  <c r="AF476" i="8" s="1"/>
  <c r="AH476" i="8" s="1"/>
  <c r="AD477" i="8"/>
  <c r="AF477" i="8" s="1"/>
  <c r="AH477" i="8" s="1"/>
  <c r="AD478" i="8"/>
  <c r="AF478" i="8" s="1"/>
  <c r="AH478" i="8" s="1"/>
  <c r="N478" i="8" s="1"/>
  <c r="AD479" i="8"/>
  <c r="AF479" i="8" s="1"/>
  <c r="AH479" i="8" s="1"/>
  <c r="N479" i="8" s="1"/>
  <c r="AD480" i="8"/>
  <c r="AF480" i="8" s="1"/>
  <c r="AH480" i="8" s="1"/>
  <c r="N480" i="8" s="1"/>
  <c r="AD481" i="8"/>
  <c r="AF481" i="8" s="1"/>
  <c r="AH481" i="8" s="1"/>
  <c r="N481" i="8" s="1"/>
  <c r="N477" i="8" l="1"/>
  <c r="N476" i="8"/>
  <c r="Q483" i="8"/>
  <c r="P483" i="8" s="1"/>
  <c r="N483" i="8"/>
  <c r="Q479" i="8"/>
  <c r="P479" i="8" s="1"/>
  <c r="Q478" i="8"/>
  <c r="P478" i="8" s="1"/>
  <c r="Q477" i="8"/>
  <c r="P477" i="8" s="1"/>
  <c r="Q480" i="8"/>
  <c r="P480" i="8" s="1"/>
  <c r="Q481" i="8"/>
  <c r="P481" i="8" s="1"/>
  <c r="Q476" i="8"/>
  <c r="P476" i="8" s="1"/>
  <c r="V3" i="79"/>
  <c r="W4" i="79"/>
  <c r="X4" i="79"/>
  <c r="AF3" i="79"/>
  <c r="AE3" i="79"/>
  <c r="N3" i="79"/>
  <c r="O4" i="79"/>
  <c r="P4" i="79"/>
  <c r="R3" i="79"/>
  <c r="S4" i="79"/>
  <c r="T4" i="79"/>
  <c r="F3" i="79"/>
  <c r="G4" i="79"/>
  <c r="H4" i="79"/>
  <c r="Z3" i="79"/>
  <c r="AA4" i="79"/>
  <c r="AB4" i="79"/>
  <c r="AH3" i="79"/>
  <c r="AI4" i="79"/>
  <c r="AJ4" i="79"/>
  <c r="B3" i="79"/>
  <c r="C4" i="79"/>
  <c r="D4" i="79"/>
  <c r="J3" i="79"/>
  <c r="K4" i="79"/>
  <c r="L4" i="79"/>
  <c r="DG11" i="7"/>
  <c r="DH11" i="7"/>
  <c r="DI11" i="7"/>
  <c r="DJ11" i="7"/>
  <c r="DK11" i="7"/>
  <c r="DL11" i="7"/>
  <c r="DM11" i="7"/>
  <c r="DH11" i="6"/>
  <c r="DI11" i="6"/>
  <c r="DJ11" i="6"/>
  <c r="DK11" i="6"/>
  <c r="DL11" i="6"/>
  <c r="DM11" i="6"/>
  <c r="DH11" i="5"/>
  <c r="DI11" i="5"/>
  <c r="DJ11" i="5"/>
  <c r="DK11" i="5"/>
  <c r="DL11" i="5"/>
  <c r="DM11" i="5"/>
  <c r="DH11" i="16"/>
  <c r="DI11" i="16"/>
  <c r="DJ11" i="16"/>
  <c r="DK11" i="16"/>
  <c r="DL11" i="16"/>
  <c r="DM11" i="16"/>
  <c r="DH11" i="4"/>
  <c r="DI11" i="4"/>
  <c r="DJ11" i="4"/>
  <c r="DK11" i="4"/>
  <c r="DL11" i="4"/>
  <c r="DM11" i="4"/>
  <c r="DD11" i="3"/>
  <c r="DE11" i="3"/>
  <c r="DF11" i="3"/>
  <c r="DG11" i="3"/>
  <c r="DH11" i="3"/>
  <c r="DI11" i="3"/>
  <c r="DJ11" i="3"/>
  <c r="DK11" i="3"/>
  <c r="DL11" i="3"/>
  <c r="DM11" i="3"/>
  <c r="DH11" i="2"/>
  <c r="DI11" i="2"/>
  <c r="DJ11" i="2"/>
  <c r="DK11" i="2"/>
  <c r="DL11" i="2"/>
  <c r="DM11" i="2"/>
  <c r="DH11" i="1"/>
  <c r="DH29" i="1"/>
  <c r="DH11" i="41"/>
  <c r="DI11" i="41"/>
  <c r="DJ11" i="41"/>
  <c r="DK11" i="41"/>
  <c r="DL11" i="41"/>
  <c r="DM11" i="41"/>
  <c r="DH11" i="11"/>
  <c r="DI11" i="11"/>
  <c r="DJ11" i="11"/>
  <c r="DK11" i="11"/>
  <c r="DL11" i="11"/>
  <c r="DM11" i="11"/>
  <c r="CZ11" i="3"/>
  <c r="DA11" i="3"/>
  <c r="DB11" i="3"/>
  <c r="DC11" i="3"/>
  <c r="O469" i="8"/>
  <c r="O470" i="8"/>
  <c r="O471" i="8"/>
  <c r="O472" i="8"/>
  <c r="O473" i="8"/>
  <c r="O474" i="8"/>
  <c r="CZ11" i="41"/>
  <c r="DA11" i="41"/>
  <c r="DB11" i="41"/>
  <c r="DC11" i="41"/>
  <c r="DD11" i="41"/>
  <c r="DE11" i="41"/>
  <c r="DF11" i="41"/>
  <c r="DG11" i="41"/>
  <c r="CZ11" i="11"/>
  <c r="DA11" i="11"/>
  <c r="DB11" i="11"/>
  <c r="DC11" i="11"/>
  <c r="DD11" i="11"/>
  <c r="DE11" i="11"/>
  <c r="DF11" i="11"/>
  <c r="DG11" i="11"/>
  <c r="CZ11" i="7"/>
  <c r="DA11" i="7"/>
  <c r="DB11" i="7"/>
  <c r="DC11" i="7"/>
  <c r="DD11" i="7"/>
  <c r="DE11" i="7"/>
  <c r="DF11" i="7"/>
  <c r="CZ11" i="6"/>
  <c r="DA11" i="6"/>
  <c r="DB11" i="6"/>
  <c r="DC11" i="6"/>
  <c r="DD11" i="6"/>
  <c r="DE11" i="6"/>
  <c r="DF11" i="6"/>
  <c r="DG11" i="6"/>
  <c r="CZ11" i="5"/>
  <c r="DA11" i="5"/>
  <c r="DB11" i="5"/>
  <c r="DC11" i="5"/>
  <c r="DD11" i="5"/>
  <c r="DE11" i="5"/>
  <c r="DF11" i="5"/>
  <c r="DG11" i="5"/>
  <c r="CZ11" i="16"/>
  <c r="DA11" i="16"/>
  <c r="DB11" i="16"/>
  <c r="DC11" i="16"/>
  <c r="DD11" i="16"/>
  <c r="DE11" i="16"/>
  <c r="DF11" i="16"/>
  <c r="DG11" i="16"/>
  <c r="CZ11" i="4"/>
  <c r="DA11" i="4"/>
  <c r="DB11" i="4"/>
  <c r="DC11" i="4"/>
  <c r="DD11" i="4"/>
  <c r="DE11" i="4"/>
  <c r="DF11" i="4"/>
  <c r="DG11" i="4"/>
  <c r="AE469" i="8"/>
  <c r="AG469" i="8" s="1"/>
  <c r="R469" i="8" s="1"/>
  <c r="AE470" i="8"/>
  <c r="AG470" i="8" s="1"/>
  <c r="R470" i="8" s="1"/>
  <c r="AE471" i="8"/>
  <c r="AG471" i="8" s="1"/>
  <c r="R471" i="8" s="1"/>
  <c r="AE472" i="8"/>
  <c r="AG472" i="8" s="1"/>
  <c r="R472" i="8" s="1"/>
  <c r="AE473" i="8"/>
  <c r="AG473" i="8" s="1"/>
  <c r="R473" i="8" s="1"/>
  <c r="AE474" i="8"/>
  <c r="AG474" i="8" s="1"/>
  <c r="R474" i="8" s="1"/>
  <c r="AE475" i="8"/>
  <c r="AD468" i="8"/>
  <c r="AD469" i="8"/>
  <c r="AF469" i="8" s="1"/>
  <c r="AH469" i="8" s="1"/>
  <c r="N469" i="8" s="1"/>
  <c r="AD470" i="8"/>
  <c r="AF470" i="8" s="1"/>
  <c r="AH470" i="8" s="1"/>
  <c r="AD471" i="8"/>
  <c r="AF471" i="8" s="1"/>
  <c r="AH471" i="8" s="1"/>
  <c r="N471" i="8" s="1"/>
  <c r="AD472" i="8"/>
  <c r="AF472" i="8" s="1"/>
  <c r="AH472" i="8" s="1"/>
  <c r="AD473" i="8"/>
  <c r="AF473" i="8" s="1"/>
  <c r="AH473" i="8" s="1"/>
  <c r="AD474" i="8"/>
  <c r="AF474" i="8" s="1"/>
  <c r="AH474" i="8" s="1"/>
  <c r="N474" i="8" s="1"/>
  <c r="AD475" i="8"/>
  <c r="AF475" i="8" s="1"/>
  <c r="AH475" i="8" s="1"/>
  <c r="N473" i="8" l="1"/>
  <c r="N472" i="8"/>
  <c r="Q470" i="8"/>
  <c r="P470" i="8" s="1"/>
  <c r="N470" i="8"/>
  <c r="Q473" i="8"/>
  <c r="P473" i="8" s="1"/>
  <c r="Q472" i="8"/>
  <c r="P472" i="8" s="1"/>
  <c r="Q469" i="8"/>
  <c r="P469" i="8" s="1"/>
  <c r="Q474" i="8"/>
  <c r="P474" i="8" s="1"/>
  <c r="AG475" i="8"/>
  <c r="R475" i="8" s="1"/>
  <c r="Q471" i="8"/>
  <c r="P471" i="8" s="1"/>
  <c r="L3" i="79"/>
  <c r="K3" i="79"/>
  <c r="AB3" i="79"/>
  <c r="AA3" i="79"/>
  <c r="P3" i="79"/>
  <c r="O3" i="79"/>
  <c r="C3" i="79"/>
  <c r="D3" i="79"/>
  <c r="H3" i="79"/>
  <c r="G3" i="79"/>
  <c r="AJ3" i="79"/>
  <c r="AI3" i="79"/>
  <c r="T3" i="79"/>
  <c r="S3" i="79"/>
  <c r="X3" i="79"/>
  <c r="W3" i="79"/>
  <c r="Q475" i="8"/>
  <c r="CZ11" i="1"/>
  <c r="DA11" i="1"/>
  <c r="DB11" i="1"/>
  <c r="DC11" i="1"/>
  <c r="DD11" i="1"/>
  <c r="DE11" i="1"/>
  <c r="DF11" i="1"/>
  <c r="DG11" i="1"/>
  <c r="CZ29" i="1"/>
  <c r="DA29" i="1"/>
  <c r="DB29" i="1"/>
  <c r="DC29" i="1"/>
  <c r="DD29" i="1"/>
  <c r="DE29" i="1"/>
  <c r="DF29" i="1"/>
  <c r="DG29" i="1"/>
  <c r="CZ11" i="2"/>
  <c r="DA11" i="2"/>
  <c r="DB11" i="2"/>
  <c r="DC11" i="2"/>
  <c r="DD11" i="2"/>
  <c r="DE11" i="2"/>
  <c r="DF11" i="2"/>
  <c r="DG11" i="2"/>
  <c r="O462" i="8"/>
  <c r="O463" i="8"/>
  <c r="O464" i="8"/>
  <c r="O465" i="8"/>
  <c r="O466" i="8"/>
  <c r="O467" i="8"/>
  <c r="CM11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AE462" i="8"/>
  <c r="AG462" i="8" s="1"/>
  <c r="R462" i="8" s="1"/>
  <c r="AE463" i="8"/>
  <c r="AG463" i="8" s="1"/>
  <c r="R463" i="8" s="1"/>
  <c r="AE464" i="8"/>
  <c r="AG464" i="8" s="1"/>
  <c r="R464" i="8" s="1"/>
  <c r="AE465" i="8"/>
  <c r="AG465" i="8" s="1"/>
  <c r="R465" i="8" s="1"/>
  <c r="AE466" i="8"/>
  <c r="AG466" i="8" s="1"/>
  <c r="R466" i="8" s="1"/>
  <c r="AE467" i="8"/>
  <c r="AG467" i="8" s="1"/>
  <c r="R467" i="8" s="1"/>
  <c r="AD467" i="8"/>
  <c r="AF467" i="8" s="1"/>
  <c r="AH467" i="8" s="1"/>
  <c r="AD462" i="8"/>
  <c r="AF462" i="8" s="1"/>
  <c r="AH462" i="8" s="1"/>
  <c r="AD463" i="8"/>
  <c r="AF463" i="8" s="1"/>
  <c r="AH463" i="8" s="1"/>
  <c r="AD464" i="8"/>
  <c r="AF464" i="8" s="1"/>
  <c r="AH464" i="8" s="1"/>
  <c r="AD465" i="8"/>
  <c r="AF465" i="8" s="1"/>
  <c r="AH465" i="8" s="1"/>
  <c r="AD466" i="8"/>
  <c r="AF466" i="8" s="1"/>
  <c r="AH466" i="8" s="1"/>
  <c r="N467" i="8" l="1"/>
  <c r="N466" i="8"/>
  <c r="N475" i="8"/>
  <c r="N465" i="8"/>
  <c r="N464" i="8"/>
  <c r="N463" i="8"/>
  <c r="N462" i="8"/>
  <c r="Q462" i="8"/>
  <c r="P462" i="8" s="1"/>
  <c r="Q464" i="8"/>
  <c r="P464" i="8" s="1"/>
  <c r="Q463" i="8"/>
  <c r="P463" i="8" s="1"/>
  <c r="Q467" i="8"/>
  <c r="P467" i="8" s="1"/>
  <c r="Q466" i="8"/>
  <c r="P466" i="8" s="1"/>
  <c r="Q465" i="8"/>
  <c r="P465" i="8" s="1"/>
  <c r="P475" i="8"/>
  <c r="CS11" i="7"/>
  <c r="CT11" i="7"/>
  <c r="CU11" i="7"/>
  <c r="CV11" i="7"/>
  <c r="CW11" i="7"/>
  <c r="CX11" i="7"/>
  <c r="CY11" i="7"/>
  <c r="CS11" i="6"/>
  <c r="CT11" i="6"/>
  <c r="CU11" i="6"/>
  <c r="CV11" i="6"/>
  <c r="CW11" i="6"/>
  <c r="CX11" i="6"/>
  <c r="CY11" i="6"/>
  <c r="CS11" i="5"/>
  <c r="CT11" i="5"/>
  <c r="CU11" i="5"/>
  <c r="CV11" i="5"/>
  <c r="CW11" i="5"/>
  <c r="CX11" i="5"/>
  <c r="CY11" i="5"/>
  <c r="CS11" i="16"/>
  <c r="CT11" i="16"/>
  <c r="CU11" i="16"/>
  <c r="CV11" i="16"/>
  <c r="CW11" i="16"/>
  <c r="CX11" i="16"/>
  <c r="CY11" i="16"/>
  <c r="CS11" i="4"/>
  <c r="CT11" i="4"/>
  <c r="CU11" i="4"/>
  <c r="CV11" i="4"/>
  <c r="CW11" i="4"/>
  <c r="CX11" i="4"/>
  <c r="CY11" i="4"/>
  <c r="CS11" i="3"/>
  <c r="CT11" i="3"/>
  <c r="CU11" i="3"/>
  <c r="CV11" i="3"/>
  <c r="CW11" i="3"/>
  <c r="CX11" i="3"/>
  <c r="CY11" i="3"/>
  <c r="CS11" i="2"/>
  <c r="CT11" i="2"/>
  <c r="CU11" i="2"/>
  <c r="CV11" i="2"/>
  <c r="CW11" i="2"/>
  <c r="CX11" i="2"/>
  <c r="CY11" i="2"/>
  <c r="CS11" i="41"/>
  <c r="CT11" i="41"/>
  <c r="CU11" i="41"/>
  <c r="CV11" i="41"/>
  <c r="CW11" i="41"/>
  <c r="CX11" i="41"/>
  <c r="CY11" i="41"/>
  <c r="CS11" i="11"/>
  <c r="CT11" i="11"/>
  <c r="CU11" i="11"/>
  <c r="CV11" i="11"/>
  <c r="CW11" i="11"/>
  <c r="CX11" i="11"/>
  <c r="CY11" i="11"/>
  <c r="O454" i="8"/>
  <c r="Q454" i="8"/>
  <c r="R454" i="8"/>
  <c r="O455" i="8"/>
  <c r="O456" i="8"/>
  <c r="O457" i="8"/>
  <c r="O458" i="8"/>
  <c r="O459" i="8"/>
  <c r="O460" i="8"/>
  <c r="O461" i="8"/>
  <c r="Q461" i="8"/>
  <c r="R461" i="8"/>
  <c r="AE455" i="8"/>
  <c r="AG455" i="8" s="1"/>
  <c r="R455" i="8" s="1"/>
  <c r="AE456" i="8"/>
  <c r="AG456" i="8" s="1"/>
  <c r="R456" i="8" s="1"/>
  <c r="AE457" i="8"/>
  <c r="AG457" i="8" s="1"/>
  <c r="R457" i="8" s="1"/>
  <c r="AE458" i="8"/>
  <c r="AG458" i="8" s="1"/>
  <c r="R458" i="8" s="1"/>
  <c r="AE459" i="8"/>
  <c r="AG459" i="8" s="1"/>
  <c r="R459" i="8" s="1"/>
  <c r="AE460" i="8"/>
  <c r="AG460" i="8" s="1"/>
  <c r="R460" i="8" s="1"/>
  <c r="AD455" i="8"/>
  <c r="AF455" i="8" s="1"/>
  <c r="AH455" i="8" s="1"/>
  <c r="N455" i="8" s="1"/>
  <c r="AD456" i="8"/>
  <c r="AF456" i="8" s="1"/>
  <c r="AH456" i="8" s="1"/>
  <c r="AD457" i="8"/>
  <c r="AF457" i="8" s="1"/>
  <c r="AH457" i="8" s="1"/>
  <c r="AD458" i="8"/>
  <c r="AF458" i="8" s="1"/>
  <c r="AH458" i="8" s="1"/>
  <c r="AD459" i="8"/>
  <c r="AF459" i="8" s="1"/>
  <c r="AH459" i="8" s="1"/>
  <c r="AD460" i="8"/>
  <c r="AF460" i="8" s="1"/>
  <c r="AH460" i="8" s="1"/>
  <c r="N459" i="8" l="1"/>
  <c r="N458" i="8"/>
  <c r="N457" i="8"/>
  <c r="N456" i="8"/>
  <c r="N460" i="8"/>
  <c r="Q460" i="8"/>
  <c r="P460" i="8" s="1"/>
  <c r="Q457" i="8"/>
  <c r="P457" i="8" s="1"/>
  <c r="Q459" i="8"/>
  <c r="P459" i="8" s="1"/>
  <c r="Q458" i="8"/>
  <c r="P458" i="8" s="1"/>
  <c r="Q456" i="8"/>
  <c r="P456" i="8" s="1"/>
  <c r="Q455" i="8"/>
  <c r="P455" i="8" s="1"/>
  <c r="P454" i="8"/>
  <c r="P461" i="8"/>
  <c r="CL11" i="41"/>
  <c r="CM11" i="41"/>
  <c r="CN11" i="41"/>
  <c r="CO11" i="41"/>
  <c r="CP11" i="41"/>
  <c r="CQ11" i="41"/>
  <c r="CR11" i="41"/>
  <c r="CL11" i="11"/>
  <c r="CM11" i="11"/>
  <c r="CN11" i="11"/>
  <c r="CO11" i="11"/>
  <c r="CP11" i="11"/>
  <c r="CQ11" i="11"/>
  <c r="CR11" i="11"/>
  <c r="CL11" i="7"/>
  <c r="CM11" i="7"/>
  <c r="CN11" i="7"/>
  <c r="CO11" i="7"/>
  <c r="CP11" i="7"/>
  <c r="CQ11" i="7"/>
  <c r="CR11" i="7"/>
  <c r="CL11" i="6"/>
  <c r="CM11" i="6"/>
  <c r="CN11" i="6"/>
  <c r="CO11" i="6"/>
  <c r="CP11" i="6"/>
  <c r="CQ11" i="6"/>
  <c r="CR11" i="6"/>
  <c r="CN11" i="16"/>
  <c r="CO11" i="16"/>
  <c r="CP11" i="16"/>
  <c r="CQ11" i="16"/>
  <c r="CR11" i="16"/>
  <c r="CN11" i="5"/>
  <c r="CO11" i="5"/>
  <c r="CP11" i="5"/>
  <c r="CQ11" i="5"/>
  <c r="CR11" i="5"/>
  <c r="CL11" i="5"/>
  <c r="CM11" i="5"/>
  <c r="CL11" i="16"/>
  <c r="CM11" i="16"/>
  <c r="CN11" i="4"/>
  <c r="CO11" i="4"/>
  <c r="CP11" i="4"/>
  <c r="CQ11" i="4"/>
  <c r="CR11" i="4"/>
  <c r="CL11" i="4"/>
  <c r="CM11" i="4"/>
  <c r="CN11" i="3"/>
  <c r="CO11" i="3"/>
  <c r="CP11" i="3"/>
  <c r="CQ11" i="3"/>
  <c r="CR11" i="3"/>
  <c r="CL11" i="3"/>
  <c r="CM11" i="3"/>
  <c r="CL11" i="2"/>
  <c r="CM11" i="2"/>
  <c r="CN11" i="2"/>
  <c r="CO11" i="2"/>
  <c r="CP11" i="2"/>
  <c r="CQ11" i="2"/>
  <c r="CR11" i="2"/>
  <c r="AO2" i="8"/>
  <c r="CB11" i="6" l="1"/>
  <c r="CC11" i="6"/>
  <c r="CD11" i="6"/>
  <c r="CE11" i="6"/>
  <c r="CF11" i="6"/>
  <c r="CG11" i="6"/>
  <c r="CH11" i="6"/>
  <c r="CI11" i="6"/>
  <c r="CJ11" i="6"/>
  <c r="CK11" i="6"/>
  <c r="O445" i="8"/>
  <c r="Q445" i="8"/>
  <c r="R445" i="8"/>
  <c r="O446" i="8"/>
  <c r="Q446" i="8"/>
  <c r="R446" i="8"/>
  <c r="O447" i="8"/>
  <c r="Q447" i="8"/>
  <c r="R447" i="8"/>
  <c r="O448" i="8"/>
  <c r="O449" i="8"/>
  <c r="O450" i="8"/>
  <c r="O451" i="8"/>
  <c r="O452" i="8"/>
  <c r="O453" i="8"/>
  <c r="CB11" i="7"/>
  <c r="CC11" i="7"/>
  <c r="CD11" i="7"/>
  <c r="CE11" i="7"/>
  <c r="CF11" i="7"/>
  <c r="CG11" i="7"/>
  <c r="CH11" i="7"/>
  <c r="CI11" i="7"/>
  <c r="CJ11" i="7"/>
  <c r="CK11" i="7"/>
  <c r="P446" i="8" l="1"/>
  <c r="P447" i="8"/>
  <c r="P445" i="8"/>
  <c r="CC11" i="41"/>
  <c r="CD11" i="41"/>
  <c r="CE11" i="41"/>
  <c r="CF11" i="41"/>
  <c r="CG11" i="41"/>
  <c r="CH11" i="41"/>
  <c r="CI11" i="41"/>
  <c r="CJ11" i="41"/>
  <c r="CK11" i="41"/>
  <c r="CC11" i="11"/>
  <c r="CD11" i="11"/>
  <c r="CE11" i="11"/>
  <c r="CF11" i="11"/>
  <c r="CG11" i="11"/>
  <c r="CH11" i="11"/>
  <c r="CI11" i="11"/>
  <c r="CJ11" i="11"/>
  <c r="CK11" i="11"/>
  <c r="CC11" i="16"/>
  <c r="CD11" i="16"/>
  <c r="CE11" i="16"/>
  <c r="CF11" i="16"/>
  <c r="CG11" i="16"/>
  <c r="CH11" i="16"/>
  <c r="CI11" i="16"/>
  <c r="CJ11" i="16"/>
  <c r="CK11" i="16"/>
  <c r="CC11" i="3"/>
  <c r="CD11" i="3"/>
  <c r="CE11" i="3"/>
  <c r="CF11" i="3"/>
  <c r="CG11" i="3"/>
  <c r="CH11" i="3"/>
  <c r="CI11" i="3"/>
  <c r="CJ11" i="3"/>
  <c r="CK11" i="3"/>
  <c r="AE448" i="8"/>
  <c r="AG448" i="8" s="1"/>
  <c r="R448" i="8" s="1"/>
  <c r="AE449" i="8"/>
  <c r="AG449" i="8" s="1"/>
  <c r="R449" i="8" s="1"/>
  <c r="AE450" i="8"/>
  <c r="AG450" i="8" s="1"/>
  <c r="R450" i="8" s="1"/>
  <c r="AE451" i="8"/>
  <c r="AG451" i="8" s="1"/>
  <c r="R451" i="8" s="1"/>
  <c r="AE452" i="8"/>
  <c r="AG452" i="8" s="1"/>
  <c r="R452" i="8" s="1"/>
  <c r="AF452" i="8"/>
  <c r="AH452" i="8" s="1"/>
  <c r="N452" i="8" s="1"/>
  <c r="AE453" i="8"/>
  <c r="AG453" i="8" s="1"/>
  <c r="R453" i="8" s="1"/>
  <c r="CC11" i="4"/>
  <c r="CD11" i="4"/>
  <c r="CE11" i="4"/>
  <c r="CF11" i="4"/>
  <c r="CG11" i="4"/>
  <c r="CH11" i="4"/>
  <c r="CI11" i="4"/>
  <c r="CJ11" i="4"/>
  <c r="CK11" i="4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AD448" i="8"/>
  <c r="AF448" i="8" s="1"/>
  <c r="AH448" i="8" s="1"/>
  <c r="AD449" i="8"/>
  <c r="AF449" i="8" s="1"/>
  <c r="AH449" i="8" s="1"/>
  <c r="AD450" i="8"/>
  <c r="AF450" i="8" s="1"/>
  <c r="AH450" i="8" s="1"/>
  <c r="AD451" i="8"/>
  <c r="AD452" i="8"/>
  <c r="N449" i="8" l="1"/>
  <c r="N448" i="8"/>
  <c r="N450" i="8"/>
  <c r="Q450" i="8"/>
  <c r="P450" i="8" s="1"/>
  <c r="Q449" i="8"/>
  <c r="P449" i="8" s="1"/>
  <c r="Q448" i="8"/>
  <c r="P448" i="8" s="1"/>
  <c r="Q452" i="8"/>
  <c r="P452" i="8" s="1"/>
  <c r="AD453" i="8"/>
  <c r="AF453" i="8" s="1"/>
  <c r="AH453" i="8" s="1"/>
  <c r="N453" i="8" s="1"/>
  <c r="AF451" i="8"/>
  <c r="AH451" i="8" s="1"/>
  <c r="N451" i="8" s="1"/>
  <c r="CC11" i="5"/>
  <c r="CD11" i="5"/>
  <c r="CE11" i="5"/>
  <c r="CF11" i="5"/>
  <c r="CG11" i="5"/>
  <c r="CH11" i="5"/>
  <c r="CI11" i="5"/>
  <c r="CJ11" i="5"/>
  <c r="CK11" i="5"/>
  <c r="CC11" i="2"/>
  <c r="CD11" i="2"/>
  <c r="CE11" i="2"/>
  <c r="CF11" i="2"/>
  <c r="CG11" i="2"/>
  <c r="CH11" i="2"/>
  <c r="CI11" i="2"/>
  <c r="CJ11" i="2"/>
  <c r="CK11" i="2"/>
  <c r="AE441" i="8"/>
  <c r="AG441" i="8" s="1"/>
  <c r="R441" i="8" s="1"/>
  <c r="AE442" i="8"/>
  <c r="AG442" i="8" s="1"/>
  <c r="R442" i="8" s="1"/>
  <c r="AE443" i="8"/>
  <c r="AG443" i="8" s="1"/>
  <c r="R443" i="8" s="1"/>
  <c r="AE444" i="8"/>
  <c r="AG444" i="8" s="1"/>
  <c r="R444" i="8" s="1"/>
  <c r="O441" i="8"/>
  <c r="O442" i="8"/>
  <c r="O443" i="8"/>
  <c r="O444" i="8"/>
  <c r="Q453" i="8" l="1"/>
  <c r="P453" i="8" s="1"/>
  <c r="Q451" i="8"/>
  <c r="P451" i="8" s="1"/>
  <c r="AD438" i="8"/>
  <c r="AF438" i="8" s="1"/>
  <c r="AH438" i="8" s="1"/>
  <c r="AD439" i="8"/>
  <c r="AF439" i="8" s="1"/>
  <c r="AH439" i="8" s="1"/>
  <c r="AD440" i="8"/>
  <c r="AF440" i="8" s="1"/>
  <c r="AH440" i="8" s="1"/>
  <c r="AD441" i="8"/>
  <c r="AF441" i="8" s="1"/>
  <c r="AH441" i="8" s="1"/>
  <c r="AD442" i="8"/>
  <c r="AF442" i="8" s="1"/>
  <c r="AH442" i="8" s="1"/>
  <c r="N442" i="8" s="1"/>
  <c r="AD443" i="8"/>
  <c r="AF443" i="8" s="1"/>
  <c r="AH443" i="8" s="1"/>
  <c r="AD444" i="8"/>
  <c r="AF444" i="8" s="1"/>
  <c r="AH444" i="8" s="1"/>
  <c r="N444" i="8" s="1"/>
  <c r="BY11" i="41"/>
  <c r="BZ11" i="41"/>
  <c r="CA11" i="41"/>
  <c r="CB11" i="41"/>
  <c r="BY11" i="11"/>
  <c r="BZ11" i="11"/>
  <c r="CA11" i="11"/>
  <c r="CB11" i="11"/>
  <c r="BY11" i="7"/>
  <c r="BZ11" i="7"/>
  <c r="CA11" i="7"/>
  <c r="BY11" i="6"/>
  <c r="BZ11" i="6"/>
  <c r="CA11" i="6"/>
  <c r="BY11" i="5"/>
  <c r="BZ11" i="5"/>
  <c r="CA11" i="5"/>
  <c r="CB11" i="5"/>
  <c r="BY11" i="16"/>
  <c r="BZ11" i="16"/>
  <c r="CA11" i="16"/>
  <c r="CB11" i="16"/>
  <c r="BY11" i="4"/>
  <c r="BZ11" i="4"/>
  <c r="CA11" i="4"/>
  <c r="CB11" i="4"/>
  <c r="BY11" i="3"/>
  <c r="BZ11" i="3"/>
  <c r="CA11" i="3"/>
  <c r="CB11" i="3"/>
  <c r="BY11" i="2"/>
  <c r="BZ11" i="2"/>
  <c r="CA11" i="2"/>
  <c r="CB11" i="2"/>
  <c r="BR29" i="1"/>
  <c r="O434" i="8"/>
  <c r="O435" i="8"/>
  <c r="O436" i="8"/>
  <c r="O437" i="8"/>
  <c r="O438" i="8"/>
  <c r="O439" i="8"/>
  <c r="O440" i="8"/>
  <c r="BQ11" i="41"/>
  <c r="BR11" i="41"/>
  <c r="BS11" i="41"/>
  <c r="BT11" i="41"/>
  <c r="BU11" i="41"/>
  <c r="BV11" i="41"/>
  <c r="BW11" i="41"/>
  <c r="BX11" i="41"/>
  <c r="BQ11" i="11"/>
  <c r="BR11" i="11"/>
  <c r="BS11" i="11"/>
  <c r="BT11" i="11"/>
  <c r="BU11" i="11"/>
  <c r="BV11" i="11"/>
  <c r="BW11" i="11"/>
  <c r="BX11" i="11"/>
  <c r="AE434" i="8"/>
  <c r="AG434" i="8" s="1"/>
  <c r="R434" i="8" s="1"/>
  <c r="AE435" i="8"/>
  <c r="AG435" i="8" s="1"/>
  <c r="R435" i="8" s="1"/>
  <c r="AE436" i="8"/>
  <c r="AG436" i="8" s="1"/>
  <c r="R436" i="8" s="1"/>
  <c r="AE437" i="8"/>
  <c r="AG437" i="8" s="1"/>
  <c r="R437" i="8" s="1"/>
  <c r="AE438" i="8"/>
  <c r="AG438" i="8" s="1"/>
  <c r="R438" i="8" s="1"/>
  <c r="AE439" i="8"/>
  <c r="AG439" i="8" s="1"/>
  <c r="R439" i="8" s="1"/>
  <c r="AE440" i="8"/>
  <c r="AG440" i="8" s="1"/>
  <c r="R440" i="8" s="1"/>
  <c r="AD434" i="8"/>
  <c r="AF434" i="8" s="1"/>
  <c r="AH434" i="8" s="1"/>
  <c r="N434" i="8" s="1"/>
  <c r="AD435" i="8"/>
  <c r="AF435" i="8" s="1"/>
  <c r="AH435" i="8" s="1"/>
  <c r="AD437" i="8"/>
  <c r="AF437" i="8" s="1"/>
  <c r="AH437" i="8" s="1"/>
  <c r="AD436" i="8"/>
  <c r="AF436" i="8" s="1"/>
  <c r="AH436" i="8" s="1"/>
  <c r="N435" i="8" l="1"/>
  <c r="N440" i="8"/>
  <c r="N439" i="8"/>
  <c r="N438" i="8"/>
  <c r="N436" i="8"/>
  <c r="Q443" i="8"/>
  <c r="P443" i="8" s="1"/>
  <c r="N443" i="8"/>
  <c r="Q437" i="8"/>
  <c r="P437" i="8" s="1"/>
  <c r="N437" i="8"/>
  <c r="Q441" i="8"/>
  <c r="P441" i="8" s="1"/>
  <c r="N441" i="8"/>
  <c r="Q442" i="8"/>
  <c r="P442" i="8" s="1"/>
  <c r="Q436" i="8"/>
  <c r="P436" i="8" s="1"/>
  <c r="Q444" i="8"/>
  <c r="P444" i="8" s="1"/>
  <c r="Q435" i="8"/>
  <c r="P435" i="8" s="1"/>
  <c r="Q434" i="8"/>
  <c r="P434" i="8" s="1"/>
  <c r="Q440" i="8"/>
  <c r="P440" i="8" s="1"/>
  <c r="Q438" i="8"/>
  <c r="P438" i="8" s="1"/>
  <c r="Q439" i="8"/>
  <c r="P439" i="8" s="1"/>
  <c r="BQ11" i="7"/>
  <c r="BR11" i="7"/>
  <c r="BS11" i="7"/>
  <c r="BT11" i="7"/>
  <c r="BU11" i="7"/>
  <c r="BV11" i="7"/>
  <c r="BW11" i="7"/>
  <c r="BX11" i="7"/>
  <c r="BS11" i="6"/>
  <c r="BT11" i="6"/>
  <c r="BU11" i="6"/>
  <c r="BV11" i="6"/>
  <c r="BW11" i="6"/>
  <c r="BX11" i="6"/>
  <c r="BQ11" i="6"/>
  <c r="BR11" i="6"/>
  <c r="BS11" i="5"/>
  <c r="BT11" i="5"/>
  <c r="BU11" i="5"/>
  <c r="BV11" i="5"/>
  <c r="BW11" i="5"/>
  <c r="BX11" i="5"/>
  <c r="BQ11" i="5"/>
  <c r="BR11" i="5"/>
  <c r="BQ11" i="16"/>
  <c r="BR11" i="16"/>
  <c r="BS11" i="16"/>
  <c r="BT11" i="16"/>
  <c r="BU11" i="16"/>
  <c r="BV11" i="16"/>
  <c r="BW11" i="16"/>
  <c r="BX11" i="16"/>
  <c r="BS11" i="4"/>
  <c r="BT11" i="4"/>
  <c r="BU11" i="4"/>
  <c r="BV11" i="4"/>
  <c r="BW11" i="4"/>
  <c r="BX11" i="4"/>
  <c r="BQ11" i="4"/>
  <c r="BR11" i="4"/>
  <c r="BQ11" i="3"/>
  <c r="BR11" i="3"/>
  <c r="BS11" i="3"/>
  <c r="BT11" i="3"/>
  <c r="BU11" i="3"/>
  <c r="BV11" i="3"/>
  <c r="BW11" i="3"/>
  <c r="BX11" i="3"/>
  <c r="BQ29" i="1"/>
  <c r="BS29" i="1"/>
  <c r="BT29" i="1"/>
  <c r="BU29" i="1"/>
  <c r="BV29" i="1"/>
  <c r="BW29" i="1"/>
  <c r="BX29" i="1"/>
  <c r="BQ11" i="1"/>
  <c r="BR11" i="1"/>
  <c r="BS11" i="1"/>
  <c r="BT11" i="1"/>
  <c r="BU11" i="1"/>
  <c r="BV11" i="1"/>
  <c r="BW11" i="1"/>
  <c r="BX11" i="1"/>
  <c r="BQ11" i="2"/>
  <c r="BR11" i="2"/>
  <c r="BS11" i="2"/>
  <c r="BT11" i="2"/>
  <c r="BU11" i="2"/>
  <c r="BV11" i="2"/>
  <c r="BW11" i="2"/>
  <c r="BX11" i="2"/>
  <c r="BM5" i="7"/>
  <c r="BN5" i="7"/>
  <c r="BO5" i="7"/>
  <c r="BP5" i="7"/>
  <c r="BQ5" i="7"/>
  <c r="BS5" i="7"/>
  <c r="BT5" i="7"/>
  <c r="BU5" i="7"/>
  <c r="BV5" i="7"/>
  <c r="BW5" i="7"/>
  <c r="BX5" i="7"/>
  <c r="BZ5" i="7"/>
  <c r="CA5" i="7"/>
  <c r="CB5" i="7"/>
  <c r="CC5" i="7"/>
  <c r="CD5" i="7"/>
  <c r="CE5" i="7"/>
  <c r="CG5" i="7"/>
  <c r="CH5" i="7"/>
  <c r="CI5" i="7"/>
  <c r="CJ5" i="7"/>
  <c r="CK5" i="7"/>
  <c r="CL5" i="7"/>
  <c r="CP5" i="7"/>
  <c r="CQ5" i="7"/>
  <c r="CR5" i="7"/>
  <c r="CS5" i="7"/>
  <c r="CU5" i="7"/>
  <c r="CV5" i="7"/>
  <c r="CW5" i="7"/>
  <c r="CX5" i="7"/>
  <c r="CY5" i="7"/>
  <c r="CZ5" i="7"/>
  <c r="DB5" i="7"/>
  <c r="DC5" i="7"/>
  <c r="DD5" i="7"/>
  <c r="DE5" i="7"/>
  <c r="DF5" i="7"/>
  <c r="DG5" i="7"/>
  <c r="DI5" i="7"/>
  <c r="DJ5" i="7"/>
  <c r="DK5" i="7"/>
  <c r="DM5" i="7"/>
  <c r="DN5" i="7"/>
  <c r="DP5" i="7"/>
  <c r="DQ5" i="7"/>
  <c r="DR5" i="7"/>
  <c r="DT5" i="7"/>
  <c r="DU5" i="7"/>
  <c r="DW5" i="7"/>
  <c r="DX5" i="7"/>
  <c r="DY5" i="7"/>
  <c r="DZ5" i="7"/>
  <c r="EA5" i="7"/>
  <c r="EB5" i="7"/>
  <c r="ED5" i="7"/>
  <c r="EE5" i="7"/>
  <c r="EF5" i="7"/>
  <c r="EG5" i="7"/>
  <c r="EH5" i="7"/>
  <c r="EI5" i="7"/>
  <c r="EK5" i="7"/>
  <c r="EL5" i="7"/>
  <c r="EM5" i="7"/>
  <c r="EN5" i="7"/>
  <c r="EO5" i="7"/>
  <c r="EP5" i="7"/>
  <c r="ER5" i="7"/>
  <c r="ES5" i="7"/>
  <c r="ET5" i="7"/>
  <c r="EU5" i="7"/>
  <c r="EV5" i="7"/>
  <c r="EW5" i="7"/>
  <c r="EY5" i="7"/>
  <c r="EZ5" i="7"/>
  <c r="FA5" i="7"/>
  <c r="FB5" i="7"/>
  <c r="FG5" i="7"/>
  <c r="FH5" i="7"/>
  <c r="FI5" i="7"/>
  <c r="FJ5" i="7"/>
  <c r="FK5" i="7"/>
  <c r="FM5" i="7"/>
  <c r="FN5" i="7"/>
  <c r="FO5" i="7"/>
  <c r="FP5" i="7"/>
  <c r="FQ5" i="7"/>
  <c r="FR5" i="7"/>
  <c r="FT5" i="7"/>
  <c r="FU5" i="7"/>
  <c r="FV5" i="7"/>
  <c r="FW5" i="7"/>
  <c r="FX5" i="7"/>
  <c r="FY5" i="7"/>
  <c r="GA5" i="7"/>
  <c r="GB5" i="7"/>
  <c r="GC5" i="7"/>
  <c r="GD5" i="7"/>
  <c r="GE5" i="7"/>
  <c r="GF5" i="7"/>
  <c r="GH5" i="7"/>
  <c r="GI5" i="7"/>
  <c r="GJ5" i="7"/>
  <c r="GK5" i="7"/>
  <c r="GL5" i="7"/>
  <c r="GM5" i="7"/>
  <c r="GO5" i="7"/>
  <c r="GQ5" i="7"/>
  <c r="GR5" i="7"/>
  <c r="GS5" i="7"/>
  <c r="GT5" i="7"/>
  <c r="GV5" i="7"/>
  <c r="GW5" i="7"/>
  <c r="GX5" i="7"/>
  <c r="GY5" i="7"/>
  <c r="GZ5" i="7"/>
  <c r="HA5" i="7"/>
  <c r="HC5" i="7"/>
  <c r="HD5" i="7"/>
  <c r="HE5" i="7"/>
  <c r="HF5" i="7"/>
  <c r="HG5" i="7"/>
  <c r="HH5" i="7"/>
  <c r="HJ5" i="7"/>
  <c r="HK5" i="7"/>
  <c r="HL5" i="7"/>
  <c r="HM5" i="7"/>
  <c r="HN5" i="7"/>
  <c r="HO5" i="7"/>
  <c r="HQ5" i="7"/>
  <c r="HR5" i="7"/>
  <c r="HS5" i="7"/>
  <c r="HT5" i="7"/>
  <c r="HU5" i="7"/>
  <c r="HV5" i="7"/>
  <c r="HX5" i="7"/>
  <c r="HY5" i="7"/>
  <c r="HZ5" i="7"/>
  <c r="IA5" i="7"/>
  <c r="IB5" i="7"/>
  <c r="IC5" i="7"/>
  <c r="IE5" i="7"/>
  <c r="IF5" i="7"/>
  <c r="IG5" i="7"/>
  <c r="IH5" i="7"/>
  <c r="II5" i="7"/>
  <c r="IJ5" i="7"/>
  <c r="IL5" i="7"/>
  <c r="IM5" i="7"/>
  <c r="IN5" i="7"/>
  <c r="IO5" i="7"/>
  <c r="IP5" i="7"/>
  <c r="IQ5" i="7"/>
  <c r="IS5" i="7"/>
  <c r="IT5" i="7"/>
  <c r="IU5" i="7"/>
  <c r="IV5" i="7"/>
  <c r="IW5" i="7"/>
  <c r="IX5" i="7"/>
  <c r="IZ5" i="7"/>
  <c r="JA5" i="7"/>
  <c r="JB5" i="7"/>
  <c r="JC5" i="7"/>
  <c r="JD5" i="7"/>
  <c r="JE5" i="7"/>
  <c r="JG5" i="7"/>
  <c r="JH5" i="7"/>
  <c r="JI5" i="7"/>
  <c r="JJ5" i="7"/>
  <c r="JK5" i="7"/>
  <c r="JL5" i="7"/>
  <c r="JN5" i="7"/>
  <c r="JO5" i="7"/>
  <c r="JP5" i="7"/>
  <c r="JQ5" i="7"/>
  <c r="JR5" i="7"/>
  <c r="JS5" i="7"/>
  <c r="JU5" i="7"/>
  <c r="JV5" i="7"/>
  <c r="JW5" i="7"/>
  <c r="JX5" i="7"/>
  <c r="JY5" i="7"/>
  <c r="JZ5" i="7"/>
  <c r="KB5" i="7"/>
  <c r="KC5" i="7"/>
  <c r="KD5" i="7"/>
  <c r="KE5" i="7"/>
  <c r="KF5" i="7"/>
  <c r="KG5" i="7"/>
  <c r="KI5" i="7"/>
  <c r="KJ5" i="7"/>
  <c r="KK5" i="7"/>
  <c r="KL5" i="7"/>
  <c r="KM5" i="7"/>
  <c r="KN5" i="7"/>
  <c r="KP5" i="7"/>
  <c r="KQ5" i="7"/>
  <c r="KR5" i="7"/>
  <c r="KS5" i="7"/>
  <c r="KT5" i="7"/>
  <c r="KU5" i="7"/>
  <c r="KW5" i="7"/>
  <c r="KX5" i="7"/>
  <c r="KY5" i="7"/>
  <c r="KZ5" i="7"/>
  <c r="LA5" i="7"/>
  <c r="LB5" i="7"/>
  <c r="LD5" i="7"/>
  <c r="LE5" i="7"/>
  <c r="LF5" i="7"/>
  <c r="LG5" i="7"/>
  <c r="LH5" i="7"/>
  <c r="LI5" i="7"/>
  <c r="LK5" i="7"/>
  <c r="LL5" i="7"/>
  <c r="LM5" i="7"/>
  <c r="LN5" i="7"/>
  <c r="LO5" i="7"/>
  <c r="LP5" i="7"/>
  <c r="LR5" i="7"/>
  <c r="LS5" i="7"/>
  <c r="LT5" i="7"/>
  <c r="LU5" i="7"/>
  <c r="LV5" i="7"/>
  <c r="LW5" i="7"/>
  <c r="LY5" i="7"/>
  <c r="LZ5" i="7"/>
  <c r="MA5" i="7"/>
  <c r="MB5" i="7"/>
  <c r="MC5" i="7"/>
  <c r="MD5" i="7"/>
  <c r="MF5" i="7"/>
  <c r="MG5" i="7"/>
  <c r="MH5" i="7"/>
  <c r="MI5" i="7"/>
  <c r="MJ5" i="7"/>
  <c r="MK5" i="7"/>
  <c r="MM5" i="7"/>
  <c r="MN5" i="7"/>
  <c r="MO5" i="7"/>
  <c r="MP5" i="7"/>
  <c r="MQ5" i="7"/>
  <c r="MR5" i="7"/>
  <c r="MT5" i="7"/>
  <c r="MU5" i="7"/>
  <c r="MV5" i="7"/>
  <c r="MW5" i="7"/>
  <c r="MX5" i="7"/>
  <c r="MY5" i="7"/>
  <c r="NA5" i="7"/>
  <c r="NB5" i="7"/>
  <c r="NC5" i="7"/>
  <c r="BJ11" i="41"/>
  <c r="BK11" i="41"/>
  <c r="BL11" i="41"/>
  <c r="BM11" i="41"/>
  <c r="BN11" i="41"/>
  <c r="BO11" i="41"/>
  <c r="BP11" i="41"/>
  <c r="BJ11" i="11"/>
  <c r="BK11" i="11"/>
  <c r="BL11" i="11"/>
  <c r="BM11" i="11"/>
  <c r="BN11" i="11"/>
  <c r="BO11" i="11"/>
  <c r="BP11" i="11"/>
  <c r="AD427" i="8"/>
  <c r="AF427" i="8" s="1"/>
  <c r="AH427" i="8" s="1"/>
  <c r="AD428" i="8"/>
  <c r="AF428" i="8" s="1"/>
  <c r="AH428" i="8" s="1"/>
  <c r="AD429" i="8"/>
  <c r="AF429" i="8" s="1"/>
  <c r="AH429" i="8" s="1"/>
  <c r="AD430" i="8"/>
  <c r="AF430" i="8" s="1"/>
  <c r="AH430" i="8" s="1"/>
  <c r="AD431" i="8"/>
  <c r="AF431" i="8" s="1"/>
  <c r="AH431" i="8" s="1"/>
  <c r="R433" i="8"/>
  <c r="Q433" i="8"/>
  <c r="P433" i="8" s="1"/>
  <c r="O427" i="8"/>
  <c r="O428" i="8"/>
  <c r="O429" i="8"/>
  <c r="O430" i="8"/>
  <c r="O431" i="8"/>
  <c r="O432" i="8"/>
  <c r="O433" i="8"/>
  <c r="AE427" i="8"/>
  <c r="AG427" i="8" s="1"/>
  <c r="R427" i="8" s="1"/>
  <c r="AE428" i="8"/>
  <c r="AG428" i="8" s="1"/>
  <c r="R428" i="8" s="1"/>
  <c r="AE429" i="8"/>
  <c r="AG429" i="8" s="1"/>
  <c r="R429" i="8" s="1"/>
  <c r="AE430" i="8"/>
  <c r="AG430" i="8" s="1"/>
  <c r="R430" i="8" s="1"/>
  <c r="AE431" i="8"/>
  <c r="AG431" i="8" s="1"/>
  <c r="R431" i="8" s="1"/>
  <c r="AE432" i="8"/>
  <c r="AG432" i="8" s="1"/>
  <c r="R432" i="8" s="1"/>
  <c r="BA11" i="7"/>
  <c r="BB11" i="7"/>
  <c r="BC11" i="7"/>
  <c r="BD11" i="7"/>
  <c r="BE11" i="7"/>
  <c r="BF11" i="7"/>
  <c r="BG11" i="7"/>
  <c r="BH11" i="7"/>
  <c r="BI11" i="7"/>
  <c r="BJ11" i="7"/>
  <c r="BK11" i="7"/>
  <c r="BL11" i="7"/>
  <c r="BM11" i="7"/>
  <c r="BN11" i="7"/>
  <c r="BO11" i="7"/>
  <c r="BP11" i="7"/>
  <c r="BJ11" i="6"/>
  <c r="BK11" i="6"/>
  <c r="BL11" i="6"/>
  <c r="BM11" i="6"/>
  <c r="BN11" i="6"/>
  <c r="BO11" i="6"/>
  <c r="BP11" i="6"/>
  <c r="BJ11" i="3"/>
  <c r="BK11" i="3"/>
  <c r="BL11" i="3"/>
  <c r="BM11" i="3"/>
  <c r="BN11" i="3"/>
  <c r="BO11" i="3"/>
  <c r="BP11" i="3"/>
  <c r="BJ11" i="5"/>
  <c r="BK11" i="5"/>
  <c r="BL11" i="5"/>
  <c r="BM11" i="5"/>
  <c r="BN11" i="5"/>
  <c r="BO11" i="5"/>
  <c r="BP11" i="5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P11" i="16"/>
  <c r="BO11" i="16"/>
  <c r="BN11" i="16"/>
  <c r="BM11" i="16"/>
  <c r="BL11" i="16"/>
  <c r="BK11" i="16"/>
  <c r="BJ11" i="16"/>
  <c r="BI11" i="16"/>
  <c r="BH11" i="16"/>
  <c r="BG11" i="16"/>
  <c r="BF11" i="16"/>
  <c r="BE11" i="16"/>
  <c r="BD11" i="16"/>
  <c r="BJ11" i="4"/>
  <c r="BK11" i="4"/>
  <c r="BL11" i="4"/>
  <c r="BM11" i="4"/>
  <c r="BN11" i="4"/>
  <c r="BO11" i="4"/>
  <c r="BP11" i="4"/>
  <c r="N427" i="8" l="1"/>
  <c r="N430" i="8"/>
  <c r="N429" i="8"/>
  <c r="N431" i="8"/>
  <c r="N428" i="8"/>
  <c r="AD432" i="8"/>
  <c r="AF432" i="8" s="1"/>
  <c r="AH432" i="8" s="1"/>
  <c r="N432" i="8" s="1"/>
  <c r="Q427" i="8"/>
  <c r="P427" i="8" s="1"/>
  <c r="Q429" i="8"/>
  <c r="P429" i="8" s="1"/>
  <c r="Q431" i="8"/>
  <c r="P431" i="8" s="1"/>
  <c r="Q430" i="8"/>
  <c r="P430" i="8" s="1"/>
  <c r="Q428" i="8"/>
  <c r="P428" i="8" s="1"/>
  <c r="BJ11" i="2"/>
  <c r="BK11" i="2"/>
  <c r="BL11" i="2"/>
  <c r="BM11" i="2"/>
  <c r="BN11" i="2"/>
  <c r="BO11" i="2"/>
  <c r="BP11" i="2"/>
  <c r="O375" i="8"/>
  <c r="Q432" i="8" l="1"/>
  <c r="P432" i="8" s="1"/>
  <c r="BC11" i="41"/>
  <c r="BD11" i="41"/>
  <c r="BE11" i="41"/>
  <c r="BF11" i="41"/>
  <c r="BG11" i="41"/>
  <c r="BH11" i="41"/>
  <c r="BI11" i="41"/>
  <c r="BC11" i="11"/>
  <c r="BD11" i="11"/>
  <c r="BE11" i="11"/>
  <c r="BF11" i="11"/>
  <c r="BG11" i="11"/>
  <c r="BH11" i="11"/>
  <c r="BI11" i="11"/>
  <c r="O423" i="8"/>
  <c r="O424" i="8"/>
  <c r="O425" i="8"/>
  <c r="BE11" i="4"/>
  <c r="BF11" i="4"/>
  <c r="BG11" i="4"/>
  <c r="BH11" i="4"/>
  <c r="BI11" i="4"/>
  <c r="BC11" i="6"/>
  <c r="BD11" i="6"/>
  <c r="BE11" i="6"/>
  <c r="BF11" i="6"/>
  <c r="BG11" i="6"/>
  <c r="BH11" i="6"/>
  <c r="BI11" i="6"/>
  <c r="AE423" i="8"/>
  <c r="AG423" i="8"/>
  <c r="R423" i="8" s="1"/>
  <c r="AE424" i="8"/>
  <c r="AG424" i="8" s="1"/>
  <c r="R424" i="8" s="1"/>
  <c r="AE425" i="8"/>
  <c r="AG425" i="8" s="1"/>
  <c r="R425" i="8" s="1"/>
  <c r="AD423" i="8"/>
  <c r="AF423" i="8" s="1"/>
  <c r="AH423" i="8" s="1"/>
  <c r="AD424" i="8"/>
  <c r="AF424" i="8" s="1"/>
  <c r="AH424" i="8" s="1"/>
  <c r="AD425" i="8"/>
  <c r="AF425" i="8" s="1"/>
  <c r="AH425" i="8" s="1"/>
  <c r="N425" i="8" l="1"/>
  <c r="Q423" i="8"/>
  <c r="P423" i="8" s="1"/>
  <c r="N423" i="8"/>
  <c r="Q425" i="8"/>
  <c r="P425" i="8" s="1"/>
  <c r="Q424" i="8"/>
  <c r="P424" i="8" s="1"/>
  <c r="N424" i="8"/>
  <c r="AG5" i="54"/>
  <c r="AG6" i="54"/>
  <c r="AG7" i="54"/>
  <c r="AG8" i="54"/>
  <c r="AG9" i="54"/>
  <c r="AG10" i="54"/>
  <c r="AG11" i="54"/>
  <c r="AG12" i="54"/>
  <c r="AG13" i="54"/>
  <c r="AG14" i="54"/>
  <c r="AG15" i="54"/>
  <c r="AG16" i="54"/>
  <c r="AG4" i="54"/>
  <c r="BG11" i="2"/>
  <c r="BH11" i="2"/>
  <c r="BI11" i="2"/>
  <c r="O419" i="8"/>
  <c r="O420" i="8"/>
  <c r="O421" i="8"/>
  <c r="O422" i="8"/>
  <c r="BC11" i="2" l="1"/>
  <c r="BD11" i="2"/>
  <c r="BE11" i="2"/>
  <c r="BF11" i="2"/>
  <c r="AG419" i="8"/>
  <c r="R419" i="8" s="1"/>
  <c r="AH419" i="8"/>
  <c r="AE420" i="8"/>
  <c r="AG420" i="8" s="1"/>
  <c r="R420" i="8" s="1"/>
  <c r="AE421" i="8"/>
  <c r="AG421" i="8" s="1"/>
  <c r="R421" i="8" s="1"/>
  <c r="AE422" i="8"/>
  <c r="AG422" i="8" s="1"/>
  <c r="AD422" i="8"/>
  <c r="AF422" i="8" s="1"/>
  <c r="AH422" i="8" s="1"/>
  <c r="Q422" i="8" s="1"/>
  <c r="AD421" i="8"/>
  <c r="AF421" i="8" s="1"/>
  <c r="AH421" i="8" s="1"/>
  <c r="AD420" i="8"/>
  <c r="AF420" i="8" s="1"/>
  <c r="AH420" i="8" s="1"/>
  <c r="N419" i="8" l="1"/>
  <c r="Q419" i="8"/>
  <c r="P419" i="8" s="1"/>
  <c r="Q420" i="8"/>
  <c r="P420" i="8" s="1"/>
  <c r="N420" i="8"/>
  <c r="Q421" i="8"/>
  <c r="P421" i="8" s="1"/>
  <c r="N421" i="8"/>
  <c r="R422" i="8"/>
  <c r="P422" i="8" s="1"/>
  <c r="N422" i="8"/>
  <c r="BC11" i="5"/>
  <c r="BD11" i="5"/>
  <c r="BE11" i="5"/>
  <c r="BF11" i="5"/>
  <c r="BG11" i="5"/>
  <c r="BH11" i="5"/>
  <c r="BI11" i="5"/>
  <c r="BC11" i="4" l="1"/>
  <c r="BD11" i="4"/>
  <c r="BC11" i="3"/>
  <c r="BD11" i="3"/>
  <c r="BE11" i="3"/>
  <c r="BF11" i="3"/>
  <c r="BG11" i="3"/>
  <c r="BH11" i="3"/>
  <c r="BI11" i="3"/>
  <c r="AV11" i="41"/>
  <c r="AW11" i="41"/>
  <c r="AX11" i="41"/>
  <c r="AY11" i="41"/>
  <c r="AZ11" i="41"/>
  <c r="BA11" i="41"/>
  <c r="BB11" i="41"/>
  <c r="AE414" i="8"/>
  <c r="AG414" i="8" s="1"/>
  <c r="AE415" i="8"/>
  <c r="AG415" i="8" s="1"/>
  <c r="AE416" i="8"/>
  <c r="AG416" i="8" s="1"/>
  <c r="R416" i="8" s="1"/>
  <c r="AE417" i="8"/>
  <c r="AG417" i="8" s="1"/>
  <c r="AE418" i="8"/>
  <c r="AG418" i="8" s="1"/>
  <c r="AE413" i="8"/>
  <c r="AG413" i="8" s="1"/>
  <c r="AE375" i="8"/>
  <c r="AG375" i="8" s="1"/>
  <c r="AE376" i="8"/>
  <c r="AG376" i="8" s="1"/>
  <c r="AE377" i="8"/>
  <c r="AG377" i="8" s="1"/>
  <c r="AE378" i="8"/>
  <c r="AG378" i="8" s="1"/>
  <c r="AE379" i="8"/>
  <c r="AG379" i="8" s="1"/>
  <c r="AE380" i="8"/>
  <c r="AG380" i="8" s="1"/>
  <c r="AE381" i="8"/>
  <c r="AG381" i="8" s="1"/>
  <c r="AE382" i="8"/>
  <c r="AG382" i="8" s="1"/>
  <c r="AE383" i="8"/>
  <c r="AG383" i="8" s="1"/>
  <c r="AE384" i="8"/>
  <c r="AG384" i="8" s="1"/>
  <c r="AF384" i="8"/>
  <c r="AH384" i="8" s="1"/>
  <c r="AE385" i="8"/>
  <c r="AG385" i="8" s="1"/>
  <c r="AE386" i="8"/>
  <c r="AG386" i="8" s="1"/>
  <c r="AE387" i="8"/>
  <c r="AG387" i="8" s="1"/>
  <c r="AE388" i="8"/>
  <c r="AG388" i="8" s="1"/>
  <c r="AE389" i="8"/>
  <c r="AG389" i="8" s="1"/>
  <c r="AE390" i="8"/>
  <c r="AG390" i="8" s="1"/>
  <c r="AE391" i="8"/>
  <c r="AG391" i="8" s="1"/>
  <c r="AE392" i="8"/>
  <c r="AG392" i="8" s="1"/>
  <c r="AE393" i="8"/>
  <c r="AG393" i="8" s="1"/>
  <c r="AE394" i="8"/>
  <c r="AG394" i="8" s="1"/>
  <c r="AE395" i="8"/>
  <c r="AG395" i="8" s="1"/>
  <c r="AE396" i="8"/>
  <c r="AG396" i="8" s="1"/>
  <c r="AE397" i="8"/>
  <c r="AG397" i="8" s="1"/>
  <c r="AE398" i="8"/>
  <c r="AG398" i="8" s="1"/>
  <c r="AF398" i="8"/>
  <c r="AH398" i="8" s="1"/>
  <c r="AE399" i="8"/>
  <c r="AG399" i="8" s="1"/>
  <c r="AE400" i="8"/>
  <c r="AG400" i="8" s="1"/>
  <c r="AE401" i="8"/>
  <c r="AG401" i="8" s="1"/>
  <c r="AE402" i="8"/>
  <c r="AG402" i="8" s="1"/>
  <c r="AE403" i="8"/>
  <c r="AG403" i="8" s="1"/>
  <c r="AE404" i="8"/>
  <c r="AG404" i="8" s="1"/>
  <c r="AE405" i="8"/>
  <c r="AG405" i="8" s="1"/>
  <c r="AE406" i="8"/>
  <c r="AG406" i="8" s="1"/>
  <c r="AE407" i="8"/>
  <c r="AG407" i="8" s="1"/>
  <c r="AE408" i="8"/>
  <c r="AG408" i="8" s="1"/>
  <c r="AE409" i="8"/>
  <c r="AG409" i="8" s="1"/>
  <c r="AE410" i="8"/>
  <c r="AG410" i="8" s="1"/>
  <c r="AE411" i="8"/>
  <c r="AG411" i="8" s="1"/>
  <c r="AE412" i="8"/>
  <c r="AG412" i="8" s="1"/>
  <c r="R417" i="8"/>
  <c r="R418" i="8"/>
  <c r="O416" i="8"/>
  <c r="O417" i="8"/>
  <c r="O418" i="8"/>
  <c r="AV29" i="1"/>
  <c r="AW29" i="1"/>
  <c r="AX29" i="1"/>
  <c r="AY29" i="1"/>
  <c r="AZ29" i="1"/>
  <c r="BA29" i="1"/>
  <c r="BB29" i="1"/>
  <c r="AV11" i="1"/>
  <c r="AW11" i="1"/>
  <c r="AX11" i="1"/>
  <c r="AY11" i="1"/>
  <c r="AZ11" i="1"/>
  <c r="BA11" i="1"/>
  <c r="BB11" i="1"/>
  <c r="AD416" i="8"/>
  <c r="AF416" i="8" s="1"/>
  <c r="AH416" i="8" s="1"/>
  <c r="AD417" i="8"/>
  <c r="AF417" i="8" s="1"/>
  <c r="AH417" i="8" s="1"/>
  <c r="AD418" i="8"/>
  <c r="AF418" i="8" s="1"/>
  <c r="AH418" i="8" s="1"/>
  <c r="Q418" i="8" s="1"/>
  <c r="N417" i="8" l="1"/>
  <c r="N418" i="8"/>
  <c r="N416" i="8"/>
  <c r="Q416" i="8"/>
  <c r="P416" i="8" s="1"/>
  <c r="P418" i="8"/>
  <c r="Q417" i="8"/>
  <c r="P417" i="8" s="1"/>
  <c r="AV11" i="16"/>
  <c r="AW11" i="16"/>
  <c r="AX11" i="16"/>
  <c r="AY11" i="16"/>
  <c r="AZ11" i="16"/>
  <c r="BA11" i="16"/>
  <c r="BB11" i="16"/>
  <c r="BC11" i="16"/>
  <c r="AV11" i="11"/>
  <c r="AW11" i="11"/>
  <c r="AX11" i="11"/>
  <c r="AY11" i="11"/>
  <c r="AZ11" i="11"/>
  <c r="BA11" i="11"/>
  <c r="BB11" i="11"/>
  <c r="AV11" i="3"/>
  <c r="AW11" i="3"/>
  <c r="AX11" i="3"/>
  <c r="AY11" i="3"/>
  <c r="AZ11" i="3"/>
  <c r="BA11" i="3"/>
  <c r="BB11" i="3"/>
  <c r="AV11" i="4"/>
  <c r="AW11" i="4"/>
  <c r="AX11" i="4"/>
  <c r="AY11" i="4"/>
  <c r="AZ11" i="4"/>
  <c r="BA11" i="4"/>
  <c r="BB11" i="4"/>
  <c r="R413" i="8"/>
  <c r="O412" i="8"/>
  <c r="O413" i="8"/>
  <c r="O414" i="8"/>
  <c r="O415" i="8"/>
  <c r="R414" i="8"/>
  <c r="R415" i="8"/>
  <c r="AD412" i="8"/>
  <c r="AF412" i="8" s="1"/>
  <c r="AH412" i="8" s="1"/>
  <c r="Q412" i="8" s="1"/>
  <c r="AD413" i="8"/>
  <c r="AD414" i="8"/>
  <c r="AF414" i="8" s="1"/>
  <c r="AH414" i="8" s="1"/>
  <c r="AD415" i="8"/>
  <c r="AF415" i="8" s="1"/>
  <c r="AH415" i="8" s="1"/>
  <c r="AV11" i="5"/>
  <c r="AW11" i="5"/>
  <c r="AX11" i="5"/>
  <c r="AY11" i="5"/>
  <c r="AZ11" i="5"/>
  <c r="BA11" i="5"/>
  <c r="BB11" i="5"/>
  <c r="AV11" i="2"/>
  <c r="AW11" i="2"/>
  <c r="AX11" i="2"/>
  <c r="AY11" i="2"/>
  <c r="AZ11" i="2"/>
  <c r="BA11" i="2"/>
  <c r="BB11" i="2"/>
  <c r="AV11" i="7"/>
  <c r="AW11" i="7"/>
  <c r="AX11" i="7"/>
  <c r="AY11" i="7"/>
  <c r="AZ11" i="7"/>
  <c r="AV11" i="6"/>
  <c r="AW11" i="6"/>
  <c r="AX11" i="6"/>
  <c r="AY11" i="6"/>
  <c r="AZ11" i="6"/>
  <c r="BA11" i="6"/>
  <c r="BB11" i="6"/>
  <c r="AO11" i="41"/>
  <c r="AP11" i="41"/>
  <c r="AQ11" i="41"/>
  <c r="AR11" i="41"/>
  <c r="AS11" i="41"/>
  <c r="AT11" i="41"/>
  <c r="AU11" i="41"/>
  <c r="AO11" i="11"/>
  <c r="AP11" i="11"/>
  <c r="AQ11" i="11"/>
  <c r="AR11" i="11"/>
  <c r="AS11" i="11"/>
  <c r="AT11" i="11"/>
  <c r="AU11" i="11"/>
  <c r="AO29" i="1"/>
  <c r="AP29" i="1"/>
  <c r="AQ29" i="1"/>
  <c r="AR29" i="1"/>
  <c r="AS29" i="1"/>
  <c r="AT29" i="1"/>
  <c r="AU29" i="1"/>
  <c r="AO11" i="1"/>
  <c r="AP11" i="1"/>
  <c r="AQ11" i="1"/>
  <c r="AR11" i="1"/>
  <c r="AS11" i="1"/>
  <c r="AT11" i="1"/>
  <c r="AU11" i="1"/>
  <c r="R412" i="8"/>
  <c r="O405" i="8"/>
  <c r="O406" i="8"/>
  <c r="O407" i="8"/>
  <c r="O408" i="8"/>
  <c r="O409" i="8"/>
  <c r="O410" i="8"/>
  <c r="O411" i="8"/>
  <c r="AD410" i="8"/>
  <c r="AF410" i="8" s="1"/>
  <c r="AH410" i="8" s="1"/>
  <c r="AD411" i="8"/>
  <c r="AF411" i="8" s="1"/>
  <c r="AH411" i="8" s="1"/>
  <c r="AF413" i="8" l="1"/>
  <c r="AH413" i="8" s="1"/>
  <c r="N413" i="8" s="1"/>
  <c r="N412" i="8"/>
  <c r="N414" i="8"/>
  <c r="Q414" i="8"/>
  <c r="N415" i="8"/>
  <c r="Q415" i="8"/>
  <c r="P415" i="8" s="1"/>
  <c r="P412" i="8"/>
  <c r="P414" i="8"/>
  <c r="AO11" i="16"/>
  <c r="AP11" i="16"/>
  <c r="AQ11" i="16"/>
  <c r="AR11" i="16"/>
  <c r="AS11" i="16"/>
  <c r="AT11" i="16"/>
  <c r="AU11" i="16"/>
  <c r="AO11" i="3"/>
  <c r="AP11" i="3"/>
  <c r="AQ11" i="3"/>
  <c r="AR11" i="3"/>
  <c r="AS11" i="3"/>
  <c r="AT11" i="3"/>
  <c r="AU11" i="3"/>
  <c r="R405" i="8"/>
  <c r="R406" i="8"/>
  <c r="R407" i="8"/>
  <c r="R408" i="8"/>
  <c r="R410" i="8"/>
  <c r="R411" i="8"/>
  <c r="AD405" i="8"/>
  <c r="AF405" i="8" s="1"/>
  <c r="AH405" i="8" s="1"/>
  <c r="N405" i="8" s="1"/>
  <c r="AO11" i="4"/>
  <c r="AP11" i="4"/>
  <c r="AQ11" i="4"/>
  <c r="AR11" i="4"/>
  <c r="AS11" i="4"/>
  <c r="AT11" i="4"/>
  <c r="AU11" i="4"/>
  <c r="AD409" i="8"/>
  <c r="AD408" i="8"/>
  <c r="AD407" i="8"/>
  <c r="AD406" i="8"/>
  <c r="Q405" i="8" l="1"/>
  <c r="P405" i="8" s="1"/>
  <c r="Q413" i="8"/>
  <c r="P413" i="8" s="1"/>
  <c r="AF409" i="8"/>
  <c r="AH409" i="8" s="1"/>
  <c r="Q409" i="8" s="1"/>
  <c r="AF406" i="8"/>
  <c r="AH406" i="8" s="1"/>
  <c r="N406" i="8" s="1"/>
  <c r="AF407" i="8"/>
  <c r="AH407" i="8" s="1"/>
  <c r="N407" i="8" s="1"/>
  <c r="AF408" i="8"/>
  <c r="AH408" i="8" s="1"/>
  <c r="N408" i="8" s="1"/>
  <c r="R409" i="8"/>
  <c r="N410" i="8"/>
  <c r="Q410" i="8"/>
  <c r="P410" i="8" s="1"/>
  <c r="N411" i="8"/>
  <c r="Q411" i="8"/>
  <c r="P411" i="8" s="1"/>
  <c r="AO11" i="5"/>
  <c r="AP11" i="5"/>
  <c r="AQ11" i="5"/>
  <c r="AR11" i="5"/>
  <c r="AS11" i="5"/>
  <c r="AT11" i="5"/>
  <c r="AU11" i="5"/>
  <c r="AO11" i="7"/>
  <c r="AP11" i="7"/>
  <c r="AQ11" i="7"/>
  <c r="AR11" i="7"/>
  <c r="AS11" i="7"/>
  <c r="AT11" i="7"/>
  <c r="AU11" i="7"/>
  <c r="AO11" i="6"/>
  <c r="AP11" i="6"/>
  <c r="AQ11" i="6"/>
  <c r="AR11" i="6"/>
  <c r="AS11" i="6"/>
  <c r="AT11" i="6"/>
  <c r="AU11" i="6"/>
  <c r="AO11" i="2"/>
  <c r="AP11" i="2"/>
  <c r="AQ11" i="2"/>
  <c r="AR11" i="2"/>
  <c r="AS11" i="2"/>
  <c r="AT11" i="2"/>
  <c r="AU11" i="2"/>
  <c r="Q408" i="8" l="1"/>
  <c r="P408" i="8" s="1"/>
  <c r="N409" i="8"/>
  <c r="Q407" i="8"/>
  <c r="P407" i="8" s="1"/>
  <c r="P409" i="8"/>
  <c r="Q406" i="8"/>
  <c r="P406" i="8" s="1"/>
  <c r="O9" i="8"/>
  <c r="H16" i="54"/>
  <c r="H15" i="54"/>
  <c r="H14" i="54"/>
  <c r="H13" i="54"/>
  <c r="H12" i="54"/>
  <c r="H9" i="54"/>
  <c r="H8" i="54"/>
  <c r="H7" i="54"/>
  <c r="H6" i="54"/>
  <c r="H5" i="54"/>
  <c r="H4" i="54"/>
  <c r="R401" i="8" l="1"/>
  <c r="R398" i="8"/>
  <c r="R399" i="8"/>
  <c r="R400" i="8"/>
  <c r="R402" i="8"/>
  <c r="R403" i="8"/>
  <c r="R404" i="8"/>
  <c r="O398" i="8"/>
  <c r="O399" i="8"/>
  <c r="O400" i="8"/>
  <c r="O401" i="8"/>
  <c r="O402" i="8"/>
  <c r="O403" i="8"/>
  <c r="O404" i="8"/>
  <c r="AH11" i="6"/>
  <c r="AI11" i="6"/>
  <c r="AJ11" i="6"/>
  <c r="AK11" i="6"/>
  <c r="AL11" i="6"/>
  <c r="AM11" i="6"/>
  <c r="AN11" i="6"/>
  <c r="AH11" i="7"/>
  <c r="AI11" i="7"/>
  <c r="AJ11" i="7"/>
  <c r="AK11" i="7"/>
  <c r="AL11" i="7"/>
  <c r="AM11" i="7"/>
  <c r="AN11" i="7"/>
  <c r="AH11" i="41"/>
  <c r="AI11" i="41"/>
  <c r="AJ11" i="41"/>
  <c r="AK11" i="41"/>
  <c r="AL11" i="41"/>
  <c r="AM11" i="41"/>
  <c r="AN11" i="41"/>
  <c r="AH11" i="11"/>
  <c r="AI11" i="11"/>
  <c r="AJ11" i="11"/>
  <c r="AK11" i="11"/>
  <c r="AL11" i="11"/>
  <c r="AM11" i="11"/>
  <c r="AN11" i="11"/>
  <c r="Q398" i="8" l="1"/>
  <c r="P398" i="8" s="1"/>
  <c r="N398" i="8"/>
  <c r="AD401" i="8"/>
  <c r="AD399" i="8"/>
  <c r="AF399" i="8" s="1"/>
  <c r="AH399" i="8" s="1"/>
  <c r="AD400" i="8"/>
  <c r="AF400" i="8" s="1"/>
  <c r="AH400" i="8" s="1"/>
  <c r="AD402" i="8"/>
  <c r="AD403" i="8"/>
  <c r="AD404" i="8"/>
  <c r="AH11" i="3"/>
  <c r="AI11" i="3"/>
  <c r="AJ11" i="3"/>
  <c r="AK11" i="3"/>
  <c r="AL11" i="3"/>
  <c r="AM11" i="3"/>
  <c r="AN11" i="3"/>
  <c r="AH11" i="16"/>
  <c r="AI11" i="16"/>
  <c r="AJ11" i="16"/>
  <c r="AK11" i="16"/>
  <c r="AL11" i="16"/>
  <c r="AM11" i="16"/>
  <c r="AN11" i="16"/>
  <c r="AH11" i="4"/>
  <c r="AI11" i="4"/>
  <c r="AJ11" i="4"/>
  <c r="AK11" i="4"/>
  <c r="AL11" i="4"/>
  <c r="AM11" i="4"/>
  <c r="AN11" i="4"/>
  <c r="AF404" i="8" l="1"/>
  <c r="AH404" i="8" s="1"/>
  <c r="N404" i="8" s="1"/>
  <c r="AF402" i="8"/>
  <c r="AH402" i="8" s="1"/>
  <c r="N402" i="8" s="1"/>
  <c r="AF401" i="8"/>
  <c r="AH401" i="8" s="1"/>
  <c r="N401" i="8" s="1"/>
  <c r="AF403" i="8"/>
  <c r="AH403" i="8" s="1"/>
  <c r="N403" i="8" s="1"/>
  <c r="N399" i="8"/>
  <c r="Q399" i="8"/>
  <c r="P399" i="8" s="1"/>
  <c r="N400" i="8"/>
  <c r="Q400" i="8"/>
  <c r="P400" i="8" s="1"/>
  <c r="AH29" i="1"/>
  <c r="AI29" i="1"/>
  <c r="AJ29" i="1"/>
  <c r="AK29" i="1"/>
  <c r="AL29" i="1"/>
  <c r="AM29" i="1"/>
  <c r="AN29" i="1"/>
  <c r="AH11" i="1"/>
  <c r="AI11" i="1"/>
  <c r="AJ11" i="1"/>
  <c r="AK11" i="1"/>
  <c r="AL11" i="1"/>
  <c r="AM11" i="1"/>
  <c r="AN11" i="1"/>
  <c r="AH11" i="5"/>
  <c r="AI11" i="5"/>
  <c r="AJ11" i="5"/>
  <c r="AK11" i="5"/>
  <c r="AL11" i="5"/>
  <c r="AM11" i="5"/>
  <c r="AN11" i="5"/>
  <c r="AH11" i="2"/>
  <c r="AI11" i="2"/>
  <c r="AJ11" i="2"/>
  <c r="AK11" i="2"/>
  <c r="AL11" i="2"/>
  <c r="AM11" i="2"/>
  <c r="AN11" i="2"/>
  <c r="AE11" i="11"/>
  <c r="AC11" i="11"/>
  <c r="AB11" i="11"/>
  <c r="AA11" i="41"/>
  <c r="AB11" i="41"/>
  <c r="AC11" i="41"/>
  <c r="AD11" i="41"/>
  <c r="AE11" i="41"/>
  <c r="AF11" i="41"/>
  <c r="AG11" i="41"/>
  <c r="O393" i="8"/>
  <c r="AA11" i="11"/>
  <c r="AD11" i="11"/>
  <c r="AF11" i="11"/>
  <c r="AG11" i="11"/>
  <c r="AC11" i="1"/>
  <c r="AD11" i="1"/>
  <c r="AE11" i="1"/>
  <c r="AF11" i="1"/>
  <c r="AG11" i="1"/>
  <c r="AB11" i="1"/>
  <c r="AA11" i="3"/>
  <c r="AB11" i="3"/>
  <c r="AC11" i="3"/>
  <c r="AD11" i="3"/>
  <c r="AE11" i="3"/>
  <c r="AF11" i="3"/>
  <c r="AG11" i="3"/>
  <c r="O391" i="8"/>
  <c r="O392" i="8"/>
  <c r="O394" i="8"/>
  <c r="O395" i="8"/>
  <c r="O396" i="8"/>
  <c r="O397" i="8"/>
  <c r="AA11" i="7"/>
  <c r="AB11" i="7"/>
  <c r="AC11" i="7"/>
  <c r="AD11" i="7"/>
  <c r="AE11" i="7"/>
  <c r="AF11" i="7"/>
  <c r="AG11" i="7"/>
  <c r="AA11" i="6"/>
  <c r="AB11" i="6"/>
  <c r="AC11" i="6"/>
  <c r="AD11" i="6"/>
  <c r="AE11" i="6"/>
  <c r="AF11" i="6"/>
  <c r="AG11" i="6"/>
  <c r="Q404" i="8" l="1"/>
  <c r="P404" i="8" s="1"/>
  <c r="Q401" i="8"/>
  <c r="P401" i="8" s="1"/>
  <c r="Q403" i="8"/>
  <c r="P403" i="8" s="1"/>
  <c r="Q402" i="8"/>
  <c r="P402" i="8" s="1"/>
  <c r="AA11" i="4"/>
  <c r="AB11" i="4"/>
  <c r="AC11" i="4"/>
  <c r="AD11" i="4"/>
  <c r="AE11" i="4"/>
  <c r="AF11" i="4"/>
  <c r="AG11" i="4"/>
  <c r="AA11" i="16"/>
  <c r="AB11" i="16"/>
  <c r="AC11" i="16"/>
  <c r="AD11" i="16"/>
  <c r="AE11" i="16"/>
  <c r="AF11" i="16"/>
  <c r="AG11" i="16"/>
  <c r="AD391" i="8"/>
  <c r="AD392" i="8"/>
  <c r="AF392" i="8" s="1"/>
  <c r="AH392" i="8" s="1"/>
  <c r="AD393" i="8"/>
  <c r="AF393" i="8" s="1"/>
  <c r="AH393" i="8" s="1"/>
  <c r="AD395" i="8"/>
  <c r="AD396" i="8"/>
  <c r="AD397" i="8"/>
  <c r="R391" i="8"/>
  <c r="R392" i="8"/>
  <c r="R393" i="8"/>
  <c r="R394" i="8"/>
  <c r="R395" i="8"/>
  <c r="R396" i="8"/>
  <c r="AF397" i="8" l="1"/>
  <c r="AH397" i="8" s="1"/>
  <c r="N397" i="8" s="1"/>
  <c r="AF396" i="8"/>
  <c r="AH396" i="8" s="1"/>
  <c r="Q396" i="8" s="1"/>
  <c r="P396" i="8" s="1"/>
  <c r="AF391" i="8"/>
  <c r="AH391" i="8" s="1"/>
  <c r="Q391" i="8" s="1"/>
  <c r="P391" i="8" s="1"/>
  <c r="AF395" i="8"/>
  <c r="AH395" i="8" s="1"/>
  <c r="N395" i="8" s="1"/>
  <c r="Q393" i="8"/>
  <c r="P393" i="8" s="1"/>
  <c r="N393" i="8"/>
  <c r="AD394" i="8"/>
  <c r="AF394" i="8" s="1"/>
  <c r="AH394" i="8" s="1"/>
  <c r="Q392" i="8"/>
  <c r="P392" i="8" s="1"/>
  <c r="N392" i="8"/>
  <c r="R397" i="8"/>
  <c r="AA29" i="1"/>
  <c r="AB29" i="1"/>
  <c r="AC29" i="1"/>
  <c r="AD29" i="1"/>
  <c r="AE29" i="1"/>
  <c r="AF29" i="1"/>
  <c r="AG29" i="1"/>
  <c r="AA11" i="5"/>
  <c r="AB11" i="5"/>
  <c r="AC11" i="5"/>
  <c r="AD11" i="5"/>
  <c r="AE11" i="5"/>
  <c r="AF11" i="5"/>
  <c r="AG11" i="5"/>
  <c r="AA11" i="2"/>
  <c r="AB11" i="2"/>
  <c r="AC11" i="2"/>
  <c r="AD11" i="2"/>
  <c r="AE11" i="2"/>
  <c r="AF11" i="2"/>
  <c r="AG11" i="2"/>
  <c r="Q395" i="8" l="1"/>
  <c r="P395" i="8" s="1"/>
  <c r="N396" i="8"/>
  <c r="N391" i="8"/>
  <c r="Q397" i="8"/>
  <c r="P397" i="8" s="1"/>
  <c r="Q394" i="8"/>
  <c r="P394" i="8" s="1"/>
  <c r="N394" i="8"/>
  <c r="T11" i="41"/>
  <c r="U11" i="41"/>
  <c r="V11" i="41"/>
  <c r="W11" i="41"/>
  <c r="X11" i="41"/>
  <c r="Y11" i="41"/>
  <c r="Z11" i="41"/>
  <c r="AD388" i="8"/>
  <c r="AF388" i="8" s="1"/>
  <c r="AH388" i="8" s="1"/>
  <c r="O387" i="8"/>
  <c r="T11" i="11"/>
  <c r="U11" i="11"/>
  <c r="V11" i="11"/>
  <c r="W11" i="11"/>
  <c r="X11" i="11"/>
  <c r="Y11" i="11"/>
  <c r="Z11" i="1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C29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T11" i="7"/>
  <c r="U11" i="7"/>
  <c r="V11" i="7"/>
  <c r="W11" i="7"/>
  <c r="X11" i="7"/>
  <c r="Y11" i="7"/>
  <c r="Z11" i="7"/>
  <c r="T11" i="6"/>
  <c r="U11" i="6"/>
  <c r="V11" i="6"/>
  <c r="W11" i="6"/>
  <c r="X11" i="6"/>
  <c r="Y11" i="6"/>
  <c r="Z11" i="6"/>
  <c r="U11" i="5"/>
  <c r="T11" i="16"/>
  <c r="U11" i="16"/>
  <c r="V11" i="16"/>
  <c r="W11" i="16"/>
  <c r="X11" i="16"/>
  <c r="Y11" i="16"/>
  <c r="Z11" i="16"/>
  <c r="T11" i="4"/>
  <c r="U11" i="4"/>
  <c r="V11" i="4"/>
  <c r="W11" i="4"/>
  <c r="X11" i="4"/>
  <c r="Y11" i="4"/>
  <c r="Z11" i="4"/>
  <c r="M11" i="4"/>
  <c r="N11" i="4"/>
  <c r="O11" i="4"/>
  <c r="P11" i="4"/>
  <c r="Q11" i="4"/>
  <c r="R11" i="4"/>
  <c r="S11" i="4"/>
  <c r="O384" i="8"/>
  <c r="Q384" i="8"/>
  <c r="R384" i="8"/>
  <c r="O385" i="8"/>
  <c r="O386" i="8"/>
  <c r="O388" i="8"/>
  <c r="O389" i="8"/>
  <c r="O390" i="8"/>
  <c r="T11" i="3"/>
  <c r="U11" i="3"/>
  <c r="V11" i="3"/>
  <c r="W11" i="3"/>
  <c r="X11" i="3"/>
  <c r="Y11" i="3"/>
  <c r="Z11" i="3"/>
  <c r="R385" i="8"/>
  <c r="R386" i="8"/>
  <c r="R387" i="8"/>
  <c r="R388" i="8"/>
  <c r="R389" i="8"/>
  <c r="AD385" i="8"/>
  <c r="AD386" i="8"/>
  <c r="AF386" i="8" s="1"/>
  <c r="AH386" i="8" s="1"/>
  <c r="Q386" i="8" s="1"/>
  <c r="AD387" i="8"/>
  <c r="AF387" i="8" s="1"/>
  <c r="AH387" i="8" s="1"/>
  <c r="AD389" i="8"/>
  <c r="AF389" i="8" s="1"/>
  <c r="AH389" i="8" s="1"/>
  <c r="AD390" i="8"/>
  <c r="AF390" i="8" s="1"/>
  <c r="AH390" i="8" s="1"/>
  <c r="AF385" i="8" l="1"/>
  <c r="AH385" i="8" s="1"/>
  <c r="Q385" i="8" s="1"/>
  <c r="P385" i="8" s="1"/>
  <c r="N386" i="8"/>
  <c r="R390" i="8"/>
  <c r="P384" i="8"/>
  <c r="Q390" i="8"/>
  <c r="N387" i="8"/>
  <c r="Q387" i="8"/>
  <c r="P387" i="8" s="1"/>
  <c r="Q389" i="8"/>
  <c r="P389" i="8" s="1"/>
  <c r="N389" i="8"/>
  <c r="N388" i="8"/>
  <c r="Q388" i="8"/>
  <c r="P388" i="8" s="1"/>
  <c r="P386" i="8"/>
  <c r="T11" i="5"/>
  <c r="V11" i="5"/>
  <c r="W11" i="5"/>
  <c r="X11" i="5"/>
  <c r="Y11" i="5"/>
  <c r="Z11" i="5"/>
  <c r="Z11" i="2"/>
  <c r="Y11" i="2"/>
  <c r="X11" i="2"/>
  <c r="W11" i="2"/>
  <c r="V11" i="2"/>
  <c r="U11" i="2"/>
  <c r="T11" i="2"/>
  <c r="N385" i="8" l="1"/>
  <c r="N390" i="8"/>
  <c r="P390" i="8"/>
  <c r="S11" i="41"/>
  <c r="R11" i="41"/>
  <c r="Q11" i="41"/>
  <c r="P11" i="41"/>
  <c r="O11" i="41"/>
  <c r="N11" i="41"/>
  <c r="S11" i="11"/>
  <c r="R11" i="11"/>
  <c r="Q11" i="11"/>
  <c r="P11" i="11"/>
  <c r="O11" i="11"/>
  <c r="N11" i="11"/>
  <c r="AE3" i="8"/>
  <c r="AE4" i="8"/>
  <c r="AE5" i="8"/>
  <c r="AE6" i="8"/>
  <c r="AE7" i="8"/>
  <c r="AE8" i="8"/>
  <c r="AE9" i="8"/>
  <c r="AE10" i="8"/>
  <c r="AE11" i="8"/>
  <c r="AE12" i="8"/>
  <c r="AE13" i="8"/>
  <c r="AE14" i="8"/>
  <c r="AE15" i="8"/>
  <c r="AE16" i="8"/>
  <c r="AE17" i="8"/>
  <c r="AE18" i="8"/>
  <c r="AE19" i="8"/>
  <c r="AE20" i="8"/>
  <c r="AE21" i="8"/>
  <c r="AE22" i="8"/>
  <c r="AE23" i="8"/>
  <c r="AE24" i="8"/>
  <c r="AE25" i="8"/>
  <c r="AE26" i="8"/>
  <c r="AE27" i="8"/>
  <c r="AE28" i="8"/>
  <c r="AE29" i="8"/>
  <c r="AE30" i="8"/>
  <c r="AE31" i="8"/>
  <c r="AE32" i="8"/>
  <c r="AE33" i="8"/>
  <c r="AE34" i="8"/>
  <c r="AE35" i="8"/>
  <c r="AE36" i="8"/>
  <c r="AE37" i="8"/>
  <c r="AE38" i="8"/>
  <c r="AE39" i="8"/>
  <c r="AE40" i="8"/>
  <c r="AE41" i="8"/>
  <c r="AE42" i="8"/>
  <c r="AE43" i="8"/>
  <c r="AE44" i="8"/>
  <c r="AE45" i="8"/>
  <c r="AE46" i="8"/>
  <c r="AE47" i="8"/>
  <c r="AE48" i="8"/>
  <c r="AE49" i="8"/>
  <c r="AE50" i="8"/>
  <c r="AE51" i="8"/>
  <c r="AE52" i="8"/>
  <c r="AE53" i="8"/>
  <c r="AE54" i="8"/>
  <c r="AE55" i="8"/>
  <c r="AE56" i="8"/>
  <c r="AE57" i="8"/>
  <c r="AE58" i="8"/>
  <c r="AE59" i="8"/>
  <c r="AE60" i="8"/>
  <c r="AE61" i="8"/>
  <c r="AE62" i="8"/>
  <c r="AE63" i="8"/>
  <c r="AE64" i="8"/>
  <c r="AE65" i="8"/>
  <c r="AE66" i="8"/>
  <c r="AE67" i="8"/>
  <c r="AE68" i="8"/>
  <c r="AE69" i="8"/>
  <c r="AE70" i="8"/>
  <c r="AE71" i="8"/>
  <c r="AE72" i="8"/>
  <c r="AE73" i="8"/>
  <c r="AE74" i="8"/>
  <c r="AE75" i="8"/>
  <c r="AE76" i="8"/>
  <c r="AE77" i="8"/>
  <c r="AE78" i="8"/>
  <c r="AE79" i="8"/>
  <c r="AE80" i="8"/>
  <c r="AE81" i="8"/>
  <c r="AE82" i="8"/>
  <c r="AE83" i="8"/>
  <c r="AE84" i="8"/>
  <c r="AE85" i="8"/>
  <c r="AE86" i="8"/>
  <c r="AE87" i="8"/>
  <c r="AE88" i="8"/>
  <c r="AE89" i="8"/>
  <c r="AE90" i="8"/>
  <c r="AE91" i="8"/>
  <c r="AE92" i="8"/>
  <c r="AE93" i="8"/>
  <c r="AE94" i="8"/>
  <c r="AE95" i="8"/>
  <c r="AE96" i="8"/>
  <c r="AE97" i="8"/>
  <c r="AE98" i="8"/>
  <c r="AE99" i="8"/>
  <c r="AE100" i="8"/>
  <c r="AE101" i="8"/>
  <c r="AE102" i="8"/>
  <c r="AE103" i="8"/>
  <c r="AE104" i="8"/>
  <c r="AE105" i="8"/>
  <c r="AE106" i="8"/>
  <c r="AE107" i="8"/>
  <c r="AE108" i="8"/>
  <c r="AE109" i="8"/>
  <c r="AE110" i="8"/>
  <c r="AE111" i="8"/>
  <c r="AE112" i="8"/>
  <c r="AE113" i="8"/>
  <c r="AE114" i="8"/>
  <c r="AE115" i="8"/>
  <c r="AE116" i="8"/>
  <c r="AE117" i="8"/>
  <c r="AE118" i="8"/>
  <c r="AE119" i="8"/>
  <c r="AE120" i="8"/>
  <c r="AE121" i="8"/>
  <c r="AE122" i="8"/>
  <c r="AE123" i="8"/>
  <c r="AE124" i="8"/>
  <c r="AE125" i="8"/>
  <c r="AE126" i="8"/>
  <c r="AE127" i="8"/>
  <c r="AE128" i="8"/>
  <c r="AE129" i="8"/>
  <c r="AE130" i="8"/>
  <c r="AE131" i="8"/>
  <c r="AE132" i="8"/>
  <c r="AE133" i="8"/>
  <c r="AE134" i="8"/>
  <c r="AE135" i="8"/>
  <c r="AE136" i="8"/>
  <c r="AE137" i="8"/>
  <c r="AE138" i="8"/>
  <c r="AE139" i="8"/>
  <c r="AE140" i="8"/>
  <c r="AE141" i="8"/>
  <c r="AE142" i="8"/>
  <c r="AE143" i="8"/>
  <c r="AE144" i="8"/>
  <c r="AE145" i="8"/>
  <c r="AE146" i="8"/>
  <c r="AE147" i="8"/>
  <c r="AE148" i="8"/>
  <c r="AE149" i="8"/>
  <c r="AE150" i="8"/>
  <c r="AE151" i="8"/>
  <c r="AE152" i="8"/>
  <c r="AE153" i="8"/>
  <c r="AE154" i="8"/>
  <c r="AE155" i="8"/>
  <c r="AE156" i="8"/>
  <c r="AE157" i="8"/>
  <c r="AE158" i="8"/>
  <c r="AE159" i="8"/>
  <c r="AE160" i="8"/>
  <c r="AE161" i="8"/>
  <c r="AE162" i="8"/>
  <c r="AE163" i="8"/>
  <c r="AE164" i="8"/>
  <c r="AE165" i="8"/>
  <c r="AE166" i="8"/>
  <c r="AE167" i="8"/>
  <c r="AE168" i="8"/>
  <c r="AE169" i="8"/>
  <c r="AE170" i="8"/>
  <c r="AE171" i="8"/>
  <c r="AE172" i="8"/>
  <c r="AE173" i="8"/>
  <c r="AE174" i="8"/>
  <c r="AE175" i="8"/>
  <c r="AE176" i="8"/>
  <c r="AE177" i="8"/>
  <c r="AE178" i="8"/>
  <c r="AE179" i="8"/>
  <c r="AE180" i="8"/>
  <c r="AE181" i="8"/>
  <c r="AE182" i="8"/>
  <c r="AE183" i="8"/>
  <c r="AE184" i="8"/>
  <c r="AE185" i="8"/>
  <c r="AE186" i="8"/>
  <c r="AE187" i="8"/>
  <c r="AE188" i="8"/>
  <c r="AE189" i="8"/>
  <c r="AE190" i="8"/>
  <c r="AE191" i="8"/>
  <c r="AE192" i="8"/>
  <c r="AE193" i="8"/>
  <c r="AE194" i="8"/>
  <c r="AE195" i="8"/>
  <c r="AE196" i="8"/>
  <c r="AE197" i="8"/>
  <c r="AE198" i="8"/>
  <c r="AE199" i="8"/>
  <c r="AE200" i="8"/>
  <c r="AE201" i="8"/>
  <c r="AE202" i="8"/>
  <c r="AE203" i="8"/>
  <c r="AE204" i="8"/>
  <c r="AE205" i="8"/>
  <c r="AE206" i="8"/>
  <c r="AE207" i="8"/>
  <c r="AE208" i="8"/>
  <c r="AE209" i="8"/>
  <c r="AE210" i="8"/>
  <c r="AE211" i="8"/>
  <c r="AE212" i="8"/>
  <c r="AE213" i="8"/>
  <c r="AE214" i="8"/>
  <c r="AE215" i="8"/>
  <c r="AE216" i="8"/>
  <c r="AE217" i="8"/>
  <c r="AE218" i="8"/>
  <c r="AE219" i="8"/>
  <c r="AE220" i="8"/>
  <c r="AE221" i="8"/>
  <c r="AE222" i="8"/>
  <c r="AE223" i="8"/>
  <c r="AE224" i="8"/>
  <c r="AE225" i="8"/>
  <c r="AE226" i="8"/>
  <c r="AE227" i="8"/>
  <c r="AE228" i="8"/>
  <c r="AE229" i="8"/>
  <c r="AE230" i="8"/>
  <c r="AE231" i="8"/>
  <c r="AE232" i="8"/>
  <c r="AE233" i="8"/>
  <c r="AE234" i="8"/>
  <c r="AE235" i="8"/>
  <c r="AE236" i="8"/>
  <c r="AE237" i="8"/>
  <c r="AE238" i="8"/>
  <c r="AE239" i="8"/>
  <c r="AE240" i="8"/>
  <c r="AE241" i="8"/>
  <c r="AE242" i="8"/>
  <c r="AE243" i="8"/>
  <c r="AE244" i="8"/>
  <c r="AE245" i="8"/>
  <c r="AE246" i="8"/>
  <c r="AE247" i="8"/>
  <c r="AE248" i="8"/>
  <c r="AE249" i="8"/>
  <c r="AE250" i="8"/>
  <c r="AE251" i="8"/>
  <c r="AE252" i="8"/>
  <c r="AE253" i="8"/>
  <c r="AE254" i="8"/>
  <c r="AE255" i="8"/>
  <c r="AE256" i="8"/>
  <c r="AE257" i="8"/>
  <c r="AE258" i="8"/>
  <c r="AE259" i="8"/>
  <c r="AE260" i="8"/>
  <c r="AE261" i="8"/>
  <c r="AE262" i="8"/>
  <c r="AE263" i="8"/>
  <c r="AE264" i="8"/>
  <c r="AE265" i="8"/>
  <c r="AE266" i="8"/>
  <c r="AE267" i="8"/>
  <c r="AE268" i="8"/>
  <c r="AE269" i="8"/>
  <c r="AE270" i="8"/>
  <c r="AE271" i="8"/>
  <c r="AE272" i="8"/>
  <c r="AE273" i="8"/>
  <c r="AE274" i="8"/>
  <c r="AE275" i="8"/>
  <c r="AE276" i="8"/>
  <c r="AE277" i="8"/>
  <c r="AE278" i="8"/>
  <c r="AE279" i="8"/>
  <c r="AE280" i="8"/>
  <c r="AE281" i="8"/>
  <c r="AE282" i="8"/>
  <c r="AE283" i="8"/>
  <c r="AE284" i="8"/>
  <c r="AE285" i="8"/>
  <c r="AE286" i="8"/>
  <c r="AE287" i="8"/>
  <c r="AE288" i="8"/>
  <c r="AE289" i="8"/>
  <c r="AE290" i="8"/>
  <c r="AE291" i="8"/>
  <c r="AE292" i="8"/>
  <c r="AE293" i="8"/>
  <c r="AE294" i="8"/>
  <c r="AE295" i="8"/>
  <c r="AE296" i="8"/>
  <c r="AE297" i="8"/>
  <c r="AE298" i="8"/>
  <c r="AE299" i="8"/>
  <c r="AE300" i="8"/>
  <c r="AE301" i="8"/>
  <c r="AE302" i="8"/>
  <c r="AE303" i="8"/>
  <c r="AE304" i="8"/>
  <c r="AE305" i="8"/>
  <c r="AE306" i="8"/>
  <c r="AE307" i="8"/>
  <c r="AE308" i="8"/>
  <c r="AE309" i="8"/>
  <c r="AE310" i="8"/>
  <c r="AE311" i="8"/>
  <c r="AE312" i="8"/>
  <c r="AE313" i="8"/>
  <c r="AE314" i="8"/>
  <c r="AE315" i="8"/>
  <c r="AE316" i="8"/>
  <c r="AE317" i="8"/>
  <c r="AE318" i="8"/>
  <c r="AE319" i="8"/>
  <c r="AE320" i="8"/>
  <c r="AE321" i="8"/>
  <c r="AE322" i="8"/>
  <c r="AE323" i="8"/>
  <c r="AE324" i="8"/>
  <c r="AE325" i="8"/>
  <c r="AE326" i="8"/>
  <c r="AE327" i="8"/>
  <c r="AE328" i="8"/>
  <c r="AE329" i="8"/>
  <c r="AE330" i="8"/>
  <c r="AE331" i="8"/>
  <c r="AE332" i="8"/>
  <c r="AE333" i="8"/>
  <c r="AE334" i="8"/>
  <c r="AE335" i="8"/>
  <c r="AE336" i="8"/>
  <c r="AE337" i="8"/>
  <c r="AE338" i="8"/>
  <c r="AE339" i="8"/>
  <c r="AE340" i="8"/>
  <c r="AE341" i="8"/>
  <c r="AE342" i="8"/>
  <c r="AE343" i="8"/>
  <c r="AE344" i="8"/>
  <c r="AE345" i="8"/>
  <c r="AE346" i="8"/>
  <c r="AE347" i="8"/>
  <c r="AE348" i="8"/>
  <c r="AE349" i="8"/>
  <c r="AE350" i="8"/>
  <c r="AE351" i="8"/>
  <c r="AE352" i="8"/>
  <c r="AE353" i="8"/>
  <c r="AE354" i="8"/>
  <c r="AE355" i="8"/>
  <c r="AE356" i="8"/>
  <c r="AE357" i="8"/>
  <c r="AE358" i="8"/>
  <c r="AE359" i="8"/>
  <c r="AE360" i="8"/>
  <c r="AE361" i="8"/>
  <c r="AE362" i="8"/>
  <c r="AE363" i="8"/>
  <c r="AE364" i="8"/>
  <c r="AE365" i="8"/>
  <c r="AE366" i="8"/>
  <c r="AE367" i="8"/>
  <c r="AE368" i="8"/>
  <c r="AE369" i="8"/>
  <c r="AE370" i="8"/>
  <c r="AE371" i="8"/>
  <c r="AE372" i="8"/>
  <c r="AE373" i="8"/>
  <c r="AE374" i="8"/>
  <c r="R379" i="8"/>
  <c r="AE2" i="8"/>
  <c r="O378" i="8"/>
  <c r="O379" i="8"/>
  <c r="O380" i="8"/>
  <c r="O381" i="8"/>
  <c r="O382" i="8"/>
  <c r="O383" i="8"/>
  <c r="N384" i="8"/>
  <c r="N11" i="16"/>
  <c r="O11" i="16"/>
  <c r="P11" i="16"/>
  <c r="Q11" i="16"/>
  <c r="R11" i="16"/>
  <c r="S11" i="16"/>
  <c r="S11" i="6"/>
  <c r="R11" i="6"/>
  <c r="Q11" i="6"/>
  <c r="P11" i="6"/>
  <c r="O11" i="6"/>
  <c r="N11" i="6"/>
  <c r="S11" i="7"/>
  <c r="R11" i="7"/>
  <c r="Q11" i="7"/>
  <c r="P11" i="7"/>
  <c r="O11" i="7"/>
  <c r="N11" i="7"/>
  <c r="S11" i="3"/>
  <c r="R11" i="3"/>
  <c r="Q11" i="3"/>
  <c r="P11" i="3"/>
  <c r="O11" i="3"/>
  <c r="N11" i="3"/>
  <c r="AD377" i="8"/>
  <c r="AF377" i="8" s="1"/>
  <c r="AH377" i="8" s="1"/>
  <c r="AD378" i="8"/>
  <c r="AD379" i="8"/>
  <c r="AF379" i="8" s="1"/>
  <c r="AH379" i="8" s="1"/>
  <c r="AD380" i="8"/>
  <c r="AD381" i="8"/>
  <c r="AD383" i="8"/>
  <c r="S11" i="5"/>
  <c r="R11" i="5"/>
  <c r="Q11" i="5"/>
  <c r="P11" i="5"/>
  <c r="O11" i="5"/>
  <c r="N11" i="5"/>
  <c r="AF381" i="8" l="1"/>
  <c r="AH381" i="8" s="1"/>
  <c r="Q381" i="8" s="1"/>
  <c r="AF378" i="8"/>
  <c r="AH378" i="8" s="1"/>
  <c r="N378" i="8" s="1"/>
  <c r="AF380" i="8"/>
  <c r="AH380" i="8" s="1"/>
  <c r="Q380" i="8" s="1"/>
  <c r="AF383" i="8"/>
  <c r="AH383" i="8" s="1"/>
  <c r="N383" i="8" s="1"/>
  <c r="N379" i="8"/>
  <c r="Q379" i="8"/>
  <c r="P379" i="8" s="1"/>
  <c r="AD382" i="8"/>
  <c r="AF382" i="8" s="1"/>
  <c r="AH382" i="8" s="1"/>
  <c r="R383" i="8"/>
  <c r="R382" i="8"/>
  <c r="R378" i="8"/>
  <c r="R381" i="8"/>
  <c r="R380" i="8"/>
  <c r="S11" i="2"/>
  <c r="R11" i="2"/>
  <c r="Q11" i="2"/>
  <c r="P11" i="2"/>
  <c r="O11" i="2"/>
  <c r="N11" i="2"/>
  <c r="G5" i="54"/>
  <c r="G6" i="54"/>
  <c r="G7" i="54"/>
  <c r="G8" i="54"/>
  <c r="G9" i="54"/>
  <c r="G10" i="54"/>
  <c r="G12" i="54"/>
  <c r="G13" i="54"/>
  <c r="G14" i="54"/>
  <c r="G15" i="54"/>
  <c r="G16" i="54"/>
  <c r="G4" i="54"/>
  <c r="AI16" i="54"/>
  <c r="AI15" i="54"/>
  <c r="AI14" i="54"/>
  <c r="AI13" i="54"/>
  <c r="AI12" i="54"/>
  <c r="AI11" i="54"/>
  <c r="AI10" i="54"/>
  <c r="AI9" i="54"/>
  <c r="AI8" i="54"/>
  <c r="AI7" i="54"/>
  <c r="AI6" i="54"/>
  <c r="AI5" i="54"/>
  <c r="AI4" i="54"/>
  <c r="AE16" i="54"/>
  <c r="AE15" i="54"/>
  <c r="AE14" i="54"/>
  <c r="AE13" i="54"/>
  <c r="AE12" i="54"/>
  <c r="AE11" i="54"/>
  <c r="AE10" i="54"/>
  <c r="AE9" i="54"/>
  <c r="AE8" i="54"/>
  <c r="AE7" i="54"/>
  <c r="AE6" i="54"/>
  <c r="AE5" i="54"/>
  <c r="AE4" i="54"/>
  <c r="AA16" i="54"/>
  <c r="AA15" i="54"/>
  <c r="AA14" i="54"/>
  <c r="AA13" i="54"/>
  <c r="AA12" i="54"/>
  <c r="AA11" i="54"/>
  <c r="AA10" i="54"/>
  <c r="AA9" i="54"/>
  <c r="AA8" i="54"/>
  <c r="AA7" i="54"/>
  <c r="AA6" i="54"/>
  <c r="AA5" i="54"/>
  <c r="AA4" i="54"/>
  <c r="W16" i="54"/>
  <c r="W15" i="54"/>
  <c r="W14" i="54"/>
  <c r="W13" i="54"/>
  <c r="W12" i="54"/>
  <c r="W11" i="54"/>
  <c r="W10" i="54"/>
  <c r="W9" i="54"/>
  <c r="W8" i="54"/>
  <c r="W7" i="54"/>
  <c r="W6" i="54"/>
  <c r="W5" i="54"/>
  <c r="W4" i="54"/>
  <c r="S16" i="54"/>
  <c r="S15" i="54"/>
  <c r="S14" i="54"/>
  <c r="S13" i="54"/>
  <c r="S12" i="54"/>
  <c r="S11" i="54"/>
  <c r="S10" i="54"/>
  <c r="S9" i="54"/>
  <c r="S8" i="54"/>
  <c r="S7" i="54"/>
  <c r="S6" i="54"/>
  <c r="S5" i="54"/>
  <c r="S4" i="54"/>
  <c r="O16" i="54"/>
  <c r="O15" i="54"/>
  <c r="O14" i="54"/>
  <c r="O13" i="54"/>
  <c r="O12" i="54"/>
  <c r="O11" i="54"/>
  <c r="O10" i="54"/>
  <c r="O9" i="54"/>
  <c r="O8" i="54"/>
  <c r="O7" i="54"/>
  <c r="O6" i="54"/>
  <c r="O5" i="54"/>
  <c r="O4" i="54"/>
  <c r="K5" i="54"/>
  <c r="K6" i="54"/>
  <c r="K7" i="54"/>
  <c r="K8" i="54"/>
  <c r="K9" i="54"/>
  <c r="K10" i="54"/>
  <c r="K11" i="54"/>
  <c r="K12" i="54"/>
  <c r="K13" i="54"/>
  <c r="K14" i="54"/>
  <c r="K15" i="54"/>
  <c r="K16" i="54"/>
  <c r="K4" i="54"/>
  <c r="K2" i="54"/>
  <c r="A3" i="41"/>
  <c r="G2" i="54"/>
  <c r="D5" i="54"/>
  <c r="D6" i="54"/>
  <c r="D7" i="54"/>
  <c r="D8" i="54"/>
  <c r="D9" i="54"/>
  <c r="D14" i="54"/>
  <c r="D15" i="54"/>
  <c r="D16" i="54"/>
  <c r="D4" i="54"/>
  <c r="B2" i="54"/>
  <c r="AI2" i="54"/>
  <c r="AE2" i="54"/>
  <c r="AA2" i="54"/>
  <c r="W2" i="54"/>
  <c r="S2" i="54"/>
  <c r="O2" i="54"/>
  <c r="Q383" i="8" l="1"/>
  <c r="P383" i="8" s="1"/>
  <c r="Q378" i="8"/>
  <c r="P378" i="8"/>
  <c r="N380" i="8"/>
  <c r="P380" i="8"/>
  <c r="P381" i="8"/>
  <c r="N381" i="8"/>
  <c r="Q382" i="8"/>
  <c r="P382" i="8" s="1"/>
  <c r="N382" i="8"/>
  <c r="G11" i="41"/>
  <c r="H11" i="41"/>
  <c r="I11" i="41"/>
  <c r="J11" i="41"/>
  <c r="K11" i="41"/>
  <c r="L11" i="41"/>
  <c r="M11" i="41"/>
  <c r="G11" i="11"/>
  <c r="H11" i="11"/>
  <c r="I11" i="11"/>
  <c r="J11" i="11"/>
  <c r="K11" i="11"/>
  <c r="L11" i="11"/>
  <c r="G11" i="7"/>
  <c r="H11" i="7"/>
  <c r="I11" i="7"/>
  <c r="J11" i="7"/>
  <c r="K11" i="7"/>
  <c r="L11" i="7"/>
  <c r="G11" i="6"/>
  <c r="H11" i="6"/>
  <c r="I11" i="6"/>
  <c r="J11" i="6"/>
  <c r="K11" i="6"/>
  <c r="L11" i="6"/>
  <c r="O371" i="8"/>
  <c r="O372" i="8"/>
  <c r="O373" i="8"/>
  <c r="O374" i="8"/>
  <c r="O376" i="8"/>
  <c r="O377" i="8"/>
  <c r="L11" i="16" l="1"/>
  <c r="K11" i="16"/>
  <c r="J11" i="16"/>
  <c r="I11" i="16"/>
  <c r="H11" i="16"/>
  <c r="G11" i="16"/>
  <c r="AF3" i="8"/>
  <c r="AF4" i="8"/>
  <c r="AF5" i="8"/>
  <c r="AF6" i="8"/>
  <c r="AF7" i="8"/>
  <c r="AF8" i="8"/>
  <c r="AF9" i="8"/>
  <c r="AF10" i="8"/>
  <c r="AF11" i="8"/>
  <c r="AF12" i="8"/>
  <c r="AF13" i="8"/>
  <c r="AF14" i="8"/>
  <c r="AF15" i="8"/>
  <c r="AF16" i="8"/>
  <c r="AF17" i="8"/>
  <c r="AF18" i="8"/>
  <c r="AF19" i="8"/>
  <c r="AF20" i="8"/>
  <c r="AF21" i="8"/>
  <c r="AF22" i="8"/>
  <c r="AF23" i="8"/>
  <c r="AF24" i="8"/>
  <c r="AF25" i="8"/>
  <c r="AF26" i="8"/>
  <c r="AF27" i="8"/>
  <c r="AF28" i="8"/>
  <c r="AF29" i="8"/>
  <c r="AF30" i="8"/>
  <c r="AF31" i="8"/>
  <c r="AF32" i="8"/>
  <c r="AF33" i="8"/>
  <c r="AF34" i="8"/>
  <c r="AF35" i="8"/>
  <c r="AF36" i="8"/>
  <c r="AF37" i="8"/>
  <c r="AF38" i="8"/>
  <c r="AF39" i="8"/>
  <c r="AF40" i="8"/>
  <c r="AF41" i="8"/>
  <c r="AF42" i="8"/>
  <c r="AF43" i="8"/>
  <c r="AF44" i="8"/>
  <c r="AF45" i="8"/>
  <c r="AF46" i="8"/>
  <c r="AF47" i="8"/>
  <c r="AF48" i="8"/>
  <c r="AF49" i="8"/>
  <c r="AF50" i="8"/>
  <c r="AF51" i="8"/>
  <c r="AF52" i="8"/>
  <c r="AF53" i="8"/>
  <c r="AF54" i="8"/>
  <c r="AF55" i="8"/>
  <c r="AF56" i="8"/>
  <c r="AF57" i="8"/>
  <c r="AF58" i="8"/>
  <c r="AF59" i="8"/>
  <c r="AF60" i="8"/>
  <c r="AF61" i="8"/>
  <c r="AF62" i="8"/>
  <c r="AF63" i="8"/>
  <c r="AF64" i="8"/>
  <c r="AF65" i="8"/>
  <c r="AF66" i="8"/>
  <c r="AF67" i="8"/>
  <c r="AF68" i="8"/>
  <c r="AF69" i="8"/>
  <c r="AF70" i="8"/>
  <c r="AF71" i="8"/>
  <c r="AF72" i="8"/>
  <c r="AF73" i="8"/>
  <c r="AF74" i="8"/>
  <c r="AF75" i="8"/>
  <c r="AF76" i="8"/>
  <c r="AF77" i="8"/>
  <c r="AF78" i="8"/>
  <c r="AF79" i="8"/>
  <c r="AF80" i="8"/>
  <c r="AF81" i="8"/>
  <c r="AF82" i="8"/>
  <c r="AF83" i="8"/>
  <c r="AF84" i="8"/>
  <c r="AF85" i="8"/>
  <c r="AF86" i="8"/>
  <c r="AF87" i="8"/>
  <c r="AF88" i="8"/>
  <c r="AF89" i="8"/>
  <c r="AF93" i="8"/>
  <c r="AF94" i="8"/>
  <c r="AF95" i="8"/>
  <c r="AF96" i="8"/>
  <c r="AF97" i="8"/>
  <c r="AF98" i="8"/>
  <c r="AF99" i="8"/>
  <c r="AF100" i="8"/>
  <c r="AF101" i="8"/>
  <c r="AF102" i="8"/>
  <c r="AF103" i="8"/>
  <c r="AF104" i="8"/>
  <c r="AF105" i="8"/>
  <c r="AF106" i="8"/>
  <c r="AF107" i="8"/>
  <c r="AF108" i="8"/>
  <c r="AF109" i="8"/>
  <c r="AF110" i="8"/>
  <c r="AF111" i="8"/>
  <c r="AF112" i="8"/>
  <c r="AF113" i="8"/>
  <c r="AF114" i="8"/>
  <c r="AF116" i="8"/>
  <c r="AF117" i="8"/>
  <c r="AF118" i="8"/>
  <c r="AF119" i="8"/>
  <c r="AF120" i="8"/>
  <c r="AF121" i="8"/>
  <c r="AF123" i="8"/>
  <c r="AF124" i="8"/>
  <c r="AF125" i="8"/>
  <c r="AF126" i="8"/>
  <c r="AF127" i="8"/>
  <c r="AF128" i="8"/>
  <c r="AF129" i="8"/>
  <c r="AF130" i="8"/>
  <c r="AF131" i="8"/>
  <c r="AF132" i="8"/>
  <c r="AF133" i="8"/>
  <c r="AF134" i="8"/>
  <c r="AF135" i="8"/>
  <c r="AF136" i="8"/>
  <c r="AF137" i="8"/>
  <c r="AF138" i="8"/>
  <c r="AF139" i="8"/>
  <c r="AF140" i="8"/>
  <c r="AF141" i="8"/>
  <c r="AF142" i="8"/>
  <c r="AF143" i="8"/>
  <c r="AF144" i="8"/>
  <c r="AF145" i="8"/>
  <c r="AF146" i="8"/>
  <c r="AF147" i="8"/>
  <c r="AF148" i="8"/>
  <c r="AF149" i="8"/>
  <c r="AF150" i="8"/>
  <c r="AF151" i="8"/>
  <c r="AF152" i="8"/>
  <c r="AF153" i="8"/>
  <c r="AF154" i="8"/>
  <c r="AF155" i="8"/>
  <c r="AF156" i="8"/>
  <c r="AF157" i="8"/>
  <c r="AF162" i="8"/>
  <c r="AF163" i="8"/>
  <c r="AF164" i="8"/>
  <c r="AF165" i="8"/>
  <c r="AF166" i="8"/>
  <c r="AF167" i="8"/>
  <c r="AF168" i="8"/>
  <c r="AF169" i="8"/>
  <c r="AF170" i="8"/>
  <c r="AF171" i="8"/>
  <c r="AF172" i="8"/>
  <c r="AF173" i="8"/>
  <c r="AF174" i="8"/>
  <c r="AF175" i="8"/>
  <c r="AF176" i="8"/>
  <c r="AF177" i="8"/>
  <c r="AF178" i="8"/>
  <c r="AF179" i="8"/>
  <c r="AF180" i="8"/>
  <c r="AF181" i="8"/>
  <c r="AF182" i="8"/>
  <c r="AF183" i="8"/>
  <c r="AF184" i="8"/>
  <c r="AF185" i="8"/>
  <c r="AF186" i="8"/>
  <c r="AF187" i="8"/>
  <c r="AF188" i="8"/>
  <c r="AF189" i="8"/>
  <c r="AF190" i="8"/>
  <c r="AF191" i="8"/>
  <c r="AF192" i="8"/>
  <c r="AF193" i="8"/>
  <c r="AF194" i="8"/>
  <c r="AF195" i="8"/>
  <c r="AF196" i="8"/>
  <c r="AF198" i="8"/>
  <c r="AF199" i="8"/>
  <c r="AF200" i="8"/>
  <c r="AF201" i="8"/>
  <c r="AF202" i="8"/>
  <c r="AF203" i="8"/>
  <c r="AF204" i="8"/>
  <c r="AF205" i="8"/>
  <c r="AF206" i="8"/>
  <c r="AF207" i="8"/>
  <c r="AF208" i="8"/>
  <c r="AF209" i="8"/>
  <c r="AF210" i="8"/>
  <c r="AF211" i="8"/>
  <c r="AF212" i="8"/>
  <c r="AF213" i="8"/>
  <c r="AF214" i="8"/>
  <c r="AF215" i="8"/>
  <c r="AF216" i="8"/>
  <c r="AF217" i="8"/>
  <c r="AF218" i="8"/>
  <c r="AF219" i="8"/>
  <c r="AF220" i="8"/>
  <c r="AF221" i="8"/>
  <c r="AF222" i="8"/>
  <c r="AF223" i="8"/>
  <c r="AF224" i="8"/>
  <c r="AF225" i="8"/>
  <c r="AF226" i="8"/>
  <c r="AF227" i="8"/>
  <c r="AF228" i="8"/>
  <c r="AF229" i="8"/>
  <c r="AF230" i="8"/>
  <c r="AF231" i="8"/>
  <c r="AF232" i="8"/>
  <c r="AF233" i="8"/>
  <c r="AF234" i="8"/>
  <c r="AF235" i="8"/>
  <c r="AF236" i="8"/>
  <c r="AF237" i="8"/>
  <c r="AF238" i="8"/>
  <c r="AF239" i="8"/>
  <c r="AF240" i="8"/>
  <c r="AF241" i="8"/>
  <c r="AF242" i="8"/>
  <c r="AF243" i="8"/>
  <c r="AF244" i="8"/>
  <c r="AF245" i="8"/>
  <c r="AF246" i="8"/>
  <c r="AF247" i="8"/>
  <c r="AF248" i="8"/>
  <c r="AF249" i="8"/>
  <c r="AF250" i="8"/>
  <c r="AF251" i="8"/>
  <c r="AF252" i="8"/>
  <c r="AF253" i="8"/>
  <c r="AF254" i="8"/>
  <c r="AF255" i="8"/>
  <c r="AF256" i="8"/>
  <c r="AF257" i="8"/>
  <c r="AF258" i="8"/>
  <c r="AF259" i="8"/>
  <c r="AF260" i="8"/>
  <c r="AF261" i="8"/>
  <c r="AF262" i="8"/>
  <c r="AF263" i="8"/>
  <c r="AF264" i="8"/>
  <c r="AF265" i="8"/>
  <c r="AF266" i="8"/>
  <c r="AF267" i="8"/>
  <c r="AF268" i="8"/>
  <c r="AF269" i="8"/>
  <c r="AF270" i="8"/>
  <c r="AF271" i="8"/>
  <c r="AF272" i="8"/>
  <c r="AF273" i="8"/>
  <c r="AF274" i="8"/>
  <c r="AF275" i="8"/>
  <c r="AF276" i="8"/>
  <c r="AF277" i="8"/>
  <c r="AF278" i="8"/>
  <c r="AF279" i="8"/>
  <c r="AF280" i="8"/>
  <c r="AF281" i="8"/>
  <c r="AF282" i="8"/>
  <c r="AF283" i="8"/>
  <c r="AF284" i="8"/>
  <c r="AF285" i="8"/>
  <c r="AF286" i="8"/>
  <c r="AF287" i="8"/>
  <c r="AF288" i="8"/>
  <c r="AF289" i="8"/>
  <c r="AF290" i="8"/>
  <c r="AF291" i="8"/>
  <c r="AF292" i="8"/>
  <c r="AF293" i="8"/>
  <c r="AF294" i="8"/>
  <c r="AF295" i="8"/>
  <c r="AF296" i="8"/>
  <c r="AF297" i="8"/>
  <c r="AF298" i="8"/>
  <c r="AF299" i="8"/>
  <c r="AF300" i="8"/>
  <c r="AF301" i="8"/>
  <c r="AF302" i="8"/>
  <c r="AF303" i="8"/>
  <c r="AF304" i="8"/>
  <c r="AF305" i="8"/>
  <c r="AF306" i="8"/>
  <c r="AF307" i="8"/>
  <c r="AF308" i="8"/>
  <c r="AF309" i="8"/>
  <c r="AF310" i="8"/>
  <c r="AF311" i="8"/>
  <c r="AF312" i="8"/>
  <c r="AF313" i="8"/>
  <c r="AF314" i="8"/>
  <c r="AF315" i="8"/>
  <c r="AF316" i="8"/>
  <c r="AF317" i="8"/>
  <c r="AF318" i="8"/>
  <c r="AF319" i="8"/>
  <c r="AF320" i="8"/>
  <c r="AF321" i="8"/>
  <c r="AF322" i="8"/>
  <c r="AF323" i="8"/>
  <c r="AF324" i="8"/>
  <c r="AF325" i="8"/>
  <c r="AF326" i="8"/>
  <c r="AF327" i="8"/>
  <c r="AF328" i="8"/>
  <c r="AF329" i="8"/>
  <c r="AF330" i="8"/>
  <c r="AF331" i="8"/>
  <c r="AF332" i="8"/>
  <c r="AF333" i="8"/>
  <c r="AF334" i="8"/>
  <c r="AF335" i="8"/>
  <c r="AF336" i="8"/>
  <c r="AF337" i="8"/>
  <c r="AF338" i="8"/>
  <c r="AF339" i="8"/>
  <c r="AF340" i="8"/>
  <c r="AF341" i="8"/>
  <c r="AF342" i="8"/>
  <c r="AF343" i="8"/>
  <c r="AF344" i="8"/>
  <c r="AF345" i="8"/>
  <c r="AF346" i="8"/>
  <c r="AF347" i="8"/>
  <c r="AF348" i="8"/>
  <c r="AF349" i="8"/>
  <c r="AF350" i="8"/>
  <c r="AF351" i="8"/>
  <c r="AF352" i="8"/>
  <c r="AF353" i="8"/>
  <c r="AF354" i="8"/>
  <c r="AF355" i="8"/>
  <c r="AF356" i="8"/>
  <c r="AG371" i="8"/>
  <c r="R371" i="8" s="1"/>
  <c r="AG372" i="8"/>
  <c r="R372" i="8" s="1"/>
  <c r="AG373" i="8"/>
  <c r="R373" i="8" s="1"/>
  <c r="AG374" i="8"/>
  <c r="R374" i="8" s="1"/>
  <c r="R375" i="8"/>
  <c r="R376" i="8"/>
  <c r="R377" i="8"/>
  <c r="AD371" i="8"/>
  <c r="AF371" i="8" s="1"/>
  <c r="AH371" i="8" s="1"/>
  <c r="AD372" i="8"/>
  <c r="AF372" i="8" s="1"/>
  <c r="AH372" i="8" s="1"/>
  <c r="AD373" i="8"/>
  <c r="AF373" i="8" s="1"/>
  <c r="AH373" i="8" s="1"/>
  <c r="AD374" i="8"/>
  <c r="AF374" i="8" s="1"/>
  <c r="AH374" i="8" s="1"/>
  <c r="AD375" i="8"/>
  <c r="AF375" i="8" s="1"/>
  <c r="AH375" i="8" s="1"/>
  <c r="AD376" i="8"/>
  <c r="AF376" i="8" s="1"/>
  <c r="AH376" i="8" s="1"/>
  <c r="N377" i="8" l="1"/>
  <c r="Q377" i="8"/>
  <c r="P377" i="8" s="1"/>
  <c r="N376" i="8"/>
  <c r="Q376" i="8"/>
  <c r="P376" i="8" s="1"/>
  <c r="Q371" i="8"/>
  <c r="P371" i="8" s="1"/>
  <c r="N371" i="8"/>
  <c r="N375" i="8"/>
  <c r="Q375" i="8"/>
  <c r="P375" i="8" s="1"/>
  <c r="Q374" i="8"/>
  <c r="P374" i="8" s="1"/>
  <c r="N374" i="8"/>
  <c r="N373" i="8"/>
  <c r="Q373" i="8"/>
  <c r="P373" i="8" s="1"/>
  <c r="N372" i="8"/>
  <c r="Q372" i="8"/>
  <c r="P372" i="8" s="1"/>
  <c r="L11" i="3"/>
  <c r="K11" i="3"/>
  <c r="J11" i="3"/>
  <c r="I11" i="3"/>
  <c r="H11" i="3"/>
  <c r="G11" i="3"/>
  <c r="L11" i="4"/>
  <c r="K11" i="4"/>
  <c r="J11" i="4"/>
  <c r="I11" i="4"/>
  <c r="H11" i="4"/>
  <c r="G11" i="4"/>
  <c r="F11" i="4"/>
  <c r="D30" i="38"/>
  <c r="D31" i="38"/>
  <c r="D32" i="38"/>
  <c r="D33" i="38"/>
  <c r="D34" i="38"/>
  <c r="D35" i="38"/>
  <c r="D29" i="38"/>
  <c r="C37" i="38"/>
  <c r="C38" i="38"/>
  <c r="C39" i="38"/>
  <c r="C40" i="38"/>
  <c r="C41" i="38"/>
  <c r="C42" i="38"/>
  <c r="C36" i="38"/>
  <c r="D44" i="38"/>
  <c r="D45" i="38"/>
  <c r="D46" i="38"/>
  <c r="D47" i="38"/>
  <c r="D48" i="38"/>
  <c r="D43" i="38"/>
  <c r="L11" i="5"/>
  <c r="K11" i="5"/>
  <c r="J11" i="5"/>
  <c r="I11" i="5"/>
  <c r="H11" i="5"/>
  <c r="G11" i="5"/>
  <c r="L11" i="2"/>
  <c r="K11" i="2"/>
  <c r="J11" i="2"/>
  <c r="I11" i="2"/>
  <c r="H11" i="2"/>
  <c r="G11" i="2"/>
  <c r="AF10" i="48"/>
  <c r="AE10" i="48"/>
  <c r="AD10" i="48"/>
  <c r="AC10" i="48"/>
  <c r="AB10" i="48"/>
  <c r="AA10" i="48"/>
  <c r="Z10" i="48"/>
  <c r="Y10" i="48"/>
  <c r="X10" i="48"/>
  <c r="W10" i="48"/>
  <c r="V10" i="48"/>
  <c r="U10" i="48"/>
  <c r="T10" i="48"/>
  <c r="S10" i="48"/>
  <c r="R10" i="48"/>
  <c r="Q10" i="48"/>
  <c r="P10" i="48"/>
  <c r="O10" i="48"/>
  <c r="N10" i="48"/>
  <c r="M10" i="48"/>
  <c r="L10" i="48"/>
  <c r="K10" i="48"/>
  <c r="J10" i="48"/>
  <c r="I10" i="48"/>
  <c r="H10" i="48"/>
  <c r="G10" i="48"/>
  <c r="F10" i="48"/>
  <c r="E10" i="48"/>
  <c r="D10" i="48"/>
  <c r="C10" i="48"/>
  <c r="B10" i="48"/>
  <c r="AF9" i="48"/>
  <c r="AE9" i="48"/>
  <c r="AD9" i="48"/>
  <c r="AC9" i="48"/>
  <c r="AB9" i="48"/>
  <c r="AA9" i="48"/>
  <c r="Z9" i="48"/>
  <c r="Y9" i="48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AF8" i="48"/>
  <c r="AE8" i="48"/>
  <c r="AD8" i="48"/>
  <c r="AC8" i="48"/>
  <c r="AB8" i="48"/>
  <c r="AA8" i="48"/>
  <c r="Z8" i="48"/>
  <c r="Y8" i="48"/>
  <c r="X8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B8" i="48"/>
  <c r="AF7" i="48"/>
  <c r="AE7" i="48"/>
  <c r="AD7" i="48"/>
  <c r="AC7" i="48"/>
  <c r="AB7" i="48"/>
  <c r="AA7" i="48"/>
  <c r="Z7" i="48"/>
  <c r="Y7" i="48"/>
  <c r="X7" i="48"/>
  <c r="W7" i="48"/>
  <c r="V7" i="48"/>
  <c r="U7" i="48"/>
  <c r="T7" i="48"/>
  <c r="S7" i="48"/>
  <c r="R7" i="48"/>
  <c r="Q7" i="48"/>
  <c r="P7" i="48"/>
  <c r="O7" i="48"/>
  <c r="N7" i="48"/>
  <c r="M7" i="48"/>
  <c r="L7" i="48"/>
  <c r="K7" i="48"/>
  <c r="J7" i="48"/>
  <c r="I7" i="48"/>
  <c r="H7" i="48"/>
  <c r="G7" i="48"/>
  <c r="F7" i="48"/>
  <c r="E7" i="48"/>
  <c r="D7" i="48"/>
  <c r="C7" i="48"/>
  <c r="B7" i="48"/>
  <c r="AF6" i="48"/>
  <c r="AE6" i="48"/>
  <c r="AD6" i="48"/>
  <c r="AC6" i="48"/>
  <c r="AB6" i="48"/>
  <c r="AA6" i="48"/>
  <c r="Z6" i="48"/>
  <c r="Y6" i="48"/>
  <c r="X6" i="48"/>
  <c r="W6" i="48"/>
  <c r="V6" i="48"/>
  <c r="U6" i="48"/>
  <c r="T6" i="48"/>
  <c r="S6" i="48"/>
  <c r="R6" i="48"/>
  <c r="Q6" i="48"/>
  <c r="P6" i="48"/>
  <c r="O6" i="48"/>
  <c r="N6" i="48"/>
  <c r="M6" i="48"/>
  <c r="L6" i="48"/>
  <c r="K6" i="48"/>
  <c r="J6" i="48"/>
  <c r="I6" i="48"/>
  <c r="H6" i="48"/>
  <c r="G6" i="48"/>
  <c r="F6" i="48"/>
  <c r="E6" i="48"/>
  <c r="D6" i="48"/>
  <c r="C6" i="48"/>
  <c r="B6" i="48"/>
  <c r="AF5" i="48"/>
  <c r="AE5" i="48"/>
  <c r="AD5" i="48"/>
  <c r="AC5" i="48"/>
  <c r="AB5" i="48"/>
  <c r="AA5" i="48"/>
  <c r="Z5" i="48"/>
  <c r="Y5" i="48"/>
  <c r="X5" i="48"/>
  <c r="W5" i="48"/>
  <c r="V5" i="48"/>
  <c r="U5" i="48"/>
  <c r="T5" i="48"/>
  <c r="S5" i="48"/>
  <c r="R5" i="48"/>
  <c r="Q5" i="48"/>
  <c r="P5" i="48"/>
  <c r="O5" i="48"/>
  <c r="N5" i="48"/>
  <c r="M5" i="48"/>
  <c r="L5" i="48"/>
  <c r="K5" i="48"/>
  <c r="J5" i="48"/>
  <c r="I5" i="48"/>
  <c r="H5" i="48"/>
  <c r="G5" i="48"/>
  <c r="F5" i="48"/>
  <c r="E5" i="48"/>
  <c r="D5" i="48"/>
  <c r="C5" i="48"/>
  <c r="B5" i="48"/>
  <c r="AF4" i="48"/>
  <c r="AE4" i="48"/>
  <c r="AD4" i="48"/>
  <c r="AC4" i="48"/>
  <c r="AB4" i="48"/>
  <c r="AA4" i="48"/>
  <c r="Z4" i="48"/>
  <c r="Y4" i="48"/>
  <c r="X4" i="48"/>
  <c r="W4" i="48"/>
  <c r="V4" i="48"/>
  <c r="U4" i="48"/>
  <c r="T4" i="48"/>
  <c r="S4" i="48"/>
  <c r="R4" i="48"/>
  <c r="Q4" i="48"/>
  <c r="P4" i="48"/>
  <c r="O4" i="48"/>
  <c r="N4" i="48"/>
  <c r="M4" i="48"/>
  <c r="L4" i="48"/>
  <c r="K4" i="48"/>
  <c r="J4" i="48"/>
  <c r="I4" i="48"/>
  <c r="H4" i="48"/>
  <c r="G4" i="48"/>
  <c r="F4" i="48"/>
  <c r="E4" i="48"/>
  <c r="D4" i="48"/>
  <c r="C4" i="48"/>
  <c r="B4" i="48"/>
  <c r="AF3" i="48"/>
  <c r="AE3" i="48"/>
  <c r="AD3" i="48"/>
  <c r="AC3" i="48"/>
  <c r="AB3" i="48"/>
  <c r="AA3" i="48"/>
  <c r="Z3" i="48"/>
  <c r="Y3" i="48"/>
  <c r="X3" i="48"/>
  <c r="W3" i="48"/>
  <c r="V3" i="48"/>
  <c r="U3" i="48"/>
  <c r="T3" i="48"/>
  <c r="S3" i="48"/>
  <c r="R3" i="48"/>
  <c r="Q3" i="48"/>
  <c r="P3" i="48"/>
  <c r="O3" i="48"/>
  <c r="N3" i="48"/>
  <c r="M3" i="48"/>
  <c r="L3" i="48"/>
  <c r="K3" i="48"/>
  <c r="J3" i="48"/>
  <c r="I3" i="48"/>
  <c r="H3" i="48"/>
  <c r="G3" i="48"/>
  <c r="F3" i="48"/>
  <c r="E3" i="48"/>
  <c r="D3" i="48"/>
  <c r="C3" i="48"/>
  <c r="B3" i="48"/>
  <c r="AF2" i="48"/>
  <c r="AE2" i="48"/>
  <c r="AD2" i="48"/>
  <c r="AC2" i="48"/>
  <c r="AB2" i="48"/>
  <c r="AA2" i="48"/>
  <c r="Z2" i="48"/>
  <c r="Y2" i="48"/>
  <c r="X2" i="48"/>
  <c r="W2" i="48"/>
  <c r="V2" i="48"/>
  <c r="U2" i="48"/>
  <c r="T2" i="48"/>
  <c r="S2" i="48"/>
  <c r="R2" i="48"/>
  <c r="Q2" i="48"/>
  <c r="P2" i="48"/>
  <c r="O2" i="48"/>
  <c r="N2" i="48"/>
  <c r="M2" i="48"/>
  <c r="L2" i="48"/>
  <c r="K2" i="48"/>
  <c r="J2" i="48"/>
  <c r="I2" i="48"/>
  <c r="H2" i="48"/>
  <c r="G2" i="48"/>
  <c r="F2" i="48"/>
  <c r="E2" i="48"/>
  <c r="D2" i="48"/>
  <c r="C2" i="48"/>
  <c r="B2" i="48"/>
  <c r="O348" i="8" l="1"/>
  <c r="NA5" i="41"/>
  <c r="NB5" i="41"/>
  <c r="NC5" i="41"/>
  <c r="D11" i="41"/>
  <c r="E11" i="41"/>
  <c r="C11" i="11" l="1"/>
  <c r="NA5" i="11"/>
  <c r="NB5" i="11"/>
  <c r="NC5" i="11"/>
  <c r="D11" i="1"/>
  <c r="E11" i="1"/>
  <c r="D11" i="5"/>
  <c r="E11" i="5"/>
  <c r="NA5" i="5"/>
  <c r="NB5" i="5"/>
  <c r="NC5" i="5"/>
  <c r="D11" i="3"/>
  <c r="E11" i="3"/>
  <c r="AG365" i="8"/>
  <c r="AG366" i="8"/>
  <c r="AG368" i="8"/>
  <c r="AG369" i="8"/>
  <c r="AG364" i="8"/>
  <c r="AG363" i="8"/>
  <c r="NA5" i="4"/>
  <c r="NB5" i="4"/>
  <c r="NC5" i="4"/>
  <c r="D11" i="4"/>
  <c r="E11" i="4"/>
  <c r="O370" i="8"/>
  <c r="O364" i="8"/>
  <c r="O365" i="8"/>
  <c r="O366" i="8"/>
  <c r="O367" i="8"/>
  <c r="O368" i="8"/>
  <c r="O369" i="8"/>
  <c r="D11" i="16"/>
  <c r="E11" i="16"/>
  <c r="D11" i="7"/>
  <c r="E11" i="7"/>
  <c r="D11" i="2"/>
  <c r="E11" i="2"/>
  <c r="D11" i="6"/>
  <c r="E11" i="6"/>
  <c r="NC5" i="6" l="1"/>
  <c r="NB5" i="6"/>
  <c r="NA5" i="6"/>
  <c r="A28" i="1"/>
  <c r="A27" i="1"/>
  <c r="D25" i="1"/>
  <c r="E25" i="1" s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AB25" i="1" s="1"/>
  <c r="AC25" i="1" s="1"/>
  <c r="AD25" i="1" s="1"/>
  <c r="AE25" i="1" s="1"/>
  <c r="AF25" i="1" s="1"/>
  <c r="AG25" i="1" s="1"/>
  <c r="AH25" i="1" s="1"/>
  <c r="AI25" i="1" s="1"/>
  <c r="AJ25" i="1" s="1"/>
  <c r="AK25" i="1" s="1"/>
  <c r="AL25" i="1" s="1"/>
  <c r="AM25" i="1" s="1"/>
  <c r="AN25" i="1" s="1"/>
  <c r="AO25" i="1" s="1"/>
  <c r="AP25" i="1" s="1"/>
  <c r="AQ25" i="1" s="1"/>
  <c r="AR25" i="1" s="1"/>
  <c r="AS25" i="1" s="1"/>
  <c r="AT25" i="1" s="1"/>
  <c r="AU25" i="1" s="1"/>
  <c r="AV25" i="1" s="1"/>
  <c r="AW25" i="1" s="1"/>
  <c r="AX25" i="1" s="1"/>
  <c r="AY25" i="1" s="1"/>
  <c r="AZ25" i="1" s="1"/>
  <c r="BA25" i="1" s="1"/>
  <c r="BB25" i="1" s="1"/>
  <c r="BC25" i="1" s="1"/>
  <c r="BD25" i="1" s="1"/>
  <c r="BE25" i="1" s="1"/>
  <c r="BF25" i="1" s="1"/>
  <c r="BG25" i="1" s="1"/>
  <c r="BH25" i="1" s="1"/>
  <c r="BI25" i="1" s="1"/>
  <c r="BJ25" i="1" s="1"/>
  <c r="BK25" i="1" s="1"/>
  <c r="BL25" i="1" s="1"/>
  <c r="BM25" i="1" s="1"/>
  <c r="BN25" i="1" s="1"/>
  <c r="BO25" i="1" s="1"/>
  <c r="BP25" i="1" s="1"/>
  <c r="BQ25" i="1" s="1"/>
  <c r="BR25" i="1" s="1"/>
  <c r="BS25" i="1" s="1"/>
  <c r="BT25" i="1" s="1"/>
  <c r="BU25" i="1" s="1"/>
  <c r="BV25" i="1" s="1"/>
  <c r="BW25" i="1" s="1"/>
  <c r="BX25" i="1" s="1"/>
  <c r="BY25" i="1" s="1"/>
  <c r="BZ25" i="1" s="1"/>
  <c r="CA25" i="1" s="1"/>
  <c r="CB25" i="1" s="1"/>
  <c r="CC25" i="1" s="1"/>
  <c r="CD25" i="1" s="1"/>
  <c r="CE25" i="1" s="1"/>
  <c r="CF25" i="1" s="1"/>
  <c r="CG25" i="1" s="1"/>
  <c r="CH25" i="1" s="1"/>
  <c r="CI25" i="1" s="1"/>
  <c r="CJ25" i="1" s="1"/>
  <c r="CK25" i="1" s="1"/>
  <c r="CL25" i="1" s="1"/>
  <c r="CM25" i="1" s="1"/>
  <c r="CN25" i="1" s="1"/>
  <c r="CO25" i="1" s="1"/>
  <c r="CP25" i="1" s="1"/>
  <c r="CQ25" i="1" s="1"/>
  <c r="CR25" i="1" s="1"/>
  <c r="CS25" i="1" s="1"/>
  <c r="CT25" i="1" s="1"/>
  <c r="CU25" i="1" s="1"/>
  <c r="CV25" i="1" s="1"/>
  <c r="CW25" i="1" s="1"/>
  <c r="CX25" i="1" s="1"/>
  <c r="CY25" i="1" s="1"/>
  <c r="CZ25" i="1" s="1"/>
  <c r="DA25" i="1" s="1"/>
  <c r="DB25" i="1" s="1"/>
  <c r="DC25" i="1" s="1"/>
  <c r="DD25" i="1" s="1"/>
  <c r="DE25" i="1" s="1"/>
  <c r="DF25" i="1" s="1"/>
  <c r="DG25" i="1" s="1"/>
  <c r="DH25" i="1" s="1"/>
  <c r="DI25" i="1" s="1"/>
  <c r="DJ25" i="1" s="1"/>
  <c r="DK25" i="1" s="1"/>
  <c r="DL25" i="1" s="1"/>
  <c r="DM25" i="1" s="1"/>
  <c r="DN25" i="1" s="1"/>
  <c r="DO25" i="1" s="1"/>
  <c r="DP25" i="1" s="1"/>
  <c r="DQ25" i="1" s="1"/>
  <c r="DR25" i="1" s="1"/>
  <c r="DS25" i="1" s="1"/>
  <c r="DT25" i="1" s="1"/>
  <c r="DU25" i="1" s="1"/>
  <c r="DV25" i="1" s="1"/>
  <c r="DW25" i="1" s="1"/>
  <c r="DX25" i="1" s="1"/>
  <c r="DY25" i="1" s="1"/>
  <c r="DZ25" i="1" s="1"/>
  <c r="EA25" i="1" s="1"/>
  <c r="EB25" i="1" s="1"/>
  <c r="EC25" i="1" s="1"/>
  <c r="ED25" i="1" s="1"/>
  <c r="EE25" i="1" s="1"/>
  <c r="EF25" i="1" s="1"/>
  <c r="EG25" i="1" s="1"/>
  <c r="EH25" i="1" s="1"/>
  <c r="EI25" i="1" s="1"/>
  <c r="EJ25" i="1" s="1"/>
  <c r="EK25" i="1" s="1"/>
  <c r="EL25" i="1" s="1"/>
  <c r="EM25" i="1" s="1"/>
  <c r="EN25" i="1" s="1"/>
  <c r="EO25" i="1" s="1"/>
  <c r="EP25" i="1" s="1"/>
  <c r="EQ25" i="1" s="1"/>
  <c r="ER25" i="1" s="1"/>
  <c r="ES25" i="1" s="1"/>
  <c r="ET25" i="1" s="1"/>
  <c r="EU25" i="1" s="1"/>
  <c r="EV25" i="1" s="1"/>
  <c r="EW25" i="1" s="1"/>
  <c r="EX25" i="1" s="1"/>
  <c r="EY25" i="1" s="1"/>
  <c r="EZ25" i="1" s="1"/>
  <c r="FA25" i="1" s="1"/>
  <c r="FB25" i="1" s="1"/>
  <c r="FC25" i="1" s="1"/>
  <c r="FD25" i="1" s="1"/>
  <c r="FE25" i="1" s="1"/>
  <c r="FF25" i="1" s="1"/>
  <c r="FG25" i="1" s="1"/>
  <c r="FH25" i="1" s="1"/>
  <c r="FI25" i="1" s="1"/>
  <c r="FJ25" i="1" s="1"/>
  <c r="FK25" i="1" s="1"/>
  <c r="FL25" i="1" s="1"/>
  <c r="FM25" i="1" s="1"/>
  <c r="FN25" i="1" s="1"/>
  <c r="FO25" i="1" s="1"/>
  <c r="FP25" i="1" s="1"/>
  <c r="FQ25" i="1" s="1"/>
  <c r="FR25" i="1" s="1"/>
  <c r="FS25" i="1" s="1"/>
  <c r="FT25" i="1" s="1"/>
  <c r="FU25" i="1" s="1"/>
  <c r="FV25" i="1" s="1"/>
  <c r="FW25" i="1" s="1"/>
  <c r="FX25" i="1" s="1"/>
  <c r="FY25" i="1" s="1"/>
  <c r="FZ25" i="1" s="1"/>
  <c r="GA25" i="1" s="1"/>
  <c r="GB25" i="1" s="1"/>
  <c r="GC25" i="1" s="1"/>
  <c r="GD25" i="1" s="1"/>
  <c r="GE25" i="1" s="1"/>
  <c r="GF25" i="1" s="1"/>
  <c r="GG25" i="1" s="1"/>
  <c r="GH25" i="1" s="1"/>
  <c r="GI25" i="1" s="1"/>
  <c r="GJ25" i="1" s="1"/>
  <c r="GK25" i="1" s="1"/>
  <c r="GL25" i="1" s="1"/>
  <c r="GM25" i="1" s="1"/>
  <c r="GN25" i="1" s="1"/>
  <c r="GO25" i="1" s="1"/>
  <c r="GP25" i="1" s="1"/>
  <c r="GQ25" i="1" s="1"/>
  <c r="GR25" i="1" s="1"/>
  <c r="GS25" i="1" s="1"/>
  <c r="GT25" i="1" s="1"/>
  <c r="GU25" i="1" s="1"/>
  <c r="GV25" i="1" s="1"/>
  <c r="GW25" i="1" s="1"/>
  <c r="GX25" i="1" s="1"/>
  <c r="GY25" i="1" s="1"/>
  <c r="GZ25" i="1" s="1"/>
  <c r="HA25" i="1" s="1"/>
  <c r="HB25" i="1" s="1"/>
  <c r="HC25" i="1" s="1"/>
  <c r="HD25" i="1" s="1"/>
  <c r="HE25" i="1" s="1"/>
  <c r="HF25" i="1" s="1"/>
  <c r="HG25" i="1" s="1"/>
  <c r="HH25" i="1" s="1"/>
  <c r="HI25" i="1" s="1"/>
  <c r="HJ25" i="1" s="1"/>
  <c r="HK25" i="1" s="1"/>
  <c r="HL25" i="1" s="1"/>
  <c r="HM25" i="1" s="1"/>
  <c r="HN25" i="1" s="1"/>
  <c r="HO25" i="1" s="1"/>
  <c r="HP25" i="1" s="1"/>
  <c r="HQ25" i="1" s="1"/>
  <c r="HR25" i="1" s="1"/>
  <c r="HS25" i="1" s="1"/>
  <c r="HT25" i="1" s="1"/>
  <c r="HU25" i="1" s="1"/>
  <c r="HV25" i="1" s="1"/>
  <c r="HW25" i="1" s="1"/>
  <c r="HX25" i="1" s="1"/>
  <c r="HY25" i="1" s="1"/>
  <c r="HZ25" i="1" s="1"/>
  <c r="IA25" i="1" s="1"/>
  <c r="IB25" i="1" s="1"/>
  <c r="IC25" i="1" s="1"/>
  <c r="ID25" i="1" s="1"/>
  <c r="IE25" i="1" s="1"/>
  <c r="IF25" i="1" s="1"/>
  <c r="IG25" i="1" s="1"/>
  <c r="IH25" i="1" s="1"/>
  <c r="II25" i="1" s="1"/>
  <c r="IJ25" i="1" s="1"/>
  <c r="IK25" i="1" s="1"/>
  <c r="IL25" i="1" s="1"/>
  <c r="IM25" i="1" s="1"/>
  <c r="IN25" i="1" s="1"/>
  <c r="IO25" i="1" s="1"/>
  <c r="IP25" i="1" s="1"/>
  <c r="IQ25" i="1" s="1"/>
  <c r="IR25" i="1" s="1"/>
  <c r="IS25" i="1" s="1"/>
  <c r="IT25" i="1" s="1"/>
  <c r="IU25" i="1" s="1"/>
  <c r="IV25" i="1" s="1"/>
  <c r="IW25" i="1" s="1"/>
  <c r="IX25" i="1" s="1"/>
  <c r="IY25" i="1" s="1"/>
  <c r="IZ25" i="1" s="1"/>
  <c r="JA25" i="1" s="1"/>
  <c r="JB25" i="1" s="1"/>
  <c r="JC25" i="1" s="1"/>
  <c r="JD25" i="1" s="1"/>
  <c r="JE25" i="1" s="1"/>
  <c r="JF25" i="1" s="1"/>
  <c r="JG25" i="1" s="1"/>
  <c r="JH25" i="1" s="1"/>
  <c r="JI25" i="1" s="1"/>
  <c r="JJ25" i="1" s="1"/>
  <c r="JK25" i="1" s="1"/>
  <c r="JL25" i="1" s="1"/>
  <c r="JM25" i="1" s="1"/>
  <c r="JN25" i="1" s="1"/>
  <c r="JO25" i="1" s="1"/>
  <c r="JP25" i="1" s="1"/>
  <c r="JQ25" i="1" s="1"/>
  <c r="JR25" i="1" s="1"/>
  <c r="JS25" i="1" s="1"/>
  <c r="JT25" i="1" s="1"/>
  <c r="JU25" i="1" s="1"/>
  <c r="JV25" i="1" s="1"/>
  <c r="JW25" i="1" s="1"/>
  <c r="JX25" i="1" s="1"/>
  <c r="JY25" i="1" s="1"/>
  <c r="JZ25" i="1" s="1"/>
  <c r="KA25" i="1" s="1"/>
  <c r="KB25" i="1" s="1"/>
  <c r="KC25" i="1" s="1"/>
  <c r="KD25" i="1" s="1"/>
  <c r="KE25" i="1" s="1"/>
  <c r="KF25" i="1" s="1"/>
  <c r="KG25" i="1" s="1"/>
  <c r="KH25" i="1" s="1"/>
  <c r="KI25" i="1" s="1"/>
  <c r="KJ25" i="1" s="1"/>
  <c r="KK25" i="1" s="1"/>
  <c r="KL25" i="1" s="1"/>
  <c r="KM25" i="1" s="1"/>
  <c r="KN25" i="1" s="1"/>
  <c r="KO25" i="1" s="1"/>
  <c r="KP25" i="1" s="1"/>
  <c r="KQ25" i="1" s="1"/>
  <c r="KR25" i="1" s="1"/>
  <c r="KS25" i="1" s="1"/>
  <c r="KT25" i="1" s="1"/>
  <c r="KU25" i="1" s="1"/>
  <c r="KV25" i="1" s="1"/>
  <c r="KW25" i="1" s="1"/>
  <c r="KX25" i="1" s="1"/>
  <c r="KY25" i="1" s="1"/>
  <c r="KZ25" i="1" s="1"/>
  <c r="LA25" i="1" s="1"/>
  <c r="LB25" i="1" s="1"/>
  <c r="LC25" i="1" s="1"/>
  <c r="LD25" i="1" s="1"/>
  <c r="LE25" i="1" s="1"/>
  <c r="LF25" i="1" s="1"/>
  <c r="LG25" i="1" s="1"/>
  <c r="LH25" i="1" s="1"/>
  <c r="LI25" i="1" s="1"/>
  <c r="LJ25" i="1" s="1"/>
  <c r="LK25" i="1" s="1"/>
  <c r="LL25" i="1" s="1"/>
  <c r="LM25" i="1" s="1"/>
  <c r="LN25" i="1" s="1"/>
  <c r="LO25" i="1" s="1"/>
  <c r="LP25" i="1" s="1"/>
  <c r="LQ25" i="1" s="1"/>
  <c r="LR25" i="1" s="1"/>
  <c r="LS25" i="1" s="1"/>
  <c r="LT25" i="1" s="1"/>
  <c r="LU25" i="1" s="1"/>
  <c r="LV25" i="1" s="1"/>
  <c r="LW25" i="1" s="1"/>
  <c r="LX25" i="1" s="1"/>
  <c r="LY25" i="1" s="1"/>
  <c r="LZ25" i="1" s="1"/>
  <c r="MA25" i="1" s="1"/>
  <c r="MB25" i="1" s="1"/>
  <c r="MC25" i="1" s="1"/>
  <c r="MD25" i="1" s="1"/>
  <c r="ME25" i="1" s="1"/>
  <c r="MF25" i="1" s="1"/>
  <c r="MG25" i="1" s="1"/>
  <c r="MH25" i="1" s="1"/>
  <c r="MI25" i="1" s="1"/>
  <c r="MJ25" i="1" s="1"/>
  <c r="MK25" i="1" s="1"/>
  <c r="ML25" i="1" s="1"/>
  <c r="MM25" i="1" s="1"/>
  <c r="MN25" i="1" s="1"/>
  <c r="MO25" i="1" s="1"/>
  <c r="MP25" i="1" s="1"/>
  <c r="MQ25" i="1" s="1"/>
  <c r="MR25" i="1" s="1"/>
  <c r="MS25" i="1" s="1"/>
  <c r="MT25" i="1" s="1"/>
  <c r="MU25" i="1" s="1"/>
  <c r="MV25" i="1" s="1"/>
  <c r="MW25" i="1" s="1"/>
  <c r="MX25" i="1" s="1"/>
  <c r="MY25" i="1" s="1"/>
  <c r="MZ25" i="1" s="1"/>
  <c r="NA25" i="1" s="1"/>
  <c r="NB25" i="1" s="1"/>
  <c r="NC25" i="1" s="1"/>
  <c r="NA5" i="1"/>
  <c r="NB5" i="1"/>
  <c r="NC5" i="1"/>
  <c r="NA5" i="16"/>
  <c r="NB5" i="16"/>
  <c r="NC5" i="16"/>
  <c r="NA5" i="3"/>
  <c r="NB5" i="3"/>
  <c r="NC5" i="3"/>
  <c r="AD364" i="8"/>
  <c r="AF364" i="8" s="1"/>
  <c r="AD365" i="8"/>
  <c r="AF365" i="8" s="1"/>
  <c r="AD366" i="8"/>
  <c r="AF366" i="8" s="1"/>
  <c r="AD367" i="8"/>
  <c r="AD368" i="8"/>
  <c r="AF368" i="8" s="1"/>
  <c r="AD369" i="8"/>
  <c r="AF369" i="8" s="1"/>
  <c r="AD370" i="8"/>
  <c r="AH364" i="8" l="1"/>
  <c r="AH369" i="8"/>
  <c r="AH368" i="8"/>
  <c r="AH366" i="8"/>
  <c r="AH365" i="8"/>
  <c r="R370" i="8"/>
  <c r="R369" i="8"/>
  <c r="R368" i="8"/>
  <c r="R367" i="8"/>
  <c r="R366" i="8"/>
  <c r="R365" i="8"/>
  <c r="R364" i="8"/>
  <c r="A29" i="1"/>
  <c r="A9" i="11"/>
  <c r="D7" i="11"/>
  <c r="E7" i="11" s="1"/>
  <c r="F7" i="11" s="1"/>
  <c r="G7" i="11" s="1"/>
  <c r="H7" i="11" s="1"/>
  <c r="I7" i="11" s="1"/>
  <c r="J7" i="11" s="1"/>
  <c r="K7" i="11" s="1"/>
  <c r="L7" i="11" s="1"/>
  <c r="M7" i="11" s="1"/>
  <c r="N7" i="11" s="1"/>
  <c r="O7" i="11" s="1"/>
  <c r="P7" i="11" s="1"/>
  <c r="Q7" i="11" s="1"/>
  <c r="R7" i="11" s="1"/>
  <c r="S7" i="11" s="1"/>
  <c r="T7" i="11" s="1"/>
  <c r="U7" i="11" s="1"/>
  <c r="V7" i="11" s="1"/>
  <c r="W7" i="11" s="1"/>
  <c r="X7" i="11" s="1"/>
  <c r="Y7" i="11" s="1"/>
  <c r="Z7" i="11" s="1"/>
  <c r="AA7" i="11" s="1"/>
  <c r="AB7" i="11" s="1"/>
  <c r="AC7" i="11" s="1"/>
  <c r="AD7" i="11" s="1"/>
  <c r="AE7" i="11" s="1"/>
  <c r="AF7" i="11" s="1"/>
  <c r="AG7" i="11" s="1"/>
  <c r="AH7" i="11" s="1"/>
  <c r="AI7" i="11" s="1"/>
  <c r="AJ7" i="11" s="1"/>
  <c r="AK7" i="11" s="1"/>
  <c r="AL7" i="11" s="1"/>
  <c r="AM7" i="11" s="1"/>
  <c r="AN7" i="11" s="1"/>
  <c r="AO7" i="11" s="1"/>
  <c r="AP7" i="11" s="1"/>
  <c r="AQ7" i="11" s="1"/>
  <c r="AR7" i="11" s="1"/>
  <c r="AS7" i="11" s="1"/>
  <c r="AT7" i="11" s="1"/>
  <c r="AU7" i="11" s="1"/>
  <c r="AV7" i="11" s="1"/>
  <c r="AW7" i="11" s="1"/>
  <c r="AX7" i="11" s="1"/>
  <c r="AY7" i="11" s="1"/>
  <c r="AZ7" i="11" s="1"/>
  <c r="BA7" i="11" s="1"/>
  <c r="BB7" i="11" s="1"/>
  <c r="BC7" i="11" s="1"/>
  <c r="BD7" i="11" s="1"/>
  <c r="BE7" i="11" s="1"/>
  <c r="BF7" i="11" s="1"/>
  <c r="BG7" i="11" s="1"/>
  <c r="BH7" i="11" s="1"/>
  <c r="BI7" i="11" s="1"/>
  <c r="BJ7" i="11" s="1"/>
  <c r="BK7" i="11" s="1"/>
  <c r="BL7" i="11" s="1"/>
  <c r="BM7" i="11" s="1"/>
  <c r="BN7" i="11" s="1"/>
  <c r="BO7" i="11" s="1"/>
  <c r="BP7" i="11" s="1"/>
  <c r="BQ7" i="11" s="1"/>
  <c r="BR7" i="11" s="1"/>
  <c r="BS7" i="11" s="1"/>
  <c r="BT7" i="11" s="1"/>
  <c r="BU7" i="11" s="1"/>
  <c r="BV7" i="11" s="1"/>
  <c r="BW7" i="11" s="1"/>
  <c r="BX7" i="11" s="1"/>
  <c r="BY7" i="11" s="1"/>
  <c r="BZ7" i="11" s="1"/>
  <c r="CA7" i="11" s="1"/>
  <c r="CB7" i="11" s="1"/>
  <c r="CC7" i="11" s="1"/>
  <c r="CD7" i="11" s="1"/>
  <c r="CE7" i="11" s="1"/>
  <c r="CF7" i="11" s="1"/>
  <c r="CG7" i="11" s="1"/>
  <c r="CH7" i="11" s="1"/>
  <c r="CI7" i="11" s="1"/>
  <c r="CJ7" i="11" s="1"/>
  <c r="CK7" i="11" s="1"/>
  <c r="CL7" i="11" s="1"/>
  <c r="CM7" i="11" s="1"/>
  <c r="CN7" i="11" s="1"/>
  <c r="CO7" i="11" s="1"/>
  <c r="CP7" i="11" s="1"/>
  <c r="CQ7" i="11" s="1"/>
  <c r="CR7" i="11" s="1"/>
  <c r="CS7" i="11" s="1"/>
  <c r="CT7" i="11" s="1"/>
  <c r="CU7" i="11" s="1"/>
  <c r="CV7" i="11" s="1"/>
  <c r="CW7" i="11" s="1"/>
  <c r="CX7" i="11" s="1"/>
  <c r="CY7" i="11" s="1"/>
  <c r="CZ7" i="11" s="1"/>
  <c r="DA7" i="11" s="1"/>
  <c r="DB7" i="11" s="1"/>
  <c r="DC7" i="11" s="1"/>
  <c r="DD7" i="11" s="1"/>
  <c r="DE7" i="11" s="1"/>
  <c r="DF7" i="11" s="1"/>
  <c r="DG7" i="11" s="1"/>
  <c r="DH7" i="11" s="1"/>
  <c r="DI7" i="11" s="1"/>
  <c r="DJ7" i="11" s="1"/>
  <c r="DK7" i="11" s="1"/>
  <c r="DL7" i="11" s="1"/>
  <c r="DM7" i="11" s="1"/>
  <c r="DN7" i="11" s="1"/>
  <c r="DO7" i="11" s="1"/>
  <c r="DP7" i="11" s="1"/>
  <c r="DQ7" i="11" s="1"/>
  <c r="DR7" i="11" s="1"/>
  <c r="DS7" i="11" s="1"/>
  <c r="DT7" i="11" s="1"/>
  <c r="DU7" i="11" s="1"/>
  <c r="DV7" i="11" s="1"/>
  <c r="DW7" i="11" s="1"/>
  <c r="DX7" i="11" s="1"/>
  <c r="DY7" i="11" s="1"/>
  <c r="DZ7" i="11" s="1"/>
  <c r="EA7" i="11" s="1"/>
  <c r="EB7" i="11" s="1"/>
  <c r="EC7" i="11" s="1"/>
  <c r="ED7" i="11" s="1"/>
  <c r="EE7" i="11" s="1"/>
  <c r="EF7" i="11" s="1"/>
  <c r="EG7" i="11" s="1"/>
  <c r="EH7" i="11" s="1"/>
  <c r="EI7" i="11" s="1"/>
  <c r="EJ7" i="11" s="1"/>
  <c r="EK7" i="11" s="1"/>
  <c r="EL7" i="11" s="1"/>
  <c r="EM7" i="11" s="1"/>
  <c r="EN7" i="11" s="1"/>
  <c r="EO7" i="11" s="1"/>
  <c r="EP7" i="11" s="1"/>
  <c r="EQ7" i="11" s="1"/>
  <c r="ER7" i="11" s="1"/>
  <c r="ES7" i="11" s="1"/>
  <c r="ET7" i="11" s="1"/>
  <c r="EU7" i="11" s="1"/>
  <c r="EV7" i="11" s="1"/>
  <c r="EW7" i="11" s="1"/>
  <c r="EX7" i="11" s="1"/>
  <c r="EY7" i="11" s="1"/>
  <c r="EZ7" i="11" s="1"/>
  <c r="FA7" i="11" s="1"/>
  <c r="FB7" i="11" s="1"/>
  <c r="FC7" i="11" s="1"/>
  <c r="FD7" i="11" s="1"/>
  <c r="FE7" i="11" s="1"/>
  <c r="FF7" i="11" s="1"/>
  <c r="FG7" i="11" s="1"/>
  <c r="FH7" i="11" s="1"/>
  <c r="FI7" i="11" s="1"/>
  <c r="FJ7" i="11" s="1"/>
  <c r="FK7" i="11" s="1"/>
  <c r="FL7" i="11" s="1"/>
  <c r="FM7" i="11" s="1"/>
  <c r="FN7" i="11" s="1"/>
  <c r="FO7" i="11" s="1"/>
  <c r="FP7" i="11" s="1"/>
  <c r="FQ7" i="11" s="1"/>
  <c r="FR7" i="11" s="1"/>
  <c r="FS7" i="11" s="1"/>
  <c r="FT7" i="11" s="1"/>
  <c r="FU7" i="11" s="1"/>
  <c r="FV7" i="11" s="1"/>
  <c r="FW7" i="11" s="1"/>
  <c r="FX7" i="11" s="1"/>
  <c r="FY7" i="11" s="1"/>
  <c r="FZ7" i="11" s="1"/>
  <c r="GA7" i="11" s="1"/>
  <c r="GB7" i="11" s="1"/>
  <c r="GC7" i="11" s="1"/>
  <c r="GD7" i="11" s="1"/>
  <c r="GE7" i="11" s="1"/>
  <c r="GF7" i="11" s="1"/>
  <c r="GG7" i="11" s="1"/>
  <c r="GH7" i="11" s="1"/>
  <c r="GI7" i="11" s="1"/>
  <c r="GJ7" i="11" s="1"/>
  <c r="GK7" i="11" s="1"/>
  <c r="GL7" i="11" s="1"/>
  <c r="GM7" i="11" s="1"/>
  <c r="GN7" i="11" s="1"/>
  <c r="GO7" i="11" s="1"/>
  <c r="GP7" i="11" s="1"/>
  <c r="GQ7" i="11" s="1"/>
  <c r="GR7" i="11" s="1"/>
  <c r="GS7" i="11" s="1"/>
  <c r="GT7" i="11" s="1"/>
  <c r="GU7" i="11" s="1"/>
  <c r="GV7" i="11" s="1"/>
  <c r="GW7" i="11" s="1"/>
  <c r="GX7" i="11" s="1"/>
  <c r="GY7" i="11" s="1"/>
  <c r="GZ7" i="11" s="1"/>
  <c r="HA7" i="11" s="1"/>
  <c r="HB7" i="11" s="1"/>
  <c r="HC7" i="11" s="1"/>
  <c r="HD7" i="11" s="1"/>
  <c r="HE7" i="11" s="1"/>
  <c r="HF7" i="11" s="1"/>
  <c r="HG7" i="11" s="1"/>
  <c r="HH7" i="11" s="1"/>
  <c r="HI7" i="11" s="1"/>
  <c r="HJ7" i="11" s="1"/>
  <c r="HK7" i="11" s="1"/>
  <c r="HL7" i="11" s="1"/>
  <c r="HM7" i="11" s="1"/>
  <c r="HN7" i="11" s="1"/>
  <c r="HO7" i="11" s="1"/>
  <c r="HP7" i="11" s="1"/>
  <c r="HQ7" i="11" s="1"/>
  <c r="HR7" i="11" s="1"/>
  <c r="HS7" i="11" s="1"/>
  <c r="HT7" i="11" s="1"/>
  <c r="HU7" i="11" s="1"/>
  <c r="HV7" i="11" s="1"/>
  <c r="HW7" i="11" s="1"/>
  <c r="HX7" i="11" s="1"/>
  <c r="HY7" i="11" s="1"/>
  <c r="HZ7" i="11" s="1"/>
  <c r="IA7" i="11" s="1"/>
  <c r="IB7" i="11" s="1"/>
  <c r="IC7" i="11" s="1"/>
  <c r="ID7" i="11" s="1"/>
  <c r="IE7" i="11" s="1"/>
  <c r="IF7" i="11" s="1"/>
  <c r="IG7" i="11" s="1"/>
  <c r="IH7" i="11" s="1"/>
  <c r="II7" i="11" s="1"/>
  <c r="IJ7" i="11" s="1"/>
  <c r="IK7" i="11" s="1"/>
  <c r="IL7" i="11" s="1"/>
  <c r="IM7" i="11" s="1"/>
  <c r="IN7" i="11" s="1"/>
  <c r="IO7" i="11" s="1"/>
  <c r="IP7" i="11" s="1"/>
  <c r="IQ7" i="11" s="1"/>
  <c r="IR7" i="11" s="1"/>
  <c r="IS7" i="11" s="1"/>
  <c r="IT7" i="11" s="1"/>
  <c r="IU7" i="11" s="1"/>
  <c r="IV7" i="11" s="1"/>
  <c r="IW7" i="11" s="1"/>
  <c r="IX7" i="11" s="1"/>
  <c r="IY7" i="11" s="1"/>
  <c r="IZ7" i="11" s="1"/>
  <c r="JA7" i="11" s="1"/>
  <c r="JB7" i="11" s="1"/>
  <c r="JC7" i="11" s="1"/>
  <c r="JD7" i="11" s="1"/>
  <c r="JE7" i="11" s="1"/>
  <c r="JF7" i="11" s="1"/>
  <c r="JG7" i="11" s="1"/>
  <c r="JH7" i="11" s="1"/>
  <c r="JI7" i="11" s="1"/>
  <c r="JJ7" i="11" s="1"/>
  <c r="JK7" i="11" s="1"/>
  <c r="JL7" i="11" s="1"/>
  <c r="JM7" i="11" s="1"/>
  <c r="JN7" i="11" s="1"/>
  <c r="JO7" i="11" s="1"/>
  <c r="JP7" i="11" s="1"/>
  <c r="JQ7" i="11" s="1"/>
  <c r="JR7" i="11" s="1"/>
  <c r="JS7" i="11" s="1"/>
  <c r="JT7" i="11" s="1"/>
  <c r="JU7" i="11" s="1"/>
  <c r="JV7" i="11" s="1"/>
  <c r="JW7" i="11" s="1"/>
  <c r="JX7" i="11" s="1"/>
  <c r="JY7" i="11" s="1"/>
  <c r="JZ7" i="11" s="1"/>
  <c r="KA7" i="11" s="1"/>
  <c r="KB7" i="11" s="1"/>
  <c r="KC7" i="11" s="1"/>
  <c r="KD7" i="11" s="1"/>
  <c r="KE7" i="11" s="1"/>
  <c r="KF7" i="11" s="1"/>
  <c r="KG7" i="11" s="1"/>
  <c r="KH7" i="11" s="1"/>
  <c r="KI7" i="11" s="1"/>
  <c r="KJ7" i="11" s="1"/>
  <c r="KK7" i="11" s="1"/>
  <c r="KL7" i="11" s="1"/>
  <c r="KM7" i="11" s="1"/>
  <c r="KN7" i="11" s="1"/>
  <c r="KO7" i="11" s="1"/>
  <c r="KP7" i="11" s="1"/>
  <c r="KQ7" i="11" s="1"/>
  <c r="KR7" i="11" s="1"/>
  <c r="KS7" i="11" s="1"/>
  <c r="KT7" i="11" s="1"/>
  <c r="KU7" i="11" s="1"/>
  <c r="KV7" i="11" s="1"/>
  <c r="KW7" i="11" s="1"/>
  <c r="KX7" i="11" s="1"/>
  <c r="KY7" i="11" s="1"/>
  <c r="KZ7" i="11" s="1"/>
  <c r="LA7" i="11" s="1"/>
  <c r="LB7" i="11" s="1"/>
  <c r="LC7" i="11" s="1"/>
  <c r="LD7" i="11" s="1"/>
  <c r="LE7" i="11" s="1"/>
  <c r="LF7" i="11" s="1"/>
  <c r="LG7" i="11" s="1"/>
  <c r="LH7" i="11" s="1"/>
  <c r="LI7" i="11" s="1"/>
  <c r="LJ7" i="11" s="1"/>
  <c r="LK7" i="11" s="1"/>
  <c r="LL7" i="11" s="1"/>
  <c r="LM7" i="11" s="1"/>
  <c r="LN7" i="11" s="1"/>
  <c r="LO7" i="11" s="1"/>
  <c r="LP7" i="11" s="1"/>
  <c r="LQ7" i="11" s="1"/>
  <c r="LR7" i="11" s="1"/>
  <c r="LS7" i="11" s="1"/>
  <c r="LT7" i="11" s="1"/>
  <c r="LU7" i="11" s="1"/>
  <c r="LV7" i="11" s="1"/>
  <c r="LW7" i="11" s="1"/>
  <c r="LX7" i="11" s="1"/>
  <c r="LY7" i="11" s="1"/>
  <c r="LZ7" i="11" s="1"/>
  <c r="MA7" i="11" s="1"/>
  <c r="MB7" i="11" s="1"/>
  <c r="MC7" i="11" s="1"/>
  <c r="MD7" i="11" s="1"/>
  <c r="ME7" i="11" s="1"/>
  <c r="MF7" i="11" s="1"/>
  <c r="MG7" i="11" s="1"/>
  <c r="MH7" i="11" s="1"/>
  <c r="MI7" i="11" s="1"/>
  <c r="MJ7" i="11" s="1"/>
  <c r="MK7" i="11" s="1"/>
  <c r="ML7" i="11" s="1"/>
  <c r="MM7" i="11" s="1"/>
  <c r="MN7" i="11" s="1"/>
  <c r="MO7" i="11" s="1"/>
  <c r="MP7" i="11" s="1"/>
  <c r="MQ7" i="11" s="1"/>
  <c r="MR7" i="11" s="1"/>
  <c r="MS7" i="11" s="1"/>
  <c r="MT7" i="11" s="1"/>
  <c r="MU7" i="11" s="1"/>
  <c r="MV7" i="11" s="1"/>
  <c r="MW7" i="11" s="1"/>
  <c r="MX7" i="11" s="1"/>
  <c r="MY7" i="11" s="1"/>
  <c r="MZ7" i="11" s="1"/>
  <c r="NA7" i="11" s="1"/>
  <c r="NB7" i="11" s="1"/>
  <c r="NC7" i="11" s="1"/>
  <c r="A9" i="41"/>
  <c r="D7" i="41"/>
  <c r="E7" i="41" s="1"/>
  <c r="F7" i="41" s="1"/>
  <c r="G7" i="41" s="1"/>
  <c r="H7" i="41" s="1"/>
  <c r="I7" i="41" s="1"/>
  <c r="J7" i="41" s="1"/>
  <c r="K7" i="41" s="1"/>
  <c r="L7" i="41" s="1"/>
  <c r="M7" i="41" s="1"/>
  <c r="N7" i="41" s="1"/>
  <c r="O7" i="41" s="1"/>
  <c r="P7" i="41" s="1"/>
  <c r="Q7" i="41" s="1"/>
  <c r="R7" i="41" s="1"/>
  <c r="S7" i="41" s="1"/>
  <c r="T7" i="41" s="1"/>
  <c r="U7" i="41" s="1"/>
  <c r="V7" i="41" s="1"/>
  <c r="W7" i="41" s="1"/>
  <c r="X7" i="41" s="1"/>
  <c r="Y7" i="41" s="1"/>
  <c r="Z7" i="41" s="1"/>
  <c r="AA7" i="41" s="1"/>
  <c r="AB7" i="41" s="1"/>
  <c r="AC7" i="41" s="1"/>
  <c r="AD7" i="41" s="1"/>
  <c r="AE7" i="41" s="1"/>
  <c r="AF7" i="41" s="1"/>
  <c r="AG7" i="41" s="1"/>
  <c r="AH7" i="41" s="1"/>
  <c r="AI7" i="41" s="1"/>
  <c r="AJ7" i="41" s="1"/>
  <c r="AK7" i="41" s="1"/>
  <c r="AL7" i="41" s="1"/>
  <c r="AM7" i="41" s="1"/>
  <c r="AN7" i="41" s="1"/>
  <c r="AO7" i="41" s="1"/>
  <c r="AP7" i="41" s="1"/>
  <c r="AQ7" i="41" s="1"/>
  <c r="AR7" i="41" s="1"/>
  <c r="AS7" i="41" s="1"/>
  <c r="AT7" i="41" s="1"/>
  <c r="AU7" i="41" s="1"/>
  <c r="AV7" i="41" s="1"/>
  <c r="AW7" i="41" s="1"/>
  <c r="AX7" i="41" s="1"/>
  <c r="AY7" i="41" s="1"/>
  <c r="AZ7" i="41" s="1"/>
  <c r="BA7" i="41" s="1"/>
  <c r="BB7" i="41" s="1"/>
  <c r="BC7" i="41" s="1"/>
  <c r="BD7" i="41" s="1"/>
  <c r="BE7" i="41" s="1"/>
  <c r="BF7" i="41" s="1"/>
  <c r="BG7" i="41" s="1"/>
  <c r="BH7" i="41" s="1"/>
  <c r="BI7" i="41" s="1"/>
  <c r="BJ7" i="41" s="1"/>
  <c r="BK7" i="41" s="1"/>
  <c r="BL7" i="41" s="1"/>
  <c r="BM7" i="41" s="1"/>
  <c r="BN7" i="41" s="1"/>
  <c r="BO7" i="41" s="1"/>
  <c r="BP7" i="41" s="1"/>
  <c r="BQ7" i="41" s="1"/>
  <c r="BR7" i="41" s="1"/>
  <c r="BS7" i="41" s="1"/>
  <c r="BT7" i="41" s="1"/>
  <c r="BU7" i="41" s="1"/>
  <c r="BV7" i="41" s="1"/>
  <c r="BW7" i="41" s="1"/>
  <c r="BX7" i="41" s="1"/>
  <c r="BY7" i="41" s="1"/>
  <c r="BZ7" i="41" s="1"/>
  <c r="CA7" i="41" s="1"/>
  <c r="CB7" i="41" s="1"/>
  <c r="CC7" i="41" s="1"/>
  <c r="CD7" i="41" s="1"/>
  <c r="CE7" i="41" s="1"/>
  <c r="CF7" i="41" s="1"/>
  <c r="CG7" i="41" s="1"/>
  <c r="CH7" i="41" s="1"/>
  <c r="CI7" i="41" s="1"/>
  <c r="CJ7" i="41" s="1"/>
  <c r="CK7" i="41" s="1"/>
  <c r="CL7" i="41" s="1"/>
  <c r="CM7" i="41" s="1"/>
  <c r="CN7" i="41" s="1"/>
  <c r="CO7" i="41" s="1"/>
  <c r="CP7" i="41" s="1"/>
  <c r="CQ7" i="41" s="1"/>
  <c r="CR7" i="41" s="1"/>
  <c r="CS7" i="41" s="1"/>
  <c r="CT7" i="41" s="1"/>
  <c r="CU7" i="41" s="1"/>
  <c r="CV7" i="41" s="1"/>
  <c r="CW7" i="41" s="1"/>
  <c r="CX7" i="41" s="1"/>
  <c r="CY7" i="41" s="1"/>
  <c r="CZ7" i="41" s="1"/>
  <c r="DA7" i="41" s="1"/>
  <c r="DB7" i="41" s="1"/>
  <c r="DC7" i="41" s="1"/>
  <c r="DD7" i="41" s="1"/>
  <c r="DE7" i="41" s="1"/>
  <c r="DF7" i="41" s="1"/>
  <c r="DG7" i="41" s="1"/>
  <c r="DH7" i="41" s="1"/>
  <c r="DI7" i="41" s="1"/>
  <c r="DJ7" i="41" s="1"/>
  <c r="DK7" i="41" s="1"/>
  <c r="DL7" i="41" s="1"/>
  <c r="DM7" i="41" s="1"/>
  <c r="DN7" i="41" s="1"/>
  <c r="DO7" i="41" s="1"/>
  <c r="DP7" i="41" s="1"/>
  <c r="DQ7" i="41" s="1"/>
  <c r="DR7" i="41" s="1"/>
  <c r="DS7" i="41" s="1"/>
  <c r="DT7" i="41" s="1"/>
  <c r="DU7" i="41" s="1"/>
  <c r="DV7" i="41" s="1"/>
  <c r="DW7" i="41" s="1"/>
  <c r="DX7" i="41" s="1"/>
  <c r="DY7" i="41" s="1"/>
  <c r="DZ7" i="41" s="1"/>
  <c r="EA7" i="41" s="1"/>
  <c r="EB7" i="41" s="1"/>
  <c r="EC7" i="41" s="1"/>
  <c r="ED7" i="41" s="1"/>
  <c r="EE7" i="41" s="1"/>
  <c r="EF7" i="41" s="1"/>
  <c r="EG7" i="41" s="1"/>
  <c r="EH7" i="41" s="1"/>
  <c r="EI7" i="41" s="1"/>
  <c r="EJ7" i="41" s="1"/>
  <c r="EK7" i="41" s="1"/>
  <c r="EL7" i="41" s="1"/>
  <c r="EM7" i="41" s="1"/>
  <c r="EN7" i="41" s="1"/>
  <c r="EO7" i="41" s="1"/>
  <c r="EP7" i="41" s="1"/>
  <c r="EQ7" i="41" s="1"/>
  <c r="ER7" i="41" s="1"/>
  <c r="ES7" i="41" s="1"/>
  <c r="ET7" i="41" s="1"/>
  <c r="EU7" i="41" s="1"/>
  <c r="EV7" i="41" s="1"/>
  <c r="EW7" i="41" s="1"/>
  <c r="EX7" i="41" s="1"/>
  <c r="EY7" i="41" s="1"/>
  <c r="EZ7" i="41" s="1"/>
  <c r="FA7" i="41" s="1"/>
  <c r="FB7" i="41" s="1"/>
  <c r="FC7" i="41" s="1"/>
  <c r="FD7" i="41" s="1"/>
  <c r="FE7" i="41" s="1"/>
  <c r="FF7" i="41" s="1"/>
  <c r="FG7" i="41" s="1"/>
  <c r="FH7" i="41" s="1"/>
  <c r="FI7" i="41" s="1"/>
  <c r="FJ7" i="41" s="1"/>
  <c r="FK7" i="41" s="1"/>
  <c r="FL7" i="41" s="1"/>
  <c r="FM7" i="41" s="1"/>
  <c r="FN7" i="41" s="1"/>
  <c r="FO7" i="41" s="1"/>
  <c r="FP7" i="41" s="1"/>
  <c r="FQ7" i="41" s="1"/>
  <c r="FR7" i="41" s="1"/>
  <c r="FS7" i="41" s="1"/>
  <c r="FT7" i="41" s="1"/>
  <c r="FU7" i="41" s="1"/>
  <c r="FV7" i="41" s="1"/>
  <c r="FW7" i="41" s="1"/>
  <c r="FX7" i="41" s="1"/>
  <c r="FY7" i="41" s="1"/>
  <c r="FZ7" i="41" s="1"/>
  <c r="GA7" i="41" s="1"/>
  <c r="GB7" i="41" s="1"/>
  <c r="GC7" i="41" s="1"/>
  <c r="GD7" i="41" s="1"/>
  <c r="GE7" i="41" s="1"/>
  <c r="GF7" i="41" s="1"/>
  <c r="GG7" i="41" s="1"/>
  <c r="GH7" i="41" s="1"/>
  <c r="GI7" i="41" s="1"/>
  <c r="GJ7" i="41" s="1"/>
  <c r="GK7" i="41" s="1"/>
  <c r="GL7" i="41" s="1"/>
  <c r="GM7" i="41" s="1"/>
  <c r="GN7" i="41" s="1"/>
  <c r="GO7" i="41" s="1"/>
  <c r="GP7" i="41" s="1"/>
  <c r="GQ7" i="41" s="1"/>
  <c r="GR7" i="41" s="1"/>
  <c r="GS7" i="41" s="1"/>
  <c r="GT7" i="41" s="1"/>
  <c r="GU7" i="41" s="1"/>
  <c r="GV7" i="41" s="1"/>
  <c r="GW7" i="41" s="1"/>
  <c r="GX7" i="41" s="1"/>
  <c r="GY7" i="41" s="1"/>
  <c r="GZ7" i="41" s="1"/>
  <c r="HA7" i="41" s="1"/>
  <c r="HB7" i="41" s="1"/>
  <c r="HC7" i="41" s="1"/>
  <c r="HD7" i="41" s="1"/>
  <c r="HE7" i="41" s="1"/>
  <c r="HF7" i="41" s="1"/>
  <c r="HG7" i="41" s="1"/>
  <c r="HH7" i="41" s="1"/>
  <c r="HI7" i="41" s="1"/>
  <c r="HJ7" i="41" s="1"/>
  <c r="HK7" i="41" s="1"/>
  <c r="HL7" i="41" s="1"/>
  <c r="HM7" i="41" s="1"/>
  <c r="HN7" i="41" s="1"/>
  <c r="HO7" i="41" s="1"/>
  <c r="HP7" i="41" s="1"/>
  <c r="HQ7" i="41" s="1"/>
  <c r="HR7" i="41" s="1"/>
  <c r="HS7" i="41" s="1"/>
  <c r="HT7" i="41" s="1"/>
  <c r="HU7" i="41" s="1"/>
  <c r="HV7" i="41" s="1"/>
  <c r="HW7" i="41" s="1"/>
  <c r="HX7" i="41" s="1"/>
  <c r="HY7" i="41" s="1"/>
  <c r="HZ7" i="41" s="1"/>
  <c r="IA7" i="41" s="1"/>
  <c r="IB7" i="41" s="1"/>
  <c r="IC7" i="41" s="1"/>
  <c r="ID7" i="41" s="1"/>
  <c r="IE7" i="41" s="1"/>
  <c r="IF7" i="41" s="1"/>
  <c r="IG7" i="41" s="1"/>
  <c r="IH7" i="41" s="1"/>
  <c r="II7" i="41" s="1"/>
  <c r="IJ7" i="41" s="1"/>
  <c r="IK7" i="41" s="1"/>
  <c r="IL7" i="41" s="1"/>
  <c r="IM7" i="41" s="1"/>
  <c r="IN7" i="41" s="1"/>
  <c r="IO7" i="41" s="1"/>
  <c r="IP7" i="41" s="1"/>
  <c r="IQ7" i="41" s="1"/>
  <c r="IR7" i="41" s="1"/>
  <c r="IS7" i="41" s="1"/>
  <c r="IT7" i="41" s="1"/>
  <c r="IU7" i="41" s="1"/>
  <c r="IV7" i="41" s="1"/>
  <c r="IW7" i="41" s="1"/>
  <c r="IX7" i="41" s="1"/>
  <c r="IY7" i="41" s="1"/>
  <c r="IZ7" i="41" s="1"/>
  <c r="JA7" i="41" s="1"/>
  <c r="JB7" i="41" s="1"/>
  <c r="JC7" i="41" s="1"/>
  <c r="JD7" i="41" s="1"/>
  <c r="JE7" i="41" s="1"/>
  <c r="JF7" i="41" s="1"/>
  <c r="JG7" i="41" s="1"/>
  <c r="JH7" i="41" s="1"/>
  <c r="JI7" i="41" s="1"/>
  <c r="JJ7" i="41" s="1"/>
  <c r="JK7" i="41" s="1"/>
  <c r="JL7" i="41" s="1"/>
  <c r="JM7" i="41" s="1"/>
  <c r="JN7" i="41" s="1"/>
  <c r="JO7" i="41" s="1"/>
  <c r="JP7" i="41" s="1"/>
  <c r="JQ7" i="41" s="1"/>
  <c r="JR7" i="41" s="1"/>
  <c r="JS7" i="41" s="1"/>
  <c r="JT7" i="41" s="1"/>
  <c r="JU7" i="41" s="1"/>
  <c r="JV7" i="41" s="1"/>
  <c r="JW7" i="41" s="1"/>
  <c r="JX7" i="41" s="1"/>
  <c r="JY7" i="41" s="1"/>
  <c r="JZ7" i="41" s="1"/>
  <c r="KA7" i="41" s="1"/>
  <c r="KB7" i="41" s="1"/>
  <c r="KC7" i="41" s="1"/>
  <c r="KD7" i="41" s="1"/>
  <c r="KE7" i="41" s="1"/>
  <c r="KF7" i="41" s="1"/>
  <c r="KG7" i="41" s="1"/>
  <c r="KH7" i="41" s="1"/>
  <c r="KI7" i="41" s="1"/>
  <c r="KJ7" i="41" s="1"/>
  <c r="KK7" i="41" s="1"/>
  <c r="KL7" i="41" s="1"/>
  <c r="KM7" i="41" s="1"/>
  <c r="KN7" i="41" s="1"/>
  <c r="KO7" i="41" s="1"/>
  <c r="KP7" i="41" s="1"/>
  <c r="KQ7" i="41" s="1"/>
  <c r="KR7" i="41" s="1"/>
  <c r="KS7" i="41" s="1"/>
  <c r="KT7" i="41" s="1"/>
  <c r="KU7" i="41" s="1"/>
  <c r="KV7" i="41" s="1"/>
  <c r="KW7" i="41" s="1"/>
  <c r="KX7" i="41" s="1"/>
  <c r="KY7" i="41" s="1"/>
  <c r="KZ7" i="41" s="1"/>
  <c r="LA7" i="41" s="1"/>
  <c r="LB7" i="41" s="1"/>
  <c r="LC7" i="41" s="1"/>
  <c r="LD7" i="41" s="1"/>
  <c r="LE7" i="41" s="1"/>
  <c r="LF7" i="41" s="1"/>
  <c r="LG7" i="41" s="1"/>
  <c r="LH7" i="41" s="1"/>
  <c r="LI7" i="41" s="1"/>
  <c r="LJ7" i="41" s="1"/>
  <c r="LK7" i="41" s="1"/>
  <c r="LL7" i="41" s="1"/>
  <c r="LM7" i="41" s="1"/>
  <c r="LN7" i="41" s="1"/>
  <c r="LO7" i="41" s="1"/>
  <c r="LP7" i="41" s="1"/>
  <c r="LQ7" i="41" s="1"/>
  <c r="LR7" i="41" s="1"/>
  <c r="LS7" i="41" s="1"/>
  <c r="LT7" i="41" s="1"/>
  <c r="LU7" i="41" s="1"/>
  <c r="LV7" i="41" s="1"/>
  <c r="LW7" i="41" s="1"/>
  <c r="LX7" i="41" s="1"/>
  <c r="LY7" i="41" s="1"/>
  <c r="LZ7" i="41" s="1"/>
  <c r="MA7" i="41" s="1"/>
  <c r="MB7" i="41" s="1"/>
  <c r="MC7" i="41" s="1"/>
  <c r="MD7" i="41" s="1"/>
  <c r="ME7" i="41" s="1"/>
  <c r="MF7" i="41" s="1"/>
  <c r="MG7" i="41" s="1"/>
  <c r="MH7" i="41" s="1"/>
  <c r="MI7" i="41" s="1"/>
  <c r="MJ7" i="41" s="1"/>
  <c r="MK7" i="41" s="1"/>
  <c r="ML7" i="41" s="1"/>
  <c r="MM7" i="41" s="1"/>
  <c r="MN7" i="41" s="1"/>
  <c r="MO7" i="41" s="1"/>
  <c r="MP7" i="41" s="1"/>
  <c r="MQ7" i="41" s="1"/>
  <c r="MR7" i="41" s="1"/>
  <c r="MS7" i="41" s="1"/>
  <c r="MT7" i="41" s="1"/>
  <c r="MU7" i="41" s="1"/>
  <c r="MV7" i="41" s="1"/>
  <c r="MW7" i="41" s="1"/>
  <c r="MX7" i="41" s="1"/>
  <c r="MY7" i="41" s="1"/>
  <c r="MZ7" i="41" s="1"/>
  <c r="NA7" i="41" s="1"/>
  <c r="NB7" i="41" s="1"/>
  <c r="NC7" i="41" s="1"/>
  <c r="A10" i="7"/>
  <c r="A9" i="7"/>
  <c r="D7" i="7"/>
  <c r="E7" i="7" s="1"/>
  <c r="F7" i="7" s="1"/>
  <c r="G7" i="7" s="1"/>
  <c r="H7" i="7" s="1"/>
  <c r="I7" i="7" s="1"/>
  <c r="J7" i="7" s="1"/>
  <c r="K7" i="7" s="1"/>
  <c r="L7" i="7" s="1"/>
  <c r="M7" i="7" s="1"/>
  <c r="N7" i="7" s="1"/>
  <c r="O7" i="7" s="1"/>
  <c r="P7" i="7" s="1"/>
  <c r="Q7" i="7" s="1"/>
  <c r="R7" i="7" s="1"/>
  <c r="S7" i="7" s="1"/>
  <c r="T7" i="7" s="1"/>
  <c r="U7" i="7" s="1"/>
  <c r="V7" i="7" s="1"/>
  <c r="W7" i="7" s="1"/>
  <c r="X7" i="7" s="1"/>
  <c r="Y7" i="7" s="1"/>
  <c r="Z7" i="7" s="1"/>
  <c r="AA7" i="7" s="1"/>
  <c r="AB7" i="7" s="1"/>
  <c r="AC7" i="7" s="1"/>
  <c r="AD7" i="7" s="1"/>
  <c r="AE7" i="7" s="1"/>
  <c r="AF7" i="7" s="1"/>
  <c r="AG7" i="7" s="1"/>
  <c r="AH7" i="7" s="1"/>
  <c r="AI7" i="7" s="1"/>
  <c r="AJ7" i="7" s="1"/>
  <c r="AK7" i="7" s="1"/>
  <c r="AL7" i="7" s="1"/>
  <c r="AM7" i="7" s="1"/>
  <c r="AN7" i="7" s="1"/>
  <c r="AO7" i="7" s="1"/>
  <c r="AP7" i="7" s="1"/>
  <c r="AQ7" i="7" s="1"/>
  <c r="AR7" i="7" s="1"/>
  <c r="AS7" i="7" s="1"/>
  <c r="AT7" i="7" s="1"/>
  <c r="AU7" i="7" s="1"/>
  <c r="AV7" i="7" s="1"/>
  <c r="AW7" i="7" s="1"/>
  <c r="AX7" i="7" s="1"/>
  <c r="AY7" i="7" s="1"/>
  <c r="AZ7" i="7" s="1"/>
  <c r="BA7" i="7" s="1"/>
  <c r="BB7" i="7" s="1"/>
  <c r="BC7" i="7" s="1"/>
  <c r="BD7" i="7" s="1"/>
  <c r="BE7" i="7" s="1"/>
  <c r="BF7" i="7" s="1"/>
  <c r="BG7" i="7" s="1"/>
  <c r="BH7" i="7" s="1"/>
  <c r="BI7" i="7" s="1"/>
  <c r="BJ7" i="7" s="1"/>
  <c r="BK7" i="7" s="1"/>
  <c r="BL7" i="7" s="1"/>
  <c r="BM7" i="7" s="1"/>
  <c r="BN7" i="7" s="1"/>
  <c r="BO7" i="7" s="1"/>
  <c r="BP7" i="7" s="1"/>
  <c r="BQ7" i="7" s="1"/>
  <c r="BR7" i="7" s="1"/>
  <c r="BS7" i="7" s="1"/>
  <c r="BT7" i="7" s="1"/>
  <c r="BU7" i="7" s="1"/>
  <c r="BV7" i="7" s="1"/>
  <c r="BW7" i="7" s="1"/>
  <c r="BX7" i="7" s="1"/>
  <c r="BY7" i="7" s="1"/>
  <c r="BZ7" i="7" s="1"/>
  <c r="CA7" i="7" s="1"/>
  <c r="CB7" i="7" s="1"/>
  <c r="CC7" i="7" s="1"/>
  <c r="CD7" i="7" s="1"/>
  <c r="CE7" i="7" s="1"/>
  <c r="CF7" i="7" s="1"/>
  <c r="CG7" i="7" s="1"/>
  <c r="CH7" i="7" s="1"/>
  <c r="CI7" i="7" s="1"/>
  <c r="CJ7" i="7" s="1"/>
  <c r="CK7" i="7" s="1"/>
  <c r="CL7" i="7" s="1"/>
  <c r="CM7" i="7" s="1"/>
  <c r="CN7" i="7" s="1"/>
  <c r="CO7" i="7" s="1"/>
  <c r="CP7" i="7" s="1"/>
  <c r="CQ7" i="7" s="1"/>
  <c r="CR7" i="7" s="1"/>
  <c r="CS7" i="7" s="1"/>
  <c r="CT7" i="7" s="1"/>
  <c r="CU7" i="7" s="1"/>
  <c r="CV7" i="7" s="1"/>
  <c r="CW7" i="7" s="1"/>
  <c r="CX7" i="7" s="1"/>
  <c r="CY7" i="7" s="1"/>
  <c r="CZ7" i="7" s="1"/>
  <c r="DA7" i="7" s="1"/>
  <c r="DB7" i="7" s="1"/>
  <c r="DC7" i="7" s="1"/>
  <c r="DD7" i="7" s="1"/>
  <c r="DE7" i="7" s="1"/>
  <c r="DF7" i="7" s="1"/>
  <c r="DG7" i="7" s="1"/>
  <c r="DH7" i="7" s="1"/>
  <c r="DI7" i="7" s="1"/>
  <c r="DJ7" i="7" s="1"/>
  <c r="DK7" i="7" s="1"/>
  <c r="DL7" i="7" s="1"/>
  <c r="DM7" i="7" s="1"/>
  <c r="DN7" i="7" s="1"/>
  <c r="DO7" i="7" s="1"/>
  <c r="DP7" i="7" s="1"/>
  <c r="DQ7" i="7" s="1"/>
  <c r="DR7" i="7" s="1"/>
  <c r="DS7" i="7" s="1"/>
  <c r="DT7" i="7" s="1"/>
  <c r="DU7" i="7" s="1"/>
  <c r="DV7" i="7" s="1"/>
  <c r="DW7" i="7" s="1"/>
  <c r="DX7" i="7" s="1"/>
  <c r="DY7" i="7" s="1"/>
  <c r="DZ7" i="7" s="1"/>
  <c r="EA7" i="7" s="1"/>
  <c r="EB7" i="7" s="1"/>
  <c r="EC7" i="7" s="1"/>
  <c r="ED7" i="7" s="1"/>
  <c r="EE7" i="7" s="1"/>
  <c r="EF7" i="7" s="1"/>
  <c r="EG7" i="7" s="1"/>
  <c r="EH7" i="7" s="1"/>
  <c r="EI7" i="7" s="1"/>
  <c r="EJ7" i="7" s="1"/>
  <c r="EK7" i="7" s="1"/>
  <c r="EL7" i="7" s="1"/>
  <c r="EM7" i="7" s="1"/>
  <c r="EN7" i="7" s="1"/>
  <c r="EO7" i="7" s="1"/>
  <c r="EP7" i="7" s="1"/>
  <c r="EQ7" i="7" s="1"/>
  <c r="ER7" i="7" s="1"/>
  <c r="ES7" i="7" s="1"/>
  <c r="ET7" i="7" s="1"/>
  <c r="EU7" i="7" s="1"/>
  <c r="EV7" i="7" s="1"/>
  <c r="EW7" i="7" s="1"/>
  <c r="EX7" i="7" s="1"/>
  <c r="EY7" i="7" s="1"/>
  <c r="EZ7" i="7" s="1"/>
  <c r="FA7" i="7" s="1"/>
  <c r="FB7" i="7" s="1"/>
  <c r="FC7" i="7" s="1"/>
  <c r="FD7" i="7" s="1"/>
  <c r="FE7" i="7" s="1"/>
  <c r="FF7" i="7" s="1"/>
  <c r="FG7" i="7" s="1"/>
  <c r="FH7" i="7" s="1"/>
  <c r="FI7" i="7" s="1"/>
  <c r="FJ7" i="7" s="1"/>
  <c r="FK7" i="7" s="1"/>
  <c r="FL7" i="7" s="1"/>
  <c r="FM7" i="7" s="1"/>
  <c r="FN7" i="7" s="1"/>
  <c r="FO7" i="7" s="1"/>
  <c r="FP7" i="7" s="1"/>
  <c r="FQ7" i="7" s="1"/>
  <c r="FR7" i="7" s="1"/>
  <c r="FS7" i="7" s="1"/>
  <c r="FT7" i="7" s="1"/>
  <c r="FU7" i="7" s="1"/>
  <c r="FV7" i="7" s="1"/>
  <c r="FW7" i="7" s="1"/>
  <c r="FX7" i="7" s="1"/>
  <c r="FY7" i="7" s="1"/>
  <c r="FZ7" i="7" s="1"/>
  <c r="GA7" i="7" s="1"/>
  <c r="GB7" i="7" s="1"/>
  <c r="GC7" i="7" s="1"/>
  <c r="GD7" i="7" s="1"/>
  <c r="GE7" i="7" s="1"/>
  <c r="GF7" i="7" s="1"/>
  <c r="GG7" i="7" s="1"/>
  <c r="GH7" i="7" s="1"/>
  <c r="GI7" i="7" s="1"/>
  <c r="GJ7" i="7" s="1"/>
  <c r="GK7" i="7" s="1"/>
  <c r="GL7" i="7" s="1"/>
  <c r="GM7" i="7" s="1"/>
  <c r="GN7" i="7" s="1"/>
  <c r="GO7" i="7" s="1"/>
  <c r="GP7" i="7" s="1"/>
  <c r="GQ7" i="7" s="1"/>
  <c r="GR7" i="7" s="1"/>
  <c r="GS7" i="7" s="1"/>
  <c r="GT7" i="7" s="1"/>
  <c r="GU7" i="7" s="1"/>
  <c r="GV7" i="7" s="1"/>
  <c r="GW7" i="7" s="1"/>
  <c r="GX7" i="7" s="1"/>
  <c r="GY7" i="7" s="1"/>
  <c r="GZ7" i="7" s="1"/>
  <c r="HA7" i="7" s="1"/>
  <c r="HB7" i="7" s="1"/>
  <c r="HC7" i="7" s="1"/>
  <c r="HD7" i="7" s="1"/>
  <c r="HE7" i="7" s="1"/>
  <c r="HF7" i="7" s="1"/>
  <c r="HG7" i="7" s="1"/>
  <c r="HH7" i="7" s="1"/>
  <c r="HI7" i="7" s="1"/>
  <c r="HJ7" i="7" s="1"/>
  <c r="HK7" i="7" s="1"/>
  <c r="HL7" i="7" s="1"/>
  <c r="HM7" i="7" s="1"/>
  <c r="HN7" i="7" s="1"/>
  <c r="HO7" i="7" s="1"/>
  <c r="HP7" i="7" s="1"/>
  <c r="HQ7" i="7" s="1"/>
  <c r="HR7" i="7" s="1"/>
  <c r="HS7" i="7" s="1"/>
  <c r="HT7" i="7" s="1"/>
  <c r="HU7" i="7" s="1"/>
  <c r="HV7" i="7" s="1"/>
  <c r="HW7" i="7" s="1"/>
  <c r="HX7" i="7" s="1"/>
  <c r="HY7" i="7" s="1"/>
  <c r="HZ7" i="7" s="1"/>
  <c r="IA7" i="7" s="1"/>
  <c r="IB7" i="7" s="1"/>
  <c r="IC7" i="7" s="1"/>
  <c r="ID7" i="7" s="1"/>
  <c r="IE7" i="7" s="1"/>
  <c r="IF7" i="7" s="1"/>
  <c r="IG7" i="7" s="1"/>
  <c r="IH7" i="7" s="1"/>
  <c r="II7" i="7" s="1"/>
  <c r="IJ7" i="7" s="1"/>
  <c r="IK7" i="7" s="1"/>
  <c r="IL7" i="7" s="1"/>
  <c r="IM7" i="7" s="1"/>
  <c r="IN7" i="7" s="1"/>
  <c r="IO7" i="7" s="1"/>
  <c r="IP7" i="7" s="1"/>
  <c r="IQ7" i="7" s="1"/>
  <c r="IR7" i="7" s="1"/>
  <c r="IS7" i="7" s="1"/>
  <c r="IT7" i="7" s="1"/>
  <c r="IU7" i="7" s="1"/>
  <c r="IV7" i="7" s="1"/>
  <c r="IW7" i="7" s="1"/>
  <c r="IX7" i="7" s="1"/>
  <c r="IY7" i="7" s="1"/>
  <c r="IZ7" i="7" s="1"/>
  <c r="JA7" i="7" s="1"/>
  <c r="JB7" i="7" s="1"/>
  <c r="JC7" i="7" s="1"/>
  <c r="JD7" i="7" s="1"/>
  <c r="JE7" i="7" s="1"/>
  <c r="JF7" i="7" s="1"/>
  <c r="JG7" i="7" s="1"/>
  <c r="JH7" i="7" s="1"/>
  <c r="JI7" i="7" s="1"/>
  <c r="JJ7" i="7" s="1"/>
  <c r="JK7" i="7" s="1"/>
  <c r="JL7" i="7" s="1"/>
  <c r="JM7" i="7" s="1"/>
  <c r="JN7" i="7" s="1"/>
  <c r="JO7" i="7" s="1"/>
  <c r="JP7" i="7" s="1"/>
  <c r="JQ7" i="7" s="1"/>
  <c r="JR7" i="7" s="1"/>
  <c r="JS7" i="7" s="1"/>
  <c r="JT7" i="7" s="1"/>
  <c r="JU7" i="7" s="1"/>
  <c r="JV7" i="7" s="1"/>
  <c r="JW7" i="7" s="1"/>
  <c r="JX7" i="7" s="1"/>
  <c r="JY7" i="7" s="1"/>
  <c r="JZ7" i="7" s="1"/>
  <c r="KA7" i="7" s="1"/>
  <c r="KB7" i="7" s="1"/>
  <c r="KC7" i="7" s="1"/>
  <c r="KD7" i="7" s="1"/>
  <c r="KE7" i="7" s="1"/>
  <c r="KF7" i="7" s="1"/>
  <c r="KG7" i="7" s="1"/>
  <c r="KH7" i="7" s="1"/>
  <c r="KI7" i="7" s="1"/>
  <c r="KJ7" i="7" s="1"/>
  <c r="KK7" i="7" s="1"/>
  <c r="KL7" i="7" s="1"/>
  <c r="KM7" i="7" s="1"/>
  <c r="KN7" i="7" s="1"/>
  <c r="KO7" i="7" s="1"/>
  <c r="KP7" i="7" s="1"/>
  <c r="KQ7" i="7" s="1"/>
  <c r="KR7" i="7" s="1"/>
  <c r="KS7" i="7" s="1"/>
  <c r="KT7" i="7" s="1"/>
  <c r="KU7" i="7" s="1"/>
  <c r="KV7" i="7" s="1"/>
  <c r="KW7" i="7" s="1"/>
  <c r="KX7" i="7" s="1"/>
  <c r="KY7" i="7" s="1"/>
  <c r="KZ7" i="7" s="1"/>
  <c r="LA7" i="7" s="1"/>
  <c r="LB7" i="7" s="1"/>
  <c r="LC7" i="7" s="1"/>
  <c r="LD7" i="7" s="1"/>
  <c r="LE7" i="7" s="1"/>
  <c r="LF7" i="7" s="1"/>
  <c r="LG7" i="7" s="1"/>
  <c r="LH7" i="7" s="1"/>
  <c r="LI7" i="7" s="1"/>
  <c r="LJ7" i="7" s="1"/>
  <c r="LK7" i="7" s="1"/>
  <c r="LL7" i="7" s="1"/>
  <c r="LM7" i="7" s="1"/>
  <c r="LN7" i="7" s="1"/>
  <c r="LO7" i="7" s="1"/>
  <c r="LP7" i="7" s="1"/>
  <c r="LQ7" i="7" s="1"/>
  <c r="LR7" i="7" s="1"/>
  <c r="LS7" i="7" s="1"/>
  <c r="LT7" i="7" s="1"/>
  <c r="LU7" i="7" s="1"/>
  <c r="LV7" i="7" s="1"/>
  <c r="LW7" i="7" s="1"/>
  <c r="LX7" i="7" s="1"/>
  <c r="LY7" i="7" s="1"/>
  <c r="LZ7" i="7" s="1"/>
  <c r="MA7" i="7" s="1"/>
  <c r="MB7" i="7" s="1"/>
  <c r="MC7" i="7" s="1"/>
  <c r="MD7" i="7" s="1"/>
  <c r="ME7" i="7" s="1"/>
  <c r="MF7" i="7" s="1"/>
  <c r="MG7" i="7" s="1"/>
  <c r="MH7" i="7" s="1"/>
  <c r="MI7" i="7" s="1"/>
  <c r="MJ7" i="7" s="1"/>
  <c r="MK7" i="7" s="1"/>
  <c r="ML7" i="7" s="1"/>
  <c r="MM7" i="7" s="1"/>
  <c r="MN7" i="7" s="1"/>
  <c r="MO7" i="7" s="1"/>
  <c r="MP7" i="7" s="1"/>
  <c r="MQ7" i="7" s="1"/>
  <c r="MR7" i="7" s="1"/>
  <c r="MS7" i="7" s="1"/>
  <c r="MT7" i="7" s="1"/>
  <c r="MU7" i="7" s="1"/>
  <c r="MV7" i="7" s="1"/>
  <c r="MW7" i="7" s="1"/>
  <c r="MX7" i="7" s="1"/>
  <c r="MY7" i="7" s="1"/>
  <c r="MZ7" i="7" s="1"/>
  <c r="NA7" i="7" s="1"/>
  <c r="NB7" i="7" s="1"/>
  <c r="NC7" i="7" s="1"/>
  <c r="A10" i="6"/>
  <c r="A9" i="6"/>
  <c r="D7" i="6"/>
  <c r="E7" i="6" s="1"/>
  <c r="F7" i="6" s="1"/>
  <c r="G7" i="6" s="1"/>
  <c r="H7" i="6" s="1"/>
  <c r="I7" i="6" s="1"/>
  <c r="J7" i="6" s="1"/>
  <c r="K7" i="6" s="1"/>
  <c r="L7" i="6" s="1"/>
  <c r="M7" i="6" s="1"/>
  <c r="N7" i="6" s="1"/>
  <c r="O7" i="6" s="1"/>
  <c r="P7" i="6" s="1"/>
  <c r="Q7" i="6" s="1"/>
  <c r="R7" i="6" s="1"/>
  <c r="S7" i="6" s="1"/>
  <c r="T7" i="6" s="1"/>
  <c r="U7" i="6" s="1"/>
  <c r="V7" i="6" s="1"/>
  <c r="W7" i="6" s="1"/>
  <c r="X7" i="6" s="1"/>
  <c r="Y7" i="6" s="1"/>
  <c r="Z7" i="6" s="1"/>
  <c r="AA7" i="6" s="1"/>
  <c r="AB7" i="6" s="1"/>
  <c r="AC7" i="6" s="1"/>
  <c r="AD7" i="6" s="1"/>
  <c r="AE7" i="6" s="1"/>
  <c r="AF7" i="6" s="1"/>
  <c r="AG7" i="6" s="1"/>
  <c r="AH7" i="6" s="1"/>
  <c r="AI7" i="6" s="1"/>
  <c r="AJ7" i="6" s="1"/>
  <c r="AK7" i="6" s="1"/>
  <c r="AL7" i="6" s="1"/>
  <c r="AM7" i="6" s="1"/>
  <c r="AN7" i="6" s="1"/>
  <c r="AO7" i="6" s="1"/>
  <c r="AP7" i="6" s="1"/>
  <c r="AQ7" i="6" s="1"/>
  <c r="AR7" i="6" s="1"/>
  <c r="AS7" i="6" s="1"/>
  <c r="AT7" i="6" s="1"/>
  <c r="AU7" i="6" s="1"/>
  <c r="AV7" i="6" s="1"/>
  <c r="AW7" i="6" s="1"/>
  <c r="AX7" i="6" s="1"/>
  <c r="AY7" i="6" s="1"/>
  <c r="AZ7" i="6" s="1"/>
  <c r="BA7" i="6" s="1"/>
  <c r="BB7" i="6" s="1"/>
  <c r="BC7" i="6" s="1"/>
  <c r="BD7" i="6" s="1"/>
  <c r="BE7" i="6" s="1"/>
  <c r="BF7" i="6" s="1"/>
  <c r="BG7" i="6" s="1"/>
  <c r="BH7" i="6" s="1"/>
  <c r="BI7" i="6" s="1"/>
  <c r="BJ7" i="6" s="1"/>
  <c r="BK7" i="6" s="1"/>
  <c r="BL7" i="6" s="1"/>
  <c r="BM7" i="6" s="1"/>
  <c r="BN7" i="6" s="1"/>
  <c r="BO7" i="6" s="1"/>
  <c r="BP7" i="6" s="1"/>
  <c r="BQ7" i="6" s="1"/>
  <c r="BR7" i="6" s="1"/>
  <c r="BS7" i="6" s="1"/>
  <c r="BT7" i="6" s="1"/>
  <c r="BU7" i="6" s="1"/>
  <c r="BV7" i="6" s="1"/>
  <c r="BW7" i="6" s="1"/>
  <c r="BX7" i="6" s="1"/>
  <c r="BY7" i="6" s="1"/>
  <c r="BZ7" i="6" s="1"/>
  <c r="CA7" i="6" s="1"/>
  <c r="CB7" i="6" s="1"/>
  <c r="CC7" i="6" s="1"/>
  <c r="CD7" i="6" s="1"/>
  <c r="CE7" i="6" s="1"/>
  <c r="CF7" i="6" s="1"/>
  <c r="CG7" i="6" s="1"/>
  <c r="CH7" i="6" s="1"/>
  <c r="CI7" i="6" s="1"/>
  <c r="CJ7" i="6" s="1"/>
  <c r="CK7" i="6" s="1"/>
  <c r="CL7" i="6" s="1"/>
  <c r="CM7" i="6" s="1"/>
  <c r="CN7" i="6" s="1"/>
  <c r="CO7" i="6" s="1"/>
  <c r="CP7" i="6" s="1"/>
  <c r="CQ7" i="6" s="1"/>
  <c r="CR7" i="6" s="1"/>
  <c r="CS7" i="6" s="1"/>
  <c r="CT7" i="6" s="1"/>
  <c r="CU7" i="6" s="1"/>
  <c r="CV7" i="6" s="1"/>
  <c r="CW7" i="6" s="1"/>
  <c r="CX7" i="6" s="1"/>
  <c r="CY7" i="6" s="1"/>
  <c r="CZ7" i="6" s="1"/>
  <c r="DA7" i="6" s="1"/>
  <c r="DB7" i="6" s="1"/>
  <c r="DC7" i="6" s="1"/>
  <c r="DD7" i="6" s="1"/>
  <c r="DE7" i="6" s="1"/>
  <c r="DF7" i="6" s="1"/>
  <c r="DG7" i="6" s="1"/>
  <c r="DH7" i="6" s="1"/>
  <c r="DI7" i="6" s="1"/>
  <c r="DJ7" i="6" s="1"/>
  <c r="DK7" i="6" s="1"/>
  <c r="DL7" i="6" s="1"/>
  <c r="DM7" i="6" s="1"/>
  <c r="DN7" i="6" s="1"/>
  <c r="DO7" i="6" s="1"/>
  <c r="DP7" i="6" s="1"/>
  <c r="DQ7" i="6" s="1"/>
  <c r="DR7" i="6" s="1"/>
  <c r="DS7" i="6" s="1"/>
  <c r="DT7" i="6" s="1"/>
  <c r="DU7" i="6" s="1"/>
  <c r="DV7" i="6" s="1"/>
  <c r="DW7" i="6" s="1"/>
  <c r="DX7" i="6" s="1"/>
  <c r="DY7" i="6" s="1"/>
  <c r="DZ7" i="6" s="1"/>
  <c r="EA7" i="6" s="1"/>
  <c r="EB7" i="6" s="1"/>
  <c r="EC7" i="6" s="1"/>
  <c r="ED7" i="6" s="1"/>
  <c r="EE7" i="6" s="1"/>
  <c r="EF7" i="6" s="1"/>
  <c r="EG7" i="6" s="1"/>
  <c r="EH7" i="6" s="1"/>
  <c r="EI7" i="6" s="1"/>
  <c r="EJ7" i="6" s="1"/>
  <c r="EK7" i="6" s="1"/>
  <c r="EL7" i="6" s="1"/>
  <c r="EM7" i="6" s="1"/>
  <c r="EN7" i="6" s="1"/>
  <c r="EO7" i="6" s="1"/>
  <c r="EP7" i="6" s="1"/>
  <c r="EQ7" i="6" s="1"/>
  <c r="ER7" i="6" s="1"/>
  <c r="ES7" i="6" s="1"/>
  <c r="ET7" i="6" s="1"/>
  <c r="EU7" i="6" s="1"/>
  <c r="EV7" i="6" s="1"/>
  <c r="EW7" i="6" s="1"/>
  <c r="EX7" i="6" s="1"/>
  <c r="EY7" i="6" s="1"/>
  <c r="EZ7" i="6" s="1"/>
  <c r="FA7" i="6" s="1"/>
  <c r="FB7" i="6" s="1"/>
  <c r="FC7" i="6" s="1"/>
  <c r="FD7" i="6" s="1"/>
  <c r="FE7" i="6" s="1"/>
  <c r="FF7" i="6" s="1"/>
  <c r="FG7" i="6" s="1"/>
  <c r="FH7" i="6" s="1"/>
  <c r="FI7" i="6" s="1"/>
  <c r="FJ7" i="6" s="1"/>
  <c r="FK7" i="6" s="1"/>
  <c r="FL7" i="6" s="1"/>
  <c r="FM7" i="6" s="1"/>
  <c r="FN7" i="6" s="1"/>
  <c r="FO7" i="6" s="1"/>
  <c r="FP7" i="6" s="1"/>
  <c r="FQ7" i="6" s="1"/>
  <c r="FR7" i="6" s="1"/>
  <c r="FS7" i="6" s="1"/>
  <c r="FT7" i="6" s="1"/>
  <c r="FU7" i="6" s="1"/>
  <c r="FV7" i="6" s="1"/>
  <c r="FW7" i="6" s="1"/>
  <c r="FX7" i="6" s="1"/>
  <c r="FY7" i="6" s="1"/>
  <c r="FZ7" i="6" s="1"/>
  <c r="GA7" i="6" s="1"/>
  <c r="GB7" i="6" s="1"/>
  <c r="GC7" i="6" s="1"/>
  <c r="GD7" i="6" s="1"/>
  <c r="GE7" i="6" s="1"/>
  <c r="GF7" i="6" s="1"/>
  <c r="GG7" i="6" s="1"/>
  <c r="GH7" i="6" s="1"/>
  <c r="GI7" i="6" s="1"/>
  <c r="GJ7" i="6" s="1"/>
  <c r="GK7" i="6" s="1"/>
  <c r="GL7" i="6" s="1"/>
  <c r="GM7" i="6" s="1"/>
  <c r="GN7" i="6" s="1"/>
  <c r="GO7" i="6" s="1"/>
  <c r="GP7" i="6" s="1"/>
  <c r="GQ7" i="6" s="1"/>
  <c r="GR7" i="6" s="1"/>
  <c r="GS7" i="6" s="1"/>
  <c r="GT7" i="6" s="1"/>
  <c r="GU7" i="6" s="1"/>
  <c r="GV7" i="6" s="1"/>
  <c r="GW7" i="6" s="1"/>
  <c r="GX7" i="6" s="1"/>
  <c r="GY7" i="6" s="1"/>
  <c r="GZ7" i="6" s="1"/>
  <c r="HA7" i="6" s="1"/>
  <c r="HB7" i="6" s="1"/>
  <c r="HC7" i="6" s="1"/>
  <c r="HD7" i="6" s="1"/>
  <c r="HE7" i="6" s="1"/>
  <c r="HF7" i="6" s="1"/>
  <c r="HG7" i="6" s="1"/>
  <c r="HH7" i="6" s="1"/>
  <c r="HI7" i="6" s="1"/>
  <c r="HJ7" i="6" s="1"/>
  <c r="HK7" i="6" s="1"/>
  <c r="HL7" i="6" s="1"/>
  <c r="HM7" i="6" s="1"/>
  <c r="HN7" i="6" s="1"/>
  <c r="HO7" i="6" s="1"/>
  <c r="HP7" i="6" s="1"/>
  <c r="HQ7" i="6" s="1"/>
  <c r="HR7" i="6" s="1"/>
  <c r="HS7" i="6" s="1"/>
  <c r="HT7" i="6" s="1"/>
  <c r="HU7" i="6" s="1"/>
  <c r="HV7" i="6" s="1"/>
  <c r="HW7" i="6" s="1"/>
  <c r="HX7" i="6" s="1"/>
  <c r="HY7" i="6" s="1"/>
  <c r="HZ7" i="6" s="1"/>
  <c r="IA7" i="6" s="1"/>
  <c r="IB7" i="6" s="1"/>
  <c r="IC7" i="6" s="1"/>
  <c r="ID7" i="6" s="1"/>
  <c r="IE7" i="6" s="1"/>
  <c r="IF7" i="6" s="1"/>
  <c r="IG7" i="6" s="1"/>
  <c r="IH7" i="6" s="1"/>
  <c r="II7" i="6" s="1"/>
  <c r="IJ7" i="6" s="1"/>
  <c r="IK7" i="6" s="1"/>
  <c r="IL7" i="6" s="1"/>
  <c r="IM7" i="6" s="1"/>
  <c r="IN7" i="6" s="1"/>
  <c r="IO7" i="6" s="1"/>
  <c r="IP7" i="6" s="1"/>
  <c r="IQ7" i="6" s="1"/>
  <c r="IR7" i="6" s="1"/>
  <c r="IS7" i="6" s="1"/>
  <c r="IT7" i="6" s="1"/>
  <c r="IU7" i="6" s="1"/>
  <c r="IV7" i="6" s="1"/>
  <c r="IW7" i="6" s="1"/>
  <c r="IX7" i="6" s="1"/>
  <c r="IY7" i="6" s="1"/>
  <c r="IZ7" i="6" s="1"/>
  <c r="JA7" i="6" s="1"/>
  <c r="JB7" i="6" s="1"/>
  <c r="JC7" i="6" s="1"/>
  <c r="JD7" i="6" s="1"/>
  <c r="JE7" i="6" s="1"/>
  <c r="JF7" i="6" s="1"/>
  <c r="JG7" i="6" s="1"/>
  <c r="JH7" i="6" s="1"/>
  <c r="JI7" i="6" s="1"/>
  <c r="JJ7" i="6" s="1"/>
  <c r="JK7" i="6" s="1"/>
  <c r="JL7" i="6" s="1"/>
  <c r="JM7" i="6" s="1"/>
  <c r="JN7" i="6" s="1"/>
  <c r="JO7" i="6" s="1"/>
  <c r="JP7" i="6" s="1"/>
  <c r="JQ7" i="6" s="1"/>
  <c r="JR7" i="6" s="1"/>
  <c r="JS7" i="6" s="1"/>
  <c r="JT7" i="6" s="1"/>
  <c r="JU7" i="6" s="1"/>
  <c r="JV7" i="6" s="1"/>
  <c r="JW7" i="6" s="1"/>
  <c r="JX7" i="6" s="1"/>
  <c r="JY7" i="6" s="1"/>
  <c r="JZ7" i="6" s="1"/>
  <c r="KA7" i="6" s="1"/>
  <c r="KB7" i="6" s="1"/>
  <c r="KC7" i="6" s="1"/>
  <c r="KD7" i="6" s="1"/>
  <c r="KE7" i="6" s="1"/>
  <c r="KF7" i="6" s="1"/>
  <c r="KG7" i="6" s="1"/>
  <c r="KH7" i="6" s="1"/>
  <c r="KI7" i="6" s="1"/>
  <c r="KJ7" i="6" s="1"/>
  <c r="KK7" i="6" s="1"/>
  <c r="KL7" i="6" s="1"/>
  <c r="KM7" i="6" s="1"/>
  <c r="KN7" i="6" s="1"/>
  <c r="KO7" i="6" s="1"/>
  <c r="KP7" i="6" s="1"/>
  <c r="KQ7" i="6" s="1"/>
  <c r="KR7" i="6" s="1"/>
  <c r="KS7" i="6" s="1"/>
  <c r="KT7" i="6" s="1"/>
  <c r="KU7" i="6" s="1"/>
  <c r="KV7" i="6" s="1"/>
  <c r="KW7" i="6" s="1"/>
  <c r="KX7" i="6" s="1"/>
  <c r="KY7" i="6" s="1"/>
  <c r="KZ7" i="6" s="1"/>
  <c r="LA7" i="6" s="1"/>
  <c r="LB7" i="6" s="1"/>
  <c r="LC7" i="6" s="1"/>
  <c r="LD7" i="6" s="1"/>
  <c r="LE7" i="6" s="1"/>
  <c r="LF7" i="6" s="1"/>
  <c r="LG7" i="6" s="1"/>
  <c r="LH7" i="6" s="1"/>
  <c r="LI7" i="6" s="1"/>
  <c r="LJ7" i="6" s="1"/>
  <c r="LK7" i="6" s="1"/>
  <c r="LL7" i="6" s="1"/>
  <c r="LM7" i="6" s="1"/>
  <c r="LN7" i="6" s="1"/>
  <c r="LO7" i="6" s="1"/>
  <c r="LP7" i="6" s="1"/>
  <c r="LQ7" i="6" s="1"/>
  <c r="LR7" i="6" s="1"/>
  <c r="LS7" i="6" s="1"/>
  <c r="LT7" i="6" s="1"/>
  <c r="LU7" i="6" s="1"/>
  <c r="LV7" i="6" s="1"/>
  <c r="LW7" i="6" s="1"/>
  <c r="LX7" i="6" s="1"/>
  <c r="LY7" i="6" s="1"/>
  <c r="LZ7" i="6" s="1"/>
  <c r="MA7" i="6" s="1"/>
  <c r="MB7" i="6" s="1"/>
  <c r="MC7" i="6" s="1"/>
  <c r="MD7" i="6" s="1"/>
  <c r="ME7" i="6" s="1"/>
  <c r="MF7" i="6" s="1"/>
  <c r="MG7" i="6" s="1"/>
  <c r="MH7" i="6" s="1"/>
  <c r="MI7" i="6" s="1"/>
  <c r="MJ7" i="6" s="1"/>
  <c r="MK7" i="6" s="1"/>
  <c r="ML7" i="6" s="1"/>
  <c r="MM7" i="6" s="1"/>
  <c r="MN7" i="6" s="1"/>
  <c r="MO7" i="6" s="1"/>
  <c r="MP7" i="6" s="1"/>
  <c r="MQ7" i="6" s="1"/>
  <c r="MR7" i="6" s="1"/>
  <c r="MS7" i="6" s="1"/>
  <c r="MT7" i="6" s="1"/>
  <c r="MU7" i="6" s="1"/>
  <c r="MV7" i="6" s="1"/>
  <c r="MW7" i="6" s="1"/>
  <c r="MX7" i="6" s="1"/>
  <c r="MY7" i="6" s="1"/>
  <c r="MZ7" i="6" s="1"/>
  <c r="NA7" i="6" s="1"/>
  <c r="NB7" i="6" s="1"/>
  <c r="NC7" i="6" s="1"/>
  <c r="A10" i="5"/>
  <c r="A9" i="5"/>
  <c r="D7" i="5"/>
  <c r="E7" i="5" s="1"/>
  <c r="F7" i="5" s="1"/>
  <c r="G7" i="5" s="1"/>
  <c r="H7" i="5" s="1"/>
  <c r="I7" i="5" s="1"/>
  <c r="J7" i="5" s="1"/>
  <c r="K7" i="5" s="1"/>
  <c r="L7" i="5" s="1"/>
  <c r="M7" i="5" s="1"/>
  <c r="N7" i="5" s="1"/>
  <c r="O7" i="5" s="1"/>
  <c r="P7" i="5" s="1"/>
  <c r="Q7" i="5" s="1"/>
  <c r="R7" i="5" s="1"/>
  <c r="S7" i="5" s="1"/>
  <c r="T7" i="5" s="1"/>
  <c r="U7" i="5" s="1"/>
  <c r="V7" i="5" s="1"/>
  <c r="W7" i="5" s="1"/>
  <c r="X7" i="5" s="1"/>
  <c r="Y7" i="5" s="1"/>
  <c r="Z7" i="5" s="1"/>
  <c r="AA7" i="5" s="1"/>
  <c r="AB7" i="5" s="1"/>
  <c r="AC7" i="5" s="1"/>
  <c r="AD7" i="5" s="1"/>
  <c r="AE7" i="5" s="1"/>
  <c r="AF7" i="5" s="1"/>
  <c r="AG7" i="5" s="1"/>
  <c r="AH7" i="5" s="1"/>
  <c r="AI7" i="5" s="1"/>
  <c r="AJ7" i="5" s="1"/>
  <c r="AK7" i="5" s="1"/>
  <c r="AL7" i="5" s="1"/>
  <c r="AM7" i="5" s="1"/>
  <c r="AN7" i="5" s="1"/>
  <c r="AO7" i="5" s="1"/>
  <c r="AP7" i="5" s="1"/>
  <c r="AQ7" i="5" s="1"/>
  <c r="AR7" i="5" s="1"/>
  <c r="AS7" i="5" s="1"/>
  <c r="AT7" i="5" s="1"/>
  <c r="AU7" i="5" s="1"/>
  <c r="AV7" i="5" s="1"/>
  <c r="AW7" i="5" s="1"/>
  <c r="AX7" i="5" s="1"/>
  <c r="AY7" i="5" s="1"/>
  <c r="AZ7" i="5" s="1"/>
  <c r="BA7" i="5" s="1"/>
  <c r="BB7" i="5" s="1"/>
  <c r="BC7" i="5" s="1"/>
  <c r="BD7" i="5" s="1"/>
  <c r="BE7" i="5" s="1"/>
  <c r="BF7" i="5" s="1"/>
  <c r="BG7" i="5" s="1"/>
  <c r="BH7" i="5" s="1"/>
  <c r="BI7" i="5" s="1"/>
  <c r="BJ7" i="5" s="1"/>
  <c r="BK7" i="5" s="1"/>
  <c r="BL7" i="5" s="1"/>
  <c r="BM7" i="5" s="1"/>
  <c r="BN7" i="5" s="1"/>
  <c r="BO7" i="5" s="1"/>
  <c r="BP7" i="5" s="1"/>
  <c r="BQ7" i="5" s="1"/>
  <c r="BR7" i="5" s="1"/>
  <c r="BS7" i="5" s="1"/>
  <c r="BT7" i="5" s="1"/>
  <c r="BU7" i="5" s="1"/>
  <c r="BV7" i="5" s="1"/>
  <c r="BW7" i="5" s="1"/>
  <c r="BX7" i="5" s="1"/>
  <c r="BY7" i="5" s="1"/>
  <c r="BZ7" i="5" s="1"/>
  <c r="CA7" i="5" s="1"/>
  <c r="CB7" i="5" s="1"/>
  <c r="CC7" i="5" s="1"/>
  <c r="CD7" i="5" s="1"/>
  <c r="CE7" i="5" s="1"/>
  <c r="CF7" i="5" s="1"/>
  <c r="CG7" i="5" s="1"/>
  <c r="CH7" i="5" s="1"/>
  <c r="CI7" i="5" s="1"/>
  <c r="CJ7" i="5" s="1"/>
  <c r="CK7" i="5" s="1"/>
  <c r="CL7" i="5" s="1"/>
  <c r="CM7" i="5" s="1"/>
  <c r="CN7" i="5" s="1"/>
  <c r="CO7" i="5" s="1"/>
  <c r="CP7" i="5" s="1"/>
  <c r="CQ7" i="5" s="1"/>
  <c r="CR7" i="5" s="1"/>
  <c r="CS7" i="5" s="1"/>
  <c r="CT7" i="5" s="1"/>
  <c r="CU7" i="5" s="1"/>
  <c r="CV7" i="5" s="1"/>
  <c r="CW7" i="5" s="1"/>
  <c r="CX7" i="5" s="1"/>
  <c r="CY7" i="5" s="1"/>
  <c r="CZ7" i="5" s="1"/>
  <c r="DA7" i="5" s="1"/>
  <c r="DB7" i="5" s="1"/>
  <c r="DC7" i="5" s="1"/>
  <c r="DD7" i="5" s="1"/>
  <c r="DE7" i="5" s="1"/>
  <c r="DF7" i="5" s="1"/>
  <c r="DG7" i="5" s="1"/>
  <c r="DH7" i="5" s="1"/>
  <c r="DI7" i="5" s="1"/>
  <c r="DJ7" i="5" s="1"/>
  <c r="DK7" i="5" s="1"/>
  <c r="DL7" i="5" s="1"/>
  <c r="DM7" i="5" s="1"/>
  <c r="DN7" i="5" s="1"/>
  <c r="DO7" i="5" s="1"/>
  <c r="DP7" i="5" s="1"/>
  <c r="DQ7" i="5" s="1"/>
  <c r="DR7" i="5" s="1"/>
  <c r="DS7" i="5" s="1"/>
  <c r="DT7" i="5" s="1"/>
  <c r="DU7" i="5" s="1"/>
  <c r="DV7" i="5" s="1"/>
  <c r="DW7" i="5" s="1"/>
  <c r="DX7" i="5" s="1"/>
  <c r="DY7" i="5" s="1"/>
  <c r="DZ7" i="5" s="1"/>
  <c r="EA7" i="5" s="1"/>
  <c r="EB7" i="5" s="1"/>
  <c r="EC7" i="5" s="1"/>
  <c r="ED7" i="5" s="1"/>
  <c r="EE7" i="5" s="1"/>
  <c r="EF7" i="5" s="1"/>
  <c r="EG7" i="5" s="1"/>
  <c r="EH7" i="5" s="1"/>
  <c r="EI7" i="5" s="1"/>
  <c r="EJ7" i="5" s="1"/>
  <c r="EK7" i="5" s="1"/>
  <c r="EL7" i="5" s="1"/>
  <c r="EM7" i="5" s="1"/>
  <c r="EN7" i="5" s="1"/>
  <c r="EO7" i="5" s="1"/>
  <c r="EP7" i="5" s="1"/>
  <c r="EQ7" i="5" s="1"/>
  <c r="ER7" i="5" s="1"/>
  <c r="ES7" i="5" s="1"/>
  <c r="ET7" i="5" s="1"/>
  <c r="EU7" i="5" s="1"/>
  <c r="EV7" i="5" s="1"/>
  <c r="EW7" i="5" s="1"/>
  <c r="EX7" i="5" s="1"/>
  <c r="EY7" i="5" s="1"/>
  <c r="EZ7" i="5" s="1"/>
  <c r="FA7" i="5" s="1"/>
  <c r="FB7" i="5" s="1"/>
  <c r="FC7" i="5" s="1"/>
  <c r="FD7" i="5" s="1"/>
  <c r="FE7" i="5" s="1"/>
  <c r="FF7" i="5" s="1"/>
  <c r="FG7" i="5" s="1"/>
  <c r="FH7" i="5" s="1"/>
  <c r="FI7" i="5" s="1"/>
  <c r="FJ7" i="5" s="1"/>
  <c r="FK7" i="5" s="1"/>
  <c r="FL7" i="5" s="1"/>
  <c r="FM7" i="5" s="1"/>
  <c r="FN7" i="5" s="1"/>
  <c r="FO7" i="5" s="1"/>
  <c r="FP7" i="5" s="1"/>
  <c r="FQ7" i="5" s="1"/>
  <c r="FR7" i="5" s="1"/>
  <c r="FS7" i="5" s="1"/>
  <c r="FT7" i="5" s="1"/>
  <c r="FU7" i="5" s="1"/>
  <c r="FV7" i="5" s="1"/>
  <c r="FW7" i="5" s="1"/>
  <c r="FX7" i="5" s="1"/>
  <c r="FY7" i="5" s="1"/>
  <c r="FZ7" i="5" s="1"/>
  <c r="GA7" i="5" s="1"/>
  <c r="GB7" i="5" s="1"/>
  <c r="GC7" i="5" s="1"/>
  <c r="GD7" i="5" s="1"/>
  <c r="GE7" i="5" s="1"/>
  <c r="GF7" i="5" s="1"/>
  <c r="GG7" i="5" s="1"/>
  <c r="GH7" i="5" s="1"/>
  <c r="GI7" i="5" s="1"/>
  <c r="GJ7" i="5" s="1"/>
  <c r="GK7" i="5" s="1"/>
  <c r="GL7" i="5" s="1"/>
  <c r="GM7" i="5" s="1"/>
  <c r="GN7" i="5" s="1"/>
  <c r="GO7" i="5" s="1"/>
  <c r="GP7" i="5" s="1"/>
  <c r="GQ7" i="5" s="1"/>
  <c r="GR7" i="5" s="1"/>
  <c r="GS7" i="5" s="1"/>
  <c r="GT7" i="5" s="1"/>
  <c r="GU7" i="5" s="1"/>
  <c r="GV7" i="5" s="1"/>
  <c r="GW7" i="5" s="1"/>
  <c r="GX7" i="5" s="1"/>
  <c r="GY7" i="5" s="1"/>
  <c r="GZ7" i="5" s="1"/>
  <c r="HA7" i="5" s="1"/>
  <c r="HB7" i="5" s="1"/>
  <c r="HC7" i="5" s="1"/>
  <c r="HD7" i="5" s="1"/>
  <c r="HE7" i="5" s="1"/>
  <c r="HF7" i="5" s="1"/>
  <c r="HG7" i="5" s="1"/>
  <c r="HH7" i="5" s="1"/>
  <c r="HI7" i="5" s="1"/>
  <c r="HJ7" i="5" s="1"/>
  <c r="HK7" i="5" s="1"/>
  <c r="HL7" i="5" s="1"/>
  <c r="HM7" i="5" s="1"/>
  <c r="HN7" i="5" s="1"/>
  <c r="HO7" i="5" s="1"/>
  <c r="HP7" i="5" s="1"/>
  <c r="HQ7" i="5" s="1"/>
  <c r="HR7" i="5" s="1"/>
  <c r="HS7" i="5" s="1"/>
  <c r="HT7" i="5" s="1"/>
  <c r="HU7" i="5" s="1"/>
  <c r="HV7" i="5" s="1"/>
  <c r="HW7" i="5" s="1"/>
  <c r="HX7" i="5" s="1"/>
  <c r="HY7" i="5" s="1"/>
  <c r="HZ7" i="5" s="1"/>
  <c r="IA7" i="5" s="1"/>
  <c r="IB7" i="5" s="1"/>
  <c r="IC7" i="5" s="1"/>
  <c r="ID7" i="5" s="1"/>
  <c r="IE7" i="5" s="1"/>
  <c r="IF7" i="5" s="1"/>
  <c r="IG7" i="5" s="1"/>
  <c r="IH7" i="5" s="1"/>
  <c r="II7" i="5" s="1"/>
  <c r="IJ7" i="5" s="1"/>
  <c r="IK7" i="5" s="1"/>
  <c r="IL7" i="5" s="1"/>
  <c r="IM7" i="5" s="1"/>
  <c r="IN7" i="5" s="1"/>
  <c r="IO7" i="5" s="1"/>
  <c r="IP7" i="5" s="1"/>
  <c r="IQ7" i="5" s="1"/>
  <c r="IR7" i="5" s="1"/>
  <c r="IS7" i="5" s="1"/>
  <c r="IT7" i="5" s="1"/>
  <c r="IU7" i="5" s="1"/>
  <c r="IV7" i="5" s="1"/>
  <c r="IW7" i="5" s="1"/>
  <c r="IX7" i="5" s="1"/>
  <c r="IY7" i="5" s="1"/>
  <c r="IZ7" i="5" s="1"/>
  <c r="JA7" i="5" s="1"/>
  <c r="JB7" i="5" s="1"/>
  <c r="JC7" i="5" s="1"/>
  <c r="JD7" i="5" s="1"/>
  <c r="JE7" i="5" s="1"/>
  <c r="JF7" i="5" s="1"/>
  <c r="JG7" i="5" s="1"/>
  <c r="JH7" i="5" s="1"/>
  <c r="JI7" i="5" s="1"/>
  <c r="JJ7" i="5" s="1"/>
  <c r="JK7" i="5" s="1"/>
  <c r="JL7" i="5" s="1"/>
  <c r="JM7" i="5" s="1"/>
  <c r="JN7" i="5" s="1"/>
  <c r="JO7" i="5" s="1"/>
  <c r="JP7" i="5" s="1"/>
  <c r="JQ7" i="5" s="1"/>
  <c r="JR7" i="5" s="1"/>
  <c r="JS7" i="5" s="1"/>
  <c r="JT7" i="5" s="1"/>
  <c r="JU7" i="5" s="1"/>
  <c r="JV7" i="5" s="1"/>
  <c r="JW7" i="5" s="1"/>
  <c r="JX7" i="5" s="1"/>
  <c r="JY7" i="5" s="1"/>
  <c r="JZ7" i="5" s="1"/>
  <c r="KA7" i="5" s="1"/>
  <c r="KB7" i="5" s="1"/>
  <c r="KC7" i="5" s="1"/>
  <c r="KD7" i="5" s="1"/>
  <c r="KE7" i="5" s="1"/>
  <c r="KF7" i="5" s="1"/>
  <c r="KG7" i="5" s="1"/>
  <c r="KH7" i="5" s="1"/>
  <c r="KI7" i="5" s="1"/>
  <c r="KJ7" i="5" s="1"/>
  <c r="KK7" i="5" s="1"/>
  <c r="KL7" i="5" s="1"/>
  <c r="KM7" i="5" s="1"/>
  <c r="KN7" i="5" s="1"/>
  <c r="KO7" i="5" s="1"/>
  <c r="KP7" i="5" s="1"/>
  <c r="KQ7" i="5" s="1"/>
  <c r="KR7" i="5" s="1"/>
  <c r="KS7" i="5" s="1"/>
  <c r="KT7" i="5" s="1"/>
  <c r="KU7" i="5" s="1"/>
  <c r="KV7" i="5" s="1"/>
  <c r="KW7" i="5" s="1"/>
  <c r="KX7" i="5" s="1"/>
  <c r="KY7" i="5" s="1"/>
  <c r="KZ7" i="5" s="1"/>
  <c r="LA7" i="5" s="1"/>
  <c r="LB7" i="5" s="1"/>
  <c r="LC7" i="5" s="1"/>
  <c r="LD7" i="5" s="1"/>
  <c r="LE7" i="5" s="1"/>
  <c r="LF7" i="5" s="1"/>
  <c r="LG7" i="5" s="1"/>
  <c r="LH7" i="5" s="1"/>
  <c r="LI7" i="5" s="1"/>
  <c r="LJ7" i="5" s="1"/>
  <c r="LK7" i="5" s="1"/>
  <c r="LL7" i="5" s="1"/>
  <c r="LM7" i="5" s="1"/>
  <c r="LN7" i="5" s="1"/>
  <c r="LO7" i="5" s="1"/>
  <c r="LP7" i="5" s="1"/>
  <c r="LQ7" i="5" s="1"/>
  <c r="LR7" i="5" s="1"/>
  <c r="LS7" i="5" s="1"/>
  <c r="LT7" i="5" s="1"/>
  <c r="LU7" i="5" s="1"/>
  <c r="LV7" i="5" s="1"/>
  <c r="LW7" i="5" s="1"/>
  <c r="LX7" i="5" s="1"/>
  <c r="LY7" i="5" s="1"/>
  <c r="LZ7" i="5" s="1"/>
  <c r="MA7" i="5" s="1"/>
  <c r="MB7" i="5" s="1"/>
  <c r="MC7" i="5" s="1"/>
  <c r="MD7" i="5" s="1"/>
  <c r="ME7" i="5" s="1"/>
  <c r="MF7" i="5" s="1"/>
  <c r="MG7" i="5" s="1"/>
  <c r="MH7" i="5" s="1"/>
  <c r="MI7" i="5" s="1"/>
  <c r="MJ7" i="5" s="1"/>
  <c r="MK7" i="5" s="1"/>
  <c r="ML7" i="5" s="1"/>
  <c r="MM7" i="5" s="1"/>
  <c r="MN7" i="5" s="1"/>
  <c r="MO7" i="5" s="1"/>
  <c r="MP7" i="5" s="1"/>
  <c r="MQ7" i="5" s="1"/>
  <c r="MR7" i="5" s="1"/>
  <c r="MS7" i="5" s="1"/>
  <c r="MT7" i="5" s="1"/>
  <c r="MU7" i="5" s="1"/>
  <c r="MV7" i="5" s="1"/>
  <c r="MW7" i="5" s="1"/>
  <c r="MX7" i="5" s="1"/>
  <c r="MY7" i="5" s="1"/>
  <c r="MZ7" i="5" s="1"/>
  <c r="NA7" i="5" s="1"/>
  <c r="NB7" i="5" s="1"/>
  <c r="NC7" i="5" s="1"/>
  <c r="A10" i="16"/>
  <c r="A9" i="16"/>
  <c r="D7" i="16"/>
  <c r="E7" i="16" s="1"/>
  <c r="F7" i="16" s="1"/>
  <c r="G7" i="16" s="1"/>
  <c r="H7" i="16" s="1"/>
  <c r="I7" i="16" s="1"/>
  <c r="J7" i="16" s="1"/>
  <c r="K7" i="16" s="1"/>
  <c r="L7" i="16" s="1"/>
  <c r="M7" i="16" s="1"/>
  <c r="N7" i="16" s="1"/>
  <c r="O7" i="16" s="1"/>
  <c r="P7" i="16" s="1"/>
  <c r="Q7" i="16" s="1"/>
  <c r="R7" i="16" s="1"/>
  <c r="S7" i="16" s="1"/>
  <c r="T7" i="16" s="1"/>
  <c r="U7" i="16" s="1"/>
  <c r="V7" i="16" s="1"/>
  <c r="W7" i="16" s="1"/>
  <c r="X7" i="16" s="1"/>
  <c r="Y7" i="16" s="1"/>
  <c r="Z7" i="16" s="1"/>
  <c r="AA7" i="16" s="1"/>
  <c r="AB7" i="16" s="1"/>
  <c r="AC7" i="16" s="1"/>
  <c r="AD7" i="16" s="1"/>
  <c r="AE7" i="16" s="1"/>
  <c r="AF7" i="16" s="1"/>
  <c r="AG7" i="16" s="1"/>
  <c r="AH7" i="16" s="1"/>
  <c r="AI7" i="16" s="1"/>
  <c r="AJ7" i="16" s="1"/>
  <c r="AK7" i="16" s="1"/>
  <c r="AL7" i="16" s="1"/>
  <c r="AM7" i="16" s="1"/>
  <c r="AN7" i="16" s="1"/>
  <c r="AO7" i="16" s="1"/>
  <c r="AP7" i="16" s="1"/>
  <c r="AQ7" i="16" s="1"/>
  <c r="AR7" i="16" s="1"/>
  <c r="AS7" i="16" s="1"/>
  <c r="AT7" i="16" s="1"/>
  <c r="AU7" i="16" s="1"/>
  <c r="AV7" i="16" s="1"/>
  <c r="AW7" i="16" s="1"/>
  <c r="AX7" i="16" s="1"/>
  <c r="AY7" i="16" s="1"/>
  <c r="AZ7" i="16" s="1"/>
  <c r="BA7" i="16" s="1"/>
  <c r="BB7" i="16" s="1"/>
  <c r="BC7" i="16" s="1"/>
  <c r="BD7" i="16" s="1"/>
  <c r="BE7" i="16" s="1"/>
  <c r="BF7" i="16" s="1"/>
  <c r="BG7" i="16" s="1"/>
  <c r="BH7" i="16" s="1"/>
  <c r="BI7" i="16" s="1"/>
  <c r="BJ7" i="16" s="1"/>
  <c r="BK7" i="16" s="1"/>
  <c r="BL7" i="16" s="1"/>
  <c r="BM7" i="16" s="1"/>
  <c r="BN7" i="16" s="1"/>
  <c r="BO7" i="16" s="1"/>
  <c r="BP7" i="16" s="1"/>
  <c r="BQ7" i="16" s="1"/>
  <c r="BR7" i="16" s="1"/>
  <c r="BS7" i="16" s="1"/>
  <c r="BT7" i="16" s="1"/>
  <c r="BU7" i="16" s="1"/>
  <c r="BV7" i="16" s="1"/>
  <c r="BW7" i="16" s="1"/>
  <c r="BX7" i="16" s="1"/>
  <c r="BY7" i="16" s="1"/>
  <c r="BZ7" i="16" s="1"/>
  <c r="CA7" i="16" s="1"/>
  <c r="CB7" i="16" s="1"/>
  <c r="CC7" i="16" s="1"/>
  <c r="CD7" i="16" s="1"/>
  <c r="CE7" i="16" s="1"/>
  <c r="CF7" i="16" s="1"/>
  <c r="CG7" i="16" s="1"/>
  <c r="CH7" i="16" s="1"/>
  <c r="CI7" i="16" s="1"/>
  <c r="CJ7" i="16" s="1"/>
  <c r="CK7" i="16" s="1"/>
  <c r="CL7" i="16" s="1"/>
  <c r="CM7" i="16" s="1"/>
  <c r="CN7" i="16" s="1"/>
  <c r="CO7" i="16" s="1"/>
  <c r="CP7" i="16" s="1"/>
  <c r="CQ7" i="16" s="1"/>
  <c r="CR7" i="16" s="1"/>
  <c r="CS7" i="16" s="1"/>
  <c r="CT7" i="16" s="1"/>
  <c r="CU7" i="16" s="1"/>
  <c r="CV7" i="16" s="1"/>
  <c r="CW7" i="16" s="1"/>
  <c r="CX7" i="16" s="1"/>
  <c r="CY7" i="16" s="1"/>
  <c r="CZ7" i="16" s="1"/>
  <c r="DA7" i="16" s="1"/>
  <c r="DB7" i="16" s="1"/>
  <c r="DC7" i="16" s="1"/>
  <c r="DD7" i="16" s="1"/>
  <c r="DE7" i="16" s="1"/>
  <c r="DF7" i="16" s="1"/>
  <c r="DG7" i="16" s="1"/>
  <c r="DH7" i="16" s="1"/>
  <c r="DI7" i="16" s="1"/>
  <c r="DJ7" i="16" s="1"/>
  <c r="DK7" i="16" s="1"/>
  <c r="DL7" i="16" s="1"/>
  <c r="DM7" i="16" s="1"/>
  <c r="DN7" i="16" s="1"/>
  <c r="DO7" i="16" s="1"/>
  <c r="DP7" i="16" s="1"/>
  <c r="DQ7" i="16" s="1"/>
  <c r="DR7" i="16" s="1"/>
  <c r="DS7" i="16" s="1"/>
  <c r="DT7" i="16" s="1"/>
  <c r="DU7" i="16" s="1"/>
  <c r="DV7" i="16" s="1"/>
  <c r="DW7" i="16" s="1"/>
  <c r="DX7" i="16" s="1"/>
  <c r="DY7" i="16" s="1"/>
  <c r="DZ7" i="16" s="1"/>
  <c r="EA7" i="16" s="1"/>
  <c r="EB7" i="16" s="1"/>
  <c r="EC7" i="16" s="1"/>
  <c r="ED7" i="16" s="1"/>
  <c r="EE7" i="16" s="1"/>
  <c r="EF7" i="16" s="1"/>
  <c r="EG7" i="16" s="1"/>
  <c r="EH7" i="16" s="1"/>
  <c r="EI7" i="16" s="1"/>
  <c r="EJ7" i="16" s="1"/>
  <c r="EK7" i="16" s="1"/>
  <c r="EL7" i="16" s="1"/>
  <c r="EM7" i="16" s="1"/>
  <c r="EN7" i="16" s="1"/>
  <c r="EO7" i="16" s="1"/>
  <c r="EP7" i="16" s="1"/>
  <c r="EQ7" i="16" s="1"/>
  <c r="ER7" i="16" s="1"/>
  <c r="ES7" i="16" s="1"/>
  <c r="ET7" i="16" s="1"/>
  <c r="EU7" i="16" s="1"/>
  <c r="EV7" i="16" s="1"/>
  <c r="EW7" i="16" s="1"/>
  <c r="EX7" i="16" s="1"/>
  <c r="EY7" i="16" s="1"/>
  <c r="EZ7" i="16" s="1"/>
  <c r="FA7" i="16" s="1"/>
  <c r="FB7" i="16" s="1"/>
  <c r="FC7" i="16" s="1"/>
  <c r="FD7" i="16" s="1"/>
  <c r="FE7" i="16" s="1"/>
  <c r="FF7" i="16" s="1"/>
  <c r="FG7" i="16" s="1"/>
  <c r="FH7" i="16" s="1"/>
  <c r="FI7" i="16" s="1"/>
  <c r="FJ7" i="16" s="1"/>
  <c r="FK7" i="16" s="1"/>
  <c r="FL7" i="16" s="1"/>
  <c r="FM7" i="16" s="1"/>
  <c r="FN7" i="16" s="1"/>
  <c r="FO7" i="16" s="1"/>
  <c r="FP7" i="16" s="1"/>
  <c r="FQ7" i="16" s="1"/>
  <c r="FR7" i="16" s="1"/>
  <c r="FS7" i="16" s="1"/>
  <c r="FT7" i="16" s="1"/>
  <c r="FU7" i="16" s="1"/>
  <c r="FV7" i="16" s="1"/>
  <c r="FW7" i="16" s="1"/>
  <c r="FX7" i="16" s="1"/>
  <c r="FY7" i="16" s="1"/>
  <c r="FZ7" i="16" s="1"/>
  <c r="GA7" i="16" s="1"/>
  <c r="GB7" i="16" s="1"/>
  <c r="GC7" i="16" s="1"/>
  <c r="GD7" i="16" s="1"/>
  <c r="GE7" i="16" s="1"/>
  <c r="GF7" i="16" s="1"/>
  <c r="GG7" i="16" s="1"/>
  <c r="GH7" i="16" s="1"/>
  <c r="GI7" i="16" s="1"/>
  <c r="GJ7" i="16" s="1"/>
  <c r="GK7" i="16" s="1"/>
  <c r="GL7" i="16" s="1"/>
  <c r="GM7" i="16" s="1"/>
  <c r="GN7" i="16" s="1"/>
  <c r="GO7" i="16" s="1"/>
  <c r="GP7" i="16" s="1"/>
  <c r="GQ7" i="16" s="1"/>
  <c r="GR7" i="16" s="1"/>
  <c r="GS7" i="16" s="1"/>
  <c r="GT7" i="16" s="1"/>
  <c r="GU7" i="16" s="1"/>
  <c r="GV7" i="16" s="1"/>
  <c r="GW7" i="16" s="1"/>
  <c r="GX7" i="16" s="1"/>
  <c r="GY7" i="16" s="1"/>
  <c r="GZ7" i="16" s="1"/>
  <c r="HA7" i="16" s="1"/>
  <c r="HB7" i="16" s="1"/>
  <c r="HC7" i="16" s="1"/>
  <c r="HD7" i="16" s="1"/>
  <c r="HE7" i="16" s="1"/>
  <c r="HF7" i="16" s="1"/>
  <c r="HG7" i="16" s="1"/>
  <c r="HH7" i="16" s="1"/>
  <c r="HI7" i="16" s="1"/>
  <c r="HJ7" i="16" s="1"/>
  <c r="HK7" i="16" s="1"/>
  <c r="HL7" i="16" s="1"/>
  <c r="HM7" i="16" s="1"/>
  <c r="HN7" i="16" s="1"/>
  <c r="HO7" i="16" s="1"/>
  <c r="HP7" i="16" s="1"/>
  <c r="HQ7" i="16" s="1"/>
  <c r="HR7" i="16" s="1"/>
  <c r="HS7" i="16" s="1"/>
  <c r="HT7" i="16" s="1"/>
  <c r="HU7" i="16" s="1"/>
  <c r="HV7" i="16" s="1"/>
  <c r="HW7" i="16" s="1"/>
  <c r="HX7" i="16" s="1"/>
  <c r="HY7" i="16" s="1"/>
  <c r="HZ7" i="16" s="1"/>
  <c r="IA7" i="16" s="1"/>
  <c r="IB7" i="16" s="1"/>
  <c r="IC7" i="16" s="1"/>
  <c r="ID7" i="16" s="1"/>
  <c r="IE7" i="16" s="1"/>
  <c r="IF7" i="16" s="1"/>
  <c r="IG7" i="16" s="1"/>
  <c r="IH7" i="16" s="1"/>
  <c r="II7" i="16" s="1"/>
  <c r="IJ7" i="16" s="1"/>
  <c r="IK7" i="16" s="1"/>
  <c r="IL7" i="16" s="1"/>
  <c r="IM7" i="16" s="1"/>
  <c r="IN7" i="16" s="1"/>
  <c r="IO7" i="16" s="1"/>
  <c r="IP7" i="16" s="1"/>
  <c r="IQ7" i="16" s="1"/>
  <c r="IR7" i="16" s="1"/>
  <c r="IS7" i="16" s="1"/>
  <c r="IT7" i="16" s="1"/>
  <c r="IU7" i="16" s="1"/>
  <c r="IV7" i="16" s="1"/>
  <c r="IW7" i="16" s="1"/>
  <c r="IX7" i="16" s="1"/>
  <c r="IY7" i="16" s="1"/>
  <c r="IZ7" i="16" s="1"/>
  <c r="JA7" i="16" s="1"/>
  <c r="JB7" i="16" s="1"/>
  <c r="JC7" i="16" s="1"/>
  <c r="JD7" i="16" s="1"/>
  <c r="JE7" i="16" s="1"/>
  <c r="JF7" i="16" s="1"/>
  <c r="JG7" i="16" s="1"/>
  <c r="JH7" i="16" s="1"/>
  <c r="JI7" i="16" s="1"/>
  <c r="JJ7" i="16" s="1"/>
  <c r="JK7" i="16" s="1"/>
  <c r="JL7" i="16" s="1"/>
  <c r="JM7" i="16" s="1"/>
  <c r="JN7" i="16" s="1"/>
  <c r="JO7" i="16" s="1"/>
  <c r="JP7" i="16" s="1"/>
  <c r="JQ7" i="16" s="1"/>
  <c r="JR7" i="16" s="1"/>
  <c r="JS7" i="16" s="1"/>
  <c r="JT7" i="16" s="1"/>
  <c r="JU7" i="16" s="1"/>
  <c r="JV7" i="16" s="1"/>
  <c r="JW7" i="16" s="1"/>
  <c r="JX7" i="16" s="1"/>
  <c r="JY7" i="16" s="1"/>
  <c r="JZ7" i="16" s="1"/>
  <c r="KA7" i="16" s="1"/>
  <c r="KB7" i="16" s="1"/>
  <c r="KC7" i="16" s="1"/>
  <c r="KD7" i="16" s="1"/>
  <c r="KE7" i="16" s="1"/>
  <c r="KF7" i="16" s="1"/>
  <c r="KG7" i="16" s="1"/>
  <c r="KH7" i="16" s="1"/>
  <c r="KI7" i="16" s="1"/>
  <c r="KJ7" i="16" s="1"/>
  <c r="KK7" i="16" s="1"/>
  <c r="KL7" i="16" s="1"/>
  <c r="KM7" i="16" s="1"/>
  <c r="KN7" i="16" s="1"/>
  <c r="KO7" i="16" s="1"/>
  <c r="KP7" i="16" s="1"/>
  <c r="KQ7" i="16" s="1"/>
  <c r="KR7" i="16" s="1"/>
  <c r="KS7" i="16" s="1"/>
  <c r="KT7" i="16" s="1"/>
  <c r="KU7" i="16" s="1"/>
  <c r="KV7" i="16" s="1"/>
  <c r="KW7" i="16" s="1"/>
  <c r="KX7" i="16" s="1"/>
  <c r="KY7" i="16" s="1"/>
  <c r="KZ7" i="16" s="1"/>
  <c r="LA7" i="16" s="1"/>
  <c r="LB7" i="16" s="1"/>
  <c r="LC7" i="16" s="1"/>
  <c r="LD7" i="16" s="1"/>
  <c r="LE7" i="16" s="1"/>
  <c r="LF7" i="16" s="1"/>
  <c r="LG7" i="16" s="1"/>
  <c r="LH7" i="16" s="1"/>
  <c r="LI7" i="16" s="1"/>
  <c r="LJ7" i="16" s="1"/>
  <c r="LK7" i="16" s="1"/>
  <c r="LL7" i="16" s="1"/>
  <c r="LM7" i="16" s="1"/>
  <c r="LN7" i="16" s="1"/>
  <c r="LO7" i="16" s="1"/>
  <c r="LP7" i="16" s="1"/>
  <c r="LQ7" i="16" s="1"/>
  <c r="LR7" i="16" s="1"/>
  <c r="LS7" i="16" s="1"/>
  <c r="LT7" i="16" s="1"/>
  <c r="LU7" i="16" s="1"/>
  <c r="LV7" i="16" s="1"/>
  <c r="LW7" i="16" s="1"/>
  <c r="LX7" i="16" s="1"/>
  <c r="LY7" i="16" s="1"/>
  <c r="LZ7" i="16" s="1"/>
  <c r="MA7" i="16" s="1"/>
  <c r="MB7" i="16" s="1"/>
  <c r="MC7" i="16" s="1"/>
  <c r="MD7" i="16" s="1"/>
  <c r="ME7" i="16" s="1"/>
  <c r="MF7" i="16" s="1"/>
  <c r="MG7" i="16" s="1"/>
  <c r="MH7" i="16" s="1"/>
  <c r="MI7" i="16" s="1"/>
  <c r="MJ7" i="16" s="1"/>
  <c r="MK7" i="16" s="1"/>
  <c r="ML7" i="16" s="1"/>
  <c r="MM7" i="16" s="1"/>
  <c r="MN7" i="16" s="1"/>
  <c r="MO7" i="16" s="1"/>
  <c r="MP7" i="16" s="1"/>
  <c r="MQ7" i="16" s="1"/>
  <c r="MR7" i="16" s="1"/>
  <c r="MS7" i="16" s="1"/>
  <c r="MT7" i="16" s="1"/>
  <c r="MU7" i="16" s="1"/>
  <c r="MV7" i="16" s="1"/>
  <c r="MW7" i="16" s="1"/>
  <c r="MX7" i="16" s="1"/>
  <c r="MY7" i="16" s="1"/>
  <c r="MZ7" i="16" s="1"/>
  <c r="NA7" i="16" s="1"/>
  <c r="NB7" i="16" s="1"/>
  <c r="NC7" i="16" s="1"/>
  <c r="A10" i="4"/>
  <c r="A9" i="4"/>
  <c r="D7" i="4"/>
  <c r="E7" i="4" s="1"/>
  <c r="F7" i="4" s="1"/>
  <c r="G7" i="4" s="1"/>
  <c r="H7" i="4" s="1"/>
  <c r="I7" i="4" s="1"/>
  <c r="J7" i="4" s="1"/>
  <c r="K7" i="4" s="1"/>
  <c r="L7" i="4" s="1"/>
  <c r="M7" i="4" s="1"/>
  <c r="N7" i="4" s="1"/>
  <c r="O7" i="4" s="1"/>
  <c r="P7" i="4" s="1"/>
  <c r="Q7" i="4" s="1"/>
  <c r="R7" i="4" s="1"/>
  <c r="S7" i="4" s="1"/>
  <c r="T7" i="4" s="1"/>
  <c r="U7" i="4" s="1"/>
  <c r="V7" i="4" s="1"/>
  <c r="W7" i="4" s="1"/>
  <c r="X7" i="4" s="1"/>
  <c r="Y7" i="4" s="1"/>
  <c r="Z7" i="4" s="1"/>
  <c r="AA7" i="4" s="1"/>
  <c r="AB7" i="4" s="1"/>
  <c r="AC7" i="4" s="1"/>
  <c r="AD7" i="4" s="1"/>
  <c r="AE7" i="4" s="1"/>
  <c r="AF7" i="4" s="1"/>
  <c r="AG7" i="4" s="1"/>
  <c r="AH7" i="4" s="1"/>
  <c r="AI7" i="4" s="1"/>
  <c r="AJ7" i="4" s="1"/>
  <c r="AK7" i="4" s="1"/>
  <c r="AL7" i="4" s="1"/>
  <c r="AM7" i="4" s="1"/>
  <c r="AN7" i="4" s="1"/>
  <c r="AO7" i="4" s="1"/>
  <c r="AP7" i="4" s="1"/>
  <c r="AQ7" i="4" s="1"/>
  <c r="AR7" i="4" s="1"/>
  <c r="AS7" i="4" s="1"/>
  <c r="AT7" i="4" s="1"/>
  <c r="AU7" i="4" s="1"/>
  <c r="AV7" i="4" s="1"/>
  <c r="AW7" i="4" s="1"/>
  <c r="AX7" i="4" s="1"/>
  <c r="AY7" i="4" s="1"/>
  <c r="AZ7" i="4" s="1"/>
  <c r="BA7" i="4" s="1"/>
  <c r="BB7" i="4" s="1"/>
  <c r="BC7" i="4" s="1"/>
  <c r="BD7" i="4" s="1"/>
  <c r="BE7" i="4" s="1"/>
  <c r="BF7" i="4" s="1"/>
  <c r="BG7" i="4" s="1"/>
  <c r="BH7" i="4" s="1"/>
  <c r="BI7" i="4" s="1"/>
  <c r="BJ7" i="4" s="1"/>
  <c r="BK7" i="4" s="1"/>
  <c r="BL7" i="4" s="1"/>
  <c r="BM7" i="4" s="1"/>
  <c r="BN7" i="4" s="1"/>
  <c r="BO7" i="4" s="1"/>
  <c r="BP7" i="4" s="1"/>
  <c r="BQ7" i="4" s="1"/>
  <c r="BR7" i="4" s="1"/>
  <c r="BS7" i="4" s="1"/>
  <c r="BT7" i="4" s="1"/>
  <c r="BU7" i="4" s="1"/>
  <c r="BV7" i="4" s="1"/>
  <c r="BW7" i="4" s="1"/>
  <c r="BX7" i="4" s="1"/>
  <c r="BY7" i="4" s="1"/>
  <c r="BZ7" i="4" s="1"/>
  <c r="CA7" i="4" s="1"/>
  <c r="CB7" i="4" s="1"/>
  <c r="CC7" i="4" s="1"/>
  <c r="CD7" i="4" s="1"/>
  <c r="CE7" i="4" s="1"/>
  <c r="CF7" i="4" s="1"/>
  <c r="CG7" i="4" s="1"/>
  <c r="CH7" i="4" s="1"/>
  <c r="CI7" i="4" s="1"/>
  <c r="CJ7" i="4" s="1"/>
  <c r="CK7" i="4" s="1"/>
  <c r="CL7" i="4" s="1"/>
  <c r="CM7" i="4" s="1"/>
  <c r="CN7" i="4" s="1"/>
  <c r="CO7" i="4" s="1"/>
  <c r="CP7" i="4" s="1"/>
  <c r="CQ7" i="4" s="1"/>
  <c r="CR7" i="4" s="1"/>
  <c r="CS7" i="4" s="1"/>
  <c r="CT7" i="4" s="1"/>
  <c r="CU7" i="4" s="1"/>
  <c r="CV7" i="4" s="1"/>
  <c r="CW7" i="4" s="1"/>
  <c r="CX7" i="4" s="1"/>
  <c r="CY7" i="4" s="1"/>
  <c r="CZ7" i="4" s="1"/>
  <c r="DA7" i="4" s="1"/>
  <c r="DB7" i="4" s="1"/>
  <c r="DC7" i="4" s="1"/>
  <c r="DD7" i="4" s="1"/>
  <c r="DE7" i="4" s="1"/>
  <c r="DF7" i="4" s="1"/>
  <c r="DG7" i="4" s="1"/>
  <c r="DH7" i="4" s="1"/>
  <c r="DI7" i="4" s="1"/>
  <c r="DJ7" i="4" s="1"/>
  <c r="DK7" i="4" s="1"/>
  <c r="DL7" i="4" s="1"/>
  <c r="DM7" i="4" s="1"/>
  <c r="DN7" i="4" s="1"/>
  <c r="DO7" i="4" s="1"/>
  <c r="DP7" i="4" s="1"/>
  <c r="DQ7" i="4" s="1"/>
  <c r="DR7" i="4" s="1"/>
  <c r="DS7" i="4" s="1"/>
  <c r="DT7" i="4" s="1"/>
  <c r="DU7" i="4" s="1"/>
  <c r="DV7" i="4" s="1"/>
  <c r="DW7" i="4" s="1"/>
  <c r="DX7" i="4" s="1"/>
  <c r="DY7" i="4" s="1"/>
  <c r="DZ7" i="4" s="1"/>
  <c r="EA7" i="4" s="1"/>
  <c r="EB7" i="4" s="1"/>
  <c r="EC7" i="4" s="1"/>
  <c r="ED7" i="4" s="1"/>
  <c r="EE7" i="4" s="1"/>
  <c r="EF7" i="4" s="1"/>
  <c r="EG7" i="4" s="1"/>
  <c r="EH7" i="4" s="1"/>
  <c r="EI7" i="4" s="1"/>
  <c r="EJ7" i="4" s="1"/>
  <c r="EK7" i="4" s="1"/>
  <c r="EL7" i="4" s="1"/>
  <c r="EM7" i="4" s="1"/>
  <c r="EN7" i="4" s="1"/>
  <c r="EO7" i="4" s="1"/>
  <c r="EP7" i="4" s="1"/>
  <c r="EQ7" i="4" s="1"/>
  <c r="ER7" i="4" s="1"/>
  <c r="ES7" i="4" s="1"/>
  <c r="ET7" i="4" s="1"/>
  <c r="EU7" i="4" s="1"/>
  <c r="EV7" i="4" s="1"/>
  <c r="EW7" i="4" s="1"/>
  <c r="EX7" i="4" s="1"/>
  <c r="EY7" i="4" s="1"/>
  <c r="EZ7" i="4" s="1"/>
  <c r="FA7" i="4" s="1"/>
  <c r="FB7" i="4" s="1"/>
  <c r="FC7" i="4" s="1"/>
  <c r="FD7" i="4" s="1"/>
  <c r="FE7" i="4" s="1"/>
  <c r="FF7" i="4" s="1"/>
  <c r="FG7" i="4" s="1"/>
  <c r="FH7" i="4" s="1"/>
  <c r="FI7" i="4" s="1"/>
  <c r="FJ7" i="4" s="1"/>
  <c r="FK7" i="4" s="1"/>
  <c r="FL7" i="4" s="1"/>
  <c r="FM7" i="4" s="1"/>
  <c r="FN7" i="4" s="1"/>
  <c r="FO7" i="4" s="1"/>
  <c r="FP7" i="4" s="1"/>
  <c r="FQ7" i="4" s="1"/>
  <c r="FR7" i="4" s="1"/>
  <c r="FS7" i="4" s="1"/>
  <c r="FT7" i="4" s="1"/>
  <c r="FU7" i="4" s="1"/>
  <c r="FV7" i="4" s="1"/>
  <c r="FW7" i="4" s="1"/>
  <c r="FX7" i="4" s="1"/>
  <c r="FY7" i="4" s="1"/>
  <c r="FZ7" i="4" s="1"/>
  <c r="GA7" i="4" s="1"/>
  <c r="GB7" i="4" s="1"/>
  <c r="GC7" i="4" s="1"/>
  <c r="GD7" i="4" s="1"/>
  <c r="GE7" i="4" s="1"/>
  <c r="GF7" i="4" s="1"/>
  <c r="GG7" i="4" s="1"/>
  <c r="GH7" i="4" s="1"/>
  <c r="GI7" i="4" s="1"/>
  <c r="GJ7" i="4" s="1"/>
  <c r="GK7" i="4" s="1"/>
  <c r="GL7" i="4" s="1"/>
  <c r="GM7" i="4" s="1"/>
  <c r="GN7" i="4" s="1"/>
  <c r="GO7" i="4" s="1"/>
  <c r="GP7" i="4" s="1"/>
  <c r="GQ7" i="4" s="1"/>
  <c r="GR7" i="4" s="1"/>
  <c r="GS7" i="4" s="1"/>
  <c r="GT7" i="4" s="1"/>
  <c r="GU7" i="4" s="1"/>
  <c r="GV7" i="4" s="1"/>
  <c r="GW7" i="4" s="1"/>
  <c r="GX7" i="4" s="1"/>
  <c r="GY7" i="4" s="1"/>
  <c r="GZ7" i="4" s="1"/>
  <c r="HA7" i="4" s="1"/>
  <c r="HB7" i="4" s="1"/>
  <c r="HC7" i="4" s="1"/>
  <c r="HD7" i="4" s="1"/>
  <c r="HE7" i="4" s="1"/>
  <c r="HF7" i="4" s="1"/>
  <c r="HG7" i="4" s="1"/>
  <c r="HH7" i="4" s="1"/>
  <c r="HI7" i="4" s="1"/>
  <c r="HJ7" i="4" s="1"/>
  <c r="HK7" i="4" s="1"/>
  <c r="HL7" i="4" s="1"/>
  <c r="HM7" i="4" s="1"/>
  <c r="HN7" i="4" s="1"/>
  <c r="HO7" i="4" s="1"/>
  <c r="HP7" i="4" s="1"/>
  <c r="HQ7" i="4" s="1"/>
  <c r="HR7" i="4" s="1"/>
  <c r="HS7" i="4" s="1"/>
  <c r="HT7" i="4" s="1"/>
  <c r="HU7" i="4" s="1"/>
  <c r="HV7" i="4" s="1"/>
  <c r="HW7" i="4" s="1"/>
  <c r="HX7" i="4" s="1"/>
  <c r="HY7" i="4" s="1"/>
  <c r="HZ7" i="4" s="1"/>
  <c r="IA7" i="4" s="1"/>
  <c r="IB7" i="4" s="1"/>
  <c r="IC7" i="4" s="1"/>
  <c r="ID7" i="4" s="1"/>
  <c r="IE7" i="4" s="1"/>
  <c r="IF7" i="4" s="1"/>
  <c r="IG7" i="4" s="1"/>
  <c r="IH7" i="4" s="1"/>
  <c r="II7" i="4" s="1"/>
  <c r="IJ7" i="4" s="1"/>
  <c r="IK7" i="4" s="1"/>
  <c r="IL7" i="4" s="1"/>
  <c r="IM7" i="4" s="1"/>
  <c r="IN7" i="4" s="1"/>
  <c r="IO7" i="4" s="1"/>
  <c r="IP7" i="4" s="1"/>
  <c r="IQ7" i="4" s="1"/>
  <c r="IR7" i="4" s="1"/>
  <c r="IS7" i="4" s="1"/>
  <c r="IT7" i="4" s="1"/>
  <c r="IU7" i="4" s="1"/>
  <c r="IV7" i="4" s="1"/>
  <c r="IW7" i="4" s="1"/>
  <c r="IX7" i="4" s="1"/>
  <c r="IY7" i="4" s="1"/>
  <c r="IZ7" i="4" s="1"/>
  <c r="JA7" i="4" s="1"/>
  <c r="JB7" i="4" s="1"/>
  <c r="JC7" i="4" s="1"/>
  <c r="JD7" i="4" s="1"/>
  <c r="JE7" i="4" s="1"/>
  <c r="JF7" i="4" s="1"/>
  <c r="JG7" i="4" s="1"/>
  <c r="JH7" i="4" s="1"/>
  <c r="JI7" i="4" s="1"/>
  <c r="JJ7" i="4" s="1"/>
  <c r="JK7" i="4" s="1"/>
  <c r="JL7" i="4" s="1"/>
  <c r="JM7" i="4" s="1"/>
  <c r="JN7" i="4" s="1"/>
  <c r="JO7" i="4" s="1"/>
  <c r="JP7" i="4" s="1"/>
  <c r="JQ7" i="4" s="1"/>
  <c r="JR7" i="4" s="1"/>
  <c r="JS7" i="4" s="1"/>
  <c r="JT7" i="4" s="1"/>
  <c r="JU7" i="4" s="1"/>
  <c r="JV7" i="4" s="1"/>
  <c r="JW7" i="4" s="1"/>
  <c r="JX7" i="4" s="1"/>
  <c r="JY7" i="4" s="1"/>
  <c r="JZ7" i="4" s="1"/>
  <c r="KA7" i="4" s="1"/>
  <c r="KB7" i="4" s="1"/>
  <c r="KC7" i="4" s="1"/>
  <c r="KD7" i="4" s="1"/>
  <c r="KE7" i="4" s="1"/>
  <c r="KF7" i="4" s="1"/>
  <c r="KG7" i="4" s="1"/>
  <c r="KH7" i="4" s="1"/>
  <c r="KI7" i="4" s="1"/>
  <c r="KJ7" i="4" s="1"/>
  <c r="KK7" i="4" s="1"/>
  <c r="KL7" i="4" s="1"/>
  <c r="KM7" i="4" s="1"/>
  <c r="KN7" i="4" s="1"/>
  <c r="KO7" i="4" s="1"/>
  <c r="KP7" i="4" s="1"/>
  <c r="KQ7" i="4" s="1"/>
  <c r="KR7" i="4" s="1"/>
  <c r="KS7" i="4" s="1"/>
  <c r="KT7" i="4" s="1"/>
  <c r="KU7" i="4" s="1"/>
  <c r="KV7" i="4" s="1"/>
  <c r="KW7" i="4" s="1"/>
  <c r="KX7" i="4" s="1"/>
  <c r="KY7" i="4" s="1"/>
  <c r="KZ7" i="4" s="1"/>
  <c r="LA7" i="4" s="1"/>
  <c r="LB7" i="4" s="1"/>
  <c r="LC7" i="4" s="1"/>
  <c r="LD7" i="4" s="1"/>
  <c r="LE7" i="4" s="1"/>
  <c r="LF7" i="4" s="1"/>
  <c r="LG7" i="4" s="1"/>
  <c r="LH7" i="4" s="1"/>
  <c r="LI7" i="4" s="1"/>
  <c r="LJ7" i="4" s="1"/>
  <c r="LK7" i="4" s="1"/>
  <c r="LL7" i="4" s="1"/>
  <c r="LM7" i="4" s="1"/>
  <c r="LN7" i="4" s="1"/>
  <c r="LO7" i="4" s="1"/>
  <c r="LP7" i="4" s="1"/>
  <c r="LQ7" i="4" s="1"/>
  <c r="LR7" i="4" s="1"/>
  <c r="LS7" i="4" s="1"/>
  <c r="LT7" i="4" s="1"/>
  <c r="LU7" i="4" s="1"/>
  <c r="LV7" i="4" s="1"/>
  <c r="LW7" i="4" s="1"/>
  <c r="LX7" i="4" s="1"/>
  <c r="LY7" i="4" s="1"/>
  <c r="LZ7" i="4" s="1"/>
  <c r="MA7" i="4" s="1"/>
  <c r="MB7" i="4" s="1"/>
  <c r="MC7" i="4" s="1"/>
  <c r="MD7" i="4" s="1"/>
  <c r="ME7" i="4" s="1"/>
  <c r="MF7" i="4" s="1"/>
  <c r="MG7" i="4" s="1"/>
  <c r="MH7" i="4" s="1"/>
  <c r="MI7" i="4" s="1"/>
  <c r="MJ7" i="4" s="1"/>
  <c r="MK7" i="4" s="1"/>
  <c r="ML7" i="4" s="1"/>
  <c r="MM7" i="4" s="1"/>
  <c r="MN7" i="4" s="1"/>
  <c r="MO7" i="4" s="1"/>
  <c r="MP7" i="4" s="1"/>
  <c r="MQ7" i="4" s="1"/>
  <c r="MR7" i="4" s="1"/>
  <c r="MS7" i="4" s="1"/>
  <c r="MT7" i="4" s="1"/>
  <c r="MU7" i="4" s="1"/>
  <c r="MV7" i="4" s="1"/>
  <c r="MW7" i="4" s="1"/>
  <c r="MX7" i="4" s="1"/>
  <c r="MY7" i="4" s="1"/>
  <c r="MZ7" i="4" s="1"/>
  <c r="NA7" i="4" s="1"/>
  <c r="NB7" i="4" s="1"/>
  <c r="NC7" i="4" s="1"/>
  <c r="A10" i="3"/>
  <c r="A9" i="3"/>
  <c r="D7" i="3"/>
  <c r="E7" i="3" s="1"/>
  <c r="F7" i="3" s="1"/>
  <c r="G7" i="3" s="1"/>
  <c r="H7" i="3" s="1"/>
  <c r="I7" i="3" s="1"/>
  <c r="J7" i="3" s="1"/>
  <c r="K7" i="3" s="1"/>
  <c r="L7" i="3" s="1"/>
  <c r="M7" i="3" s="1"/>
  <c r="N7" i="3" s="1"/>
  <c r="O7" i="3" s="1"/>
  <c r="P7" i="3" s="1"/>
  <c r="Q7" i="3" s="1"/>
  <c r="R7" i="3" s="1"/>
  <c r="S7" i="3" s="1"/>
  <c r="T7" i="3" s="1"/>
  <c r="U7" i="3" s="1"/>
  <c r="V7" i="3" s="1"/>
  <c r="W7" i="3" s="1"/>
  <c r="X7" i="3" s="1"/>
  <c r="Y7" i="3" s="1"/>
  <c r="Z7" i="3" s="1"/>
  <c r="AA7" i="3" s="1"/>
  <c r="AB7" i="3" s="1"/>
  <c r="AC7" i="3" s="1"/>
  <c r="AD7" i="3" s="1"/>
  <c r="AE7" i="3" s="1"/>
  <c r="AF7" i="3" s="1"/>
  <c r="AG7" i="3" s="1"/>
  <c r="AH7" i="3" s="1"/>
  <c r="AI7" i="3" s="1"/>
  <c r="AJ7" i="3" s="1"/>
  <c r="AK7" i="3" s="1"/>
  <c r="AL7" i="3" s="1"/>
  <c r="AM7" i="3" s="1"/>
  <c r="AN7" i="3" s="1"/>
  <c r="AO7" i="3" s="1"/>
  <c r="AP7" i="3" s="1"/>
  <c r="AQ7" i="3" s="1"/>
  <c r="AR7" i="3" s="1"/>
  <c r="AS7" i="3" s="1"/>
  <c r="AT7" i="3" s="1"/>
  <c r="AU7" i="3" s="1"/>
  <c r="AV7" i="3" s="1"/>
  <c r="AW7" i="3" s="1"/>
  <c r="AX7" i="3" s="1"/>
  <c r="AY7" i="3" s="1"/>
  <c r="AZ7" i="3" s="1"/>
  <c r="BA7" i="3" s="1"/>
  <c r="BB7" i="3" s="1"/>
  <c r="BC7" i="3" s="1"/>
  <c r="BD7" i="3" s="1"/>
  <c r="BE7" i="3" s="1"/>
  <c r="BF7" i="3" s="1"/>
  <c r="BG7" i="3" s="1"/>
  <c r="BH7" i="3" s="1"/>
  <c r="BI7" i="3" s="1"/>
  <c r="BJ7" i="3" s="1"/>
  <c r="BK7" i="3" s="1"/>
  <c r="BL7" i="3" s="1"/>
  <c r="BM7" i="3" s="1"/>
  <c r="BN7" i="3" s="1"/>
  <c r="BO7" i="3" s="1"/>
  <c r="BP7" i="3" s="1"/>
  <c r="BQ7" i="3" s="1"/>
  <c r="BR7" i="3" s="1"/>
  <c r="BS7" i="3" s="1"/>
  <c r="BT7" i="3" s="1"/>
  <c r="BU7" i="3" s="1"/>
  <c r="BV7" i="3" s="1"/>
  <c r="BW7" i="3" s="1"/>
  <c r="BX7" i="3" s="1"/>
  <c r="BY7" i="3" s="1"/>
  <c r="BZ7" i="3" s="1"/>
  <c r="CA7" i="3" s="1"/>
  <c r="CB7" i="3" s="1"/>
  <c r="CC7" i="3" s="1"/>
  <c r="CD7" i="3" s="1"/>
  <c r="CE7" i="3" s="1"/>
  <c r="CF7" i="3" s="1"/>
  <c r="CG7" i="3" s="1"/>
  <c r="CH7" i="3" s="1"/>
  <c r="CI7" i="3" s="1"/>
  <c r="CJ7" i="3" s="1"/>
  <c r="CK7" i="3" s="1"/>
  <c r="CL7" i="3" s="1"/>
  <c r="CM7" i="3" s="1"/>
  <c r="CN7" i="3" s="1"/>
  <c r="CO7" i="3" s="1"/>
  <c r="CP7" i="3" s="1"/>
  <c r="CQ7" i="3" s="1"/>
  <c r="CR7" i="3" s="1"/>
  <c r="CS7" i="3" s="1"/>
  <c r="CT7" i="3" s="1"/>
  <c r="CU7" i="3" s="1"/>
  <c r="CV7" i="3" s="1"/>
  <c r="CW7" i="3" s="1"/>
  <c r="CX7" i="3" s="1"/>
  <c r="CY7" i="3" s="1"/>
  <c r="CZ7" i="3" s="1"/>
  <c r="DA7" i="3" s="1"/>
  <c r="DB7" i="3" s="1"/>
  <c r="DC7" i="3" s="1"/>
  <c r="DD7" i="3" s="1"/>
  <c r="DE7" i="3" s="1"/>
  <c r="DF7" i="3" s="1"/>
  <c r="DG7" i="3" s="1"/>
  <c r="DH7" i="3" s="1"/>
  <c r="DI7" i="3" s="1"/>
  <c r="DJ7" i="3" s="1"/>
  <c r="DK7" i="3" s="1"/>
  <c r="DL7" i="3" s="1"/>
  <c r="DM7" i="3" s="1"/>
  <c r="DN7" i="3" s="1"/>
  <c r="DO7" i="3" s="1"/>
  <c r="DP7" i="3" s="1"/>
  <c r="DQ7" i="3" s="1"/>
  <c r="DR7" i="3" s="1"/>
  <c r="DS7" i="3" s="1"/>
  <c r="DT7" i="3" s="1"/>
  <c r="DU7" i="3" s="1"/>
  <c r="DV7" i="3" s="1"/>
  <c r="DW7" i="3" s="1"/>
  <c r="DX7" i="3" s="1"/>
  <c r="DY7" i="3" s="1"/>
  <c r="DZ7" i="3" s="1"/>
  <c r="EA7" i="3" s="1"/>
  <c r="EB7" i="3" s="1"/>
  <c r="EC7" i="3" s="1"/>
  <c r="ED7" i="3" s="1"/>
  <c r="EE7" i="3" s="1"/>
  <c r="EF7" i="3" s="1"/>
  <c r="EG7" i="3" s="1"/>
  <c r="EH7" i="3" s="1"/>
  <c r="EI7" i="3" s="1"/>
  <c r="EJ7" i="3" s="1"/>
  <c r="EK7" i="3" s="1"/>
  <c r="EL7" i="3" s="1"/>
  <c r="EM7" i="3" s="1"/>
  <c r="EN7" i="3" s="1"/>
  <c r="EO7" i="3" s="1"/>
  <c r="EP7" i="3" s="1"/>
  <c r="EQ7" i="3" s="1"/>
  <c r="ER7" i="3" s="1"/>
  <c r="ES7" i="3" s="1"/>
  <c r="ET7" i="3" s="1"/>
  <c r="EU7" i="3" s="1"/>
  <c r="EV7" i="3" s="1"/>
  <c r="EW7" i="3" s="1"/>
  <c r="EX7" i="3" s="1"/>
  <c r="EY7" i="3" s="1"/>
  <c r="EZ7" i="3" s="1"/>
  <c r="FA7" i="3" s="1"/>
  <c r="FB7" i="3" s="1"/>
  <c r="FC7" i="3" s="1"/>
  <c r="FD7" i="3" s="1"/>
  <c r="FE7" i="3" s="1"/>
  <c r="FF7" i="3" s="1"/>
  <c r="FG7" i="3" s="1"/>
  <c r="FH7" i="3" s="1"/>
  <c r="FI7" i="3" s="1"/>
  <c r="FJ7" i="3" s="1"/>
  <c r="FK7" i="3" s="1"/>
  <c r="FL7" i="3" s="1"/>
  <c r="FM7" i="3" s="1"/>
  <c r="FN7" i="3" s="1"/>
  <c r="FO7" i="3" s="1"/>
  <c r="FP7" i="3" s="1"/>
  <c r="FQ7" i="3" s="1"/>
  <c r="FR7" i="3" s="1"/>
  <c r="FS7" i="3" s="1"/>
  <c r="FT7" i="3" s="1"/>
  <c r="FU7" i="3" s="1"/>
  <c r="FV7" i="3" s="1"/>
  <c r="FW7" i="3" s="1"/>
  <c r="FX7" i="3" s="1"/>
  <c r="FY7" i="3" s="1"/>
  <c r="FZ7" i="3" s="1"/>
  <c r="GA7" i="3" s="1"/>
  <c r="GB7" i="3" s="1"/>
  <c r="GC7" i="3" s="1"/>
  <c r="GD7" i="3" s="1"/>
  <c r="GE7" i="3" s="1"/>
  <c r="GF7" i="3" s="1"/>
  <c r="GG7" i="3" s="1"/>
  <c r="GH7" i="3" s="1"/>
  <c r="GI7" i="3" s="1"/>
  <c r="GJ7" i="3" s="1"/>
  <c r="GK7" i="3" s="1"/>
  <c r="GL7" i="3" s="1"/>
  <c r="GM7" i="3" s="1"/>
  <c r="GN7" i="3" s="1"/>
  <c r="GO7" i="3" s="1"/>
  <c r="GP7" i="3" s="1"/>
  <c r="GQ7" i="3" s="1"/>
  <c r="GR7" i="3" s="1"/>
  <c r="GS7" i="3" s="1"/>
  <c r="GT7" i="3" s="1"/>
  <c r="GU7" i="3" s="1"/>
  <c r="GV7" i="3" s="1"/>
  <c r="GW7" i="3" s="1"/>
  <c r="GX7" i="3" s="1"/>
  <c r="GY7" i="3" s="1"/>
  <c r="GZ7" i="3" s="1"/>
  <c r="HA7" i="3" s="1"/>
  <c r="HB7" i="3" s="1"/>
  <c r="HC7" i="3" s="1"/>
  <c r="HD7" i="3" s="1"/>
  <c r="HE7" i="3" s="1"/>
  <c r="HF7" i="3" s="1"/>
  <c r="HG7" i="3" s="1"/>
  <c r="HH7" i="3" s="1"/>
  <c r="HI7" i="3" s="1"/>
  <c r="HJ7" i="3" s="1"/>
  <c r="HK7" i="3" s="1"/>
  <c r="HL7" i="3" s="1"/>
  <c r="HM7" i="3" s="1"/>
  <c r="HN7" i="3" s="1"/>
  <c r="HO7" i="3" s="1"/>
  <c r="HP7" i="3" s="1"/>
  <c r="HQ7" i="3" s="1"/>
  <c r="HR7" i="3" s="1"/>
  <c r="HS7" i="3" s="1"/>
  <c r="HT7" i="3" s="1"/>
  <c r="HU7" i="3" s="1"/>
  <c r="HV7" i="3" s="1"/>
  <c r="HW7" i="3" s="1"/>
  <c r="HX7" i="3" s="1"/>
  <c r="HY7" i="3" s="1"/>
  <c r="HZ7" i="3" s="1"/>
  <c r="IA7" i="3" s="1"/>
  <c r="IB7" i="3" s="1"/>
  <c r="IC7" i="3" s="1"/>
  <c r="ID7" i="3" s="1"/>
  <c r="IE7" i="3" s="1"/>
  <c r="IF7" i="3" s="1"/>
  <c r="IG7" i="3" s="1"/>
  <c r="IH7" i="3" s="1"/>
  <c r="II7" i="3" s="1"/>
  <c r="IJ7" i="3" s="1"/>
  <c r="IK7" i="3" s="1"/>
  <c r="IL7" i="3" s="1"/>
  <c r="IM7" i="3" s="1"/>
  <c r="IN7" i="3" s="1"/>
  <c r="IO7" i="3" s="1"/>
  <c r="IP7" i="3" s="1"/>
  <c r="IQ7" i="3" s="1"/>
  <c r="IR7" i="3" s="1"/>
  <c r="IS7" i="3" s="1"/>
  <c r="IT7" i="3" s="1"/>
  <c r="IU7" i="3" s="1"/>
  <c r="IV7" i="3" s="1"/>
  <c r="IW7" i="3" s="1"/>
  <c r="IX7" i="3" s="1"/>
  <c r="IY7" i="3" s="1"/>
  <c r="IZ7" i="3" s="1"/>
  <c r="JA7" i="3" s="1"/>
  <c r="JB7" i="3" s="1"/>
  <c r="JC7" i="3" s="1"/>
  <c r="JD7" i="3" s="1"/>
  <c r="JE7" i="3" s="1"/>
  <c r="JF7" i="3" s="1"/>
  <c r="JG7" i="3" s="1"/>
  <c r="JH7" i="3" s="1"/>
  <c r="JI7" i="3" s="1"/>
  <c r="JJ7" i="3" s="1"/>
  <c r="JK7" i="3" s="1"/>
  <c r="JL7" i="3" s="1"/>
  <c r="JM7" i="3" s="1"/>
  <c r="JN7" i="3" s="1"/>
  <c r="JO7" i="3" s="1"/>
  <c r="JP7" i="3" s="1"/>
  <c r="JQ7" i="3" s="1"/>
  <c r="JR7" i="3" s="1"/>
  <c r="JS7" i="3" s="1"/>
  <c r="JT7" i="3" s="1"/>
  <c r="JU7" i="3" s="1"/>
  <c r="JV7" i="3" s="1"/>
  <c r="JW7" i="3" s="1"/>
  <c r="JX7" i="3" s="1"/>
  <c r="JY7" i="3" s="1"/>
  <c r="JZ7" i="3" s="1"/>
  <c r="KA7" i="3" s="1"/>
  <c r="KB7" i="3" s="1"/>
  <c r="KC7" i="3" s="1"/>
  <c r="KD7" i="3" s="1"/>
  <c r="KE7" i="3" s="1"/>
  <c r="KF7" i="3" s="1"/>
  <c r="KG7" i="3" s="1"/>
  <c r="KH7" i="3" s="1"/>
  <c r="KI7" i="3" s="1"/>
  <c r="KJ7" i="3" s="1"/>
  <c r="KK7" i="3" s="1"/>
  <c r="KL7" i="3" s="1"/>
  <c r="KM7" i="3" s="1"/>
  <c r="KN7" i="3" s="1"/>
  <c r="KO7" i="3" s="1"/>
  <c r="KP7" i="3" s="1"/>
  <c r="KQ7" i="3" s="1"/>
  <c r="KR7" i="3" s="1"/>
  <c r="KS7" i="3" s="1"/>
  <c r="KT7" i="3" s="1"/>
  <c r="KU7" i="3" s="1"/>
  <c r="KV7" i="3" s="1"/>
  <c r="KW7" i="3" s="1"/>
  <c r="KX7" i="3" s="1"/>
  <c r="KY7" i="3" s="1"/>
  <c r="KZ7" i="3" s="1"/>
  <c r="LA7" i="3" s="1"/>
  <c r="LB7" i="3" s="1"/>
  <c r="LC7" i="3" s="1"/>
  <c r="LD7" i="3" s="1"/>
  <c r="LE7" i="3" s="1"/>
  <c r="LF7" i="3" s="1"/>
  <c r="LG7" i="3" s="1"/>
  <c r="LH7" i="3" s="1"/>
  <c r="LI7" i="3" s="1"/>
  <c r="LJ7" i="3" s="1"/>
  <c r="LK7" i="3" s="1"/>
  <c r="LL7" i="3" s="1"/>
  <c r="LM7" i="3" s="1"/>
  <c r="LN7" i="3" s="1"/>
  <c r="LO7" i="3" s="1"/>
  <c r="LP7" i="3" s="1"/>
  <c r="LQ7" i="3" s="1"/>
  <c r="LR7" i="3" s="1"/>
  <c r="LS7" i="3" s="1"/>
  <c r="LT7" i="3" s="1"/>
  <c r="LU7" i="3" s="1"/>
  <c r="LV7" i="3" s="1"/>
  <c r="LW7" i="3" s="1"/>
  <c r="LX7" i="3" s="1"/>
  <c r="LY7" i="3" s="1"/>
  <c r="LZ7" i="3" s="1"/>
  <c r="MA7" i="3" s="1"/>
  <c r="MB7" i="3" s="1"/>
  <c r="MC7" i="3" s="1"/>
  <c r="MD7" i="3" s="1"/>
  <c r="ME7" i="3" s="1"/>
  <c r="MF7" i="3" s="1"/>
  <c r="MG7" i="3" s="1"/>
  <c r="MH7" i="3" s="1"/>
  <c r="MI7" i="3" s="1"/>
  <c r="MJ7" i="3" s="1"/>
  <c r="MK7" i="3" s="1"/>
  <c r="ML7" i="3" s="1"/>
  <c r="MM7" i="3" s="1"/>
  <c r="MN7" i="3" s="1"/>
  <c r="MO7" i="3" s="1"/>
  <c r="MP7" i="3" s="1"/>
  <c r="MQ7" i="3" s="1"/>
  <c r="MR7" i="3" s="1"/>
  <c r="MS7" i="3" s="1"/>
  <c r="MT7" i="3" s="1"/>
  <c r="MU7" i="3" s="1"/>
  <c r="MV7" i="3" s="1"/>
  <c r="MW7" i="3" s="1"/>
  <c r="MX7" i="3" s="1"/>
  <c r="MY7" i="3" s="1"/>
  <c r="MZ7" i="3" s="1"/>
  <c r="NA7" i="3" s="1"/>
  <c r="NB7" i="3" s="1"/>
  <c r="NC7" i="3" s="1"/>
  <c r="A10" i="1"/>
  <c r="A9" i="1"/>
  <c r="D7" i="1"/>
  <c r="E7" i="1" s="1"/>
  <c r="F7" i="1" s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AJ7" i="1" s="1"/>
  <c r="AK7" i="1" s="1"/>
  <c r="AL7" i="1" s="1"/>
  <c r="AM7" i="1" s="1"/>
  <c r="AN7" i="1" s="1"/>
  <c r="AO7" i="1" s="1"/>
  <c r="AP7" i="1" s="1"/>
  <c r="AQ7" i="1" s="1"/>
  <c r="AR7" i="1" s="1"/>
  <c r="AS7" i="1" s="1"/>
  <c r="AT7" i="1" s="1"/>
  <c r="AU7" i="1" s="1"/>
  <c r="AV7" i="1" s="1"/>
  <c r="AW7" i="1" s="1"/>
  <c r="AX7" i="1" s="1"/>
  <c r="AY7" i="1" s="1"/>
  <c r="AZ7" i="1" s="1"/>
  <c r="BA7" i="1" s="1"/>
  <c r="BB7" i="1" s="1"/>
  <c r="BC7" i="1" s="1"/>
  <c r="BD7" i="1" s="1"/>
  <c r="BE7" i="1" s="1"/>
  <c r="BF7" i="1" s="1"/>
  <c r="BG7" i="1" s="1"/>
  <c r="BH7" i="1" s="1"/>
  <c r="BI7" i="1" s="1"/>
  <c r="BJ7" i="1" s="1"/>
  <c r="BK7" i="1" s="1"/>
  <c r="BL7" i="1" s="1"/>
  <c r="BM7" i="1" s="1"/>
  <c r="BN7" i="1" s="1"/>
  <c r="BO7" i="1" s="1"/>
  <c r="BP7" i="1" s="1"/>
  <c r="BQ7" i="1" s="1"/>
  <c r="BR7" i="1" s="1"/>
  <c r="BS7" i="1" s="1"/>
  <c r="BT7" i="1" s="1"/>
  <c r="BU7" i="1" s="1"/>
  <c r="BV7" i="1" s="1"/>
  <c r="BW7" i="1" s="1"/>
  <c r="BX7" i="1" s="1"/>
  <c r="BY7" i="1" s="1"/>
  <c r="BZ7" i="1" s="1"/>
  <c r="CA7" i="1" s="1"/>
  <c r="CB7" i="1" s="1"/>
  <c r="CC7" i="1" s="1"/>
  <c r="CD7" i="1" s="1"/>
  <c r="CE7" i="1" s="1"/>
  <c r="CF7" i="1" s="1"/>
  <c r="CG7" i="1" s="1"/>
  <c r="CH7" i="1" s="1"/>
  <c r="CI7" i="1" s="1"/>
  <c r="CJ7" i="1" s="1"/>
  <c r="CK7" i="1" s="1"/>
  <c r="CL7" i="1" s="1"/>
  <c r="CM7" i="1" s="1"/>
  <c r="CN7" i="1" s="1"/>
  <c r="CO7" i="1" s="1"/>
  <c r="CP7" i="1" s="1"/>
  <c r="CQ7" i="1" s="1"/>
  <c r="CR7" i="1" s="1"/>
  <c r="CS7" i="1" s="1"/>
  <c r="CT7" i="1" s="1"/>
  <c r="CU7" i="1" s="1"/>
  <c r="CV7" i="1" s="1"/>
  <c r="CW7" i="1" s="1"/>
  <c r="CX7" i="1" s="1"/>
  <c r="CY7" i="1" s="1"/>
  <c r="CZ7" i="1" s="1"/>
  <c r="DA7" i="1" s="1"/>
  <c r="DB7" i="1" s="1"/>
  <c r="DC7" i="1" s="1"/>
  <c r="DD7" i="1" s="1"/>
  <c r="DE7" i="1" s="1"/>
  <c r="DF7" i="1" s="1"/>
  <c r="DG7" i="1" s="1"/>
  <c r="DH7" i="1" s="1"/>
  <c r="DI7" i="1" s="1"/>
  <c r="DJ7" i="1" s="1"/>
  <c r="DK7" i="1" s="1"/>
  <c r="DL7" i="1" s="1"/>
  <c r="DM7" i="1" s="1"/>
  <c r="DN7" i="1" s="1"/>
  <c r="DO7" i="1" s="1"/>
  <c r="DP7" i="1" s="1"/>
  <c r="DQ7" i="1" s="1"/>
  <c r="DR7" i="1" s="1"/>
  <c r="DS7" i="1" s="1"/>
  <c r="DT7" i="1" s="1"/>
  <c r="DU7" i="1" s="1"/>
  <c r="DV7" i="1" s="1"/>
  <c r="DW7" i="1" s="1"/>
  <c r="DX7" i="1" s="1"/>
  <c r="DY7" i="1" s="1"/>
  <c r="DZ7" i="1" s="1"/>
  <c r="EA7" i="1" s="1"/>
  <c r="EB7" i="1" s="1"/>
  <c r="EC7" i="1" s="1"/>
  <c r="ED7" i="1" s="1"/>
  <c r="EE7" i="1" s="1"/>
  <c r="EF7" i="1" s="1"/>
  <c r="EG7" i="1" s="1"/>
  <c r="EH7" i="1" s="1"/>
  <c r="EI7" i="1" s="1"/>
  <c r="EJ7" i="1" s="1"/>
  <c r="EK7" i="1" s="1"/>
  <c r="EL7" i="1" s="1"/>
  <c r="EM7" i="1" s="1"/>
  <c r="EN7" i="1" s="1"/>
  <c r="EO7" i="1" s="1"/>
  <c r="EP7" i="1" s="1"/>
  <c r="EQ7" i="1" s="1"/>
  <c r="ER7" i="1" s="1"/>
  <c r="ES7" i="1" s="1"/>
  <c r="ET7" i="1" s="1"/>
  <c r="EU7" i="1" s="1"/>
  <c r="EV7" i="1" s="1"/>
  <c r="EW7" i="1" s="1"/>
  <c r="EX7" i="1" s="1"/>
  <c r="EY7" i="1" s="1"/>
  <c r="EZ7" i="1" s="1"/>
  <c r="FA7" i="1" s="1"/>
  <c r="FB7" i="1" s="1"/>
  <c r="FC7" i="1" s="1"/>
  <c r="FD7" i="1" s="1"/>
  <c r="FE7" i="1" s="1"/>
  <c r="FF7" i="1" s="1"/>
  <c r="FG7" i="1" s="1"/>
  <c r="FH7" i="1" s="1"/>
  <c r="FI7" i="1" s="1"/>
  <c r="FJ7" i="1" s="1"/>
  <c r="FK7" i="1" s="1"/>
  <c r="FL7" i="1" s="1"/>
  <c r="FM7" i="1" s="1"/>
  <c r="FN7" i="1" s="1"/>
  <c r="FO7" i="1" s="1"/>
  <c r="FP7" i="1" s="1"/>
  <c r="FQ7" i="1" s="1"/>
  <c r="FR7" i="1" s="1"/>
  <c r="FS7" i="1" s="1"/>
  <c r="FT7" i="1" s="1"/>
  <c r="FU7" i="1" s="1"/>
  <c r="FV7" i="1" s="1"/>
  <c r="FW7" i="1" s="1"/>
  <c r="FX7" i="1" s="1"/>
  <c r="FY7" i="1" s="1"/>
  <c r="FZ7" i="1" s="1"/>
  <c r="GA7" i="1" s="1"/>
  <c r="GB7" i="1" s="1"/>
  <c r="GC7" i="1" s="1"/>
  <c r="GD7" i="1" s="1"/>
  <c r="GE7" i="1" s="1"/>
  <c r="GF7" i="1" s="1"/>
  <c r="GG7" i="1" s="1"/>
  <c r="GH7" i="1" s="1"/>
  <c r="GI7" i="1" s="1"/>
  <c r="GJ7" i="1" s="1"/>
  <c r="GK7" i="1" s="1"/>
  <c r="GL7" i="1" s="1"/>
  <c r="GM7" i="1" s="1"/>
  <c r="GN7" i="1" s="1"/>
  <c r="GO7" i="1" s="1"/>
  <c r="GP7" i="1" s="1"/>
  <c r="GQ7" i="1" s="1"/>
  <c r="GR7" i="1" s="1"/>
  <c r="GS7" i="1" s="1"/>
  <c r="GT7" i="1" s="1"/>
  <c r="GU7" i="1" s="1"/>
  <c r="GV7" i="1" s="1"/>
  <c r="GW7" i="1" s="1"/>
  <c r="GX7" i="1" s="1"/>
  <c r="GY7" i="1" s="1"/>
  <c r="GZ7" i="1" s="1"/>
  <c r="HA7" i="1" s="1"/>
  <c r="HB7" i="1" s="1"/>
  <c r="HC7" i="1" s="1"/>
  <c r="HD7" i="1" s="1"/>
  <c r="HE7" i="1" s="1"/>
  <c r="HF7" i="1" s="1"/>
  <c r="HG7" i="1" s="1"/>
  <c r="HH7" i="1" s="1"/>
  <c r="HI7" i="1" s="1"/>
  <c r="HJ7" i="1" s="1"/>
  <c r="HK7" i="1" s="1"/>
  <c r="HL7" i="1" s="1"/>
  <c r="HM7" i="1" s="1"/>
  <c r="HN7" i="1" s="1"/>
  <c r="HO7" i="1" s="1"/>
  <c r="HP7" i="1" s="1"/>
  <c r="HQ7" i="1" s="1"/>
  <c r="HR7" i="1" s="1"/>
  <c r="HS7" i="1" s="1"/>
  <c r="HT7" i="1" s="1"/>
  <c r="HU7" i="1" s="1"/>
  <c r="HV7" i="1" s="1"/>
  <c r="HW7" i="1" s="1"/>
  <c r="HX7" i="1" s="1"/>
  <c r="HY7" i="1" s="1"/>
  <c r="HZ7" i="1" s="1"/>
  <c r="IA7" i="1" s="1"/>
  <c r="IB7" i="1" s="1"/>
  <c r="IC7" i="1" s="1"/>
  <c r="ID7" i="1" s="1"/>
  <c r="IE7" i="1" s="1"/>
  <c r="IF7" i="1" s="1"/>
  <c r="IG7" i="1" s="1"/>
  <c r="IH7" i="1" s="1"/>
  <c r="II7" i="1" s="1"/>
  <c r="IJ7" i="1" s="1"/>
  <c r="IK7" i="1" s="1"/>
  <c r="IL7" i="1" s="1"/>
  <c r="IM7" i="1" s="1"/>
  <c r="IN7" i="1" s="1"/>
  <c r="IO7" i="1" s="1"/>
  <c r="IP7" i="1" s="1"/>
  <c r="IQ7" i="1" s="1"/>
  <c r="IR7" i="1" s="1"/>
  <c r="IS7" i="1" s="1"/>
  <c r="IT7" i="1" s="1"/>
  <c r="IU7" i="1" s="1"/>
  <c r="IV7" i="1" s="1"/>
  <c r="IW7" i="1" s="1"/>
  <c r="IX7" i="1" s="1"/>
  <c r="IY7" i="1" s="1"/>
  <c r="IZ7" i="1" s="1"/>
  <c r="JA7" i="1" s="1"/>
  <c r="JB7" i="1" s="1"/>
  <c r="JC7" i="1" s="1"/>
  <c r="JD7" i="1" s="1"/>
  <c r="JE7" i="1" s="1"/>
  <c r="JF7" i="1" s="1"/>
  <c r="JG7" i="1" s="1"/>
  <c r="JH7" i="1" s="1"/>
  <c r="JI7" i="1" s="1"/>
  <c r="JJ7" i="1" s="1"/>
  <c r="JK7" i="1" s="1"/>
  <c r="JL7" i="1" s="1"/>
  <c r="JM7" i="1" s="1"/>
  <c r="JN7" i="1" s="1"/>
  <c r="JO7" i="1" s="1"/>
  <c r="JP7" i="1" s="1"/>
  <c r="JQ7" i="1" s="1"/>
  <c r="JR7" i="1" s="1"/>
  <c r="JS7" i="1" s="1"/>
  <c r="JT7" i="1" s="1"/>
  <c r="JU7" i="1" s="1"/>
  <c r="JV7" i="1" s="1"/>
  <c r="JW7" i="1" s="1"/>
  <c r="JX7" i="1" s="1"/>
  <c r="JY7" i="1" s="1"/>
  <c r="JZ7" i="1" s="1"/>
  <c r="KA7" i="1" s="1"/>
  <c r="KB7" i="1" s="1"/>
  <c r="KC7" i="1" s="1"/>
  <c r="KD7" i="1" s="1"/>
  <c r="KE7" i="1" s="1"/>
  <c r="KF7" i="1" s="1"/>
  <c r="KG7" i="1" s="1"/>
  <c r="KH7" i="1" s="1"/>
  <c r="KI7" i="1" s="1"/>
  <c r="KJ7" i="1" s="1"/>
  <c r="KK7" i="1" s="1"/>
  <c r="KL7" i="1" s="1"/>
  <c r="KM7" i="1" s="1"/>
  <c r="KN7" i="1" s="1"/>
  <c r="KO7" i="1" s="1"/>
  <c r="KP7" i="1" s="1"/>
  <c r="KQ7" i="1" s="1"/>
  <c r="KR7" i="1" s="1"/>
  <c r="KS7" i="1" s="1"/>
  <c r="KT7" i="1" s="1"/>
  <c r="KU7" i="1" s="1"/>
  <c r="KV7" i="1" s="1"/>
  <c r="KW7" i="1" s="1"/>
  <c r="KX7" i="1" s="1"/>
  <c r="KY7" i="1" s="1"/>
  <c r="KZ7" i="1" s="1"/>
  <c r="LA7" i="1" s="1"/>
  <c r="LB7" i="1" s="1"/>
  <c r="LC7" i="1" s="1"/>
  <c r="LD7" i="1" s="1"/>
  <c r="LE7" i="1" s="1"/>
  <c r="LF7" i="1" s="1"/>
  <c r="LG7" i="1" s="1"/>
  <c r="LH7" i="1" s="1"/>
  <c r="LI7" i="1" s="1"/>
  <c r="LJ7" i="1" s="1"/>
  <c r="LK7" i="1" s="1"/>
  <c r="LL7" i="1" s="1"/>
  <c r="LM7" i="1" s="1"/>
  <c r="LN7" i="1" s="1"/>
  <c r="LO7" i="1" s="1"/>
  <c r="LP7" i="1" s="1"/>
  <c r="LQ7" i="1" s="1"/>
  <c r="LR7" i="1" s="1"/>
  <c r="LS7" i="1" s="1"/>
  <c r="LT7" i="1" s="1"/>
  <c r="LU7" i="1" s="1"/>
  <c r="LV7" i="1" s="1"/>
  <c r="LW7" i="1" s="1"/>
  <c r="LX7" i="1" s="1"/>
  <c r="LY7" i="1" s="1"/>
  <c r="LZ7" i="1" s="1"/>
  <c r="MA7" i="1" s="1"/>
  <c r="MB7" i="1" s="1"/>
  <c r="MC7" i="1" s="1"/>
  <c r="MD7" i="1" s="1"/>
  <c r="ME7" i="1" s="1"/>
  <c r="MF7" i="1" s="1"/>
  <c r="MG7" i="1" s="1"/>
  <c r="MH7" i="1" s="1"/>
  <c r="MI7" i="1" s="1"/>
  <c r="MJ7" i="1" s="1"/>
  <c r="MK7" i="1" s="1"/>
  <c r="ML7" i="1" s="1"/>
  <c r="MM7" i="1" s="1"/>
  <c r="MN7" i="1" s="1"/>
  <c r="MO7" i="1" s="1"/>
  <c r="MP7" i="1" s="1"/>
  <c r="MQ7" i="1" s="1"/>
  <c r="MR7" i="1" s="1"/>
  <c r="MS7" i="1" s="1"/>
  <c r="MT7" i="1" s="1"/>
  <c r="MU7" i="1" s="1"/>
  <c r="MV7" i="1" s="1"/>
  <c r="MW7" i="1" s="1"/>
  <c r="MX7" i="1" s="1"/>
  <c r="MY7" i="1" s="1"/>
  <c r="MZ7" i="1" s="1"/>
  <c r="NA7" i="1" s="1"/>
  <c r="NB7" i="1" s="1"/>
  <c r="NC7" i="1" s="1"/>
  <c r="D7" i="2"/>
  <c r="E7" i="2" s="1"/>
  <c r="F7" i="2" s="1"/>
  <c r="G7" i="2" s="1"/>
  <c r="H7" i="2" s="1"/>
  <c r="I7" i="2" s="1"/>
  <c r="J7" i="2" s="1"/>
  <c r="K7" i="2" s="1"/>
  <c r="L7" i="2" s="1"/>
  <c r="M7" i="2" s="1"/>
  <c r="N7" i="2" s="1"/>
  <c r="O7" i="2" s="1"/>
  <c r="P7" i="2" s="1"/>
  <c r="Q7" i="2" s="1"/>
  <c r="R7" i="2" s="1"/>
  <c r="S7" i="2" s="1"/>
  <c r="T7" i="2" s="1"/>
  <c r="U7" i="2" s="1"/>
  <c r="V7" i="2" s="1"/>
  <c r="W7" i="2" s="1"/>
  <c r="X7" i="2" s="1"/>
  <c r="Y7" i="2" s="1"/>
  <c r="Z7" i="2" s="1"/>
  <c r="AA7" i="2" s="1"/>
  <c r="AB7" i="2" s="1"/>
  <c r="AC7" i="2" s="1"/>
  <c r="AD7" i="2" s="1"/>
  <c r="AE7" i="2" s="1"/>
  <c r="AF7" i="2" s="1"/>
  <c r="AG7" i="2" s="1"/>
  <c r="AH7" i="2" s="1"/>
  <c r="AI7" i="2" s="1"/>
  <c r="AJ7" i="2" s="1"/>
  <c r="AK7" i="2" s="1"/>
  <c r="AL7" i="2" s="1"/>
  <c r="AM7" i="2" s="1"/>
  <c r="AN7" i="2" s="1"/>
  <c r="AO7" i="2" s="1"/>
  <c r="AP7" i="2" s="1"/>
  <c r="AQ7" i="2" s="1"/>
  <c r="AR7" i="2" s="1"/>
  <c r="AS7" i="2" s="1"/>
  <c r="AT7" i="2" s="1"/>
  <c r="AU7" i="2" s="1"/>
  <c r="AV7" i="2" s="1"/>
  <c r="AW7" i="2" s="1"/>
  <c r="AX7" i="2" s="1"/>
  <c r="AY7" i="2" s="1"/>
  <c r="AZ7" i="2" s="1"/>
  <c r="BA7" i="2" s="1"/>
  <c r="BB7" i="2" s="1"/>
  <c r="BC7" i="2" s="1"/>
  <c r="BD7" i="2" s="1"/>
  <c r="BE7" i="2" s="1"/>
  <c r="BF7" i="2" s="1"/>
  <c r="BG7" i="2" s="1"/>
  <c r="BH7" i="2" s="1"/>
  <c r="BI7" i="2" s="1"/>
  <c r="BJ7" i="2" s="1"/>
  <c r="BK7" i="2" s="1"/>
  <c r="BL7" i="2" s="1"/>
  <c r="BM7" i="2" s="1"/>
  <c r="BN7" i="2" s="1"/>
  <c r="BO7" i="2" s="1"/>
  <c r="BP7" i="2" s="1"/>
  <c r="BQ7" i="2" s="1"/>
  <c r="BR7" i="2" s="1"/>
  <c r="BS7" i="2" s="1"/>
  <c r="BT7" i="2" s="1"/>
  <c r="BU7" i="2" s="1"/>
  <c r="BV7" i="2" s="1"/>
  <c r="BW7" i="2" s="1"/>
  <c r="BX7" i="2" s="1"/>
  <c r="BY7" i="2" s="1"/>
  <c r="BZ7" i="2" s="1"/>
  <c r="CA7" i="2" s="1"/>
  <c r="CB7" i="2" s="1"/>
  <c r="CC7" i="2" s="1"/>
  <c r="CD7" i="2" s="1"/>
  <c r="CE7" i="2" s="1"/>
  <c r="CF7" i="2" s="1"/>
  <c r="CG7" i="2" s="1"/>
  <c r="CH7" i="2" s="1"/>
  <c r="CI7" i="2" s="1"/>
  <c r="CJ7" i="2" s="1"/>
  <c r="CK7" i="2" s="1"/>
  <c r="CL7" i="2" s="1"/>
  <c r="CM7" i="2" s="1"/>
  <c r="CN7" i="2" s="1"/>
  <c r="CO7" i="2" s="1"/>
  <c r="CP7" i="2" s="1"/>
  <c r="CQ7" i="2" s="1"/>
  <c r="CR7" i="2" s="1"/>
  <c r="CS7" i="2" s="1"/>
  <c r="CT7" i="2" s="1"/>
  <c r="CU7" i="2" s="1"/>
  <c r="CV7" i="2" s="1"/>
  <c r="CW7" i="2" s="1"/>
  <c r="CX7" i="2" s="1"/>
  <c r="CY7" i="2" s="1"/>
  <c r="CZ7" i="2" s="1"/>
  <c r="DA7" i="2" s="1"/>
  <c r="DB7" i="2" s="1"/>
  <c r="DC7" i="2" s="1"/>
  <c r="DD7" i="2" s="1"/>
  <c r="DE7" i="2" s="1"/>
  <c r="DF7" i="2" s="1"/>
  <c r="DG7" i="2" s="1"/>
  <c r="DH7" i="2" s="1"/>
  <c r="DI7" i="2" s="1"/>
  <c r="DJ7" i="2" s="1"/>
  <c r="DK7" i="2" s="1"/>
  <c r="DL7" i="2" s="1"/>
  <c r="DM7" i="2" s="1"/>
  <c r="DN7" i="2" s="1"/>
  <c r="DO7" i="2" s="1"/>
  <c r="DP7" i="2" s="1"/>
  <c r="DQ7" i="2" s="1"/>
  <c r="DR7" i="2" s="1"/>
  <c r="DS7" i="2" s="1"/>
  <c r="DT7" i="2" s="1"/>
  <c r="DU7" i="2" s="1"/>
  <c r="DV7" i="2" s="1"/>
  <c r="DW7" i="2" s="1"/>
  <c r="DX7" i="2" s="1"/>
  <c r="DY7" i="2" s="1"/>
  <c r="DZ7" i="2" s="1"/>
  <c r="EA7" i="2" s="1"/>
  <c r="EB7" i="2" s="1"/>
  <c r="EC7" i="2" s="1"/>
  <c r="ED7" i="2" s="1"/>
  <c r="EE7" i="2" s="1"/>
  <c r="EF7" i="2" s="1"/>
  <c r="EG7" i="2" s="1"/>
  <c r="EH7" i="2" s="1"/>
  <c r="EI7" i="2" s="1"/>
  <c r="EJ7" i="2" s="1"/>
  <c r="EK7" i="2" s="1"/>
  <c r="EL7" i="2" s="1"/>
  <c r="EM7" i="2" s="1"/>
  <c r="EN7" i="2" s="1"/>
  <c r="EO7" i="2" s="1"/>
  <c r="EP7" i="2" s="1"/>
  <c r="EQ7" i="2" s="1"/>
  <c r="ER7" i="2" s="1"/>
  <c r="ES7" i="2" s="1"/>
  <c r="ET7" i="2" s="1"/>
  <c r="EU7" i="2" s="1"/>
  <c r="EV7" i="2" s="1"/>
  <c r="EW7" i="2" s="1"/>
  <c r="EX7" i="2" s="1"/>
  <c r="EY7" i="2" s="1"/>
  <c r="EZ7" i="2" s="1"/>
  <c r="FA7" i="2" s="1"/>
  <c r="FB7" i="2" s="1"/>
  <c r="FC7" i="2" s="1"/>
  <c r="FD7" i="2" s="1"/>
  <c r="FE7" i="2" s="1"/>
  <c r="FF7" i="2" s="1"/>
  <c r="FG7" i="2" s="1"/>
  <c r="FH7" i="2" s="1"/>
  <c r="FI7" i="2" s="1"/>
  <c r="FJ7" i="2" s="1"/>
  <c r="FK7" i="2" s="1"/>
  <c r="FL7" i="2" s="1"/>
  <c r="FM7" i="2" s="1"/>
  <c r="FN7" i="2" s="1"/>
  <c r="FO7" i="2" s="1"/>
  <c r="FP7" i="2" s="1"/>
  <c r="FQ7" i="2" s="1"/>
  <c r="FR7" i="2" s="1"/>
  <c r="FS7" i="2" s="1"/>
  <c r="FT7" i="2" s="1"/>
  <c r="FU7" i="2" s="1"/>
  <c r="FV7" i="2" s="1"/>
  <c r="FW7" i="2" s="1"/>
  <c r="FX7" i="2" s="1"/>
  <c r="FY7" i="2" s="1"/>
  <c r="FZ7" i="2" s="1"/>
  <c r="GA7" i="2" s="1"/>
  <c r="GB7" i="2" s="1"/>
  <c r="GC7" i="2" s="1"/>
  <c r="GD7" i="2" s="1"/>
  <c r="GE7" i="2" s="1"/>
  <c r="GF7" i="2" s="1"/>
  <c r="GG7" i="2" s="1"/>
  <c r="GH7" i="2" s="1"/>
  <c r="GI7" i="2" s="1"/>
  <c r="GJ7" i="2" s="1"/>
  <c r="GK7" i="2" s="1"/>
  <c r="GL7" i="2" s="1"/>
  <c r="GM7" i="2" s="1"/>
  <c r="GN7" i="2" s="1"/>
  <c r="GO7" i="2" s="1"/>
  <c r="GP7" i="2" s="1"/>
  <c r="GQ7" i="2" s="1"/>
  <c r="GR7" i="2" s="1"/>
  <c r="GS7" i="2" s="1"/>
  <c r="GT7" i="2" s="1"/>
  <c r="GU7" i="2" s="1"/>
  <c r="GV7" i="2" s="1"/>
  <c r="GW7" i="2" s="1"/>
  <c r="GX7" i="2" s="1"/>
  <c r="GY7" i="2" s="1"/>
  <c r="GZ7" i="2" s="1"/>
  <c r="HA7" i="2" s="1"/>
  <c r="HB7" i="2" s="1"/>
  <c r="HC7" i="2" s="1"/>
  <c r="HD7" i="2" s="1"/>
  <c r="HE7" i="2" s="1"/>
  <c r="HF7" i="2" s="1"/>
  <c r="HG7" i="2" s="1"/>
  <c r="HH7" i="2" s="1"/>
  <c r="HI7" i="2" s="1"/>
  <c r="HJ7" i="2" s="1"/>
  <c r="HK7" i="2" s="1"/>
  <c r="HL7" i="2" s="1"/>
  <c r="HM7" i="2" s="1"/>
  <c r="HN7" i="2" s="1"/>
  <c r="HO7" i="2" s="1"/>
  <c r="HP7" i="2" s="1"/>
  <c r="HQ7" i="2" s="1"/>
  <c r="HR7" i="2" s="1"/>
  <c r="HS7" i="2" s="1"/>
  <c r="HT7" i="2" s="1"/>
  <c r="HU7" i="2" s="1"/>
  <c r="HV7" i="2" s="1"/>
  <c r="HW7" i="2" s="1"/>
  <c r="HX7" i="2" s="1"/>
  <c r="HY7" i="2" s="1"/>
  <c r="HZ7" i="2" s="1"/>
  <c r="IA7" i="2" s="1"/>
  <c r="IB7" i="2" s="1"/>
  <c r="IC7" i="2" s="1"/>
  <c r="ID7" i="2" s="1"/>
  <c r="IE7" i="2" s="1"/>
  <c r="IF7" i="2" s="1"/>
  <c r="IG7" i="2" s="1"/>
  <c r="IH7" i="2" s="1"/>
  <c r="II7" i="2" s="1"/>
  <c r="IJ7" i="2" s="1"/>
  <c r="IK7" i="2" s="1"/>
  <c r="IL7" i="2" s="1"/>
  <c r="IM7" i="2" s="1"/>
  <c r="IN7" i="2" s="1"/>
  <c r="IO7" i="2" s="1"/>
  <c r="IP7" i="2" s="1"/>
  <c r="IQ7" i="2" s="1"/>
  <c r="IR7" i="2" s="1"/>
  <c r="IS7" i="2" s="1"/>
  <c r="IT7" i="2" s="1"/>
  <c r="IU7" i="2" s="1"/>
  <c r="IV7" i="2" s="1"/>
  <c r="IW7" i="2" s="1"/>
  <c r="IX7" i="2" s="1"/>
  <c r="IY7" i="2" s="1"/>
  <c r="IZ7" i="2" s="1"/>
  <c r="JA7" i="2" s="1"/>
  <c r="JB7" i="2" s="1"/>
  <c r="JC7" i="2" s="1"/>
  <c r="JD7" i="2" s="1"/>
  <c r="JE7" i="2" s="1"/>
  <c r="JF7" i="2" s="1"/>
  <c r="JG7" i="2" s="1"/>
  <c r="JH7" i="2" s="1"/>
  <c r="JI7" i="2" s="1"/>
  <c r="JJ7" i="2" s="1"/>
  <c r="JK7" i="2" s="1"/>
  <c r="JL7" i="2" s="1"/>
  <c r="JM7" i="2" s="1"/>
  <c r="JN7" i="2" s="1"/>
  <c r="JO7" i="2" s="1"/>
  <c r="JP7" i="2" s="1"/>
  <c r="JQ7" i="2" s="1"/>
  <c r="JR7" i="2" s="1"/>
  <c r="JS7" i="2" s="1"/>
  <c r="JT7" i="2" s="1"/>
  <c r="JU7" i="2" s="1"/>
  <c r="JV7" i="2" s="1"/>
  <c r="JW7" i="2" s="1"/>
  <c r="JX7" i="2" s="1"/>
  <c r="JY7" i="2" s="1"/>
  <c r="JZ7" i="2" s="1"/>
  <c r="KA7" i="2" s="1"/>
  <c r="KB7" i="2" s="1"/>
  <c r="KC7" i="2" s="1"/>
  <c r="KD7" i="2" s="1"/>
  <c r="KE7" i="2" s="1"/>
  <c r="KF7" i="2" s="1"/>
  <c r="KG7" i="2" s="1"/>
  <c r="KH7" i="2" s="1"/>
  <c r="KI7" i="2" s="1"/>
  <c r="KJ7" i="2" s="1"/>
  <c r="KK7" i="2" s="1"/>
  <c r="KL7" i="2" s="1"/>
  <c r="KM7" i="2" s="1"/>
  <c r="KN7" i="2" s="1"/>
  <c r="KO7" i="2" s="1"/>
  <c r="KP7" i="2" s="1"/>
  <c r="KQ7" i="2" s="1"/>
  <c r="KR7" i="2" s="1"/>
  <c r="KS7" i="2" s="1"/>
  <c r="KT7" i="2" s="1"/>
  <c r="KU7" i="2" s="1"/>
  <c r="KV7" i="2" s="1"/>
  <c r="KW7" i="2" s="1"/>
  <c r="KX7" i="2" s="1"/>
  <c r="KY7" i="2" s="1"/>
  <c r="KZ7" i="2" s="1"/>
  <c r="LA7" i="2" s="1"/>
  <c r="LB7" i="2" s="1"/>
  <c r="LC7" i="2" s="1"/>
  <c r="LD7" i="2" s="1"/>
  <c r="LE7" i="2" s="1"/>
  <c r="LF7" i="2" s="1"/>
  <c r="LG7" i="2" s="1"/>
  <c r="LH7" i="2" s="1"/>
  <c r="LI7" i="2" s="1"/>
  <c r="LJ7" i="2" s="1"/>
  <c r="LK7" i="2" s="1"/>
  <c r="LL7" i="2" s="1"/>
  <c r="LM7" i="2" s="1"/>
  <c r="LN7" i="2" s="1"/>
  <c r="LO7" i="2" s="1"/>
  <c r="LP7" i="2" s="1"/>
  <c r="LQ7" i="2" s="1"/>
  <c r="LR7" i="2" s="1"/>
  <c r="LS7" i="2" s="1"/>
  <c r="LT7" i="2" s="1"/>
  <c r="LU7" i="2" s="1"/>
  <c r="LV7" i="2" s="1"/>
  <c r="LW7" i="2" s="1"/>
  <c r="LX7" i="2" s="1"/>
  <c r="LY7" i="2" s="1"/>
  <c r="LZ7" i="2" s="1"/>
  <c r="MA7" i="2" s="1"/>
  <c r="MB7" i="2" s="1"/>
  <c r="MC7" i="2" s="1"/>
  <c r="MD7" i="2" s="1"/>
  <c r="ME7" i="2" s="1"/>
  <c r="MF7" i="2" s="1"/>
  <c r="MG7" i="2" s="1"/>
  <c r="MH7" i="2" s="1"/>
  <c r="MI7" i="2" s="1"/>
  <c r="MJ7" i="2" s="1"/>
  <c r="MK7" i="2" s="1"/>
  <c r="ML7" i="2" s="1"/>
  <c r="MM7" i="2" s="1"/>
  <c r="MN7" i="2" s="1"/>
  <c r="MO7" i="2" s="1"/>
  <c r="MP7" i="2" s="1"/>
  <c r="MQ7" i="2" s="1"/>
  <c r="MR7" i="2" s="1"/>
  <c r="MS7" i="2" s="1"/>
  <c r="MT7" i="2" s="1"/>
  <c r="MU7" i="2" s="1"/>
  <c r="MV7" i="2" s="1"/>
  <c r="MW7" i="2" s="1"/>
  <c r="MX7" i="2" s="1"/>
  <c r="MY7" i="2" s="1"/>
  <c r="MZ7" i="2" s="1"/>
  <c r="NA7" i="2" s="1"/>
  <c r="NB7" i="2" s="1"/>
  <c r="NC7" i="2" s="1"/>
  <c r="A10" i="2"/>
  <c r="NA5" i="2"/>
  <c r="NB5" i="2"/>
  <c r="NC5" i="2"/>
  <c r="Q366" i="8" l="1"/>
  <c r="P366" i="8" s="1"/>
  <c r="N366" i="8"/>
  <c r="Q365" i="8"/>
  <c r="P365" i="8" s="1"/>
  <c r="N365" i="8"/>
  <c r="Q364" i="8"/>
  <c r="P364" i="8" s="1"/>
  <c r="N364" i="8"/>
  <c r="Q367" i="8"/>
  <c r="P367" i="8" s="1"/>
  <c r="N367" i="8"/>
  <c r="Q368" i="8"/>
  <c r="P368" i="8" s="1"/>
  <c r="N368" i="8"/>
  <c r="Q369" i="8"/>
  <c r="P369" i="8" s="1"/>
  <c r="N369" i="8"/>
  <c r="Q370" i="8"/>
  <c r="P370" i="8" s="1"/>
  <c r="N370" i="8"/>
  <c r="A11" i="11"/>
  <c r="A11" i="3"/>
  <c r="A11" i="5"/>
  <c r="A11" i="16"/>
  <c r="A11" i="7"/>
  <c r="A11" i="6"/>
  <c r="A11" i="4"/>
  <c r="A11" i="1"/>
  <c r="MT5" i="41"/>
  <c r="MU5" i="41"/>
  <c r="MV5" i="41"/>
  <c r="MW5" i="41"/>
  <c r="MX5" i="41"/>
  <c r="MY5" i="41"/>
  <c r="MZ5" i="41"/>
  <c r="MT5" i="3"/>
  <c r="MT5" i="11"/>
  <c r="MU5" i="11"/>
  <c r="MV5" i="11"/>
  <c r="MW5" i="11"/>
  <c r="MX5" i="11"/>
  <c r="MY5" i="11"/>
  <c r="MZ5" i="11"/>
  <c r="O357" i="8"/>
  <c r="O358" i="8"/>
  <c r="O359" i="8"/>
  <c r="O360" i="8"/>
  <c r="O361" i="8"/>
  <c r="O362" i="8"/>
  <c r="O363" i="8"/>
  <c r="MT5" i="1"/>
  <c r="MU5" i="1"/>
  <c r="MV5" i="1"/>
  <c r="MW5" i="1"/>
  <c r="MX5" i="1"/>
  <c r="MY5" i="1"/>
  <c r="MZ5" i="1"/>
  <c r="J6" i="38" l="1"/>
  <c r="K6" i="38" s="1"/>
  <c r="J4" i="38"/>
  <c r="K4" i="38" s="1"/>
  <c r="J5" i="38"/>
  <c r="K5" i="38" s="1"/>
  <c r="J3" i="38"/>
  <c r="K3" i="38" s="1"/>
  <c r="MT5" i="4"/>
  <c r="MU5" i="4"/>
  <c r="MV5" i="4"/>
  <c r="MW5" i="4"/>
  <c r="MX5" i="4"/>
  <c r="MY5" i="4"/>
  <c r="MZ5" i="4"/>
  <c r="MT5" i="5"/>
  <c r="MU5" i="5"/>
  <c r="MV5" i="5"/>
  <c r="MW5" i="5"/>
  <c r="MX5" i="5"/>
  <c r="MY5" i="5"/>
  <c r="MZ5" i="5"/>
  <c r="MT5" i="6"/>
  <c r="MU5" i="6"/>
  <c r="MV5" i="6"/>
  <c r="MW5" i="6"/>
  <c r="MX5" i="6"/>
  <c r="MY5" i="6"/>
  <c r="MT5" i="16"/>
  <c r="MU5" i="16"/>
  <c r="MV5" i="16"/>
  <c r="MW5" i="16"/>
  <c r="MX5" i="16"/>
  <c r="MY5" i="16"/>
  <c r="MZ5" i="16"/>
  <c r="AG357" i="8"/>
  <c r="R357" i="8" s="1"/>
  <c r="AG358" i="8"/>
  <c r="R358" i="8" s="1"/>
  <c r="AG359" i="8"/>
  <c r="R359" i="8" s="1"/>
  <c r="AG360" i="8"/>
  <c r="R360" i="8" s="1"/>
  <c r="AG361" i="8"/>
  <c r="R361" i="8" s="1"/>
  <c r="AG362" i="8"/>
  <c r="R362" i="8" s="1"/>
  <c r="R363" i="8"/>
  <c r="AD357" i="8"/>
  <c r="AF357" i="8" s="1"/>
  <c r="AD358" i="8"/>
  <c r="AF358" i="8" s="1"/>
  <c r="AD359" i="8"/>
  <c r="AF359" i="8" s="1"/>
  <c r="AD360" i="8"/>
  <c r="AF360" i="8" s="1"/>
  <c r="AD361" i="8"/>
  <c r="AF361" i="8" s="1"/>
  <c r="AD362" i="8"/>
  <c r="AF362" i="8" s="1"/>
  <c r="AD363" i="8"/>
  <c r="AF363" i="8" s="1"/>
  <c r="AH361" i="8" l="1"/>
  <c r="AH359" i="8"/>
  <c r="AH357" i="8"/>
  <c r="AH363" i="8"/>
  <c r="AH362" i="8"/>
  <c r="AH360" i="8"/>
  <c r="AH358" i="8"/>
  <c r="Q358" i="8" l="1"/>
  <c r="P358" i="8" s="1"/>
  <c r="N358" i="8"/>
  <c r="Q357" i="8"/>
  <c r="P357" i="8" s="1"/>
  <c r="N357" i="8"/>
  <c r="N359" i="8"/>
  <c r="Q359" i="8"/>
  <c r="P359" i="8" s="1"/>
  <c r="Q361" i="8"/>
  <c r="P361" i="8" s="1"/>
  <c r="N361" i="8"/>
  <c r="N360" i="8"/>
  <c r="Q360" i="8"/>
  <c r="P360" i="8" s="1"/>
  <c r="Q362" i="8"/>
  <c r="P362" i="8" s="1"/>
  <c r="N362" i="8"/>
  <c r="Q363" i="8"/>
  <c r="P363" i="8" s="1"/>
  <c r="N363" i="8"/>
  <c r="MU5" i="3"/>
  <c r="MV5" i="3"/>
  <c r="MW5" i="3"/>
  <c r="MX5" i="3"/>
  <c r="MY5" i="3"/>
  <c r="MZ5" i="3"/>
  <c r="MT5" i="2"/>
  <c r="MU5" i="2"/>
  <c r="MV5" i="2"/>
  <c r="MW5" i="2"/>
  <c r="MX5" i="2"/>
  <c r="MY5" i="2"/>
  <c r="MZ5" i="2"/>
  <c r="AR2" i="8" l="1"/>
  <c r="O3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9" i="8"/>
  <c r="O350" i="8"/>
  <c r="O351" i="8"/>
  <c r="O352" i="8"/>
  <c r="O353" i="8"/>
  <c r="O354" i="8"/>
  <c r="O355" i="8"/>
  <c r="O356" i="8"/>
  <c r="A4" i="41"/>
  <c r="A4" i="11"/>
  <c r="A3" i="11"/>
  <c r="A5" i="11" s="1"/>
  <c r="O4" i="8"/>
  <c r="O5" i="8"/>
  <c r="O6" i="8"/>
  <c r="O7" i="8"/>
  <c r="O8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2" i="8"/>
  <c r="A3" i="3"/>
  <c r="A4" i="3"/>
  <c r="A4" i="16"/>
  <c r="A3" i="16"/>
  <c r="A4" i="4"/>
  <c r="A3" i="4"/>
  <c r="A4" i="5"/>
  <c r="A3" i="5"/>
  <c r="R2" i="8"/>
  <c r="A3" i="7"/>
  <c r="A4" i="7"/>
  <c r="A4" i="6"/>
  <c r="A3" i="6"/>
  <c r="AH3" i="8"/>
  <c r="AH4" i="8"/>
  <c r="AH5" i="8"/>
  <c r="AH6" i="8"/>
  <c r="AH7" i="8"/>
  <c r="AH8" i="8"/>
  <c r="AH9" i="8"/>
  <c r="AH10" i="8"/>
  <c r="Q10" i="8" s="1"/>
  <c r="AH11" i="8"/>
  <c r="AH12" i="8"/>
  <c r="AH13" i="8"/>
  <c r="AH14" i="8"/>
  <c r="Q14" i="8" s="1"/>
  <c r="AH15" i="8"/>
  <c r="AH16" i="8"/>
  <c r="AH17" i="8"/>
  <c r="AH18" i="8"/>
  <c r="AH19" i="8"/>
  <c r="AH20" i="8"/>
  <c r="AH21" i="8"/>
  <c r="Q21" i="8" s="1"/>
  <c r="AH22" i="8"/>
  <c r="Q22" i="8" s="1"/>
  <c r="AH23" i="8"/>
  <c r="AH24" i="8"/>
  <c r="AH25" i="8"/>
  <c r="AH26" i="8"/>
  <c r="Q26" i="8" s="1"/>
  <c r="AH27" i="8"/>
  <c r="AH28" i="8"/>
  <c r="AH29" i="8"/>
  <c r="AH30" i="8"/>
  <c r="AH31" i="8"/>
  <c r="AH32" i="8"/>
  <c r="AH33" i="8"/>
  <c r="AH34" i="8"/>
  <c r="Q34" i="8" s="1"/>
  <c r="AH35" i="8"/>
  <c r="AH36" i="8"/>
  <c r="AH37" i="8"/>
  <c r="AH38" i="8"/>
  <c r="Q38" i="8" s="1"/>
  <c r="AH39" i="8"/>
  <c r="AH40" i="8"/>
  <c r="AH41" i="8"/>
  <c r="AH42" i="8"/>
  <c r="Q42" i="8" s="1"/>
  <c r="AH43" i="8"/>
  <c r="AH44" i="8"/>
  <c r="AH45" i="8"/>
  <c r="Q45" i="8" s="1"/>
  <c r="AH46" i="8"/>
  <c r="Q46" i="8" s="1"/>
  <c r="AH47" i="8"/>
  <c r="AH48" i="8"/>
  <c r="AH49" i="8"/>
  <c r="AH50" i="8"/>
  <c r="Q50" i="8" s="1"/>
  <c r="AH51" i="8"/>
  <c r="AH52" i="8"/>
  <c r="AH53" i="8"/>
  <c r="AH54" i="8"/>
  <c r="Q54" i="8" s="1"/>
  <c r="AH55" i="8"/>
  <c r="AH56" i="8"/>
  <c r="AH57" i="8"/>
  <c r="AH58" i="8"/>
  <c r="Q58" i="8" s="1"/>
  <c r="AH59" i="8"/>
  <c r="AH60" i="8"/>
  <c r="AH61" i="8"/>
  <c r="AH62" i="8"/>
  <c r="Q62" i="8" s="1"/>
  <c r="AH63" i="8"/>
  <c r="AH64" i="8"/>
  <c r="AH65" i="8"/>
  <c r="AH66" i="8"/>
  <c r="Q66" i="8" s="1"/>
  <c r="AH67" i="8"/>
  <c r="AH68" i="8"/>
  <c r="AH69" i="8"/>
  <c r="Q69" i="8" s="1"/>
  <c r="AH70" i="8"/>
  <c r="Q70" i="8" s="1"/>
  <c r="AH71" i="8"/>
  <c r="AH72" i="8"/>
  <c r="AH73" i="8"/>
  <c r="AH74" i="8"/>
  <c r="Q74" i="8" s="1"/>
  <c r="AH75" i="8"/>
  <c r="AH76" i="8"/>
  <c r="AH77" i="8"/>
  <c r="AH78" i="8"/>
  <c r="AH79" i="8"/>
  <c r="AH80" i="8"/>
  <c r="AH81" i="8"/>
  <c r="AH82" i="8"/>
  <c r="Q82" i="8" s="1"/>
  <c r="AH83" i="8"/>
  <c r="AH84" i="8"/>
  <c r="AH85" i="8"/>
  <c r="AH86" i="8"/>
  <c r="Q86" i="8" s="1"/>
  <c r="AH87" i="8"/>
  <c r="AH88" i="8"/>
  <c r="Q88" i="8" s="1"/>
  <c r="AH89" i="8"/>
  <c r="Q89" i="8" s="1"/>
  <c r="AH93" i="8"/>
  <c r="AH94" i="8"/>
  <c r="AH95" i="8"/>
  <c r="AH96" i="8"/>
  <c r="AH97" i="8"/>
  <c r="AH98" i="8"/>
  <c r="Q98" i="8" s="1"/>
  <c r="AH99" i="8"/>
  <c r="AH100" i="8"/>
  <c r="Q100" i="8" s="1"/>
  <c r="AH101" i="8"/>
  <c r="AH102" i="8"/>
  <c r="AH103" i="8"/>
  <c r="AH104" i="8"/>
  <c r="AH105" i="8"/>
  <c r="Q105" i="8" s="1"/>
  <c r="AH106" i="8"/>
  <c r="Q106" i="8" s="1"/>
  <c r="AH107" i="8"/>
  <c r="AH108" i="8"/>
  <c r="AH109" i="8"/>
  <c r="AH110" i="8"/>
  <c r="Q110" i="8" s="1"/>
  <c r="AH111" i="8"/>
  <c r="AH112" i="8"/>
  <c r="Q112" i="8" s="1"/>
  <c r="AH113" i="8"/>
  <c r="AH114" i="8"/>
  <c r="AH116" i="8"/>
  <c r="AH117" i="8"/>
  <c r="Q117" i="8" s="1"/>
  <c r="AH118" i="8"/>
  <c r="AH119" i="8"/>
  <c r="AH120" i="8"/>
  <c r="AH121" i="8"/>
  <c r="Q122" i="8"/>
  <c r="AH123" i="8"/>
  <c r="AH124" i="8"/>
  <c r="Q124" i="8" s="1"/>
  <c r="AH125" i="8"/>
  <c r="AH126" i="8"/>
  <c r="Q126" i="8" s="1"/>
  <c r="AH127" i="8"/>
  <c r="AH128" i="8"/>
  <c r="AH129" i="8"/>
  <c r="AH130" i="8"/>
  <c r="AH131" i="8"/>
  <c r="AH132" i="8"/>
  <c r="AH133" i="8"/>
  <c r="AH134" i="8"/>
  <c r="Q134" i="8" s="1"/>
  <c r="AH135" i="8"/>
  <c r="AH136" i="8"/>
  <c r="Q136" i="8" s="1"/>
  <c r="AH137" i="8"/>
  <c r="AH138" i="8"/>
  <c r="Q138" i="8" s="1"/>
  <c r="AH139" i="8"/>
  <c r="AH140" i="8"/>
  <c r="AH141" i="8"/>
  <c r="AH142" i="8"/>
  <c r="Q142" i="8" s="1"/>
  <c r="AH143" i="8"/>
  <c r="AH144" i="8"/>
  <c r="AH145" i="8"/>
  <c r="AH146" i="8"/>
  <c r="Q146" i="8" s="1"/>
  <c r="AH147" i="8"/>
  <c r="AH148" i="8"/>
  <c r="AH149" i="8"/>
  <c r="AH150" i="8"/>
  <c r="AH151" i="8"/>
  <c r="AH152" i="8"/>
  <c r="AH153" i="8"/>
  <c r="AH154" i="8"/>
  <c r="Q154" i="8" s="1"/>
  <c r="AH155" i="8"/>
  <c r="AH156" i="8"/>
  <c r="AH157" i="8"/>
  <c r="Q158" i="8"/>
  <c r="AH162" i="8"/>
  <c r="AH163" i="8"/>
  <c r="AH164" i="8"/>
  <c r="AH165" i="8"/>
  <c r="Q165" i="8" s="1"/>
  <c r="AH166" i="8"/>
  <c r="AH167" i="8"/>
  <c r="AH168" i="8"/>
  <c r="AH169" i="8"/>
  <c r="AH170" i="8"/>
  <c r="Q170" i="8" s="1"/>
  <c r="AH171" i="8"/>
  <c r="AH172" i="8"/>
  <c r="Q172" i="8" s="1"/>
  <c r="AH173" i="8"/>
  <c r="AH174" i="8"/>
  <c r="Q174" i="8" s="1"/>
  <c r="AH175" i="8"/>
  <c r="AH176" i="8"/>
  <c r="AH177" i="8"/>
  <c r="Q177" i="8" s="1"/>
  <c r="AH178" i="8"/>
  <c r="AH179" i="8"/>
  <c r="AH180" i="8"/>
  <c r="AH181" i="8"/>
  <c r="AH182" i="8"/>
  <c r="Q182" i="8" s="1"/>
  <c r="AH183" i="8"/>
  <c r="AH184" i="8"/>
  <c r="AH185" i="8"/>
  <c r="AH186" i="8"/>
  <c r="AH187" i="8"/>
  <c r="AH188" i="8"/>
  <c r="AH189" i="8"/>
  <c r="AH190" i="8"/>
  <c r="AH191" i="8"/>
  <c r="AH192" i="8"/>
  <c r="AH193" i="8"/>
  <c r="AH194" i="8"/>
  <c r="Q194" i="8" s="1"/>
  <c r="AH195" i="8"/>
  <c r="AH196" i="8"/>
  <c r="Q196" i="8" s="1"/>
  <c r="Q197" i="8"/>
  <c r="AH198" i="8"/>
  <c r="AH199" i="8"/>
  <c r="AH200" i="8"/>
  <c r="AH201" i="8"/>
  <c r="AH202" i="8"/>
  <c r="Q202" i="8" s="1"/>
  <c r="AH203" i="8"/>
  <c r="AH204" i="8"/>
  <c r="AH205" i="8"/>
  <c r="AH206" i="8"/>
  <c r="Q206" i="8" s="1"/>
  <c r="AH207" i="8"/>
  <c r="AH208" i="8"/>
  <c r="Q208" i="8" s="1"/>
  <c r="AH209" i="8"/>
  <c r="AH210" i="8"/>
  <c r="AH211" i="8"/>
  <c r="AH212" i="8"/>
  <c r="AH213" i="8"/>
  <c r="Q213" i="8" s="1"/>
  <c r="AH214" i="8"/>
  <c r="Q214" i="8" s="1"/>
  <c r="AH215" i="8"/>
  <c r="AH216" i="8"/>
  <c r="AH217" i="8"/>
  <c r="AH218" i="8"/>
  <c r="Q218" i="8" s="1"/>
  <c r="AH219" i="8"/>
  <c r="AH220" i="8"/>
  <c r="Q220" i="8" s="1"/>
  <c r="AH221" i="8"/>
  <c r="AH222" i="8"/>
  <c r="Q222" i="8" s="1"/>
  <c r="AH223" i="8"/>
  <c r="AH224" i="8"/>
  <c r="AH225" i="8"/>
  <c r="AH226" i="8"/>
  <c r="Q226" i="8" s="1"/>
  <c r="AH227" i="8"/>
  <c r="AH228" i="8"/>
  <c r="AH229" i="8"/>
  <c r="AH230" i="8"/>
  <c r="Q230" i="8" s="1"/>
  <c r="AH231" i="8"/>
  <c r="AH232" i="8"/>
  <c r="AH233" i="8"/>
  <c r="AH234" i="8"/>
  <c r="AH235" i="8"/>
  <c r="AH236" i="8"/>
  <c r="AH237" i="8"/>
  <c r="AH238" i="8"/>
  <c r="Q238" i="8" s="1"/>
  <c r="AH239" i="8"/>
  <c r="AH240" i="8"/>
  <c r="AH241" i="8"/>
  <c r="AH242" i="8"/>
  <c r="Q242" i="8" s="1"/>
  <c r="AH243" i="8"/>
  <c r="AH244" i="8"/>
  <c r="Q244" i="8" s="1"/>
  <c r="AH245" i="8"/>
  <c r="AH246" i="8"/>
  <c r="Q246" i="8" s="1"/>
  <c r="AH247" i="8"/>
  <c r="AH248" i="8"/>
  <c r="AH249" i="8"/>
  <c r="Q249" i="8" s="1"/>
  <c r="AH250" i="8"/>
  <c r="AH251" i="8"/>
  <c r="AH252" i="8"/>
  <c r="AH253" i="8"/>
  <c r="AH254" i="8"/>
  <c r="Q254" i="8" s="1"/>
  <c r="AH255" i="8"/>
  <c r="AH256" i="8"/>
  <c r="Q256" i="8" s="1"/>
  <c r="AH257" i="8"/>
  <c r="Q257" i="8" s="1"/>
  <c r="AH258" i="8"/>
  <c r="Q258" i="8" s="1"/>
  <c r="AH259" i="8"/>
  <c r="AH260" i="8"/>
  <c r="AH261" i="8"/>
  <c r="Q261" i="8" s="1"/>
  <c r="AH262" i="8"/>
  <c r="Q262" i="8" s="1"/>
  <c r="AH263" i="8"/>
  <c r="AH264" i="8"/>
  <c r="AH265" i="8"/>
  <c r="AH266" i="8"/>
  <c r="Q266" i="8" s="1"/>
  <c r="AH267" i="8"/>
  <c r="AH268" i="8"/>
  <c r="Q268" i="8" s="1"/>
  <c r="AH269" i="8"/>
  <c r="AH270" i="8"/>
  <c r="AH271" i="8"/>
  <c r="AH272" i="8"/>
  <c r="AH273" i="8"/>
  <c r="AH274" i="8"/>
  <c r="Q274" i="8" s="1"/>
  <c r="AH275" i="8"/>
  <c r="AH276" i="8"/>
  <c r="AH277" i="8"/>
  <c r="AH278" i="8"/>
  <c r="Q278" i="8" s="1"/>
  <c r="AH279" i="8"/>
  <c r="AH280" i="8"/>
  <c r="Q280" i="8" s="1"/>
  <c r="AH281" i="8"/>
  <c r="AH282" i="8"/>
  <c r="Q282" i="8" s="1"/>
  <c r="AH283" i="8"/>
  <c r="AH284" i="8"/>
  <c r="AH285" i="8"/>
  <c r="AH286" i="8"/>
  <c r="AH287" i="8"/>
  <c r="AH288" i="8"/>
  <c r="AH289" i="8"/>
  <c r="AH290" i="8"/>
  <c r="Q290" i="8" s="1"/>
  <c r="AH291" i="8"/>
  <c r="AH292" i="8"/>
  <c r="AH293" i="8"/>
  <c r="AH294" i="8"/>
  <c r="Q294" i="8" s="1"/>
  <c r="AH295" i="8"/>
  <c r="AH296" i="8"/>
  <c r="AH297" i="8"/>
  <c r="AH298" i="8"/>
  <c r="Q298" i="8" s="1"/>
  <c r="AH299" i="8"/>
  <c r="AH300" i="8"/>
  <c r="AH301" i="8"/>
  <c r="AH302" i="8"/>
  <c r="Q302" i="8" s="1"/>
  <c r="AH303" i="8"/>
  <c r="AH304" i="8"/>
  <c r="AH305" i="8"/>
  <c r="AH306" i="8"/>
  <c r="AH307" i="8"/>
  <c r="AH308" i="8"/>
  <c r="AH309" i="8"/>
  <c r="AH310" i="8"/>
  <c r="Q310" i="8" s="1"/>
  <c r="AH311" i="8"/>
  <c r="AH312" i="8"/>
  <c r="AH313" i="8"/>
  <c r="AH314" i="8"/>
  <c r="Q314" i="8" s="1"/>
  <c r="AH315" i="8"/>
  <c r="AH316" i="8"/>
  <c r="Q316" i="8" s="1"/>
  <c r="AH317" i="8"/>
  <c r="AH318" i="8"/>
  <c r="AH319" i="8"/>
  <c r="AH320" i="8"/>
  <c r="AH321" i="8"/>
  <c r="AH322" i="8"/>
  <c r="AH323" i="8"/>
  <c r="AH324" i="8"/>
  <c r="AH325" i="8"/>
  <c r="AH326" i="8"/>
  <c r="Q326" i="8" s="1"/>
  <c r="AH327" i="8"/>
  <c r="AH328" i="8"/>
  <c r="AH329" i="8"/>
  <c r="AH330" i="8"/>
  <c r="AH331" i="8"/>
  <c r="AH332" i="8"/>
  <c r="AH333" i="8"/>
  <c r="AH334" i="8"/>
  <c r="Q334" i="8" s="1"/>
  <c r="AH335" i="8"/>
  <c r="AH336" i="8"/>
  <c r="AH337" i="8"/>
  <c r="AH338" i="8"/>
  <c r="Q338" i="8" s="1"/>
  <c r="AH339" i="8"/>
  <c r="AH340" i="8"/>
  <c r="Q340" i="8" s="1"/>
  <c r="AH341" i="8"/>
  <c r="AH342" i="8"/>
  <c r="AH343" i="8"/>
  <c r="AH344" i="8"/>
  <c r="AH345" i="8"/>
  <c r="Q345" i="8" s="1"/>
  <c r="AH346" i="8"/>
  <c r="Q346" i="8" s="1"/>
  <c r="AH347" i="8"/>
  <c r="AH348" i="8"/>
  <c r="AH349" i="8"/>
  <c r="AH350" i="8"/>
  <c r="Q350" i="8" s="1"/>
  <c r="AH351" i="8"/>
  <c r="AH352" i="8"/>
  <c r="Q352" i="8" s="1"/>
  <c r="AH353" i="8"/>
  <c r="AH354" i="8"/>
  <c r="Q354" i="8" s="1"/>
  <c r="AH355" i="8"/>
  <c r="AH356" i="8"/>
  <c r="AG3" i="8"/>
  <c r="R3" i="8" s="1"/>
  <c r="AG4" i="8"/>
  <c r="R4" i="8" s="1"/>
  <c r="AG5" i="8"/>
  <c r="R5" i="8" s="1"/>
  <c r="AG6" i="8"/>
  <c r="R6" i="8" s="1"/>
  <c r="AG7" i="8"/>
  <c r="R7" i="8" s="1"/>
  <c r="AG8" i="8"/>
  <c r="R8" i="8" s="1"/>
  <c r="AG9" i="8"/>
  <c r="R9" i="8" s="1"/>
  <c r="AG10" i="8"/>
  <c r="R10" i="8" s="1"/>
  <c r="AG11" i="8"/>
  <c r="AG12" i="8"/>
  <c r="AG13" i="8"/>
  <c r="AG14" i="8"/>
  <c r="AG15" i="8"/>
  <c r="R15" i="8" s="1"/>
  <c r="AG16" i="8"/>
  <c r="R16" i="8" s="1"/>
  <c r="AG17" i="8"/>
  <c r="R17" i="8" s="1"/>
  <c r="AG18" i="8"/>
  <c r="R18" i="8" s="1"/>
  <c r="AG19" i="8"/>
  <c r="R19" i="8" s="1"/>
  <c r="AG20" i="8"/>
  <c r="R20" i="8" s="1"/>
  <c r="AG21" i="8"/>
  <c r="AG22" i="8"/>
  <c r="R22" i="8" s="1"/>
  <c r="AG23" i="8"/>
  <c r="R23" i="8" s="1"/>
  <c r="AG24" i="8"/>
  <c r="R24" i="8" s="1"/>
  <c r="AG25" i="8"/>
  <c r="AG26" i="8"/>
  <c r="AG27" i="8"/>
  <c r="R27" i="8" s="1"/>
  <c r="AG28" i="8"/>
  <c r="R28" i="8" s="1"/>
  <c r="AG29" i="8"/>
  <c r="R29" i="8" s="1"/>
  <c r="AG30" i="8"/>
  <c r="R30" i="8" s="1"/>
  <c r="AG31" i="8"/>
  <c r="R31" i="8" s="1"/>
  <c r="AG32" i="8"/>
  <c r="R32" i="8" s="1"/>
  <c r="AG33" i="8"/>
  <c r="R33" i="8" s="1"/>
  <c r="AG34" i="8"/>
  <c r="AG35" i="8"/>
  <c r="AG36" i="8"/>
  <c r="R36" i="8" s="1"/>
  <c r="AG37" i="8"/>
  <c r="AG38" i="8"/>
  <c r="AG39" i="8"/>
  <c r="R39" i="8" s="1"/>
  <c r="AG40" i="8"/>
  <c r="R40" i="8" s="1"/>
  <c r="AG41" i="8"/>
  <c r="R41" i="8" s="1"/>
  <c r="AG42" i="8"/>
  <c r="R42" i="8" s="1"/>
  <c r="AG43" i="8"/>
  <c r="R43" i="8" s="1"/>
  <c r="AG44" i="8"/>
  <c r="R44" i="8" s="1"/>
  <c r="AG45" i="8"/>
  <c r="AG46" i="8"/>
  <c r="AG47" i="8"/>
  <c r="AG48" i="8"/>
  <c r="R48" i="8" s="1"/>
  <c r="AG49" i="8"/>
  <c r="R49" i="8" s="1"/>
  <c r="AG50" i="8"/>
  <c r="AG51" i="8"/>
  <c r="R51" i="8" s="1"/>
  <c r="AG52" i="8"/>
  <c r="R52" i="8" s="1"/>
  <c r="AG53" i="8"/>
  <c r="R53" i="8" s="1"/>
  <c r="AG54" i="8"/>
  <c r="R54" i="8" s="1"/>
  <c r="AG55" i="8"/>
  <c r="R55" i="8" s="1"/>
  <c r="AG56" i="8"/>
  <c r="R56" i="8" s="1"/>
  <c r="AG57" i="8"/>
  <c r="R57" i="8" s="1"/>
  <c r="AG58" i="8"/>
  <c r="R58" i="8" s="1"/>
  <c r="AG59" i="8"/>
  <c r="AG60" i="8"/>
  <c r="AG61" i="8"/>
  <c r="AG62" i="8"/>
  <c r="AG63" i="8"/>
  <c r="R63" i="8" s="1"/>
  <c r="AG64" i="8"/>
  <c r="R64" i="8" s="1"/>
  <c r="AG65" i="8"/>
  <c r="R65" i="8" s="1"/>
  <c r="AG66" i="8"/>
  <c r="R66" i="8" s="1"/>
  <c r="AG67" i="8"/>
  <c r="R67" i="8" s="1"/>
  <c r="AG68" i="8"/>
  <c r="R68" i="8" s="1"/>
  <c r="AG69" i="8"/>
  <c r="R69" i="8" s="1"/>
  <c r="AG70" i="8"/>
  <c r="R70" i="8" s="1"/>
  <c r="AG71" i="8"/>
  <c r="R71" i="8" s="1"/>
  <c r="AG72" i="8"/>
  <c r="R72" i="8" s="1"/>
  <c r="AG73" i="8"/>
  <c r="AG74" i="8"/>
  <c r="R74" i="8" s="1"/>
  <c r="AG75" i="8"/>
  <c r="R75" i="8" s="1"/>
  <c r="AG76" i="8"/>
  <c r="R76" i="8" s="1"/>
  <c r="AG77" i="8"/>
  <c r="R77" i="8" s="1"/>
  <c r="AG78" i="8"/>
  <c r="R78" i="8" s="1"/>
  <c r="AG79" i="8"/>
  <c r="R79" i="8" s="1"/>
  <c r="AG80" i="8"/>
  <c r="R80" i="8" s="1"/>
  <c r="AG81" i="8"/>
  <c r="R81" i="8" s="1"/>
  <c r="AG82" i="8"/>
  <c r="AG83" i="8"/>
  <c r="AG84" i="8"/>
  <c r="R84" i="8" s="1"/>
  <c r="AG85" i="8"/>
  <c r="AG86" i="8"/>
  <c r="AG87" i="8"/>
  <c r="R87" i="8" s="1"/>
  <c r="AG88" i="8"/>
  <c r="R88" i="8" s="1"/>
  <c r="AG89" i="8"/>
  <c r="R89" i="8" s="1"/>
  <c r="R90" i="8"/>
  <c r="R91" i="8"/>
  <c r="AG93" i="8"/>
  <c r="R93" i="8" s="1"/>
  <c r="AG94" i="8"/>
  <c r="R94" i="8" s="1"/>
  <c r="AG95" i="8"/>
  <c r="R95" i="8" s="1"/>
  <c r="AG96" i="8"/>
  <c r="AG97" i="8"/>
  <c r="R97" i="8" s="1"/>
  <c r="AG98" i="8"/>
  <c r="AG99" i="8"/>
  <c r="R99" i="8" s="1"/>
  <c r="AG100" i="8"/>
  <c r="R100" i="8" s="1"/>
  <c r="AG101" i="8"/>
  <c r="R101" i="8" s="1"/>
  <c r="AG102" i="8"/>
  <c r="R102" i="8" s="1"/>
  <c r="AG103" i="8"/>
  <c r="R103" i="8" s="1"/>
  <c r="AG104" i="8"/>
  <c r="R104" i="8" s="1"/>
  <c r="AG105" i="8"/>
  <c r="R105" i="8" s="1"/>
  <c r="AG106" i="8"/>
  <c r="R106" i="8" s="1"/>
  <c r="AG107" i="8"/>
  <c r="R107" i="8" s="1"/>
  <c r="AG108" i="8"/>
  <c r="AG109" i="8"/>
  <c r="AG110" i="8"/>
  <c r="AG111" i="8"/>
  <c r="R111" i="8" s="1"/>
  <c r="AG112" i="8"/>
  <c r="R112" i="8" s="1"/>
  <c r="AG113" i="8"/>
  <c r="R113" i="8" s="1"/>
  <c r="AG114" i="8"/>
  <c r="R114" i="8" s="1"/>
  <c r="R115" i="8"/>
  <c r="AG116" i="8"/>
  <c r="R116" i="8" s="1"/>
  <c r="AG117" i="8"/>
  <c r="R117" i="8" s="1"/>
  <c r="AG118" i="8"/>
  <c r="R118" i="8" s="1"/>
  <c r="AG119" i="8"/>
  <c r="R119" i="8" s="1"/>
  <c r="AG120" i="8"/>
  <c r="R120" i="8" s="1"/>
  <c r="AG121" i="8"/>
  <c r="AG123" i="8"/>
  <c r="R123" i="8" s="1"/>
  <c r="AG124" i="8"/>
  <c r="R124" i="8" s="1"/>
  <c r="AG125" i="8"/>
  <c r="R125" i="8" s="1"/>
  <c r="AG126" i="8"/>
  <c r="R126" i="8" s="1"/>
  <c r="AG127" i="8"/>
  <c r="R127" i="8" s="1"/>
  <c r="AG128" i="8"/>
  <c r="R128" i="8" s="1"/>
  <c r="AG129" i="8"/>
  <c r="R129" i="8" s="1"/>
  <c r="AG130" i="8"/>
  <c r="R130" i="8" s="1"/>
  <c r="AG131" i="8"/>
  <c r="AG132" i="8"/>
  <c r="R132" i="8" s="1"/>
  <c r="AG133" i="8"/>
  <c r="AG134" i="8"/>
  <c r="AG135" i="8"/>
  <c r="R135" i="8" s="1"/>
  <c r="AG136" i="8"/>
  <c r="R136" i="8" s="1"/>
  <c r="AG137" i="8"/>
  <c r="R137" i="8" s="1"/>
  <c r="AG138" i="8"/>
  <c r="R138" i="8" s="1"/>
  <c r="AG139" i="8"/>
  <c r="R139" i="8" s="1"/>
  <c r="AG140" i="8"/>
  <c r="R140" i="8" s="1"/>
  <c r="AG141" i="8"/>
  <c r="R141" i="8" s="1"/>
  <c r="AG142" i="8"/>
  <c r="AG143" i="8"/>
  <c r="AG144" i="8"/>
  <c r="AG145" i="8"/>
  <c r="R145" i="8" s="1"/>
  <c r="AG146" i="8"/>
  <c r="R146" i="8" s="1"/>
  <c r="AG147" i="8"/>
  <c r="R147" i="8" s="1"/>
  <c r="AG148" i="8"/>
  <c r="R148" i="8" s="1"/>
  <c r="AG149" i="8"/>
  <c r="R149" i="8" s="1"/>
  <c r="AG150" i="8"/>
  <c r="R150" i="8" s="1"/>
  <c r="AG151" i="8"/>
  <c r="R151" i="8" s="1"/>
  <c r="AG152" i="8"/>
  <c r="R152" i="8" s="1"/>
  <c r="AG153" i="8"/>
  <c r="R153" i="8" s="1"/>
  <c r="AG154" i="8"/>
  <c r="AG155" i="8"/>
  <c r="AG156" i="8"/>
  <c r="AG157" i="8"/>
  <c r="R159" i="8"/>
  <c r="R160" i="8"/>
  <c r="R161" i="8"/>
  <c r="AG162" i="8"/>
  <c r="R162" i="8" s="1"/>
  <c r="AG163" i="8"/>
  <c r="R163" i="8" s="1"/>
  <c r="AG164" i="8"/>
  <c r="R164" i="8" s="1"/>
  <c r="AG165" i="8"/>
  <c r="R165" i="8" s="1"/>
  <c r="AG166" i="8"/>
  <c r="R166" i="8" s="1"/>
  <c r="AG167" i="8"/>
  <c r="R167" i="8" s="1"/>
  <c r="AG168" i="8"/>
  <c r="R168" i="8" s="1"/>
  <c r="AG169" i="8"/>
  <c r="AG170" i="8"/>
  <c r="AG171" i="8"/>
  <c r="R171" i="8" s="1"/>
  <c r="AG172" i="8"/>
  <c r="R172" i="8" s="1"/>
  <c r="AG173" i="8"/>
  <c r="R173" i="8" s="1"/>
  <c r="AG174" i="8"/>
  <c r="R174" i="8" s="1"/>
  <c r="AG175" i="8"/>
  <c r="R175" i="8" s="1"/>
  <c r="AG176" i="8"/>
  <c r="R176" i="8" s="1"/>
  <c r="AG177" i="8"/>
  <c r="R177" i="8" s="1"/>
  <c r="AG178" i="8"/>
  <c r="R178" i="8" s="1"/>
  <c r="AG179" i="8"/>
  <c r="R179" i="8" s="1"/>
  <c r="AG180" i="8"/>
  <c r="R180" i="8" s="1"/>
  <c r="AG181" i="8"/>
  <c r="AG182" i="8"/>
  <c r="AG183" i="8"/>
  <c r="R183" i="8" s="1"/>
  <c r="AG184" i="8"/>
  <c r="R184" i="8" s="1"/>
  <c r="AG185" i="8"/>
  <c r="R185" i="8" s="1"/>
  <c r="AG186" i="8"/>
  <c r="R186" i="8" s="1"/>
  <c r="AG187" i="8"/>
  <c r="R187" i="8" s="1"/>
  <c r="AG188" i="8"/>
  <c r="R188" i="8" s="1"/>
  <c r="AG189" i="8"/>
  <c r="R189" i="8" s="1"/>
  <c r="AG190" i="8"/>
  <c r="R190" i="8" s="1"/>
  <c r="AG191" i="8"/>
  <c r="R191" i="8" s="1"/>
  <c r="AG192" i="8"/>
  <c r="R192" i="8" s="1"/>
  <c r="AG193" i="8"/>
  <c r="R193" i="8" s="1"/>
  <c r="AG194" i="8"/>
  <c r="AG195" i="8"/>
  <c r="R195" i="8" s="1"/>
  <c r="AG196" i="8"/>
  <c r="R196" i="8" s="1"/>
  <c r="R197" i="8"/>
  <c r="AG198" i="8"/>
  <c r="R198" i="8" s="1"/>
  <c r="AG199" i="8"/>
  <c r="R199" i="8" s="1"/>
  <c r="AG200" i="8"/>
  <c r="R200" i="8" s="1"/>
  <c r="AG201" i="8"/>
  <c r="R201" i="8" s="1"/>
  <c r="AG202" i="8"/>
  <c r="R202" i="8" s="1"/>
  <c r="AG203" i="8"/>
  <c r="R203" i="8" s="1"/>
  <c r="AG204" i="8"/>
  <c r="AG205" i="8"/>
  <c r="AG206" i="8"/>
  <c r="AG207" i="8"/>
  <c r="R207" i="8" s="1"/>
  <c r="AG208" i="8"/>
  <c r="R208" i="8" s="1"/>
  <c r="AG209" i="8"/>
  <c r="R209" i="8" s="1"/>
  <c r="AG210" i="8"/>
  <c r="R210" i="8" s="1"/>
  <c r="AG211" i="8"/>
  <c r="R211" i="8" s="1"/>
  <c r="AG212" i="8"/>
  <c r="R212" i="8" s="1"/>
  <c r="AG213" i="8"/>
  <c r="R213" i="8" s="1"/>
  <c r="AG214" i="8"/>
  <c r="R214" i="8" s="1"/>
  <c r="AG215" i="8"/>
  <c r="R215" i="8" s="1"/>
  <c r="AG216" i="8"/>
  <c r="R216" i="8" s="1"/>
  <c r="AG217" i="8"/>
  <c r="AG218" i="8"/>
  <c r="AG219" i="8"/>
  <c r="R219" i="8" s="1"/>
  <c r="AG220" i="8"/>
  <c r="R220" i="8" s="1"/>
  <c r="AG221" i="8"/>
  <c r="R221" i="8" s="1"/>
  <c r="AG222" i="8"/>
  <c r="R222" i="8" s="1"/>
  <c r="AG223" i="8"/>
  <c r="R223" i="8" s="1"/>
  <c r="AG224" i="8"/>
  <c r="R224" i="8" s="1"/>
  <c r="AG225" i="8"/>
  <c r="R225" i="8" s="1"/>
  <c r="AG226" i="8"/>
  <c r="R226" i="8" s="1"/>
  <c r="AG227" i="8"/>
  <c r="AG228" i="8"/>
  <c r="R228" i="8" s="1"/>
  <c r="AG229" i="8"/>
  <c r="AG230" i="8"/>
  <c r="AG231" i="8"/>
  <c r="R231" i="8" s="1"/>
  <c r="AG232" i="8"/>
  <c r="R232" i="8" s="1"/>
  <c r="AG233" i="8"/>
  <c r="R233" i="8" s="1"/>
  <c r="AG234" i="8"/>
  <c r="R234" i="8" s="1"/>
  <c r="AG235" i="8"/>
  <c r="R235" i="8" s="1"/>
  <c r="AG236" i="8"/>
  <c r="R236" i="8" s="1"/>
  <c r="AG237" i="8"/>
  <c r="R237" i="8" s="1"/>
  <c r="AG238" i="8"/>
  <c r="R238" i="8" s="1"/>
  <c r="AG239" i="8"/>
  <c r="AG240" i="8"/>
  <c r="AG241" i="8"/>
  <c r="R241" i="8" s="1"/>
  <c r="AG242" i="8"/>
  <c r="AG243" i="8"/>
  <c r="R243" i="8" s="1"/>
  <c r="AG244" i="8"/>
  <c r="R244" i="8" s="1"/>
  <c r="AG245" i="8"/>
  <c r="R245" i="8" s="1"/>
  <c r="AG246" i="8"/>
  <c r="R246" i="8" s="1"/>
  <c r="AG247" i="8"/>
  <c r="R247" i="8" s="1"/>
  <c r="AG248" i="8"/>
  <c r="R248" i="8" s="1"/>
  <c r="AG249" i="8"/>
  <c r="R249" i="8" s="1"/>
  <c r="AG250" i="8"/>
  <c r="R250" i="8" s="1"/>
  <c r="AG251" i="8"/>
  <c r="AG252" i="8"/>
  <c r="AG253" i="8"/>
  <c r="AG254" i="8"/>
  <c r="AG255" i="8"/>
  <c r="R255" i="8" s="1"/>
  <c r="AG256" i="8"/>
  <c r="R256" i="8" s="1"/>
  <c r="AG257" i="8"/>
  <c r="R257" i="8" s="1"/>
  <c r="AG258" i="8"/>
  <c r="R258" i="8" s="1"/>
  <c r="AG259" i="8"/>
  <c r="R259" i="8" s="1"/>
  <c r="AG260" i="8"/>
  <c r="R260" i="8" s="1"/>
  <c r="AG261" i="8"/>
  <c r="AG262" i="8"/>
  <c r="R262" i="8" s="1"/>
  <c r="AG263" i="8"/>
  <c r="R263" i="8" s="1"/>
  <c r="AG264" i="8"/>
  <c r="R264" i="8" s="1"/>
  <c r="AG265" i="8"/>
  <c r="AG266" i="8"/>
  <c r="AG267" i="8"/>
  <c r="R267" i="8" s="1"/>
  <c r="AG268" i="8"/>
  <c r="R268" i="8" s="1"/>
  <c r="AG269" i="8"/>
  <c r="R269" i="8" s="1"/>
  <c r="AG270" i="8"/>
  <c r="R270" i="8" s="1"/>
  <c r="AG271" i="8"/>
  <c r="R271" i="8" s="1"/>
  <c r="AG272" i="8"/>
  <c r="R272" i="8" s="1"/>
  <c r="AG273" i="8"/>
  <c r="R273" i="8" s="1"/>
  <c r="AG274" i="8"/>
  <c r="AG275" i="8"/>
  <c r="AG276" i="8"/>
  <c r="R276" i="8" s="1"/>
  <c r="AG277" i="8"/>
  <c r="AG278" i="8"/>
  <c r="AG279" i="8"/>
  <c r="R279" i="8" s="1"/>
  <c r="AG280" i="8"/>
  <c r="R280" i="8" s="1"/>
  <c r="AG281" i="8"/>
  <c r="R281" i="8" s="1"/>
  <c r="AG282" i="8"/>
  <c r="R282" i="8" s="1"/>
  <c r="AG283" i="8"/>
  <c r="R283" i="8" s="1"/>
  <c r="AG284" i="8"/>
  <c r="R284" i="8" s="1"/>
  <c r="AG285" i="8"/>
  <c r="R285" i="8" s="1"/>
  <c r="AG286" i="8"/>
  <c r="R286" i="8" s="1"/>
  <c r="AG287" i="8"/>
  <c r="R287" i="8" s="1"/>
  <c r="AG288" i="8"/>
  <c r="AG289" i="8"/>
  <c r="AG290" i="8"/>
  <c r="AG291" i="8"/>
  <c r="R291" i="8" s="1"/>
  <c r="AG292" i="8"/>
  <c r="R292" i="8" s="1"/>
  <c r="AG293" i="8"/>
  <c r="R293" i="8" s="1"/>
  <c r="AG294" i="8"/>
  <c r="R294" i="8" s="1"/>
  <c r="AG295" i="8"/>
  <c r="R295" i="8" s="1"/>
  <c r="AG296" i="8"/>
  <c r="R296" i="8" s="1"/>
  <c r="AG297" i="8"/>
  <c r="R297" i="8" s="1"/>
  <c r="AG298" i="8"/>
  <c r="R298" i="8" s="1"/>
  <c r="AG299" i="8"/>
  <c r="R299" i="8" s="1"/>
  <c r="AG300" i="8"/>
  <c r="AG301" i="8"/>
  <c r="AG302" i="8"/>
  <c r="AG303" i="8"/>
  <c r="R303" i="8" s="1"/>
  <c r="AG304" i="8"/>
  <c r="R304" i="8" s="1"/>
  <c r="AG305" i="8"/>
  <c r="R305" i="8" s="1"/>
  <c r="AG306" i="8"/>
  <c r="R306" i="8" s="1"/>
  <c r="AG307" i="8"/>
  <c r="R307" i="8" s="1"/>
  <c r="AG308" i="8"/>
  <c r="R308" i="8" s="1"/>
  <c r="AG309" i="8"/>
  <c r="R309" i="8" s="1"/>
  <c r="AG310" i="8"/>
  <c r="R310" i="8" s="1"/>
  <c r="AG311" i="8"/>
  <c r="R311" i="8" s="1"/>
  <c r="AG312" i="8"/>
  <c r="R312" i="8" s="1"/>
  <c r="AG313" i="8"/>
  <c r="AG314" i="8"/>
  <c r="AG315" i="8"/>
  <c r="R315" i="8" s="1"/>
  <c r="AG316" i="8"/>
  <c r="R316" i="8" s="1"/>
  <c r="AG317" i="8"/>
  <c r="R317" i="8" s="1"/>
  <c r="AG318" i="8"/>
  <c r="R318" i="8" s="1"/>
  <c r="AG319" i="8"/>
  <c r="R319" i="8" s="1"/>
  <c r="AG320" i="8"/>
  <c r="R320" i="8" s="1"/>
  <c r="AG321" i="8"/>
  <c r="R321" i="8" s="1"/>
  <c r="AG322" i="8"/>
  <c r="R322" i="8" s="1"/>
  <c r="AG323" i="8"/>
  <c r="AG324" i="8"/>
  <c r="R324" i="8" s="1"/>
  <c r="AG325" i="8"/>
  <c r="AG326" i="8"/>
  <c r="AG327" i="8"/>
  <c r="R327" i="8" s="1"/>
  <c r="AG328" i="8"/>
  <c r="R328" i="8" s="1"/>
  <c r="AG329" i="8"/>
  <c r="R329" i="8" s="1"/>
  <c r="AG330" i="8"/>
  <c r="R330" i="8" s="1"/>
  <c r="AG331" i="8"/>
  <c r="R331" i="8" s="1"/>
  <c r="AG332" i="8"/>
  <c r="R332" i="8" s="1"/>
  <c r="AG333" i="8"/>
  <c r="R333" i="8" s="1"/>
  <c r="AG334" i="8"/>
  <c r="AG335" i="8"/>
  <c r="AG336" i="8"/>
  <c r="R336" i="8" s="1"/>
  <c r="AG337" i="8"/>
  <c r="R337" i="8" s="1"/>
  <c r="AG338" i="8"/>
  <c r="AG339" i="8"/>
  <c r="R339" i="8" s="1"/>
  <c r="AG340" i="8"/>
  <c r="R340" i="8" s="1"/>
  <c r="AG341" i="8"/>
  <c r="R341" i="8" s="1"/>
  <c r="AG342" i="8"/>
  <c r="R342" i="8" s="1"/>
  <c r="AG343" i="8"/>
  <c r="R343" i="8" s="1"/>
  <c r="AG344" i="8"/>
  <c r="R344" i="8" s="1"/>
  <c r="AG345" i="8"/>
  <c r="R345" i="8" s="1"/>
  <c r="AG346" i="8"/>
  <c r="R346" i="8" s="1"/>
  <c r="AG347" i="8"/>
  <c r="AG348" i="8"/>
  <c r="AG349" i="8"/>
  <c r="AG350" i="8"/>
  <c r="AG351" i="8"/>
  <c r="R351" i="8" s="1"/>
  <c r="AG352" i="8"/>
  <c r="R352" i="8" s="1"/>
  <c r="AG353" i="8"/>
  <c r="R353" i="8" s="1"/>
  <c r="AG354" i="8"/>
  <c r="R354" i="8" s="1"/>
  <c r="AG355" i="8"/>
  <c r="R355" i="8" s="1"/>
  <c r="AG356" i="8"/>
  <c r="R356" i="8" s="1"/>
  <c r="ER5" i="3"/>
  <c r="ES5" i="3"/>
  <c r="ET5" i="3"/>
  <c r="EU5" i="3"/>
  <c r="EV5" i="3"/>
  <c r="EW5" i="3"/>
  <c r="EX5" i="3"/>
  <c r="A5" i="3" l="1"/>
  <c r="A5" i="41"/>
  <c r="A5" i="5"/>
  <c r="A5" i="7"/>
  <c r="P74" i="8"/>
  <c r="P112" i="8"/>
  <c r="P100" i="8"/>
  <c r="P88" i="8"/>
  <c r="P354" i="8"/>
  <c r="P294" i="8"/>
  <c r="P282" i="8"/>
  <c r="P258" i="8"/>
  <c r="P246" i="8"/>
  <c r="P222" i="8"/>
  <c r="P174" i="8"/>
  <c r="P138" i="8"/>
  <c r="P126" i="8"/>
  <c r="P66" i="8"/>
  <c r="P54" i="8"/>
  <c r="P42" i="8"/>
  <c r="P257" i="8"/>
  <c r="P197" i="8"/>
  <c r="P89" i="8"/>
  <c r="P346" i="8"/>
  <c r="P310" i="8"/>
  <c r="P298" i="8"/>
  <c r="P262" i="8"/>
  <c r="P238" i="8"/>
  <c r="P226" i="8"/>
  <c r="P214" i="8"/>
  <c r="P202" i="8"/>
  <c r="P106" i="8"/>
  <c r="P70" i="8"/>
  <c r="P58" i="8"/>
  <c r="P22" i="8"/>
  <c r="P10" i="8"/>
  <c r="P345" i="8"/>
  <c r="P249" i="8"/>
  <c r="P177" i="8"/>
  <c r="P105" i="8"/>
  <c r="P69" i="8"/>
  <c r="P146" i="8"/>
  <c r="P213" i="8"/>
  <c r="P165" i="8"/>
  <c r="P117" i="8"/>
  <c r="Q300" i="8"/>
  <c r="Q216" i="8"/>
  <c r="P216" i="8" s="1"/>
  <c r="Q347" i="8"/>
  <c r="Q287" i="8"/>
  <c r="P287" i="8" s="1"/>
  <c r="Q215" i="8"/>
  <c r="P215" i="8" s="1"/>
  <c r="Q119" i="8"/>
  <c r="P119" i="8" s="1"/>
  <c r="Q35" i="8"/>
  <c r="Q260" i="8"/>
  <c r="P260" i="8" s="1"/>
  <c r="Q276" i="8"/>
  <c r="P276" i="8" s="1"/>
  <c r="Q252" i="8"/>
  <c r="Q228" i="8"/>
  <c r="P228" i="8" s="1"/>
  <c r="Q156" i="8"/>
  <c r="Q144" i="8"/>
  <c r="Q132" i="8"/>
  <c r="P132" i="8" s="1"/>
  <c r="Q96" i="8"/>
  <c r="Q60" i="8"/>
  <c r="Q12" i="8"/>
  <c r="Q299" i="8"/>
  <c r="P299" i="8" s="1"/>
  <c r="Q251" i="8"/>
  <c r="Q227" i="8"/>
  <c r="Q203" i="8"/>
  <c r="P203" i="8" s="1"/>
  <c r="Q167" i="8"/>
  <c r="P167" i="8" s="1"/>
  <c r="Q143" i="8"/>
  <c r="Q131" i="8"/>
  <c r="Q95" i="8"/>
  <c r="P95" i="8" s="1"/>
  <c r="Q71" i="8"/>
  <c r="P71" i="8" s="1"/>
  <c r="Q47" i="8"/>
  <c r="Q11" i="8"/>
  <c r="Q236" i="8"/>
  <c r="P236" i="8" s="1"/>
  <c r="Q164" i="8"/>
  <c r="P164" i="8" s="1"/>
  <c r="Q140" i="8"/>
  <c r="P140" i="8" s="1"/>
  <c r="Q92" i="8"/>
  <c r="Q355" i="8"/>
  <c r="P355" i="8" s="1"/>
  <c r="Q343" i="8"/>
  <c r="P343" i="8" s="1"/>
  <c r="Q331" i="8"/>
  <c r="P331" i="8" s="1"/>
  <c r="Q319" i="8"/>
  <c r="P319" i="8" s="1"/>
  <c r="Q259" i="8"/>
  <c r="P259" i="8" s="1"/>
  <c r="Q247" i="8"/>
  <c r="P247" i="8" s="1"/>
  <c r="Q235" i="8"/>
  <c r="P235" i="8" s="1"/>
  <c r="Q199" i="8"/>
  <c r="P199" i="8" s="1"/>
  <c r="Q187" i="8"/>
  <c r="P187" i="8" s="1"/>
  <c r="Q175" i="8"/>
  <c r="P175" i="8" s="1"/>
  <c r="Q163" i="8"/>
  <c r="P163" i="8" s="1"/>
  <c r="Q91" i="8"/>
  <c r="P91" i="8" s="1"/>
  <c r="Q67" i="8"/>
  <c r="P67" i="8" s="1"/>
  <c r="Q43" i="8"/>
  <c r="P43" i="8" s="1"/>
  <c r="Q19" i="8"/>
  <c r="P19" i="8" s="1"/>
  <c r="P352" i="8"/>
  <c r="P340" i="8"/>
  <c r="P316" i="8"/>
  <c r="P280" i="8"/>
  <c r="P268" i="8"/>
  <c r="P256" i="8"/>
  <c r="P244" i="8"/>
  <c r="P220" i="8"/>
  <c r="P208" i="8"/>
  <c r="P196" i="8"/>
  <c r="P172" i="8"/>
  <c r="P136" i="8"/>
  <c r="P124" i="8"/>
  <c r="Q348" i="8"/>
  <c r="Q288" i="8"/>
  <c r="Q204" i="8"/>
  <c r="Q323" i="8"/>
  <c r="Q263" i="8"/>
  <c r="P263" i="8" s="1"/>
  <c r="Q83" i="8"/>
  <c r="Q188" i="8"/>
  <c r="P188" i="8" s="1"/>
  <c r="Q128" i="8"/>
  <c r="P128" i="8" s="1"/>
  <c r="Q68" i="8"/>
  <c r="P68" i="8" s="1"/>
  <c r="Q315" i="8"/>
  <c r="P315" i="8" s="1"/>
  <c r="Q279" i="8"/>
  <c r="P279" i="8" s="1"/>
  <c r="Q243" i="8"/>
  <c r="P243" i="8" s="1"/>
  <c r="Q207" i="8"/>
  <c r="P207" i="8" s="1"/>
  <c r="Q183" i="8"/>
  <c r="P183" i="8" s="1"/>
  <c r="Q147" i="8"/>
  <c r="P147" i="8" s="1"/>
  <c r="Q111" i="8"/>
  <c r="P111" i="8" s="1"/>
  <c r="Q27" i="8"/>
  <c r="P27" i="8" s="1"/>
  <c r="Q240" i="8"/>
  <c r="Q168" i="8"/>
  <c r="P168" i="8" s="1"/>
  <c r="Q120" i="8"/>
  <c r="P120" i="8" s="1"/>
  <c r="Q48" i="8"/>
  <c r="P48" i="8" s="1"/>
  <c r="Q311" i="8"/>
  <c r="P311" i="8" s="1"/>
  <c r="Q239" i="8"/>
  <c r="Q155" i="8"/>
  <c r="Q59" i="8"/>
  <c r="Q339" i="8"/>
  <c r="P339" i="8" s="1"/>
  <c r="Q303" i="8"/>
  <c r="P303" i="8" s="1"/>
  <c r="Q267" i="8"/>
  <c r="P267" i="8" s="1"/>
  <c r="Q231" i="8"/>
  <c r="P231" i="8" s="1"/>
  <c r="Q195" i="8"/>
  <c r="P195" i="8" s="1"/>
  <c r="Q171" i="8"/>
  <c r="P171" i="8" s="1"/>
  <c r="Q264" i="8"/>
  <c r="P264" i="8" s="1"/>
  <c r="Q180" i="8"/>
  <c r="P180" i="8" s="1"/>
  <c r="Q108" i="8"/>
  <c r="Q335" i="8"/>
  <c r="Q275" i="8"/>
  <c r="Q191" i="8"/>
  <c r="P191" i="8" s="1"/>
  <c r="Q107" i="8"/>
  <c r="P107" i="8" s="1"/>
  <c r="Q23" i="8"/>
  <c r="P23" i="8" s="1"/>
  <c r="Q296" i="8"/>
  <c r="P296" i="8" s="1"/>
  <c r="Q291" i="8"/>
  <c r="P291" i="8" s="1"/>
  <c r="Q255" i="8"/>
  <c r="P255" i="8" s="1"/>
  <c r="Q219" i="8"/>
  <c r="P219" i="8" s="1"/>
  <c r="Q123" i="8"/>
  <c r="P123" i="8" s="1"/>
  <c r="Q99" i="8"/>
  <c r="P99" i="8" s="1"/>
  <c r="Q349" i="8"/>
  <c r="Q337" i="8"/>
  <c r="P337" i="8" s="1"/>
  <c r="Q325" i="8"/>
  <c r="Q313" i="8"/>
  <c r="Q301" i="8"/>
  <c r="Q289" i="8"/>
  <c r="Q277" i="8"/>
  <c r="Q265" i="8"/>
  <c r="Q253" i="8"/>
  <c r="Q241" i="8"/>
  <c r="P241" i="8" s="1"/>
  <c r="Q229" i="8"/>
  <c r="Q217" i="8"/>
  <c r="Q205" i="8"/>
  <c r="Q181" i="8"/>
  <c r="Q169" i="8"/>
  <c r="Q157" i="8"/>
  <c r="Q145" i="8"/>
  <c r="P145" i="8" s="1"/>
  <c r="Q133" i="8"/>
  <c r="Q121" i="8"/>
  <c r="Q109" i="8"/>
  <c r="Q97" i="8"/>
  <c r="P97" i="8" s="1"/>
  <c r="Q85" i="8"/>
  <c r="Q73" i="8"/>
  <c r="Q61" i="8"/>
  <c r="Q49" i="8"/>
  <c r="P49" i="8" s="1"/>
  <c r="Q37" i="8"/>
  <c r="Q25" i="8"/>
  <c r="Q13" i="8"/>
  <c r="N2" i="8"/>
  <c r="Q2" i="8"/>
  <c r="P2" i="8" s="1"/>
  <c r="A5" i="6"/>
  <c r="N326" i="8"/>
  <c r="N254" i="8"/>
  <c r="N218" i="8"/>
  <c r="N194" i="8"/>
  <c r="N158" i="8"/>
  <c r="N110" i="8"/>
  <c r="N38" i="8"/>
  <c r="N325" i="8"/>
  <c r="N313" i="8"/>
  <c r="N253" i="8"/>
  <c r="N157" i="8"/>
  <c r="N61" i="8"/>
  <c r="N37" i="8"/>
  <c r="N25" i="8"/>
  <c r="N252" i="8"/>
  <c r="N73" i="8"/>
  <c r="N217" i="8"/>
  <c r="R217" i="8"/>
  <c r="N10" i="8"/>
  <c r="N286" i="8"/>
  <c r="N166" i="8"/>
  <c r="N130" i="8"/>
  <c r="N94" i="8"/>
  <c r="N22" i="8"/>
  <c r="R73" i="8"/>
  <c r="N68" i="8"/>
  <c r="N44" i="8"/>
  <c r="N20" i="8"/>
  <c r="N350" i="8"/>
  <c r="R350" i="8"/>
  <c r="P350" i="8" s="1"/>
  <c r="N338" i="8"/>
  <c r="R338" i="8"/>
  <c r="P338" i="8" s="1"/>
  <c r="N314" i="8"/>
  <c r="R314" i="8"/>
  <c r="P314" i="8" s="1"/>
  <c r="N302" i="8"/>
  <c r="R302" i="8"/>
  <c r="P302" i="8" s="1"/>
  <c r="N266" i="8"/>
  <c r="R266" i="8"/>
  <c r="P266" i="8" s="1"/>
  <c r="N242" i="8"/>
  <c r="R242" i="8"/>
  <c r="P242" i="8" s="1"/>
  <c r="N230" i="8"/>
  <c r="R230" i="8"/>
  <c r="P230" i="8" s="1"/>
  <c r="N206" i="8"/>
  <c r="R206" i="8"/>
  <c r="P206" i="8" s="1"/>
  <c r="N182" i="8"/>
  <c r="R182" i="8"/>
  <c r="P182" i="8" s="1"/>
  <c r="N170" i="8"/>
  <c r="R170" i="8"/>
  <c r="P170" i="8" s="1"/>
  <c r="N134" i="8"/>
  <c r="R134" i="8"/>
  <c r="P134" i="8" s="1"/>
  <c r="N122" i="8"/>
  <c r="R122" i="8"/>
  <c r="P122" i="8" s="1"/>
  <c r="N98" i="8"/>
  <c r="R98" i="8"/>
  <c r="P98" i="8" s="1"/>
  <c r="N86" i="8"/>
  <c r="R86" i="8"/>
  <c r="P86" i="8" s="1"/>
  <c r="N62" i="8"/>
  <c r="R62" i="8"/>
  <c r="P62" i="8" s="1"/>
  <c r="N26" i="8"/>
  <c r="R26" i="8"/>
  <c r="P26" i="8" s="1"/>
  <c r="N274" i="8"/>
  <c r="R274" i="8"/>
  <c r="P274" i="8" s="1"/>
  <c r="N349" i="8"/>
  <c r="R349" i="8"/>
  <c r="N301" i="8"/>
  <c r="R301" i="8"/>
  <c r="N277" i="8"/>
  <c r="R277" i="8"/>
  <c r="N265" i="8"/>
  <c r="R265" i="8"/>
  <c r="N229" i="8"/>
  <c r="R229" i="8"/>
  <c r="N205" i="8"/>
  <c r="R205" i="8"/>
  <c r="N181" i="8"/>
  <c r="R181" i="8"/>
  <c r="N133" i="8"/>
  <c r="R133" i="8"/>
  <c r="N121" i="8"/>
  <c r="R121" i="8"/>
  <c r="N109" i="8"/>
  <c r="R109" i="8"/>
  <c r="N85" i="8"/>
  <c r="R85" i="8"/>
  <c r="N13" i="8"/>
  <c r="R13" i="8"/>
  <c r="N300" i="8"/>
  <c r="R300" i="8"/>
  <c r="N240" i="8"/>
  <c r="R240" i="8"/>
  <c r="N204" i="8"/>
  <c r="R204" i="8"/>
  <c r="N156" i="8"/>
  <c r="R156" i="8"/>
  <c r="N108" i="8"/>
  <c r="R108" i="8"/>
  <c r="N12" i="8"/>
  <c r="R12" i="8"/>
  <c r="N335" i="8"/>
  <c r="R335" i="8"/>
  <c r="N323" i="8"/>
  <c r="R323" i="8"/>
  <c r="N275" i="8"/>
  <c r="R275" i="8"/>
  <c r="N251" i="8"/>
  <c r="R251" i="8"/>
  <c r="N155" i="8"/>
  <c r="R155" i="8"/>
  <c r="N131" i="8"/>
  <c r="R131" i="8"/>
  <c r="N83" i="8"/>
  <c r="R83" i="8"/>
  <c r="N47" i="8"/>
  <c r="R47" i="8"/>
  <c r="N11" i="8"/>
  <c r="R11" i="8"/>
  <c r="N227" i="8"/>
  <c r="R227" i="8"/>
  <c r="N154" i="8"/>
  <c r="R154" i="8"/>
  <c r="P154" i="8" s="1"/>
  <c r="R46" i="8"/>
  <c r="P46" i="8" s="1"/>
  <c r="N46" i="8"/>
  <c r="N334" i="8"/>
  <c r="R334" i="8"/>
  <c r="P334" i="8" s="1"/>
  <c r="N45" i="8"/>
  <c r="R45" i="8"/>
  <c r="P45" i="8" s="1"/>
  <c r="N21" i="8"/>
  <c r="R21" i="8"/>
  <c r="P21" i="8" s="1"/>
  <c r="N169" i="8"/>
  <c r="R169" i="8"/>
  <c r="N278" i="8"/>
  <c r="R278" i="8"/>
  <c r="P278" i="8" s="1"/>
  <c r="N290" i="8"/>
  <c r="R290" i="8"/>
  <c r="P290" i="8" s="1"/>
  <c r="N14" i="8"/>
  <c r="R14" i="8"/>
  <c r="P14" i="8" s="1"/>
  <c r="R34" i="8"/>
  <c r="P34" i="8" s="1"/>
  <c r="N34" i="8"/>
  <c r="N289" i="8"/>
  <c r="R289" i="8"/>
  <c r="R82" i="8"/>
  <c r="P82" i="8" s="1"/>
  <c r="N82" i="8"/>
  <c r="N50" i="8"/>
  <c r="R50" i="8"/>
  <c r="P50" i="8" s="1"/>
  <c r="N144" i="8"/>
  <c r="R144" i="8"/>
  <c r="N143" i="8"/>
  <c r="R143" i="8"/>
  <c r="N142" i="8"/>
  <c r="R142" i="8"/>
  <c r="P142" i="8" s="1"/>
  <c r="R326" i="8"/>
  <c r="P326" i="8" s="1"/>
  <c r="N288" i="8"/>
  <c r="R288" i="8"/>
  <c r="N345" i="8"/>
  <c r="R194" i="8"/>
  <c r="P194" i="8" s="1"/>
  <c r="N322" i="8"/>
  <c r="N118" i="8"/>
  <c r="N226" i="8"/>
  <c r="R313" i="8"/>
  <c r="R253" i="8"/>
  <c r="N96" i="8"/>
  <c r="R96" i="8"/>
  <c r="N60" i="8"/>
  <c r="R60" i="8"/>
  <c r="N347" i="8"/>
  <c r="R347" i="8"/>
  <c r="N59" i="8"/>
  <c r="R59" i="8"/>
  <c r="N35" i="8"/>
  <c r="R35" i="8"/>
  <c r="N58" i="8"/>
  <c r="N92" i="8"/>
  <c r="R92" i="8"/>
  <c r="R325" i="8"/>
  <c r="R37" i="8"/>
  <c r="N261" i="8"/>
  <c r="R261" i="8"/>
  <c r="P261" i="8" s="1"/>
  <c r="R110" i="8"/>
  <c r="P110" i="8" s="1"/>
  <c r="N348" i="8"/>
  <c r="R348" i="8"/>
  <c r="N239" i="8"/>
  <c r="R239" i="8"/>
  <c r="R158" i="8"/>
  <c r="P158" i="8" s="1"/>
  <c r="R254" i="8"/>
  <c r="P254" i="8" s="1"/>
  <c r="R252" i="8"/>
  <c r="R25" i="8"/>
  <c r="R61" i="8"/>
  <c r="R38" i="8"/>
  <c r="P38" i="8" s="1"/>
  <c r="R218" i="8"/>
  <c r="P218" i="8" s="1"/>
  <c r="R157" i="8"/>
  <c r="N250" i="8"/>
  <c r="N341" i="8"/>
  <c r="N281" i="8"/>
  <c r="N257" i="8"/>
  <c r="N137" i="8"/>
  <c r="N113" i="8"/>
  <c r="N273" i="8"/>
  <c r="Q273" i="8"/>
  <c r="P273" i="8" s="1"/>
  <c r="N284" i="8"/>
  <c r="Q284" i="8"/>
  <c r="P284" i="8" s="1"/>
  <c r="N272" i="8"/>
  <c r="Q272" i="8"/>
  <c r="P272" i="8" s="1"/>
  <c r="N283" i="8"/>
  <c r="Q283" i="8"/>
  <c r="P283" i="8" s="1"/>
  <c r="N151" i="8"/>
  <c r="Q151" i="8"/>
  <c r="P151" i="8" s="1"/>
  <c r="N139" i="8"/>
  <c r="Q139" i="8"/>
  <c r="P139" i="8" s="1"/>
  <c r="N55" i="8"/>
  <c r="Q55" i="8"/>
  <c r="P55" i="8" s="1"/>
  <c r="N150" i="8"/>
  <c r="Q150" i="8"/>
  <c r="P150" i="8" s="1"/>
  <c r="N305" i="8"/>
  <c r="Q305" i="8"/>
  <c r="P305" i="8" s="1"/>
  <c r="N233" i="8"/>
  <c r="Q233" i="8"/>
  <c r="P233" i="8" s="1"/>
  <c r="N209" i="8"/>
  <c r="Q209" i="8"/>
  <c r="P209" i="8" s="1"/>
  <c r="N185" i="8"/>
  <c r="Q185" i="8"/>
  <c r="P185" i="8" s="1"/>
  <c r="N101" i="8"/>
  <c r="Q101" i="8"/>
  <c r="P101" i="8" s="1"/>
  <c r="N53" i="8"/>
  <c r="Q53" i="8"/>
  <c r="P53" i="8" s="1"/>
  <c r="N5" i="8"/>
  <c r="Q5" i="8"/>
  <c r="P5" i="8" s="1"/>
  <c r="Q281" i="8"/>
  <c r="P281" i="8" s="1"/>
  <c r="N87" i="8"/>
  <c r="Q87" i="8"/>
  <c r="P87" i="8" s="1"/>
  <c r="N330" i="8"/>
  <c r="Q330" i="8"/>
  <c r="P330" i="8" s="1"/>
  <c r="N198" i="8"/>
  <c r="Q198" i="8"/>
  <c r="P198" i="8" s="1"/>
  <c r="N186" i="8"/>
  <c r="Q186" i="8"/>
  <c r="P186" i="8" s="1"/>
  <c r="N162" i="8"/>
  <c r="Q162" i="8"/>
  <c r="P162" i="8" s="1"/>
  <c r="N114" i="8"/>
  <c r="Q114" i="8"/>
  <c r="P114" i="8" s="1"/>
  <c r="N78" i="8"/>
  <c r="Q78" i="8"/>
  <c r="P78" i="8" s="1"/>
  <c r="N30" i="8"/>
  <c r="Q30" i="8"/>
  <c r="P30" i="8" s="1"/>
  <c r="N6" i="8"/>
  <c r="Q6" i="8"/>
  <c r="P6" i="8" s="1"/>
  <c r="N67" i="8"/>
  <c r="N193" i="8"/>
  <c r="Q193" i="8"/>
  <c r="P193" i="8" s="1"/>
  <c r="N80" i="8"/>
  <c r="Q80" i="8"/>
  <c r="P80" i="8" s="1"/>
  <c r="N353" i="8"/>
  <c r="Q353" i="8"/>
  <c r="P353" i="8" s="1"/>
  <c r="N329" i="8"/>
  <c r="Q329" i="8"/>
  <c r="P329" i="8" s="1"/>
  <c r="N317" i="8"/>
  <c r="Q317" i="8"/>
  <c r="P317" i="8" s="1"/>
  <c r="N293" i="8"/>
  <c r="Q293" i="8"/>
  <c r="P293" i="8" s="1"/>
  <c r="N269" i="8"/>
  <c r="Q269" i="8"/>
  <c r="P269" i="8" s="1"/>
  <c r="N221" i="8"/>
  <c r="Q221" i="8"/>
  <c r="P221" i="8" s="1"/>
  <c r="N161" i="8"/>
  <c r="Q161" i="8"/>
  <c r="P161" i="8" s="1"/>
  <c r="N125" i="8"/>
  <c r="Q125" i="8"/>
  <c r="P125" i="8" s="1"/>
  <c r="N77" i="8"/>
  <c r="Q77" i="8"/>
  <c r="P77" i="8" s="1"/>
  <c r="N65" i="8"/>
  <c r="Q65" i="8"/>
  <c r="P65" i="8" s="1"/>
  <c r="N29" i="8"/>
  <c r="Q29" i="8"/>
  <c r="P29" i="8" s="1"/>
  <c r="N17" i="8"/>
  <c r="Q17" i="8"/>
  <c r="P17" i="8" s="1"/>
  <c r="Q341" i="8"/>
  <c r="P341" i="8" s="1"/>
  <c r="N285" i="8"/>
  <c r="Q285" i="8"/>
  <c r="P285" i="8" s="1"/>
  <c r="N260" i="8"/>
  <c r="N259" i="8"/>
  <c r="Q113" i="8"/>
  <c r="P113" i="8" s="1"/>
  <c r="Q20" i="8"/>
  <c r="P20" i="8" s="1"/>
  <c r="N19" i="8"/>
  <c r="N177" i="8"/>
  <c r="Q137" i="8"/>
  <c r="P137" i="8" s="1"/>
  <c r="N318" i="8"/>
  <c r="Q318" i="8"/>
  <c r="P318" i="8" s="1"/>
  <c r="Q210" i="8"/>
  <c r="P210" i="8" s="1"/>
  <c r="N210" i="8"/>
  <c r="N90" i="8"/>
  <c r="Q90" i="8"/>
  <c r="P90" i="8" s="1"/>
  <c r="N175" i="8"/>
  <c r="Q307" i="8"/>
  <c r="P307" i="8" s="1"/>
  <c r="N307" i="8"/>
  <c r="N295" i="8"/>
  <c r="Q295" i="8"/>
  <c r="P295" i="8" s="1"/>
  <c r="N271" i="8"/>
  <c r="Q271" i="8"/>
  <c r="P271" i="8" s="1"/>
  <c r="Q223" i="8"/>
  <c r="P223" i="8" s="1"/>
  <c r="N223" i="8"/>
  <c r="Q211" i="8"/>
  <c r="P211" i="8" s="1"/>
  <c r="N211" i="8"/>
  <c r="Q127" i="8"/>
  <c r="P127" i="8" s="1"/>
  <c r="N127" i="8"/>
  <c r="N115" i="8"/>
  <c r="Q115" i="8"/>
  <c r="P115" i="8" s="1"/>
  <c r="N103" i="8"/>
  <c r="Q103" i="8"/>
  <c r="P103" i="8" s="1"/>
  <c r="N79" i="8"/>
  <c r="Q79" i="8"/>
  <c r="P79" i="8" s="1"/>
  <c r="Q31" i="8"/>
  <c r="P31" i="8" s="1"/>
  <c r="N31" i="8"/>
  <c r="N7" i="8"/>
  <c r="Q7" i="8"/>
  <c r="P7" i="8" s="1"/>
  <c r="N200" i="8"/>
  <c r="Q200" i="8"/>
  <c r="P200" i="8" s="1"/>
  <c r="N342" i="8"/>
  <c r="Q342" i="8"/>
  <c r="P342" i="8" s="1"/>
  <c r="N306" i="8"/>
  <c r="Q306" i="8"/>
  <c r="P306" i="8" s="1"/>
  <c r="N270" i="8"/>
  <c r="Q270" i="8"/>
  <c r="P270" i="8" s="1"/>
  <c r="N234" i="8"/>
  <c r="Q234" i="8"/>
  <c r="P234" i="8" s="1"/>
  <c r="N102" i="8"/>
  <c r="Q102" i="8"/>
  <c r="P102" i="8" s="1"/>
  <c r="N18" i="8"/>
  <c r="Q18" i="8"/>
  <c r="P18" i="8" s="1"/>
  <c r="N245" i="8"/>
  <c r="Q245" i="8"/>
  <c r="P245" i="8" s="1"/>
  <c r="N197" i="8"/>
  <c r="N173" i="8"/>
  <c r="Q173" i="8"/>
  <c r="P173" i="8" s="1"/>
  <c r="N149" i="8"/>
  <c r="Q149" i="8"/>
  <c r="P149" i="8" s="1"/>
  <c r="N41" i="8"/>
  <c r="Q41" i="8"/>
  <c r="P41" i="8" s="1"/>
  <c r="N163" i="8"/>
  <c r="N135" i="8"/>
  <c r="Q135" i="8"/>
  <c r="P135" i="8" s="1"/>
  <c r="N333" i="8"/>
  <c r="Q333" i="8"/>
  <c r="P333" i="8" s="1"/>
  <c r="N321" i="8"/>
  <c r="Q321" i="8"/>
  <c r="P321" i="8" s="1"/>
  <c r="Q309" i="8"/>
  <c r="P309" i="8" s="1"/>
  <c r="N309" i="8"/>
  <c r="Q297" i="8"/>
  <c r="P297" i="8" s="1"/>
  <c r="N297" i="8"/>
  <c r="Q237" i="8"/>
  <c r="P237" i="8" s="1"/>
  <c r="N237" i="8"/>
  <c r="N225" i="8"/>
  <c r="Q225" i="8"/>
  <c r="P225" i="8" s="1"/>
  <c r="Q201" i="8"/>
  <c r="P201" i="8" s="1"/>
  <c r="N201" i="8"/>
  <c r="N189" i="8"/>
  <c r="Q189" i="8"/>
  <c r="P189" i="8" s="1"/>
  <c r="Q153" i="8"/>
  <c r="P153" i="8" s="1"/>
  <c r="N153" i="8"/>
  <c r="N141" i="8"/>
  <c r="Q141" i="8"/>
  <c r="P141" i="8" s="1"/>
  <c r="N129" i="8"/>
  <c r="Q129" i="8"/>
  <c r="P129" i="8" s="1"/>
  <c r="Q93" i="8"/>
  <c r="P93" i="8" s="1"/>
  <c r="N93" i="8"/>
  <c r="N81" i="8"/>
  <c r="Q81" i="8"/>
  <c r="P81" i="8" s="1"/>
  <c r="Q57" i="8"/>
  <c r="P57" i="8" s="1"/>
  <c r="N57" i="8"/>
  <c r="N33" i="8"/>
  <c r="Q33" i="8"/>
  <c r="P33" i="8" s="1"/>
  <c r="N9" i="8"/>
  <c r="Q9" i="8"/>
  <c r="P9" i="8" s="1"/>
  <c r="N356" i="8"/>
  <c r="Q356" i="8"/>
  <c r="P356" i="8" s="1"/>
  <c r="N344" i="8"/>
  <c r="Q344" i="8"/>
  <c r="P344" i="8" s="1"/>
  <c r="Q332" i="8"/>
  <c r="P332" i="8" s="1"/>
  <c r="N332" i="8"/>
  <c r="Q320" i="8"/>
  <c r="P320" i="8" s="1"/>
  <c r="N320" i="8"/>
  <c r="Q308" i="8"/>
  <c r="P308" i="8" s="1"/>
  <c r="N308" i="8"/>
  <c r="N248" i="8"/>
  <c r="Q248" i="8"/>
  <c r="P248" i="8" s="1"/>
  <c r="N224" i="8"/>
  <c r="Q224" i="8"/>
  <c r="P224" i="8" s="1"/>
  <c r="Q212" i="8"/>
  <c r="P212" i="8" s="1"/>
  <c r="N212" i="8"/>
  <c r="N176" i="8"/>
  <c r="Q176" i="8"/>
  <c r="P176" i="8" s="1"/>
  <c r="N152" i="8"/>
  <c r="Q152" i="8"/>
  <c r="P152" i="8" s="1"/>
  <c r="Q116" i="8"/>
  <c r="P116" i="8" s="1"/>
  <c r="N116" i="8"/>
  <c r="N104" i="8"/>
  <c r="Q104" i="8"/>
  <c r="P104" i="8" s="1"/>
  <c r="N56" i="8"/>
  <c r="Q56" i="8"/>
  <c r="P56" i="8" s="1"/>
  <c r="N32" i="8"/>
  <c r="Q32" i="8"/>
  <c r="P32" i="8" s="1"/>
  <c r="N8" i="8"/>
  <c r="Q8" i="8"/>
  <c r="P8" i="8" s="1"/>
  <c r="Q44" i="8"/>
  <c r="P44" i="8" s="1"/>
  <c r="N340" i="8"/>
  <c r="N328" i="8"/>
  <c r="N304" i="8"/>
  <c r="N292" i="8"/>
  <c r="N256" i="8"/>
  <c r="N160" i="8"/>
  <c r="N136" i="8"/>
  <c r="N112" i="8"/>
  <c r="N64" i="8"/>
  <c r="Q64" i="8"/>
  <c r="P64" i="8" s="1"/>
  <c r="N40" i="8"/>
  <c r="Q40" i="8"/>
  <c r="P40" i="8" s="1"/>
  <c r="N16" i="8"/>
  <c r="Q16" i="8"/>
  <c r="P16" i="8" s="1"/>
  <c r="N4" i="8"/>
  <c r="Q4" i="8"/>
  <c r="P4" i="8" s="1"/>
  <c r="N128" i="8"/>
  <c r="N351" i="8"/>
  <c r="N255" i="8"/>
  <c r="N159" i="8"/>
  <c r="N111" i="8"/>
  <c r="N3" i="8"/>
  <c r="Q3" i="8"/>
  <c r="P3" i="8" s="1"/>
  <c r="Q304" i="8"/>
  <c r="P304" i="8" s="1"/>
  <c r="Q160" i="8"/>
  <c r="P160" i="8" s="1"/>
  <c r="N146" i="8"/>
  <c r="N74" i="8"/>
  <c r="Q159" i="8"/>
  <c r="P159" i="8" s="1"/>
  <c r="N179" i="8"/>
  <c r="Q179" i="8"/>
  <c r="P179" i="8" s="1"/>
  <c r="N337" i="8"/>
  <c r="N97" i="8"/>
  <c r="N140" i="8"/>
  <c r="N66" i="8"/>
  <c r="N327" i="8"/>
  <c r="N324" i="8"/>
  <c r="Q324" i="8"/>
  <c r="P324" i="8" s="1"/>
  <c r="N312" i="8"/>
  <c r="Q312" i="8"/>
  <c r="P312" i="8" s="1"/>
  <c r="N192" i="8"/>
  <c r="N187" i="8"/>
  <c r="Q327" i="8"/>
  <c r="P327" i="8" s="1"/>
  <c r="N117" i="8"/>
  <c r="N165" i="8"/>
  <c r="N190" i="8"/>
  <c r="Q190" i="8"/>
  <c r="P190" i="8" s="1"/>
  <c r="N352" i="8"/>
  <c r="N316" i="8"/>
  <c r="N280" i="8"/>
  <c r="N244" i="8"/>
  <c r="N232" i="8"/>
  <c r="N220" i="8"/>
  <c r="N208" i="8"/>
  <c r="N196" i="8"/>
  <c r="N184" i="8"/>
  <c r="N172" i="8"/>
  <c r="N148" i="8"/>
  <c r="N124" i="8"/>
  <c r="N100" i="8"/>
  <c r="N76" i="8"/>
  <c r="Q76" i="8"/>
  <c r="P76" i="8" s="1"/>
  <c r="N52" i="8"/>
  <c r="Q52" i="8"/>
  <c r="P52" i="8" s="1"/>
  <c r="N28" i="8"/>
  <c r="Q28" i="8"/>
  <c r="P28" i="8" s="1"/>
  <c r="N51" i="8"/>
  <c r="Q51" i="8"/>
  <c r="P51" i="8" s="1"/>
  <c r="N219" i="8"/>
  <c r="N15" i="8"/>
  <c r="Q15" i="8"/>
  <c r="P15" i="8" s="1"/>
  <c r="N178" i="8"/>
  <c r="Q178" i="8"/>
  <c r="P178" i="8" s="1"/>
  <c r="N241" i="8"/>
  <c r="N145" i="8"/>
  <c r="Q328" i="8"/>
  <c r="P328" i="8" s="1"/>
  <c r="Q184" i="8"/>
  <c r="P184" i="8" s="1"/>
  <c r="N336" i="8"/>
  <c r="Q336" i="8"/>
  <c r="P336" i="8" s="1"/>
  <c r="N164" i="8"/>
  <c r="N243" i="8"/>
  <c r="Q351" i="8"/>
  <c r="P351" i="8" s="1"/>
  <c r="Q292" i="8"/>
  <c r="P292" i="8" s="1"/>
  <c r="Q148" i="8"/>
  <c r="P148" i="8" s="1"/>
  <c r="Q232" i="8"/>
  <c r="P232" i="8" s="1"/>
  <c r="N69" i="8"/>
  <c r="N279" i="8"/>
  <c r="N267" i="8"/>
  <c r="N183" i="8"/>
  <c r="N75" i="8"/>
  <c r="N63" i="8"/>
  <c r="N39" i="8"/>
  <c r="N298" i="8"/>
  <c r="N202" i="8"/>
  <c r="N49" i="8"/>
  <c r="Q192" i="8"/>
  <c r="P192" i="8" s="1"/>
  <c r="N354" i="8"/>
  <c r="N249" i="8"/>
  <c r="N213" i="8"/>
  <c r="N105" i="8"/>
  <c r="N238" i="8"/>
  <c r="N48" i="8"/>
  <c r="Q322" i="8"/>
  <c r="P322" i="8" s="1"/>
  <c r="Q286" i="8"/>
  <c r="P286" i="8" s="1"/>
  <c r="Q250" i="8"/>
  <c r="P250" i="8" s="1"/>
  <c r="Q166" i="8"/>
  <c r="P166" i="8" s="1"/>
  <c r="Q130" i="8"/>
  <c r="P130" i="8" s="1"/>
  <c r="Q118" i="8"/>
  <c r="P118" i="8" s="1"/>
  <c r="Q94" i="8"/>
  <c r="P94" i="8" s="1"/>
  <c r="N236" i="8"/>
  <c r="N207" i="8"/>
  <c r="N171" i="8"/>
  <c r="Q75" i="8"/>
  <c r="P75" i="8" s="1"/>
  <c r="Q63" i="8"/>
  <c r="P63" i="8" s="1"/>
  <c r="Q39" i="8"/>
  <c r="P39" i="8" s="1"/>
  <c r="N132" i="8"/>
  <c r="N72" i="8"/>
  <c r="N24" i="8"/>
  <c r="N276" i="8"/>
  <c r="N228" i="8"/>
  <c r="N180" i="8"/>
  <c r="N120" i="8"/>
  <c r="N84" i="8"/>
  <c r="N36" i="8"/>
  <c r="N71" i="8"/>
  <c r="N23" i="8"/>
  <c r="N258" i="8"/>
  <c r="N264" i="8"/>
  <c r="N168" i="8"/>
  <c r="N355" i="8"/>
  <c r="N319" i="8"/>
  <c r="N346" i="8"/>
  <c r="N310" i="8"/>
  <c r="N214" i="8"/>
  <c r="Q84" i="8"/>
  <c r="P84" i="8" s="1"/>
  <c r="Q72" i="8"/>
  <c r="P72" i="8" s="1"/>
  <c r="Q36" i="8"/>
  <c r="P36" i="8" s="1"/>
  <c r="Q24" i="8"/>
  <c r="P24" i="8" s="1"/>
  <c r="N88" i="8"/>
  <c r="N247" i="8"/>
  <c r="N70" i="8"/>
  <c r="N282" i="8"/>
  <c r="N246" i="8"/>
  <c r="N199" i="8"/>
  <c r="N106" i="8"/>
  <c r="N216" i="8"/>
  <c r="N311" i="8"/>
  <c r="N263" i="8"/>
  <c r="N167" i="8"/>
  <c r="N119" i="8"/>
  <c r="N215" i="8"/>
  <c r="N147" i="8"/>
  <c r="N203" i="8"/>
  <c r="N262" i="8"/>
  <c r="N188" i="8"/>
  <c r="N91" i="8"/>
  <c r="N191" i="8"/>
  <c r="N343" i="8"/>
  <c r="N296" i="8"/>
  <c r="N235" i="8"/>
  <c r="N299" i="8"/>
  <c r="N95" i="8"/>
  <c r="N331" i="8"/>
  <c r="N268" i="8"/>
  <c r="N287" i="8"/>
  <c r="N107" i="8"/>
  <c r="N54" i="8"/>
  <c r="N43" i="8"/>
  <c r="N294" i="8"/>
  <c r="N222" i="8"/>
  <c r="N174" i="8"/>
  <c r="N138" i="8"/>
  <c r="N126" i="8"/>
  <c r="N42" i="8"/>
  <c r="N339" i="8"/>
  <c r="N89" i="8"/>
  <c r="N315" i="8"/>
  <c r="N123" i="8"/>
  <c r="N303" i="8"/>
  <c r="N291" i="8"/>
  <c r="N195" i="8"/>
  <c r="N231" i="8"/>
  <c r="N99" i="8"/>
  <c r="N27" i="8"/>
  <c r="P92" i="8" l="1"/>
  <c r="P204" i="8"/>
  <c r="P59" i="8"/>
  <c r="P37" i="8"/>
  <c r="P252" i="8"/>
  <c r="P12" i="8"/>
  <c r="P275" i="8"/>
  <c r="P13" i="8"/>
  <c r="P313" i="8"/>
  <c r="P348" i="8"/>
  <c r="P181" i="8"/>
  <c r="P155" i="8"/>
  <c r="P335" i="8"/>
  <c r="P121" i="8"/>
  <c r="P205" i="8"/>
  <c r="P349" i="8"/>
  <c r="P239" i="8"/>
  <c r="P143" i="8"/>
  <c r="P288" i="8"/>
  <c r="P265" i="8"/>
  <c r="P277" i="8"/>
  <c r="P240" i="8"/>
  <c r="P11" i="8"/>
  <c r="P60" i="8"/>
  <c r="P109" i="8"/>
  <c r="P61" i="8"/>
  <c r="P133" i="8"/>
  <c r="P289" i="8"/>
  <c r="P108" i="8"/>
  <c r="P47" i="8"/>
  <c r="P96" i="8"/>
  <c r="P83" i="8"/>
  <c r="P73" i="8"/>
  <c r="P229" i="8"/>
  <c r="P301" i="8"/>
  <c r="P227" i="8"/>
  <c r="P347" i="8"/>
  <c r="P217" i="8"/>
  <c r="P85" i="8"/>
  <c r="P157" i="8"/>
  <c r="P251" i="8"/>
  <c r="P144" i="8"/>
  <c r="P323" i="8"/>
  <c r="P25" i="8"/>
  <c r="P169" i="8"/>
  <c r="P253" i="8"/>
  <c r="P325" i="8"/>
  <c r="P131" i="8"/>
  <c r="P156" i="8"/>
  <c r="P35" i="8"/>
  <c r="P300" i="8"/>
  <c r="E5" i="16"/>
  <c r="F5" i="16"/>
  <c r="G5" i="16"/>
  <c r="H5" i="16"/>
  <c r="I5" i="16"/>
  <c r="J5" i="16"/>
  <c r="K5" i="16"/>
  <c r="L5" i="16"/>
  <c r="M5" i="16"/>
  <c r="N5" i="16"/>
  <c r="D5" i="16"/>
  <c r="N5" i="41" l="1"/>
  <c r="M5" i="41"/>
  <c r="L5" i="41"/>
  <c r="K5" i="41"/>
  <c r="J5" i="41"/>
  <c r="I5" i="41"/>
  <c r="H5" i="41"/>
  <c r="G5" i="41"/>
  <c r="F5" i="41"/>
  <c r="E5" i="41"/>
  <c r="D5" i="41"/>
  <c r="N5" i="11"/>
  <c r="M5" i="11"/>
  <c r="L5" i="11"/>
  <c r="K5" i="11"/>
  <c r="J5" i="11"/>
  <c r="I5" i="11"/>
  <c r="H5" i="11"/>
  <c r="G5" i="11"/>
  <c r="F5" i="11"/>
  <c r="E5" i="11"/>
  <c r="D5" i="11"/>
  <c r="M5" i="7"/>
  <c r="L5" i="7"/>
  <c r="K5" i="7"/>
  <c r="J5" i="7"/>
  <c r="I5" i="7"/>
  <c r="H5" i="7"/>
  <c r="F5" i="7"/>
  <c r="E5" i="7"/>
  <c r="D5" i="7"/>
  <c r="M5" i="6"/>
  <c r="L5" i="6"/>
  <c r="K5" i="6"/>
  <c r="J5" i="6"/>
  <c r="I5" i="6"/>
  <c r="H5" i="6"/>
  <c r="F5" i="6"/>
  <c r="E5" i="6"/>
  <c r="D5" i="6"/>
  <c r="N5" i="5" l="1"/>
  <c r="M5" i="5"/>
  <c r="L5" i="5"/>
  <c r="K5" i="5"/>
  <c r="J5" i="5"/>
  <c r="I5" i="5"/>
  <c r="H5" i="5"/>
  <c r="G5" i="5"/>
  <c r="F5" i="5"/>
  <c r="E5" i="5"/>
  <c r="D5" i="5"/>
  <c r="N5" i="4" l="1"/>
  <c r="M5" i="4"/>
  <c r="L5" i="4"/>
  <c r="K5" i="4"/>
  <c r="J5" i="4"/>
  <c r="I5" i="4"/>
  <c r="H5" i="4"/>
  <c r="G5" i="4"/>
  <c r="F5" i="4"/>
  <c r="E5" i="4"/>
  <c r="D5" i="4"/>
  <c r="N5" i="3"/>
  <c r="M5" i="3"/>
  <c r="L5" i="3"/>
  <c r="K5" i="3"/>
  <c r="J5" i="3"/>
  <c r="I5" i="3"/>
  <c r="H5" i="3"/>
  <c r="G5" i="3"/>
  <c r="F5" i="3"/>
  <c r="E5" i="3"/>
  <c r="D5" i="3"/>
  <c r="N5" i="2"/>
  <c r="M5" i="2"/>
  <c r="L5" i="2"/>
  <c r="K5" i="2"/>
  <c r="J5" i="2"/>
  <c r="I5" i="2"/>
  <c r="H5" i="2"/>
  <c r="G5" i="2"/>
  <c r="F5" i="2"/>
  <c r="E5" i="2"/>
  <c r="D5" i="2"/>
  <c r="E23" i="1"/>
  <c r="F23" i="1"/>
  <c r="G23" i="1"/>
  <c r="H23" i="1"/>
  <c r="I23" i="1"/>
  <c r="J23" i="1"/>
  <c r="K23" i="1"/>
  <c r="L23" i="1"/>
  <c r="M23" i="1"/>
  <c r="N23" i="1"/>
  <c r="D23" i="1"/>
  <c r="K5" i="1"/>
  <c r="J5" i="1"/>
  <c r="I5" i="1"/>
  <c r="H5" i="1"/>
  <c r="G5" i="1"/>
  <c r="F5" i="1"/>
  <c r="D5" i="1"/>
  <c r="N17" i="1"/>
  <c r="M17" i="1"/>
  <c r="L17" i="1"/>
  <c r="K17" i="1"/>
  <c r="J17" i="1"/>
  <c r="I17" i="1"/>
  <c r="H17" i="1"/>
  <c r="G17" i="1"/>
  <c r="F17" i="1"/>
  <c r="E17" i="1"/>
  <c r="D17" i="1"/>
  <c r="N5" i="1"/>
  <c r="M5" i="1"/>
  <c r="L5" i="1"/>
  <c r="E5" i="1"/>
  <c r="A9" i="2" l="1"/>
  <c r="A11" i="2" s="1"/>
  <c r="MM5" i="41" l="1"/>
  <c r="MN5" i="41"/>
  <c r="MO5" i="41"/>
  <c r="MP5" i="41"/>
  <c r="MQ5" i="41"/>
  <c r="MR5" i="41"/>
  <c r="MS5" i="41"/>
  <c r="MM5" i="11"/>
  <c r="MN5" i="11"/>
  <c r="MO5" i="11"/>
  <c r="MP5" i="11"/>
  <c r="MQ5" i="11"/>
  <c r="MR5" i="11"/>
  <c r="MS5" i="11"/>
  <c r="MM5" i="3"/>
  <c r="MN5" i="3"/>
  <c r="MO5" i="3"/>
  <c r="MP5" i="3"/>
  <c r="MQ5" i="3"/>
  <c r="MR5" i="3"/>
  <c r="MS5" i="3"/>
  <c r="MS5" i="6"/>
  <c r="MR5" i="6"/>
  <c r="MQ5" i="6"/>
  <c r="MP5" i="6"/>
  <c r="MO5" i="6"/>
  <c r="MN5" i="6"/>
  <c r="MM5" i="6"/>
  <c r="MM5" i="4"/>
  <c r="MN5" i="4"/>
  <c r="MO5" i="4"/>
  <c r="MP5" i="4"/>
  <c r="MQ5" i="4"/>
  <c r="MR5" i="4"/>
  <c r="MS5" i="4"/>
  <c r="MM5" i="16"/>
  <c r="MN5" i="16"/>
  <c r="MO5" i="16"/>
  <c r="MP5" i="16"/>
  <c r="MQ5" i="16"/>
  <c r="MR5" i="16"/>
  <c r="MS5" i="16"/>
  <c r="MM5" i="5" l="1"/>
  <c r="MN5" i="5"/>
  <c r="MO5" i="5"/>
  <c r="MP5" i="5"/>
  <c r="MQ5" i="5"/>
  <c r="MR5" i="5"/>
  <c r="MS5" i="5"/>
  <c r="MM5" i="2"/>
  <c r="MN5" i="2"/>
  <c r="MO5" i="2"/>
  <c r="MP5" i="2"/>
  <c r="MQ5" i="2"/>
  <c r="MR5" i="2"/>
  <c r="MS5" i="2"/>
  <c r="MM5" i="1" l="1"/>
  <c r="MN5" i="1"/>
  <c r="MO5" i="1"/>
  <c r="MP5" i="1"/>
  <c r="MQ5" i="1"/>
  <c r="MR5" i="1"/>
  <c r="MS5" i="1"/>
  <c r="D18" i="38" l="1"/>
  <c r="D19" i="38"/>
  <c r="D20" i="38"/>
  <c r="MF5" i="11"/>
  <c r="MG5" i="11"/>
  <c r="MH5" i="11"/>
  <c r="MI5" i="11"/>
  <c r="MJ5" i="11"/>
  <c r="MK5" i="11"/>
  <c r="ML5" i="11"/>
  <c r="MF5" i="41"/>
  <c r="MG5" i="41"/>
  <c r="MH5" i="41"/>
  <c r="MI5" i="41"/>
  <c r="MJ5" i="41"/>
  <c r="MK5" i="41"/>
  <c r="ML5" i="41"/>
  <c r="MF5" i="4"/>
  <c r="MG5" i="4"/>
  <c r="MH5" i="4"/>
  <c r="MI5" i="4"/>
  <c r="MJ5" i="4"/>
  <c r="MK5" i="4"/>
  <c r="ML5" i="4"/>
  <c r="MF5" i="16"/>
  <c r="MG5" i="16"/>
  <c r="MH5" i="16"/>
  <c r="MI5" i="16"/>
  <c r="MJ5" i="16"/>
  <c r="MK5" i="16"/>
  <c r="ML5" i="16"/>
  <c r="MF5" i="3"/>
  <c r="MG5" i="3"/>
  <c r="MH5" i="3"/>
  <c r="MI5" i="3"/>
  <c r="MJ5" i="3"/>
  <c r="MK5" i="3"/>
  <c r="ML5" i="3"/>
  <c r="D16" i="38"/>
  <c r="D17" i="38"/>
  <c r="D15" i="38"/>
  <c r="MF5" i="1" l="1"/>
  <c r="MG5" i="1"/>
  <c r="MH5" i="1"/>
  <c r="MI5" i="1"/>
  <c r="MJ5" i="1"/>
  <c r="MK5" i="1"/>
  <c r="ML5" i="1"/>
  <c r="MF5" i="2"/>
  <c r="MG5" i="2"/>
  <c r="MH5" i="2"/>
  <c r="MI5" i="2"/>
  <c r="MJ5" i="2"/>
  <c r="MK5" i="2"/>
  <c r="ML5" i="2"/>
  <c r="MK5" i="6"/>
  <c r="MJ5" i="6"/>
  <c r="MI5" i="6"/>
  <c r="MH5" i="6"/>
  <c r="MG5" i="6"/>
  <c r="MF5" i="6"/>
  <c r="MF5" i="5"/>
  <c r="MG5" i="5"/>
  <c r="MH5" i="5"/>
  <c r="MI5" i="5"/>
  <c r="MJ5" i="5"/>
  <c r="MK5" i="5"/>
  <c r="ML5" i="5"/>
  <c r="LY5" i="41"/>
  <c r="LZ5" i="41"/>
  <c r="MA5" i="41"/>
  <c r="MB5" i="41"/>
  <c r="MC5" i="41"/>
  <c r="MD5" i="41"/>
  <c r="ME5" i="41"/>
  <c r="LY5" i="11"/>
  <c r="LZ5" i="11"/>
  <c r="MA5" i="11"/>
  <c r="MB5" i="11"/>
  <c r="MC5" i="11"/>
  <c r="MD5" i="11"/>
  <c r="ME5" i="11"/>
  <c r="LY5" i="4"/>
  <c r="LX5" i="41" l="1"/>
  <c r="LW5" i="41"/>
  <c r="LV5" i="41"/>
  <c r="LU5" i="41"/>
  <c r="LT5" i="41"/>
  <c r="LS5" i="41"/>
  <c r="LR5" i="41"/>
  <c r="LQ5" i="41"/>
  <c r="LP5" i="41"/>
  <c r="LO5" i="41"/>
  <c r="LN5" i="41"/>
  <c r="LM5" i="41"/>
  <c r="LL5" i="41"/>
  <c r="LK5" i="41"/>
  <c r="LJ5" i="41"/>
  <c r="LI5" i="41"/>
  <c r="LH5" i="41"/>
  <c r="LG5" i="41"/>
  <c r="LF5" i="41"/>
  <c r="LE5" i="41"/>
  <c r="LD5" i="41"/>
  <c r="LC5" i="41"/>
  <c r="LB5" i="41"/>
  <c r="LA5" i="41"/>
  <c r="KZ5" i="41"/>
  <c r="KY5" i="41"/>
  <c r="KX5" i="41"/>
  <c r="KW5" i="41"/>
  <c r="KV5" i="41"/>
  <c r="KU5" i="41"/>
  <c r="KT5" i="41"/>
  <c r="KS5" i="41"/>
  <c r="KR5" i="41"/>
  <c r="KQ5" i="41"/>
  <c r="KP5" i="41"/>
  <c r="KO5" i="41"/>
  <c r="KN5" i="41"/>
  <c r="KM5" i="41"/>
  <c r="KL5" i="41"/>
  <c r="KK5" i="41"/>
  <c r="KJ5" i="41"/>
  <c r="KI5" i="41"/>
  <c r="KH5" i="41"/>
  <c r="KG5" i="41"/>
  <c r="KF5" i="41"/>
  <c r="KE5" i="41"/>
  <c r="KD5" i="41"/>
  <c r="KC5" i="41"/>
  <c r="KB5" i="41"/>
  <c r="KA5" i="41"/>
  <c r="JZ5" i="41"/>
  <c r="JY5" i="41"/>
  <c r="JX5" i="41"/>
  <c r="JW5" i="41"/>
  <c r="JV5" i="41"/>
  <c r="JU5" i="41"/>
  <c r="JT5" i="41"/>
  <c r="JS5" i="41"/>
  <c r="JR5" i="41"/>
  <c r="JQ5" i="41"/>
  <c r="JP5" i="41"/>
  <c r="JO5" i="41"/>
  <c r="JN5" i="41"/>
  <c r="JM5" i="41"/>
  <c r="JL5" i="41"/>
  <c r="JK5" i="41"/>
  <c r="JJ5" i="41"/>
  <c r="JI5" i="41"/>
  <c r="JH5" i="41"/>
  <c r="JG5" i="41"/>
  <c r="JF5" i="41"/>
  <c r="JE5" i="41"/>
  <c r="JD5" i="41"/>
  <c r="JC5" i="41"/>
  <c r="JB5" i="41"/>
  <c r="JA5" i="41"/>
  <c r="IZ5" i="41"/>
  <c r="IY5" i="41"/>
  <c r="IX5" i="41"/>
  <c r="IW5" i="41"/>
  <c r="IV5" i="41"/>
  <c r="IU5" i="41"/>
  <c r="IT5" i="41"/>
  <c r="IS5" i="41"/>
  <c r="IR5" i="41"/>
  <c r="IQ5" i="41"/>
  <c r="IP5" i="41"/>
  <c r="IO5" i="41"/>
  <c r="IN5" i="41"/>
  <c r="IM5" i="41"/>
  <c r="IL5" i="41"/>
  <c r="IK5" i="41"/>
  <c r="IJ5" i="41"/>
  <c r="II5" i="41"/>
  <c r="IH5" i="41"/>
  <c r="IG5" i="41"/>
  <c r="IF5" i="41"/>
  <c r="IE5" i="41"/>
  <c r="ID5" i="41"/>
  <c r="IC5" i="41"/>
  <c r="IB5" i="41"/>
  <c r="IA5" i="41"/>
  <c r="HZ5" i="41"/>
  <c r="HY5" i="41"/>
  <c r="HX5" i="41"/>
  <c r="HW5" i="41"/>
  <c r="HV5" i="41"/>
  <c r="HU5" i="41"/>
  <c r="HT5" i="41"/>
  <c r="HS5" i="41"/>
  <c r="HR5" i="41"/>
  <c r="HQ5" i="41"/>
  <c r="HP5" i="41"/>
  <c r="HO5" i="41"/>
  <c r="HN5" i="41"/>
  <c r="HM5" i="41"/>
  <c r="HL5" i="41"/>
  <c r="HK5" i="41"/>
  <c r="HJ5" i="41"/>
  <c r="HI5" i="41"/>
  <c r="HH5" i="41"/>
  <c r="HG5" i="41"/>
  <c r="HF5" i="41"/>
  <c r="HE5" i="41"/>
  <c r="HD5" i="41"/>
  <c r="HC5" i="41"/>
  <c r="HB5" i="41"/>
  <c r="HA5" i="41"/>
  <c r="GZ5" i="41"/>
  <c r="GY5" i="41"/>
  <c r="GX5" i="41"/>
  <c r="GW5" i="41"/>
  <c r="GV5" i="41"/>
  <c r="GU5" i="41"/>
  <c r="GT5" i="41"/>
  <c r="GS5" i="41"/>
  <c r="GR5" i="41"/>
  <c r="GQ5" i="41"/>
  <c r="GO5" i="41"/>
  <c r="GN5" i="41"/>
  <c r="GM5" i="41"/>
  <c r="GL5" i="41"/>
  <c r="GK5" i="41"/>
  <c r="GJ5" i="41"/>
  <c r="GI5" i="41"/>
  <c r="GH5" i="41"/>
  <c r="GG5" i="41"/>
  <c r="GF5" i="41"/>
  <c r="GE5" i="41"/>
  <c r="GD5" i="41"/>
  <c r="GC5" i="41"/>
  <c r="GB5" i="41"/>
  <c r="GA5" i="41"/>
  <c r="FZ5" i="41"/>
  <c r="FY5" i="41"/>
  <c r="FX5" i="41"/>
  <c r="FW5" i="41"/>
  <c r="FV5" i="41"/>
  <c r="FU5" i="41"/>
  <c r="FT5" i="41"/>
  <c r="FS5" i="41"/>
  <c r="FR5" i="41"/>
  <c r="FQ5" i="41"/>
  <c r="FP5" i="41"/>
  <c r="FO5" i="41"/>
  <c r="FN5" i="41"/>
  <c r="FM5" i="41"/>
  <c r="FL5" i="41"/>
  <c r="FK5" i="41"/>
  <c r="FJ5" i="41"/>
  <c r="FI5" i="41"/>
  <c r="FH5" i="41"/>
  <c r="FG5" i="41"/>
  <c r="FB5" i="41"/>
  <c r="FA5" i="41"/>
  <c r="EZ5" i="41"/>
  <c r="EY5" i="41"/>
  <c r="EX5" i="41"/>
  <c r="EW5" i="41"/>
  <c r="EV5" i="41"/>
  <c r="EU5" i="41"/>
  <c r="ET5" i="41"/>
  <c r="ES5" i="41"/>
  <c r="ER5" i="41"/>
  <c r="EQ5" i="41"/>
  <c r="EP5" i="41"/>
  <c r="EO5" i="41"/>
  <c r="EN5" i="41"/>
  <c r="EM5" i="41"/>
  <c r="EL5" i="41"/>
  <c r="EK5" i="41"/>
  <c r="EJ5" i="41"/>
  <c r="EI5" i="41"/>
  <c r="EH5" i="41"/>
  <c r="EG5" i="41"/>
  <c r="EF5" i="41"/>
  <c r="EE5" i="41"/>
  <c r="ED5" i="41"/>
  <c r="EC5" i="41"/>
  <c r="EB5" i="41"/>
  <c r="EA5" i="41"/>
  <c r="DZ5" i="41"/>
  <c r="DY5" i="41"/>
  <c r="DX5" i="41"/>
  <c r="DW5" i="41"/>
  <c r="DV5" i="41"/>
  <c r="DU5" i="41"/>
  <c r="DT5" i="41"/>
  <c r="DR5" i="41"/>
  <c r="DQ5" i="41"/>
  <c r="DP5" i="41"/>
  <c r="DO5" i="41"/>
  <c r="DN5" i="41"/>
  <c r="DM5" i="41"/>
  <c r="DK5" i="41"/>
  <c r="DJ5" i="41"/>
  <c r="DI5" i="41"/>
  <c r="DH5" i="41"/>
  <c r="DG5" i="41"/>
  <c r="DF5" i="41"/>
  <c r="DE5" i="41"/>
  <c r="DD5" i="41"/>
  <c r="DC5" i="41"/>
  <c r="DB5" i="41"/>
  <c r="DA5" i="41"/>
  <c r="CZ5" i="41"/>
  <c r="CY5" i="41"/>
  <c r="CX5" i="41"/>
  <c r="CW5" i="41"/>
  <c r="CV5" i="41"/>
  <c r="CU5" i="41"/>
  <c r="CT5" i="41"/>
  <c r="CS5" i="41"/>
  <c r="CR5" i="41"/>
  <c r="CQ5" i="41"/>
  <c r="CP5" i="41"/>
  <c r="CL5" i="41"/>
  <c r="CK5" i="41"/>
  <c r="CJ5" i="41"/>
  <c r="CI5" i="41"/>
  <c r="CH5" i="41"/>
  <c r="CG5" i="41"/>
  <c r="CF5" i="41"/>
  <c r="CE5" i="41"/>
  <c r="CD5" i="41"/>
  <c r="CC5" i="41"/>
  <c r="CB5" i="41"/>
  <c r="CA5" i="41"/>
  <c r="BZ5" i="41"/>
  <c r="BY5" i="41"/>
  <c r="BX5" i="41"/>
  <c r="BW5" i="41"/>
  <c r="BV5" i="41"/>
  <c r="BU5" i="41"/>
  <c r="BT5" i="41"/>
  <c r="BS5" i="41"/>
  <c r="BR5" i="41"/>
  <c r="BQ5" i="41"/>
  <c r="BP5" i="41"/>
  <c r="BO5" i="41"/>
  <c r="BN5" i="41"/>
  <c r="BM5" i="41"/>
  <c r="BL5" i="41"/>
  <c r="BK5" i="41"/>
  <c r="BJ5" i="41"/>
  <c r="BI5" i="41"/>
  <c r="BH5" i="41"/>
  <c r="BG5" i="41"/>
  <c r="BF5" i="41"/>
  <c r="BE5" i="41"/>
  <c r="BD5" i="41"/>
  <c r="BC5" i="41"/>
  <c r="BB5" i="41"/>
  <c r="BA5" i="41"/>
  <c r="AZ5" i="41"/>
  <c r="AY5" i="41"/>
  <c r="AX5" i="41"/>
  <c r="AW5" i="41"/>
  <c r="AV5" i="41"/>
  <c r="AU5" i="41"/>
  <c r="AT5" i="41"/>
  <c r="AS5" i="41"/>
  <c r="AR5" i="41"/>
  <c r="AQ5" i="41"/>
  <c r="AP5" i="41"/>
  <c r="AO5" i="41"/>
  <c r="AN5" i="41"/>
  <c r="AM5" i="41"/>
  <c r="AL5" i="41"/>
  <c r="AK5" i="41"/>
  <c r="AJ5" i="41"/>
  <c r="AI5" i="41"/>
  <c r="AH5" i="41"/>
  <c r="AG5" i="41"/>
  <c r="AF5" i="41"/>
  <c r="AE5" i="41"/>
  <c r="AD5" i="41"/>
  <c r="AC5" i="41"/>
  <c r="AB5" i="41"/>
  <c r="AA5" i="41"/>
  <c r="Z5" i="41"/>
  <c r="Y5" i="41"/>
  <c r="X5" i="41"/>
  <c r="W5" i="41"/>
  <c r="V5" i="41"/>
  <c r="U5" i="41"/>
  <c r="T5" i="41"/>
  <c r="S5" i="41"/>
  <c r="R5" i="41"/>
  <c r="Q5" i="41"/>
  <c r="P5" i="41"/>
  <c r="O5" i="41"/>
  <c r="LY5" i="1"/>
  <c r="LZ5" i="1"/>
  <c r="MA5" i="1"/>
  <c r="MB5" i="1"/>
  <c r="MC5" i="1"/>
  <c r="MD5" i="1"/>
  <c r="ME5" i="1"/>
  <c r="LY5" i="3"/>
  <c r="LZ5" i="3"/>
  <c r="MA5" i="3"/>
  <c r="MB5" i="3"/>
  <c r="MC5" i="3"/>
  <c r="MD5" i="3"/>
  <c r="ME5" i="3"/>
  <c r="LZ5" i="4"/>
  <c r="MA5" i="4"/>
  <c r="MB5" i="4"/>
  <c r="MC5" i="4"/>
  <c r="MD5" i="4"/>
  <c r="ME5" i="4"/>
  <c r="LY5" i="2"/>
  <c r="LZ5" i="2"/>
  <c r="MA5" i="2"/>
  <c r="MB5" i="2"/>
  <c r="MC5" i="2"/>
  <c r="MD5" i="2"/>
  <c r="ME5" i="2"/>
  <c r="LY5" i="16" l="1"/>
  <c r="LZ5" i="16"/>
  <c r="MA5" i="16"/>
  <c r="MB5" i="16"/>
  <c r="MC5" i="16"/>
  <c r="MD5" i="16"/>
  <c r="ME5" i="16"/>
  <c r="MD5" i="6"/>
  <c r="MC5" i="6"/>
  <c r="MB5" i="6"/>
  <c r="MA5" i="6"/>
  <c r="LZ5" i="6"/>
  <c r="LY5" i="6"/>
  <c r="LY5" i="5"/>
  <c r="LZ5" i="5"/>
  <c r="MA5" i="5"/>
  <c r="MB5" i="5"/>
  <c r="MC5" i="5"/>
  <c r="MD5" i="5"/>
  <c r="ME5" i="5"/>
  <c r="LS5" i="4"/>
  <c r="LT5" i="4"/>
  <c r="LU5" i="4"/>
  <c r="LV5" i="4"/>
  <c r="LW5" i="4"/>
  <c r="LX5" i="4"/>
  <c r="LR5" i="4"/>
  <c r="LR5" i="11"/>
  <c r="LS5" i="11"/>
  <c r="LT5" i="11"/>
  <c r="LU5" i="11"/>
  <c r="LV5" i="11"/>
  <c r="LW5" i="11"/>
  <c r="LX5" i="11"/>
  <c r="LR5" i="16"/>
  <c r="LS5" i="16"/>
  <c r="LT5" i="16"/>
  <c r="LU5" i="16"/>
  <c r="LV5" i="16"/>
  <c r="LW5" i="16"/>
  <c r="LX5" i="16"/>
  <c r="LW5" i="6"/>
  <c r="LV5" i="6"/>
  <c r="LU5" i="6"/>
  <c r="LT5" i="6"/>
  <c r="LS5" i="6"/>
  <c r="LR5" i="6"/>
  <c r="LR5" i="1" l="1"/>
  <c r="LS5" i="1"/>
  <c r="LT5" i="1"/>
  <c r="LU5" i="1"/>
  <c r="LV5" i="1"/>
  <c r="LW5" i="1"/>
  <c r="LX5" i="1"/>
  <c r="LR5" i="3"/>
  <c r="LS5" i="3"/>
  <c r="LT5" i="3"/>
  <c r="LU5" i="3"/>
  <c r="LV5" i="3"/>
  <c r="LW5" i="3"/>
  <c r="LX5" i="3"/>
  <c r="LR5" i="5"/>
  <c r="LS5" i="5"/>
  <c r="LT5" i="5"/>
  <c r="LU5" i="5"/>
  <c r="LV5" i="5"/>
  <c r="LW5" i="5"/>
  <c r="LX5" i="5"/>
  <c r="LR5" i="2"/>
  <c r="LS5" i="2"/>
  <c r="LT5" i="2"/>
  <c r="LU5" i="2"/>
  <c r="LV5" i="2"/>
  <c r="LW5" i="2"/>
  <c r="LX5" i="2"/>
  <c r="LL5" i="6" l="1"/>
  <c r="LM5" i="6"/>
  <c r="LN5" i="6"/>
  <c r="LO5" i="6"/>
  <c r="LP5" i="6"/>
  <c r="LK5" i="6"/>
  <c r="LK5" i="5" l="1"/>
  <c r="LL5" i="5"/>
  <c r="LM5" i="5"/>
  <c r="LN5" i="5"/>
  <c r="LO5" i="5"/>
  <c r="LP5" i="5"/>
  <c r="LQ5" i="5"/>
  <c r="LK5" i="3"/>
  <c r="LL5" i="3"/>
  <c r="LM5" i="3"/>
  <c r="LN5" i="3"/>
  <c r="LO5" i="3"/>
  <c r="LP5" i="3"/>
  <c r="LQ5" i="3"/>
  <c r="LK5" i="16"/>
  <c r="LL5" i="16"/>
  <c r="LM5" i="16"/>
  <c r="LN5" i="16"/>
  <c r="LO5" i="16"/>
  <c r="LP5" i="16"/>
  <c r="LQ5" i="16"/>
  <c r="LK5" i="4"/>
  <c r="LL5" i="4"/>
  <c r="LM5" i="4"/>
  <c r="LN5" i="4"/>
  <c r="LO5" i="4"/>
  <c r="LP5" i="4"/>
  <c r="LQ5" i="4"/>
  <c r="LK5" i="11"/>
  <c r="LL5" i="11"/>
  <c r="LM5" i="11"/>
  <c r="LN5" i="11"/>
  <c r="LO5" i="11"/>
  <c r="LP5" i="11"/>
  <c r="LQ5" i="11"/>
  <c r="LK5" i="1" l="1"/>
  <c r="LL5" i="1"/>
  <c r="LM5" i="1"/>
  <c r="LN5" i="1"/>
  <c r="LO5" i="1"/>
  <c r="LP5" i="1"/>
  <c r="LQ5" i="1"/>
  <c r="LK5" i="2"/>
  <c r="LL5" i="2"/>
  <c r="LM5" i="2"/>
  <c r="LN5" i="2"/>
  <c r="LO5" i="2"/>
  <c r="LP5" i="2"/>
  <c r="LQ5" i="2"/>
  <c r="LD5" i="11" l="1"/>
  <c r="LE5" i="11"/>
  <c r="LF5" i="11"/>
  <c r="LG5" i="11"/>
  <c r="LH5" i="11"/>
  <c r="LI5" i="11"/>
  <c r="LJ5" i="11"/>
  <c r="LD5" i="1"/>
  <c r="LE5" i="1"/>
  <c r="LF5" i="1"/>
  <c r="LG5" i="1"/>
  <c r="LH5" i="1"/>
  <c r="LI5" i="1"/>
  <c r="LJ5" i="1"/>
  <c r="LJ5" i="5"/>
  <c r="LH5" i="5"/>
  <c r="LE5" i="6"/>
  <c r="LF5" i="6"/>
  <c r="LG5" i="6"/>
  <c r="LH5" i="6"/>
  <c r="LI5" i="6"/>
  <c r="LD5" i="6"/>
  <c r="LD5" i="5"/>
  <c r="LE5" i="5"/>
  <c r="LF5" i="5"/>
  <c r="LG5" i="5"/>
  <c r="LI5" i="5"/>
  <c r="LD5" i="16"/>
  <c r="LE5" i="16"/>
  <c r="LF5" i="16"/>
  <c r="LG5" i="16"/>
  <c r="LH5" i="16"/>
  <c r="LI5" i="16"/>
  <c r="LJ5" i="16"/>
  <c r="LD5" i="4"/>
  <c r="LE5" i="4"/>
  <c r="LF5" i="4"/>
  <c r="LG5" i="4"/>
  <c r="LH5" i="4"/>
  <c r="LI5" i="4"/>
  <c r="LJ5" i="4"/>
  <c r="LD5" i="2" l="1"/>
  <c r="LE5" i="2"/>
  <c r="LF5" i="2"/>
  <c r="LG5" i="2"/>
  <c r="LH5" i="2"/>
  <c r="LI5" i="2"/>
  <c r="LJ5" i="2"/>
  <c r="LE5" i="3"/>
  <c r="LF5" i="3"/>
  <c r="LG5" i="3"/>
  <c r="LH5" i="3"/>
  <c r="LI5" i="3"/>
  <c r="LJ5" i="3"/>
  <c r="LD5" i="3"/>
  <c r="KW5" i="11"/>
  <c r="KX5" i="6"/>
  <c r="KY5" i="6"/>
  <c r="KZ5" i="6"/>
  <c r="LA5" i="6"/>
  <c r="LB5" i="6"/>
  <c r="KW5" i="6"/>
  <c r="KW5" i="5" l="1"/>
  <c r="KX5" i="5"/>
  <c r="KY5" i="5"/>
  <c r="KZ5" i="5"/>
  <c r="LA5" i="5"/>
  <c r="LB5" i="5"/>
  <c r="LC5" i="5"/>
  <c r="KW5" i="1"/>
  <c r="KX5" i="1"/>
  <c r="KY5" i="1"/>
  <c r="KZ5" i="1"/>
  <c r="LA5" i="1"/>
  <c r="LB5" i="1"/>
  <c r="LC5" i="1"/>
  <c r="KX5" i="11"/>
  <c r="KY5" i="11"/>
  <c r="KZ5" i="11"/>
  <c r="LA5" i="11"/>
  <c r="LB5" i="11"/>
  <c r="LC5" i="11"/>
  <c r="KW5" i="16"/>
  <c r="KX5" i="16"/>
  <c r="KY5" i="16"/>
  <c r="KZ5" i="16"/>
  <c r="LA5" i="16"/>
  <c r="LB5" i="16"/>
  <c r="LC5" i="16"/>
  <c r="KW5" i="4"/>
  <c r="KX5" i="4"/>
  <c r="KY5" i="4"/>
  <c r="KZ5" i="4"/>
  <c r="LA5" i="4"/>
  <c r="LB5" i="4"/>
  <c r="LC5" i="4"/>
  <c r="KW5" i="3" l="1"/>
  <c r="KX5" i="3"/>
  <c r="KY5" i="3"/>
  <c r="KZ5" i="3"/>
  <c r="LA5" i="3"/>
  <c r="LB5" i="3"/>
  <c r="LC5" i="3"/>
  <c r="KW5" i="2"/>
  <c r="KX5" i="2"/>
  <c r="KY5" i="2"/>
  <c r="KZ5" i="2"/>
  <c r="LA5" i="2"/>
  <c r="LB5" i="2"/>
  <c r="LC5" i="2"/>
  <c r="KU5" i="6"/>
  <c r="KR5" i="6"/>
  <c r="KP5" i="3"/>
  <c r="KQ5" i="3"/>
  <c r="KR5" i="3"/>
  <c r="KS5" i="3"/>
  <c r="KT5" i="3"/>
  <c r="KU5" i="3"/>
  <c r="KV5" i="3"/>
  <c r="KP5" i="16"/>
  <c r="KQ5" i="16"/>
  <c r="KR5" i="16"/>
  <c r="KS5" i="16"/>
  <c r="KT5" i="16"/>
  <c r="KU5" i="16"/>
  <c r="KV5" i="16"/>
  <c r="KP5" i="11"/>
  <c r="KP5" i="2"/>
  <c r="KQ5" i="2"/>
  <c r="KR5" i="2"/>
  <c r="KS5" i="2"/>
  <c r="KT5" i="2"/>
  <c r="KU5" i="2"/>
  <c r="KV5" i="2"/>
  <c r="KP5" i="1"/>
  <c r="KQ5" i="1"/>
  <c r="KR5" i="1"/>
  <c r="KS5" i="1"/>
  <c r="KT5" i="1"/>
  <c r="KU5" i="1"/>
  <c r="KV5" i="1"/>
  <c r="KQ5" i="11"/>
  <c r="KR5" i="11"/>
  <c r="KS5" i="11"/>
  <c r="KT5" i="11"/>
  <c r="KU5" i="11"/>
  <c r="KV5" i="11"/>
  <c r="KP5" i="4"/>
  <c r="KQ5" i="4"/>
  <c r="KR5" i="4"/>
  <c r="KS5" i="4"/>
  <c r="KT5" i="4"/>
  <c r="KU5" i="4"/>
  <c r="KV5" i="4"/>
  <c r="KP5" i="5"/>
  <c r="KQ5" i="5"/>
  <c r="KR5" i="5"/>
  <c r="KS5" i="5"/>
  <c r="KT5" i="5"/>
  <c r="KU5" i="5"/>
  <c r="KV5" i="5"/>
  <c r="KP5" i="6" l="1"/>
  <c r="KQ5" i="6"/>
  <c r="KS5" i="6"/>
  <c r="KT5" i="6"/>
  <c r="KI5" i="16" l="1"/>
  <c r="KJ5" i="16"/>
  <c r="KK5" i="16"/>
  <c r="KL5" i="16"/>
  <c r="KM5" i="16"/>
  <c r="KN5" i="16"/>
  <c r="KO5" i="16"/>
  <c r="KI5" i="6"/>
  <c r="KJ5" i="6"/>
  <c r="KK5" i="6"/>
  <c r="KL5" i="6"/>
  <c r="KM5" i="6"/>
  <c r="KN5" i="6"/>
  <c r="KI5" i="4"/>
  <c r="KJ5" i="4"/>
  <c r="KK5" i="4"/>
  <c r="KL5" i="4"/>
  <c r="KM5" i="4"/>
  <c r="KN5" i="4"/>
  <c r="KO5" i="4"/>
  <c r="KO5" i="11" l="1"/>
  <c r="KN5" i="11"/>
  <c r="KM5" i="11"/>
  <c r="KL5" i="11"/>
  <c r="KK5" i="11"/>
  <c r="KJ5" i="11"/>
  <c r="KI5" i="11"/>
  <c r="KI5" i="5" l="1"/>
  <c r="KJ5" i="5"/>
  <c r="KK5" i="5"/>
  <c r="KL5" i="5"/>
  <c r="KM5" i="5"/>
  <c r="KN5" i="5"/>
  <c r="KO5" i="5"/>
  <c r="KI5" i="1"/>
  <c r="KJ5" i="1"/>
  <c r="KK5" i="1"/>
  <c r="KL5" i="1"/>
  <c r="KM5" i="1"/>
  <c r="KN5" i="1"/>
  <c r="KO5" i="1"/>
  <c r="KI5" i="3" l="1"/>
  <c r="KJ5" i="3"/>
  <c r="KK5" i="3"/>
  <c r="KL5" i="3"/>
  <c r="KM5" i="3"/>
  <c r="KN5" i="3"/>
  <c r="KO5" i="3"/>
  <c r="KI5" i="2"/>
  <c r="KJ5" i="2"/>
  <c r="KK5" i="2"/>
  <c r="KL5" i="2"/>
  <c r="KM5" i="2"/>
  <c r="KN5" i="2"/>
  <c r="KO5" i="2"/>
  <c r="KB5" i="11"/>
  <c r="KC5" i="11"/>
  <c r="KD5" i="11"/>
  <c r="KE5" i="11"/>
  <c r="KF5" i="11"/>
  <c r="KG5" i="11"/>
  <c r="KH5" i="11"/>
  <c r="KB5" i="16"/>
  <c r="KH5" i="6"/>
  <c r="KG5" i="6"/>
  <c r="KF5" i="6"/>
  <c r="KE5" i="6"/>
  <c r="KD5" i="6"/>
  <c r="KC5" i="6"/>
  <c r="KB5" i="6"/>
  <c r="KB5" i="5"/>
  <c r="KC5" i="5"/>
  <c r="KD5" i="5"/>
  <c r="KE5" i="5"/>
  <c r="KF5" i="5"/>
  <c r="KG5" i="5"/>
  <c r="KH5" i="5"/>
  <c r="KC5" i="16"/>
  <c r="KD5" i="16"/>
  <c r="KE5" i="16"/>
  <c r="KF5" i="16"/>
  <c r="KG5" i="16"/>
  <c r="KH5" i="16"/>
  <c r="KB5" i="4"/>
  <c r="KC5" i="4"/>
  <c r="KD5" i="4"/>
  <c r="KE5" i="4"/>
  <c r="KF5" i="4"/>
  <c r="KG5" i="4"/>
  <c r="KH5" i="4"/>
  <c r="KB5" i="3" l="1"/>
  <c r="KC5" i="3"/>
  <c r="KD5" i="3"/>
  <c r="KE5" i="3"/>
  <c r="KF5" i="3"/>
  <c r="KG5" i="3"/>
  <c r="KH5" i="3"/>
  <c r="KB5" i="1"/>
  <c r="KC5" i="1"/>
  <c r="KD5" i="1"/>
  <c r="KE5" i="1"/>
  <c r="KF5" i="1"/>
  <c r="KG5" i="1"/>
  <c r="KH5" i="1"/>
  <c r="KB5" i="2" l="1"/>
  <c r="KC5" i="2"/>
  <c r="KD5" i="2"/>
  <c r="KE5" i="2"/>
  <c r="KF5" i="2"/>
  <c r="KG5" i="2"/>
  <c r="KH5" i="2"/>
  <c r="KA5" i="11" l="1"/>
  <c r="JZ5" i="11"/>
  <c r="JY5" i="11"/>
  <c r="JX5" i="11"/>
  <c r="JW5" i="11"/>
  <c r="JV5" i="11"/>
  <c r="JU5" i="11"/>
  <c r="JZ5" i="6"/>
  <c r="JY5" i="6"/>
  <c r="JX5" i="6"/>
  <c r="JW5" i="6"/>
  <c r="JV5" i="6"/>
  <c r="JU5" i="6"/>
  <c r="JU5" i="1"/>
  <c r="JV5" i="1"/>
  <c r="JW5" i="1"/>
  <c r="JX5" i="1"/>
  <c r="JY5" i="1"/>
  <c r="JZ5" i="1"/>
  <c r="KA5" i="1"/>
  <c r="JU5" i="5"/>
  <c r="JV5" i="5"/>
  <c r="JW5" i="5"/>
  <c r="JX5" i="5"/>
  <c r="JY5" i="5"/>
  <c r="JZ5" i="5"/>
  <c r="KA5" i="5"/>
  <c r="JU5" i="16"/>
  <c r="JV5" i="16"/>
  <c r="JW5" i="16"/>
  <c r="JX5" i="16"/>
  <c r="JY5" i="16"/>
  <c r="JZ5" i="16"/>
  <c r="KA5" i="16"/>
  <c r="JU5" i="3"/>
  <c r="JV5" i="3"/>
  <c r="JW5" i="3"/>
  <c r="JX5" i="3"/>
  <c r="JY5" i="3"/>
  <c r="JZ5" i="3"/>
  <c r="KA5" i="3"/>
  <c r="JV5" i="4"/>
  <c r="JW5" i="4"/>
  <c r="JX5" i="4"/>
  <c r="JY5" i="4"/>
  <c r="JZ5" i="4"/>
  <c r="KA5" i="4"/>
  <c r="JU5" i="4"/>
  <c r="JU5" i="2"/>
  <c r="JV5" i="2"/>
  <c r="JW5" i="2"/>
  <c r="JX5" i="2"/>
  <c r="JY5" i="2"/>
  <c r="JZ5" i="2"/>
  <c r="KA5" i="2"/>
  <c r="JT5" i="11" l="1"/>
  <c r="JS5" i="11"/>
  <c r="JR5" i="11"/>
  <c r="JQ5" i="11"/>
  <c r="JP5" i="11"/>
  <c r="JO5" i="11"/>
  <c r="JN5" i="11"/>
  <c r="JO5" i="6"/>
  <c r="JP5" i="6"/>
  <c r="JQ5" i="6"/>
  <c r="JR5" i="6"/>
  <c r="JS5" i="6"/>
  <c r="JN5" i="6"/>
  <c r="JO5" i="5"/>
  <c r="JP5" i="5"/>
  <c r="JQ5" i="5"/>
  <c r="JR5" i="5"/>
  <c r="JS5" i="5"/>
  <c r="JT5" i="5"/>
  <c r="JN5" i="5"/>
  <c r="JO5" i="16" l="1"/>
  <c r="JP5" i="16"/>
  <c r="JQ5" i="16"/>
  <c r="JR5" i="16"/>
  <c r="JS5" i="16"/>
  <c r="JT5" i="16"/>
  <c r="JN5" i="16"/>
  <c r="JO5" i="4"/>
  <c r="JP5" i="4"/>
  <c r="JQ5" i="4"/>
  <c r="JR5" i="4"/>
  <c r="JS5" i="4"/>
  <c r="JT5" i="4"/>
  <c r="JN5" i="4"/>
  <c r="JO5" i="3" l="1"/>
  <c r="JP5" i="3"/>
  <c r="JQ5" i="3"/>
  <c r="JR5" i="3"/>
  <c r="JS5" i="3"/>
  <c r="JT5" i="3"/>
  <c r="JN5" i="3"/>
  <c r="JO5" i="1"/>
  <c r="JP5" i="1"/>
  <c r="JQ5" i="1"/>
  <c r="JR5" i="1"/>
  <c r="JS5" i="1"/>
  <c r="JT5" i="1"/>
  <c r="JN5" i="1"/>
  <c r="JO5" i="2"/>
  <c r="JP5" i="2"/>
  <c r="JQ5" i="2"/>
  <c r="JR5" i="2"/>
  <c r="JS5" i="2"/>
  <c r="JT5" i="2"/>
  <c r="JN5" i="2"/>
  <c r="JM5" i="11"/>
  <c r="JL5" i="11"/>
  <c r="JK5" i="11"/>
  <c r="JJ5" i="11"/>
  <c r="JI5" i="11"/>
  <c r="JH5" i="11"/>
  <c r="JG5" i="11"/>
  <c r="JL5" i="6"/>
  <c r="JK5" i="6"/>
  <c r="JJ5" i="6"/>
  <c r="JI5" i="6"/>
  <c r="JH5" i="6"/>
  <c r="JG5" i="6"/>
  <c r="JG5" i="16"/>
  <c r="JH5" i="16"/>
  <c r="JI5" i="16"/>
  <c r="JJ5" i="16"/>
  <c r="JK5" i="16"/>
  <c r="JL5" i="16"/>
  <c r="JM5" i="16"/>
  <c r="JG5" i="4"/>
  <c r="JH5" i="4"/>
  <c r="JI5" i="4"/>
  <c r="JJ5" i="4"/>
  <c r="JK5" i="4"/>
  <c r="JL5" i="4"/>
  <c r="JM5" i="4"/>
  <c r="JG5" i="5"/>
  <c r="JH5" i="5"/>
  <c r="JI5" i="5"/>
  <c r="JJ5" i="5"/>
  <c r="JK5" i="5"/>
  <c r="JL5" i="5"/>
  <c r="JM5" i="5"/>
  <c r="JG5" i="1" l="1"/>
  <c r="JH5" i="1"/>
  <c r="JI5" i="1"/>
  <c r="JJ5" i="1"/>
  <c r="JK5" i="1"/>
  <c r="JL5" i="1"/>
  <c r="JM5" i="1"/>
  <c r="JG5" i="2"/>
  <c r="JH5" i="2"/>
  <c r="JI5" i="2"/>
  <c r="JJ5" i="2"/>
  <c r="JK5" i="2"/>
  <c r="JL5" i="2"/>
  <c r="JM5" i="2"/>
  <c r="JG5" i="3"/>
  <c r="JH5" i="3"/>
  <c r="JI5" i="3"/>
  <c r="JJ5" i="3"/>
  <c r="JK5" i="3"/>
  <c r="JL5" i="3"/>
  <c r="JM5" i="3"/>
  <c r="JF5" i="1"/>
  <c r="IS5" i="11"/>
  <c r="IT5" i="11"/>
  <c r="IU5" i="11"/>
  <c r="IV5" i="11"/>
  <c r="IW5" i="11"/>
  <c r="IX5" i="11"/>
  <c r="IY5" i="11"/>
  <c r="IZ5" i="11"/>
  <c r="JA5" i="11"/>
  <c r="JB5" i="11"/>
  <c r="JC5" i="11"/>
  <c r="JD5" i="11"/>
  <c r="JE5" i="11"/>
  <c r="JF5" i="11"/>
  <c r="JF5" i="16"/>
  <c r="IS5" i="6"/>
  <c r="JE5" i="6"/>
  <c r="JD5" i="6"/>
  <c r="JC5" i="6"/>
  <c r="JB5" i="6"/>
  <c r="JA5" i="6"/>
  <c r="IZ5" i="6"/>
  <c r="IX5" i="6"/>
  <c r="IW5" i="6"/>
  <c r="IV5" i="6"/>
  <c r="IU5" i="6"/>
  <c r="IT5" i="6"/>
  <c r="IS5" i="5"/>
  <c r="IT5" i="5"/>
  <c r="IU5" i="5"/>
  <c r="IV5" i="5"/>
  <c r="IW5" i="5"/>
  <c r="IX5" i="5"/>
  <c r="IY5" i="5"/>
  <c r="IZ5" i="5"/>
  <c r="JA5" i="5"/>
  <c r="JB5" i="5"/>
  <c r="JC5" i="5"/>
  <c r="JD5" i="5"/>
  <c r="JE5" i="5"/>
  <c r="JF5" i="5"/>
  <c r="IS5" i="16"/>
  <c r="IT5" i="16"/>
  <c r="IU5" i="16"/>
  <c r="IV5" i="16"/>
  <c r="IW5" i="16"/>
  <c r="IX5" i="16"/>
  <c r="IY5" i="16"/>
  <c r="IZ5" i="16"/>
  <c r="JA5" i="16"/>
  <c r="JB5" i="16"/>
  <c r="JC5" i="16"/>
  <c r="JD5" i="16"/>
  <c r="JE5" i="16"/>
  <c r="JD5" i="4"/>
  <c r="JE5" i="4"/>
  <c r="JF5" i="4"/>
  <c r="IS5" i="4"/>
  <c r="IT5" i="4"/>
  <c r="IU5" i="4"/>
  <c r="IV5" i="4"/>
  <c r="IW5" i="4"/>
  <c r="IX5" i="4"/>
  <c r="IY5" i="4"/>
  <c r="IZ5" i="4"/>
  <c r="JA5" i="4"/>
  <c r="JB5" i="4"/>
  <c r="JC5" i="4"/>
  <c r="IT5" i="1" l="1"/>
  <c r="IU5" i="1"/>
  <c r="IV5" i="1"/>
  <c r="IW5" i="1"/>
  <c r="IX5" i="1"/>
  <c r="IY5" i="1"/>
  <c r="IZ5" i="1"/>
  <c r="JA5" i="1"/>
  <c r="JB5" i="1"/>
  <c r="JC5" i="1"/>
  <c r="JD5" i="1"/>
  <c r="JE5" i="1"/>
  <c r="IS5" i="1"/>
  <c r="IZ5" i="3"/>
  <c r="JA5" i="3"/>
  <c r="JB5" i="3"/>
  <c r="JC5" i="3"/>
  <c r="JD5" i="3"/>
  <c r="JE5" i="3"/>
  <c r="JF5" i="3"/>
  <c r="IZ5" i="2"/>
  <c r="JA5" i="2"/>
  <c r="JB5" i="2"/>
  <c r="JC5" i="2"/>
  <c r="JD5" i="2"/>
  <c r="JE5" i="2"/>
  <c r="JF5" i="2"/>
  <c r="IW5" i="3"/>
  <c r="IX5" i="3"/>
  <c r="IY5" i="3"/>
  <c r="IS5" i="3"/>
  <c r="IT5" i="3"/>
  <c r="IU5" i="3"/>
  <c r="IV5" i="3"/>
  <c r="IW5" i="2"/>
  <c r="IX5" i="2"/>
  <c r="IY5" i="2"/>
  <c r="IS5" i="2"/>
  <c r="IT5" i="2"/>
  <c r="IU5" i="2"/>
  <c r="IV5" i="2"/>
  <c r="IP5" i="11"/>
  <c r="IL5" i="11"/>
  <c r="IM5" i="11"/>
  <c r="IN5" i="11"/>
  <c r="IO5" i="11"/>
  <c r="IQ5" i="11"/>
  <c r="IR5" i="11"/>
  <c r="IL5" i="4"/>
  <c r="IR5" i="6"/>
  <c r="IQ5" i="6"/>
  <c r="IP5" i="6"/>
  <c r="IO5" i="6"/>
  <c r="IN5" i="6"/>
  <c r="IM5" i="6"/>
  <c r="IL5" i="6"/>
  <c r="IM5" i="4"/>
  <c r="IN5" i="4"/>
  <c r="IO5" i="4"/>
  <c r="IP5" i="4"/>
  <c r="IQ5" i="4"/>
  <c r="IR5" i="4"/>
  <c r="IL5" i="16"/>
  <c r="IM5" i="16"/>
  <c r="IN5" i="16"/>
  <c r="IO5" i="16"/>
  <c r="IP5" i="16"/>
  <c r="IQ5" i="16"/>
  <c r="IR5" i="16"/>
  <c r="IL17" i="1"/>
  <c r="IM17" i="1"/>
  <c r="IN17" i="1"/>
  <c r="IO17" i="1"/>
  <c r="IP17" i="1"/>
  <c r="IQ17" i="1"/>
  <c r="IR17" i="1"/>
  <c r="IL5" i="1"/>
  <c r="IM5" i="1"/>
  <c r="IN5" i="1"/>
  <c r="IO5" i="1"/>
  <c r="IP5" i="1"/>
  <c r="IQ5" i="1"/>
  <c r="IR5" i="1"/>
  <c r="IL5" i="5" l="1"/>
  <c r="IM5" i="5"/>
  <c r="IN5" i="5"/>
  <c r="IO5" i="5"/>
  <c r="IP5" i="5"/>
  <c r="IQ5" i="5"/>
  <c r="IR5" i="5"/>
  <c r="IL5" i="3"/>
  <c r="IM5" i="3"/>
  <c r="IN5" i="3"/>
  <c r="IO5" i="3"/>
  <c r="IP5" i="3"/>
  <c r="IQ5" i="3"/>
  <c r="IR5" i="3"/>
  <c r="IL5" i="2"/>
  <c r="IM5" i="2"/>
  <c r="IN5" i="2"/>
  <c r="IO5" i="2"/>
  <c r="IP5" i="2"/>
  <c r="IQ5" i="2"/>
  <c r="IR5" i="2"/>
  <c r="IE5" i="4"/>
  <c r="IE5" i="11"/>
  <c r="IF5" i="11"/>
  <c r="IG5" i="11"/>
  <c r="IH5" i="11"/>
  <c r="II5" i="11"/>
  <c r="IJ5" i="11"/>
  <c r="IK5" i="11"/>
  <c r="IE5" i="5"/>
  <c r="IF5" i="5"/>
  <c r="IG5" i="5"/>
  <c r="IH5" i="5"/>
  <c r="II5" i="5"/>
  <c r="IJ5" i="5"/>
  <c r="IK5" i="5"/>
  <c r="IE5" i="6"/>
  <c r="IF5" i="6"/>
  <c r="IG5" i="6"/>
  <c r="IH5" i="6"/>
  <c r="II5" i="6"/>
  <c r="IJ5" i="6"/>
  <c r="IE5" i="16"/>
  <c r="IF5" i="16"/>
  <c r="IG5" i="16"/>
  <c r="IH5" i="16"/>
  <c r="II5" i="16"/>
  <c r="IJ5" i="16"/>
  <c r="IK5" i="16"/>
  <c r="IF5" i="4"/>
  <c r="IG5" i="4"/>
  <c r="IH5" i="4"/>
  <c r="II5" i="4"/>
  <c r="IJ5" i="4"/>
  <c r="IK5" i="4"/>
  <c r="IE17" i="1" l="1"/>
  <c r="IF17" i="1"/>
  <c r="IG17" i="1"/>
  <c r="IH17" i="1"/>
  <c r="II17" i="1"/>
  <c r="IJ17" i="1"/>
  <c r="IK17" i="1"/>
  <c r="IE23" i="1"/>
  <c r="IF23" i="1"/>
  <c r="IG23" i="1"/>
  <c r="IH23" i="1"/>
  <c r="II23" i="1"/>
  <c r="IJ23" i="1"/>
  <c r="IK23" i="1"/>
  <c r="IE5" i="1"/>
  <c r="IF5" i="1"/>
  <c r="IG5" i="1"/>
  <c r="IH5" i="1"/>
  <c r="II5" i="1"/>
  <c r="IJ5" i="1"/>
  <c r="IK5" i="1"/>
  <c r="IE5" i="3"/>
  <c r="IF5" i="3"/>
  <c r="IG5" i="3"/>
  <c r="IH5" i="3"/>
  <c r="II5" i="3"/>
  <c r="IJ5" i="3"/>
  <c r="IK5" i="3"/>
  <c r="IE5" i="2"/>
  <c r="IF5" i="2"/>
  <c r="IG5" i="2"/>
  <c r="IH5" i="2"/>
  <c r="II5" i="2"/>
  <c r="IJ5" i="2"/>
  <c r="IK5" i="2"/>
  <c r="ID5" i="6"/>
  <c r="HX5" i="11"/>
  <c r="HY5" i="11"/>
  <c r="HZ5" i="11"/>
  <c r="IA5" i="11"/>
  <c r="IB5" i="11"/>
  <c r="IC5" i="11"/>
  <c r="ID5" i="11"/>
  <c r="HX5" i="5"/>
  <c r="HY5" i="5"/>
  <c r="HZ5" i="5"/>
  <c r="IA5" i="5"/>
  <c r="IB5" i="5"/>
  <c r="IC5" i="5"/>
  <c r="ID5" i="5"/>
  <c r="IC5" i="6"/>
  <c r="IB5" i="6"/>
  <c r="IA5" i="6"/>
  <c r="HZ5" i="6"/>
  <c r="HY5" i="6"/>
  <c r="HX5" i="6"/>
  <c r="HX5" i="16"/>
  <c r="HY5" i="16"/>
  <c r="HZ5" i="16"/>
  <c r="IA5" i="16"/>
  <c r="IB5" i="16"/>
  <c r="IC5" i="16"/>
  <c r="ID5" i="16"/>
  <c r="HX5" i="4"/>
  <c r="HY5" i="4"/>
  <c r="HZ5" i="4"/>
  <c r="IA5" i="4"/>
  <c r="IB5" i="4"/>
  <c r="IC5" i="4"/>
  <c r="ID5" i="4"/>
  <c r="HX23" i="1" l="1"/>
  <c r="HY23" i="1"/>
  <c r="HZ23" i="1"/>
  <c r="IA23" i="1"/>
  <c r="IB23" i="1"/>
  <c r="IC23" i="1"/>
  <c r="ID23" i="1"/>
  <c r="HX17" i="1"/>
  <c r="HY17" i="1"/>
  <c r="HZ17" i="1"/>
  <c r="IA17" i="1"/>
  <c r="IB17" i="1"/>
  <c r="IC17" i="1"/>
  <c r="ID17" i="1"/>
  <c r="HX5" i="1"/>
  <c r="HY5" i="1"/>
  <c r="HZ5" i="1"/>
  <c r="IA5" i="1"/>
  <c r="IB5" i="1"/>
  <c r="IC5" i="1"/>
  <c r="ID5" i="1"/>
  <c r="HX5" i="3"/>
  <c r="HY5" i="3"/>
  <c r="HZ5" i="3"/>
  <c r="IA5" i="3"/>
  <c r="IB5" i="3"/>
  <c r="IC5" i="3"/>
  <c r="ID5" i="3"/>
  <c r="HX5" i="2"/>
  <c r="HY5" i="2"/>
  <c r="HZ5" i="2"/>
  <c r="IA5" i="2"/>
  <c r="IB5" i="2"/>
  <c r="IC5" i="2"/>
  <c r="ID5" i="2"/>
  <c r="HQ5" i="4"/>
  <c r="HQ5" i="11"/>
  <c r="HR5" i="11"/>
  <c r="HS5" i="11"/>
  <c r="HT5" i="11"/>
  <c r="HU5" i="11"/>
  <c r="HV5" i="11"/>
  <c r="HW5" i="11"/>
  <c r="HV5" i="6" l="1"/>
  <c r="HU5" i="6"/>
  <c r="HT5" i="6"/>
  <c r="HS5" i="6"/>
  <c r="HR5" i="6"/>
  <c r="HQ5" i="6"/>
  <c r="HQ5" i="5"/>
  <c r="HR5" i="5"/>
  <c r="HS5" i="5"/>
  <c r="HT5" i="5"/>
  <c r="HU5" i="5"/>
  <c r="HV5" i="5"/>
  <c r="HW5" i="5"/>
  <c r="HQ5" i="16"/>
  <c r="HR5" i="16"/>
  <c r="HS5" i="16"/>
  <c r="HT5" i="16"/>
  <c r="HU5" i="16"/>
  <c r="HV5" i="16"/>
  <c r="HW5" i="16"/>
  <c r="HR5" i="4"/>
  <c r="HS5" i="4"/>
  <c r="HT5" i="4"/>
  <c r="HU5" i="4"/>
  <c r="HV5" i="4"/>
  <c r="HW5" i="4"/>
  <c r="HQ5" i="3" l="1"/>
  <c r="HR5" i="3"/>
  <c r="HS5" i="3"/>
  <c r="HT5" i="3"/>
  <c r="HU5" i="3"/>
  <c r="HV5" i="3"/>
  <c r="HW5" i="3"/>
  <c r="HQ5" i="2"/>
  <c r="HR5" i="2"/>
  <c r="HS5" i="2"/>
  <c r="HT5" i="2"/>
  <c r="HU5" i="2"/>
  <c r="HV5" i="2"/>
  <c r="HW5" i="2"/>
  <c r="HQ5" i="1"/>
  <c r="HR5" i="1"/>
  <c r="HS5" i="1"/>
  <c r="HT5" i="1"/>
  <c r="HU5" i="1"/>
  <c r="HV5" i="1"/>
  <c r="HW5" i="1"/>
  <c r="HQ17" i="1"/>
  <c r="HR17" i="1"/>
  <c r="HS17" i="1"/>
  <c r="HT17" i="1"/>
  <c r="HU17" i="1"/>
  <c r="HV17" i="1"/>
  <c r="HW17" i="1"/>
  <c r="HQ23" i="1"/>
  <c r="HR23" i="1"/>
  <c r="HS23" i="1"/>
  <c r="HT23" i="1"/>
  <c r="HU23" i="1"/>
  <c r="HV23" i="1"/>
  <c r="HW23" i="1"/>
  <c r="HJ5" i="11"/>
  <c r="HK5" i="11"/>
  <c r="HL5" i="11"/>
  <c r="HM5" i="11"/>
  <c r="HN5" i="11"/>
  <c r="HO5" i="11"/>
  <c r="HP5" i="11"/>
  <c r="HO5" i="6"/>
  <c r="HN5" i="6"/>
  <c r="HM5" i="6"/>
  <c r="HL5" i="6"/>
  <c r="HK5" i="6"/>
  <c r="HJ5" i="6"/>
  <c r="HO5" i="4"/>
  <c r="HM5" i="4"/>
  <c r="HJ5" i="5"/>
  <c r="HJ5" i="4"/>
  <c r="HK5" i="4"/>
  <c r="HL5" i="4"/>
  <c r="HN5" i="4"/>
  <c r="HP5" i="4"/>
  <c r="HJ5" i="16"/>
  <c r="HK5" i="16"/>
  <c r="HL5" i="16"/>
  <c r="HM5" i="16"/>
  <c r="HN5" i="16"/>
  <c r="HO5" i="16"/>
  <c r="HP5" i="16"/>
  <c r="HJ5" i="1" l="1"/>
  <c r="HK5" i="1"/>
  <c r="HL5" i="1"/>
  <c r="HM5" i="1"/>
  <c r="HN5" i="1"/>
  <c r="HO5" i="1"/>
  <c r="HP5" i="1"/>
  <c r="HJ17" i="1"/>
  <c r="HK17" i="1"/>
  <c r="HL17" i="1"/>
  <c r="HM17" i="1"/>
  <c r="HN17" i="1"/>
  <c r="HO17" i="1"/>
  <c r="HP17" i="1"/>
  <c r="HJ23" i="1"/>
  <c r="HK23" i="1"/>
  <c r="HL23" i="1"/>
  <c r="HM23" i="1"/>
  <c r="HN23" i="1"/>
  <c r="HO23" i="1"/>
  <c r="HP23" i="1"/>
  <c r="HJ5" i="2"/>
  <c r="HK5" i="2"/>
  <c r="HL5" i="2"/>
  <c r="HM5" i="2"/>
  <c r="HN5" i="2"/>
  <c r="HO5" i="2"/>
  <c r="HP5" i="2"/>
  <c r="HJ5" i="3"/>
  <c r="HK5" i="3"/>
  <c r="HL5" i="3"/>
  <c r="HM5" i="3"/>
  <c r="HN5" i="3"/>
  <c r="HO5" i="3"/>
  <c r="HP5" i="3"/>
  <c r="HK5" i="5"/>
  <c r="HL5" i="5"/>
  <c r="HM5" i="5"/>
  <c r="HN5" i="5"/>
  <c r="HO5" i="5"/>
  <c r="HP5" i="5"/>
  <c r="A4" i="1"/>
  <c r="A3" i="1"/>
  <c r="A22" i="1"/>
  <c r="A21" i="1"/>
  <c r="A4" i="2"/>
  <c r="A3" i="2"/>
  <c r="HC5" i="11" l="1"/>
  <c r="HD5" i="11"/>
  <c r="HE5" i="11"/>
  <c r="HF5" i="11"/>
  <c r="HG5" i="11"/>
  <c r="HH5" i="11"/>
  <c r="HI5" i="11"/>
  <c r="HC5" i="5" l="1"/>
  <c r="HD5" i="5"/>
  <c r="HE5" i="5"/>
  <c r="HF5" i="5"/>
  <c r="HG5" i="5"/>
  <c r="HH5" i="5"/>
  <c r="HI5" i="5"/>
  <c r="HC5" i="3"/>
  <c r="HD5" i="3"/>
  <c r="HE5" i="3"/>
  <c r="HF5" i="3"/>
  <c r="HG5" i="3"/>
  <c r="HH5" i="3"/>
  <c r="HI5" i="3"/>
  <c r="HH5" i="6"/>
  <c r="HG5" i="6"/>
  <c r="HF5" i="6"/>
  <c r="HE5" i="6"/>
  <c r="HD5" i="6"/>
  <c r="HC5" i="6"/>
  <c r="HC5" i="16"/>
  <c r="HD5" i="16"/>
  <c r="HE5" i="16"/>
  <c r="HF5" i="16"/>
  <c r="HG5" i="16"/>
  <c r="HH5" i="16"/>
  <c r="HI5" i="16"/>
  <c r="HD5" i="4"/>
  <c r="HE5" i="4"/>
  <c r="HF5" i="4"/>
  <c r="HG5" i="4"/>
  <c r="HH5" i="4"/>
  <c r="HI5" i="4"/>
  <c r="HC5" i="4"/>
  <c r="HC5" i="2" l="1"/>
  <c r="HD5" i="2"/>
  <c r="HE5" i="2"/>
  <c r="HF5" i="2"/>
  <c r="HG5" i="2"/>
  <c r="HH5" i="2"/>
  <c r="HI5" i="2"/>
  <c r="HC5" i="1" l="1"/>
  <c r="HD5" i="1"/>
  <c r="HE5" i="1"/>
  <c r="HF5" i="1"/>
  <c r="HG5" i="1"/>
  <c r="HH5" i="1"/>
  <c r="HI5" i="1"/>
  <c r="HC17" i="1"/>
  <c r="HD17" i="1"/>
  <c r="HE17" i="1"/>
  <c r="HF17" i="1"/>
  <c r="HG17" i="1"/>
  <c r="HH17" i="1"/>
  <c r="HI17" i="1"/>
  <c r="HC23" i="1"/>
  <c r="HD23" i="1"/>
  <c r="HE23" i="1"/>
  <c r="HF23" i="1"/>
  <c r="HG23" i="1"/>
  <c r="HH23" i="1"/>
  <c r="HI23" i="1"/>
  <c r="GV5" i="11" l="1"/>
  <c r="GW5" i="11"/>
  <c r="GX5" i="11"/>
  <c r="GY5" i="11"/>
  <c r="GZ5" i="11"/>
  <c r="HA5" i="11"/>
  <c r="HB5" i="11"/>
  <c r="GY5" i="6"/>
  <c r="GZ5" i="6"/>
  <c r="HA5" i="6"/>
  <c r="GV5" i="5" l="1"/>
  <c r="GW5" i="5"/>
  <c r="GX5" i="5"/>
  <c r="GY5" i="5"/>
  <c r="GZ5" i="5"/>
  <c r="HA5" i="5"/>
  <c r="HB5" i="5"/>
  <c r="GW5" i="6"/>
  <c r="GX5" i="6"/>
  <c r="GV5" i="6"/>
  <c r="GV5" i="16"/>
  <c r="GW5" i="16"/>
  <c r="GX5" i="16"/>
  <c r="GY5" i="16"/>
  <c r="GZ5" i="16"/>
  <c r="HA5" i="16"/>
  <c r="HB5" i="16"/>
  <c r="GV5" i="4"/>
  <c r="GW5" i="4"/>
  <c r="GX5" i="4"/>
  <c r="GY5" i="4"/>
  <c r="GZ5" i="4"/>
  <c r="HA5" i="4"/>
  <c r="HB5" i="4"/>
  <c r="GV5" i="3" l="1"/>
  <c r="GW5" i="3"/>
  <c r="GX5" i="3"/>
  <c r="GY5" i="3"/>
  <c r="GZ5" i="3"/>
  <c r="HA5" i="3"/>
  <c r="HB5" i="3"/>
  <c r="GV5" i="2" l="1"/>
  <c r="GW5" i="2"/>
  <c r="GX5" i="2"/>
  <c r="GY5" i="2"/>
  <c r="GZ5" i="2"/>
  <c r="HA5" i="2"/>
  <c r="HB5" i="2"/>
  <c r="GW5" i="1"/>
  <c r="GX5" i="1"/>
  <c r="GY5" i="1"/>
  <c r="GZ5" i="1"/>
  <c r="HA5" i="1"/>
  <c r="HB5" i="1"/>
  <c r="GV5" i="1"/>
  <c r="GV17" i="1"/>
  <c r="GW17" i="1"/>
  <c r="GX17" i="1"/>
  <c r="GY17" i="1"/>
  <c r="GZ17" i="1"/>
  <c r="HA17" i="1"/>
  <c r="HB17" i="1"/>
  <c r="GV23" i="1"/>
  <c r="GW23" i="1"/>
  <c r="GX23" i="1"/>
  <c r="GY23" i="1"/>
  <c r="GZ23" i="1"/>
  <c r="HA23" i="1"/>
  <c r="HB23" i="1"/>
  <c r="GU5" i="6" l="1"/>
  <c r="GO5" i="11"/>
  <c r="GQ5" i="11"/>
  <c r="GR5" i="11"/>
  <c r="GS5" i="11"/>
  <c r="GT5" i="11"/>
  <c r="GU5" i="11"/>
  <c r="GO5" i="4"/>
  <c r="GQ5" i="5"/>
  <c r="GR5" i="5"/>
  <c r="GS5" i="5"/>
  <c r="GT5" i="5"/>
  <c r="GU5" i="5"/>
  <c r="GO23" i="1"/>
  <c r="GO5" i="6"/>
  <c r="GQ5" i="6"/>
  <c r="GR5" i="6"/>
  <c r="GS5" i="6"/>
  <c r="GT5" i="6"/>
  <c r="GO5" i="16" l="1"/>
  <c r="GQ5" i="16"/>
  <c r="GR5" i="16"/>
  <c r="GS5" i="16"/>
  <c r="GT5" i="16"/>
  <c r="GU5" i="16"/>
  <c r="GQ5" i="4" l="1"/>
  <c r="GR5" i="4"/>
  <c r="GS5" i="4"/>
  <c r="GT5" i="4"/>
  <c r="GU5" i="4"/>
  <c r="GO5" i="5" l="1"/>
  <c r="GQ23" i="1"/>
  <c r="GR23" i="1"/>
  <c r="GS23" i="1"/>
  <c r="GT23" i="1"/>
  <c r="GU23" i="1"/>
  <c r="GO17" i="1"/>
  <c r="GQ17" i="1"/>
  <c r="GR17" i="1"/>
  <c r="GS17" i="1"/>
  <c r="GT17" i="1"/>
  <c r="GU17" i="1"/>
  <c r="GO5" i="1"/>
  <c r="GQ5" i="1"/>
  <c r="GR5" i="1"/>
  <c r="GS5" i="1"/>
  <c r="GT5" i="1"/>
  <c r="GU5" i="1"/>
  <c r="GO5" i="3"/>
  <c r="GQ5" i="3"/>
  <c r="GR5" i="3"/>
  <c r="GS5" i="3"/>
  <c r="GT5" i="3"/>
  <c r="GU5" i="3"/>
  <c r="GO5" i="2" l="1"/>
  <c r="GQ5" i="2"/>
  <c r="GR5" i="2"/>
  <c r="GS5" i="2"/>
  <c r="GT5" i="2"/>
  <c r="GU5" i="2"/>
  <c r="GH5" i="11" l="1"/>
  <c r="GI5" i="11"/>
  <c r="GJ5" i="11"/>
  <c r="GK5" i="11"/>
  <c r="GL5" i="11"/>
  <c r="GM5" i="11"/>
  <c r="GN5" i="11"/>
  <c r="GH5" i="1"/>
  <c r="GI5" i="1"/>
  <c r="GJ5" i="1"/>
  <c r="GK5" i="1"/>
  <c r="GL5" i="1"/>
  <c r="GM5" i="1"/>
  <c r="GN5" i="1"/>
  <c r="GH17" i="1"/>
  <c r="GI17" i="1"/>
  <c r="GJ17" i="1"/>
  <c r="GK17" i="1"/>
  <c r="GL17" i="1"/>
  <c r="GM17" i="1"/>
  <c r="GN17" i="1"/>
  <c r="GH23" i="1"/>
  <c r="GI23" i="1"/>
  <c r="GJ23" i="1"/>
  <c r="GK23" i="1"/>
  <c r="GL23" i="1"/>
  <c r="GM23" i="1"/>
  <c r="GN23" i="1"/>
  <c r="GH5" i="2"/>
  <c r="GI5" i="2"/>
  <c r="GJ5" i="2"/>
  <c r="GK5" i="2"/>
  <c r="GL5" i="2"/>
  <c r="GM5" i="2"/>
  <c r="GN5" i="2"/>
  <c r="GH5" i="5" l="1"/>
  <c r="GI5" i="5"/>
  <c r="GJ5" i="5"/>
  <c r="GK5" i="5"/>
  <c r="GL5" i="5"/>
  <c r="GM5" i="5"/>
  <c r="GN5" i="5"/>
  <c r="GH5" i="3"/>
  <c r="GI5" i="3"/>
  <c r="GJ5" i="3"/>
  <c r="GK5" i="3"/>
  <c r="GL5" i="3"/>
  <c r="GM5" i="3"/>
  <c r="GN5" i="3"/>
  <c r="GI5" i="6" l="1"/>
  <c r="GJ5" i="6"/>
  <c r="GK5" i="6"/>
  <c r="GL5" i="6"/>
  <c r="GM5" i="6"/>
  <c r="GH5" i="6"/>
  <c r="GH5" i="16"/>
  <c r="GI5" i="16"/>
  <c r="GJ5" i="16"/>
  <c r="GK5" i="16"/>
  <c r="GL5" i="16"/>
  <c r="GM5" i="16"/>
  <c r="GN5" i="16"/>
  <c r="GH5" i="4"/>
  <c r="GI5" i="4"/>
  <c r="GJ5" i="4"/>
  <c r="GK5" i="4"/>
  <c r="GL5" i="4"/>
  <c r="GM5" i="4"/>
  <c r="GN5" i="4"/>
  <c r="GB17" i="1" l="1"/>
  <c r="GC17" i="1"/>
  <c r="GD17" i="1"/>
  <c r="GE17" i="1"/>
  <c r="GF17" i="1"/>
  <c r="GG17" i="1"/>
  <c r="GA17" i="1"/>
  <c r="GB23" i="1"/>
  <c r="GC23" i="1"/>
  <c r="GD23" i="1"/>
  <c r="GE23" i="1"/>
  <c r="GF23" i="1"/>
  <c r="GG23" i="1"/>
  <c r="GA23" i="1"/>
  <c r="GA5" i="1"/>
  <c r="GB5" i="1"/>
  <c r="GC5" i="1"/>
  <c r="GD5" i="1"/>
  <c r="GE5" i="1"/>
  <c r="GF5" i="1"/>
  <c r="GG5" i="1"/>
  <c r="GF5" i="6"/>
  <c r="GE5" i="6"/>
  <c r="GD5" i="6"/>
  <c r="GC5" i="6"/>
  <c r="GB5" i="6"/>
  <c r="GA5" i="6"/>
  <c r="GA5" i="16"/>
  <c r="GA5" i="4"/>
  <c r="GA5" i="11" l="1"/>
  <c r="GB5" i="11"/>
  <c r="GC5" i="11"/>
  <c r="GD5" i="11"/>
  <c r="GE5" i="11"/>
  <c r="GF5" i="11"/>
  <c r="GG5" i="11"/>
  <c r="GA5" i="5"/>
  <c r="GB5" i="5"/>
  <c r="GC5" i="5"/>
  <c r="GD5" i="5"/>
  <c r="GE5" i="5"/>
  <c r="GF5" i="5"/>
  <c r="GG5" i="5"/>
  <c r="GB5" i="4"/>
  <c r="GC5" i="4"/>
  <c r="GD5" i="4"/>
  <c r="GE5" i="4"/>
  <c r="GF5" i="4"/>
  <c r="GG5" i="4"/>
  <c r="GB5" i="16"/>
  <c r="GC5" i="16"/>
  <c r="GD5" i="16"/>
  <c r="GE5" i="16"/>
  <c r="GF5" i="16"/>
  <c r="GG5" i="16"/>
  <c r="GA5" i="3" l="1"/>
  <c r="GB5" i="3"/>
  <c r="GC5" i="3"/>
  <c r="GD5" i="3"/>
  <c r="GE5" i="3"/>
  <c r="GF5" i="3"/>
  <c r="GG5" i="3"/>
  <c r="GA5" i="2"/>
  <c r="GB5" i="2"/>
  <c r="GC5" i="2"/>
  <c r="GD5" i="2"/>
  <c r="GE5" i="2"/>
  <c r="GF5" i="2"/>
  <c r="GG5" i="2"/>
  <c r="FT5" i="11"/>
  <c r="FU5" i="11"/>
  <c r="FV5" i="11"/>
  <c r="FW5" i="11"/>
  <c r="FX5" i="11"/>
  <c r="FY5" i="11"/>
  <c r="FZ5" i="11"/>
  <c r="FH23" i="1"/>
  <c r="FI23" i="1"/>
  <c r="FJ23" i="1"/>
  <c r="FK23" i="1"/>
  <c r="FL23" i="1"/>
  <c r="FM23" i="1"/>
  <c r="FN23" i="1"/>
  <c r="FO23" i="1"/>
  <c r="FP23" i="1"/>
  <c r="FQ23" i="1"/>
  <c r="FR23" i="1"/>
  <c r="FS23" i="1"/>
  <c r="FT23" i="1"/>
  <c r="FU23" i="1"/>
  <c r="FV23" i="1"/>
  <c r="FW23" i="1"/>
  <c r="FX23" i="1"/>
  <c r="FY23" i="1"/>
  <c r="FZ23" i="1"/>
  <c r="FG23" i="1"/>
  <c r="FH17" i="1"/>
  <c r="FI17" i="1"/>
  <c r="FJ17" i="1"/>
  <c r="FK17" i="1"/>
  <c r="FL17" i="1"/>
  <c r="FM17" i="1"/>
  <c r="FN17" i="1"/>
  <c r="FO17" i="1"/>
  <c r="FP17" i="1"/>
  <c r="FQ17" i="1"/>
  <c r="FR17" i="1"/>
  <c r="FS17" i="1"/>
  <c r="FT17" i="1"/>
  <c r="FU17" i="1"/>
  <c r="FV17" i="1"/>
  <c r="FW17" i="1"/>
  <c r="FX17" i="1"/>
  <c r="FY17" i="1"/>
  <c r="FZ17" i="1"/>
  <c r="FG17" i="1"/>
  <c r="EK23" i="1"/>
  <c r="EL23" i="1"/>
  <c r="EM23" i="1"/>
  <c r="EN23" i="1"/>
  <c r="EO23" i="1"/>
  <c r="EP23" i="1"/>
  <c r="EQ23" i="1"/>
  <c r="ER23" i="1"/>
  <c r="ES23" i="1"/>
  <c r="ET23" i="1"/>
  <c r="EU23" i="1"/>
  <c r="EV23" i="1"/>
  <c r="EW23" i="1"/>
  <c r="EX23" i="1"/>
  <c r="EY23" i="1"/>
  <c r="EZ23" i="1"/>
  <c r="FA23" i="1"/>
  <c r="FB23" i="1"/>
  <c r="FT5" i="16" l="1"/>
  <c r="FU5" i="16"/>
  <c r="FV5" i="16"/>
  <c r="FW5" i="16"/>
  <c r="FX5" i="16"/>
  <c r="FY5" i="16"/>
  <c r="FZ5" i="16"/>
  <c r="FT5" i="4"/>
  <c r="FU5" i="4"/>
  <c r="FV5" i="4"/>
  <c r="FW5" i="4"/>
  <c r="FX5" i="4"/>
  <c r="FY5" i="4"/>
  <c r="FZ5" i="4"/>
  <c r="FT5" i="1"/>
  <c r="FU5" i="1"/>
  <c r="FV5" i="1"/>
  <c r="FW5" i="1"/>
  <c r="FX5" i="1"/>
  <c r="FY5" i="1"/>
  <c r="FZ5" i="1"/>
  <c r="FU5" i="6"/>
  <c r="FV5" i="6"/>
  <c r="FW5" i="6"/>
  <c r="FX5" i="6"/>
  <c r="FY5" i="6"/>
  <c r="FT5" i="6"/>
  <c r="FU5" i="5" l="1"/>
  <c r="FV5" i="5"/>
  <c r="FW5" i="5"/>
  <c r="FX5" i="5"/>
  <c r="FY5" i="5"/>
  <c r="FZ5" i="5"/>
  <c r="FT5" i="5"/>
  <c r="FT5" i="3"/>
  <c r="FU5" i="3"/>
  <c r="FV5" i="3"/>
  <c r="FW5" i="3"/>
  <c r="FX5" i="3"/>
  <c r="FY5" i="3"/>
  <c r="FZ5" i="3"/>
  <c r="FT5" i="2"/>
  <c r="FU5" i="2"/>
  <c r="FV5" i="2"/>
  <c r="FW5" i="2"/>
  <c r="FX5" i="2"/>
  <c r="FY5" i="2"/>
  <c r="FZ5" i="2"/>
  <c r="FM5" i="11"/>
  <c r="FN5" i="11"/>
  <c r="FO5" i="11"/>
  <c r="FP5" i="11"/>
  <c r="FQ5" i="11"/>
  <c r="FR5" i="11"/>
  <c r="FS5" i="11"/>
  <c r="FM5" i="5"/>
  <c r="FM5" i="16"/>
  <c r="FM5" i="1"/>
  <c r="FN5" i="1"/>
  <c r="FO5" i="1"/>
  <c r="FP5" i="1"/>
  <c r="FQ5" i="1"/>
  <c r="FR5" i="1"/>
  <c r="FS5" i="1"/>
  <c r="FM5" i="6"/>
  <c r="FN5" i="6"/>
  <c r="FO5" i="6"/>
  <c r="FP5" i="6"/>
  <c r="FQ5" i="6"/>
  <c r="FR5" i="6"/>
  <c r="FN5" i="16"/>
  <c r="FO5" i="16"/>
  <c r="FP5" i="16"/>
  <c r="FQ5" i="16"/>
  <c r="FR5" i="16"/>
  <c r="FS5" i="16"/>
  <c r="FM5" i="4"/>
  <c r="FN5" i="4"/>
  <c r="FO5" i="4"/>
  <c r="FP5" i="4"/>
  <c r="FQ5" i="4"/>
  <c r="FR5" i="4"/>
  <c r="FS5" i="4"/>
  <c r="FN5" i="5" l="1"/>
  <c r="FO5" i="5"/>
  <c r="FP5" i="5"/>
  <c r="FQ5" i="5"/>
  <c r="FR5" i="5"/>
  <c r="FS5" i="5"/>
  <c r="FO5" i="2"/>
  <c r="FP5" i="2"/>
  <c r="FQ5" i="2"/>
  <c r="FR5" i="2"/>
  <c r="FS5" i="2"/>
  <c r="FM5" i="2"/>
  <c r="FN5" i="2"/>
  <c r="FM5" i="3"/>
  <c r="FN5" i="3"/>
  <c r="FO5" i="3"/>
  <c r="FP5" i="3"/>
  <c r="FQ5" i="3"/>
  <c r="FR5" i="3"/>
  <c r="FS5" i="3"/>
  <c r="FL5" i="11"/>
  <c r="FG5" i="11"/>
  <c r="FH5" i="11"/>
  <c r="FI5" i="11"/>
  <c r="FJ5" i="11"/>
  <c r="FK5" i="11"/>
  <c r="FG5" i="4" l="1"/>
  <c r="FG5" i="1" l="1"/>
  <c r="FH5" i="1"/>
  <c r="FI5" i="1"/>
  <c r="FJ5" i="1"/>
  <c r="FK5" i="1"/>
  <c r="FL5" i="1"/>
  <c r="FH5" i="6"/>
  <c r="FI5" i="6"/>
  <c r="FJ5" i="6"/>
  <c r="FK5" i="6"/>
  <c r="FL5" i="6"/>
  <c r="FG5" i="6"/>
  <c r="FH5" i="5" l="1"/>
  <c r="FI5" i="5"/>
  <c r="FJ5" i="5"/>
  <c r="FK5" i="5"/>
  <c r="FL5" i="5"/>
  <c r="FG5" i="5"/>
  <c r="FH5" i="4"/>
  <c r="FI5" i="4"/>
  <c r="FJ5" i="4"/>
  <c r="FK5" i="4"/>
  <c r="FL5" i="4"/>
  <c r="FH5" i="16"/>
  <c r="FI5" i="16"/>
  <c r="FJ5" i="16"/>
  <c r="FK5" i="16"/>
  <c r="FL5" i="16"/>
  <c r="FG5" i="16"/>
  <c r="FH5" i="3" l="1"/>
  <c r="FI5" i="3"/>
  <c r="FJ5" i="3"/>
  <c r="FK5" i="3"/>
  <c r="FL5" i="3"/>
  <c r="FG5" i="3"/>
  <c r="FH5" i="2"/>
  <c r="FI5" i="2"/>
  <c r="FJ5" i="2"/>
  <c r="FK5" i="2"/>
  <c r="FL5" i="2"/>
  <c r="FG5" i="2"/>
  <c r="EY5" i="11"/>
  <c r="EZ5" i="11"/>
  <c r="FA5" i="11"/>
  <c r="FB5" i="11"/>
  <c r="EY5" i="1"/>
  <c r="EZ5" i="1"/>
  <c r="FA5" i="1"/>
  <c r="FB5" i="1"/>
  <c r="ES5" i="6"/>
  <c r="ET5" i="6"/>
  <c r="EU5" i="6"/>
  <c r="EV5" i="6"/>
  <c r="EW5" i="6"/>
  <c r="EX5" i="6"/>
  <c r="EY5" i="6"/>
  <c r="EZ5" i="6"/>
  <c r="FA5" i="6"/>
  <c r="FB5" i="6"/>
  <c r="EY5" i="16"/>
  <c r="EZ5" i="16"/>
  <c r="FA5" i="16"/>
  <c r="FB5" i="16"/>
  <c r="EY5" i="4"/>
  <c r="EZ5" i="4"/>
  <c r="FA5" i="4"/>
  <c r="FB5" i="4"/>
  <c r="EY5" i="2" l="1"/>
  <c r="EZ5" i="2"/>
  <c r="FA5" i="2"/>
  <c r="FB5" i="2"/>
  <c r="EY5" i="5"/>
  <c r="EZ5" i="5"/>
  <c r="FA5" i="5"/>
  <c r="FB5" i="5"/>
  <c r="EY5" i="3"/>
  <c r="EZ5" i="3"/>
  <c r="FA5" i="3"/>
  <c r="FB5" i="3"/>
  <c r="ER5" i="11"/>
  <c r="ES5" i="11"/>
  <c r="ET5" i="11"/>
  <c r="EU5" i="11"/>
  <c r="EV5" i="11"/>
  <c r="EW5" i="11"/>
  <c r="EX5" i="11"/>
  <c r="ER5" i="4"/>
  <c r="ER5" i="6"/>
  <c r="ER5" i="1"/>
  <c r="ES5" i="1"/>
  <c r="ET5" i="1"/>
  <c r="EU5" i="1"/>
  <c r="EV5" i="1"/>
  <c r="EW5" i="1"/>
  <c r="EX5" i="1"/>
  <c r="ES5" i="4"/>
  <c r="ET5" i="4"/>
  <c r="EU5" i="4"/>
  <c r="EV5" i="4"/>
  <c r="EW5" i="4"/>
  <c r="EX5" i="4"/>
  <c r="ER5" i="16"/>
  <c r="ES5" i="16"/>
  <c r="ET5" i="16"/>
  <c r="EU5" i="16"/>
  <c r="EV5" i="16"/>
  <c r="EW5" i="16"/>
  <c r="EX5" i="16"/>
  <c r="ER5" i="5" l="1"/>
  <c r="ES5" i="5"/>
  <c r="ET5" i="5"/>
  <c r="EU5" i="5"/>
  <c r="EV5" i="5"/>
  <c r="EW5" i="5"/>
  <c r="EX5" i="5"/>
  <c r="ER5" i="2"/>
  <c r="ES5" i="2"/>
  <c r="ET5" i="2"/>
  <c r="EU5" i="2"/>
  <c r="EV5" i="2"/>
  <c r="EW5" i="2"/>
  <c r="EX5" i="2"/>
  <c r="EL5" i="11" l="1"/>
  <c r="EM5" i="11"/>
  <c r="EN5" i="11"/>
  <c r="EO5" i="11"/>
  <c r="EP5" i="11"/>
  <c r="EQ5" i="11"/>
  <c r="EK5" i="11"/>
  <c r="EK5" i="1"/>
  <c r="EL5" i="1"/>
  <c r="EM5" i="1"/>
  <c r="EN5" i="1"/>
  <c r="EO5" i="1"/>
  <c r="EP5" i="1"/>
  <c r="EQ5" i="1"/>
  <c r="EP5" i="6" l="1"/>
  <c r="EO5" i="6"/>
  <c r="EN5" i="6"/>
  <c r="EM5" i="6"/>
  <c r="EL5" i="6"/>
  <c r="EK5" i="6"/>
  <c r="EK5" i="16"/>
  <c r="EL5" i="16"/>
  <c r="EM5" i="16"/>
  <c r="EN5" i="16"/>
  <c r="EO5" i="16"/>
  <c r="EP5" i="16"/>
  <c r="EQ5" i="16"/>
  <c r="EK5" i="4"/>
  <c r="EL5" i="4"/>
  <c r="EM5" i="4"/>
  <c r="EN5" i="4"/>
  <c r="EO5" i="4"/>
  <c r="EP5" i="4"/>
  <c r="EQ5" i="4"/>
  <c r="EK5" i="5"/>
  <c r="EL5" i="5"/>
  <c r="EM5" i="5"/>
  <c r="EN5" i="5"/>
  <c r="EO5" i="5"/>
  <c r="EP5" i="5"/>
  <c r="EQ5" i="5"/>
  <c r="EK5" i="3" l="1"/>
  <c r="EL5" i="3"/>
  <c r="EM5" i="3"/>
  <c r="EN5" i="3"/>
  <c r="EO5" i="3"/>
  <c r="EP5" i="3"/>
  <c r="EQ5" i="3"/>
  <c r="EK5" i="2"/>
  <c r="EL5" i="2"/>
  <c r="EM5" i="2"/>
  <c r="EN5" i="2"/>
  <c r="EO5" i="2"/>
  <c r="EP5" i="2"/>
  <c r="EQ5" i="2"/>
  <c r="EE17" i="1"/>
  <c r="EF17" i="1"/>
  <c r="EG17" i="1"/>
  <c r="EH17" i="1"/>
  <c r="EI17" i="1"/>
  <c r="EJ17" i="1"/>
  <c r="ED17" i="1"/>
  <c r="ED5" i="1"/>
  <c r="EE5" i="1"/>
  <c r="EF5" i="1"/>
  <c r="EG5" i="1"/>
  <c r="EH5" i="1"/>
  <c r="EI5" i="1"/>
  <c r="EJ5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I23" i="1"/>
  <c r="DJ23" i="1"/>
  <c r="DK23" i="1"/>
  <c r="DM23" i="1"/>
  <c r="DN23" i="1"/>
  <c r="DO23" i="1"/>
  <c r="DP23" i="1"/>
  <c r="DQ23" i="1"/>
  <c r="DR23" i="1"/>
  <c r="DT23" i="1"/>
  <c r="DU23" i="1"/>
  <c r="DV23" i="1"/>
  <c r="DW23" i="1"/>
  <c r="DX23" i="1"/>
  <c r="DY23" i="1"/>
  <c r="DZ23" i="1"/>
  <c r="EA23" i="1"/>
  <c r="EB23" i="1"/>
  <c r="EC23" i="1"/>
  <c r="ED23" i="1"/>
  <c r="EE23" i="1"/>
  <c r="EF23" i="1"/>
  <c r="EG23" i="1"/>
  <c r="EH23" i="1"/>
  <c r="EI23" i="1"/>
  <c r="EJ23" i="1"/>
  <c r="CP23" i="1"/>
  <c r="CB23" i="1"/>
  <c r="CC23" i="1"/>
  <c r="CD23" i="1"/>
  <c r="CE23" i="1"/>
  <c r="CF23" i="1"/>
  <c r="CG23" i="1"/>
  <c r="CH23" i="1"/>
  <c r="CI23" i="1"/>
  <c r="CJ23" i="1"/>
  <c r="CK23" i="1"/>
  <c r="CL23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P17" i="1"/>
  <c r="CQ17" i="1"/>
  <c r="CR17" i="1"/>
  <c r="CS17" i="1"/>
  <c r="CT17" i="1"/>
  <c r="CU17" i="1"/>
  <c r="CV17" i="1"/>
  <c r="CW17" i="1"/>
  <c r="CX17" i="1"/>
  <c r="CY17" i="1"/>
  <c r="CZ17" i="1"/>
  <c r="DA17" i="1"/>
  <c r="DB17" i="1"/>
  <c r="DC17" i="1"/>
  <c r="DD17" i="1"/>
  <c r="DE17" i="1"/>
  <c r="DF17" i="1"/>
  <c r="DG17" i="1"/>
  <c r="DH17" i="1"/>
  <c r="DI17" i="1"/>
  <c r="DJ17" i="1"/>
  <c r="DK17" i="1"/>
  <c r="DM17" i="1"/>
  <c r="DN17" i="1"/>
  <c r="DO17" i="1"/>
  <c r="DP17" i="1"/>
  <c r="DQ17" i="1"/>
  <c r="DR17" i="1"/>
  <c r="DT17" i="1"/>
  <c r="DU17" i="1"/>
  <c r="DV17" i="1"/>
  <c r="DW17" i="1"/>
  <c r="DX17" i="1"/>
  <c r="DY17" i="1"/>
  <c r="DZ17" i="1"/>
  <c r="EA17" i="1"/>
  <c r="EB17" i="1"/>
  <c r="EC17" i="1"/>
  <c r="BS23" i="1"/>
  <c r="CA23" i="1"/>
  <c r="BT23" i="1"/>
  <c r="BU23" i="1"/>
  <c r="BV23" i="1"/>
  <c r="BW23" i="1"/>
  <c r="BX23" i="1"/>
  <c r="BY23" i="1"/>
  <c r="BZ23" i="1"/>
  <c r="DW5" i="1"/>
  <c r="DX5" i="1"/>
  <c r="DY5" i="1"/>
  <c r="DZ5" i="1"/>
  <c r="EA5" i="1"/>
  <c r="EB5" i="1"/>
  <c r="EC5" i="1"/>
  <c r="ED5" i="11" l="1"/>
  <c r="EE5" i="11"/>
  <c r="EF5" i="11"/>
  <c r="EG5" i="11"/>
  <c r="EH5" i="11"/>
  <c r="EI5" i="11"/>
  <c r="EJ5" i="11"/>
  <c r="EH5" i="4"/>
  <c r="EG5" i="4"/>
  <c r="EF5" i="4"/>
  <c r="EE5" i="4"/>
  <c r="ED5" i="4"/>
  <c r="EI5" i="6"/>
  <c r="EH5" i="6"/>
  <c r="EG5" i="6"/>
  <c r="EF5" i="6"/>
  <c r="EE5" i="6"/>
  <c r="ED5" i="6"/>
  <c r="ED5" i="16"/>
  <c r="EE5" i="16"/>
  <c r="EF5" i="16"/>
  <c r="EG5" i="16"/>
  <c r="EH5" i="16"/>
  <c r="EI5" i="16"/>
  <c r="EJ5" i="16"/>
  <c r="EI5" i="4"/>
  <c r="EJ5" i="4"/>
  <c r="ED5" i="3" l="1"/>
  <c r="EE5" i="3"/>
  <c r="EF5" i="3"/>
  <c r="EG5" i="3"/>
  <c r="EH5" i="3"/>
  <c r="EI5" i="3"/>
  <c r="EJ5" i="3"/>
  <c r="ED5" i="2"/>
  <c r="EE5" i="2"/>
  <c r="EF5" i="2"/>
  <c r="EG5" i="2"/>
  <c r="EH5" i="2"/>
  <c r="EI5" i="2"/>
  <c r="EJ5" i="2"/>
  <c r="ED5" i="5" l="1"/>
  <c r="EE5" i="5"/>
  <c r="EF5" i="5"/>
  <c r="EG5" i="5"/>
  <c r="EH5" i="5"/>
  <c r="EI5" i="5"/>
  <c r="EJ5" i="5"/>
  <c r="DW5" i="11"/>
  <c r="DX5" i="11"/>
  <c r="DY5" i="11"/>
  <c r="DZ5" i="11"/>
  <c r="EA5" i="11"/>
  <c r="EB5" i="11"/>
  <c r="EC5" i="11"/>
  <c r="DW5" i="4" l="1"/>
  <c r="DX5" i="4"/>
  <c r="DY5" i="4"/>
  <c r="DZ5" i="4"/>
  <c r="EA5" i="4"/>
  <c r="EB5" i="4"/>
  <c r="EC5" i="4"/>
  <c r="EC5" i="16" l="1"/>
  <c r="EB5" i="16"/>
  <c r="EA5" i="16"/>
  <c r="DZ5" i="16"/>
  <c r="DY5" i="16"/>
  <c r="DX5" i="16"/>
  <c r="DW5" i="16"/>
  <c r="EB5" i="6"/>
  <c r="EA5" i="6"/>
  <c r="DZ5" i="6"/>
  <c r="DY5" i="6"/>
  <c r="DX5" i="6"/>
  <c r="DW5" i="6"/>
  <c r="DW5" i="5"/>
  <c r="DX5" i="5"/>
  <c r="DY5" i="5"/>
  <c r="DZ5" i="5"/>
  <c r="EA5" i="5"/>
  <c r="EB5" i="5"/>
  <c r="EC5" i="5"/>
  <c r="DW5" i="3"/>
  <c r="DX5" i="3"/>
  <c r="DY5" i="3"/>
  <c r="DZ5" i="3"/>
  <c r="EA5" i="3"/>
  <c r="EB5" i="3"/>
  <c r="EC5" i="3"/>
  <c r="DW5" i="2"/>
  <c r="DX5" i="2"/>
  <c r="DY5" i="2"/>
  <c r="DZ5" i="2"/>
  <c r="EA5" i="2"/>
  <c r="EB5" i="2"/>
  <c r="EC5" i="2"/>
  <c r="DP5" i="11" l="1"/>
  <c r="DQ5" i="11"/>
  <c r="DR5" i="11"/>
  <c r="DT5" i="11"/>
  <c r="DU5" i="11"/>
  <c r="DV5" i="11"/>
  <c r="DP5" i="6"/>
  <c r="DQ5" i="6"/>
  <c r="DR5" i="6"/>
  <c r="DT5" i="6"/>
  <c r="DU5" i="6"/>
  <c r="DP5" i="16"/>
  <c r="DQ5" i="16"/>
  <c r="DR5" i="16"/>
  <c r="DT5" i="16"/>
  <c r="DU5" i="16"/>
  <c r="DV5" i="16"/>
  <c r="DP5" i="4"/>
  <c r="DQ5" i="4"/>
  <c r="DR5" i="4"/>
  <c r="DT5" i="4"/>
  <c r="DU5" i="4"/>
  <c r="DV5" i="4"/>
  <c r="DP5" i="5"/>
  <c r="DQ5" i="5"/>
  <c r="DR5" i="5"/>
  <c r="DT5" i="5"/>
  <c r="DU5" i="5"/>
  <c r="DV5" i="5"/>
  <c r="DP5" i="3"/>
  <c r="DQ5" i="3"/>
  <c r="DR5" i="3"/>
  <c r="DT5" i="3"/>
  <c r="DU5" i="3"/>
  <c r="DV5" i="3"/>
  <c r="DP5" i="2"/>
  <c r="DQ5" i="2"/>
  <c r="DR5" i="2"/>
  <c r="DT5" i="2"/>
  <c r="DU5" i="2"/>
  <c r="DV5" i="2"/>
  <c r="DQ5" i="1" l="1"/>
  <c r="DR5" i="1"/>
  <c r="DT5" i="1"/>
  <c r="DU5" i="1"/>
  <c r="DV5" i="1"/>
  <c r="DP5" i="1"/>
  <c r="DK5" i="11" l="1"/>
  <c r="DK5" i="6"/>
  <c r="DK5" i="5"/>
  <c r="DK5" i="16"/>
  <c r="DK5" i="4"/>
  <c r="DK5" i="3"/>
  <c r="DK5" i="2"/>
  <c r="DK5" i="1"/>
  <c r="DI5" i="1"/>
  <c r="DJ5" i="1"/>
  <c r="DM5" i="1"/>
  <c r="DN5" i="1"/>
  <c r="DO5" i="1"/>
  <c r="DI5" i="11" l="1"/>
  <c r="DJ5" i="11"/>
  <c r="DM5" i="11"/>
  <c r="DN5" i="11"/>
  <c r="DO5" i="11"/>
  <c r="DO5" i="6" l="1"/>
  <c r="DN5" i="6"/>
  <c r="DM5" i="6"/>
  <c r="DJ5" i="6"/>
  <c r="DI5" i="6"/>
  <c r="DI5" i="5"/>
  <c r="DJ5" i="5"/>
  <c r="DM5" i="5"/>
  <c r="DN5" i="5"/>
  <c r="DO5" i="5"/>
  <c r="DI5" i="16"/>
  <c r="DJ5" i="16"/>
  <c r="DM5" i="16"/>
  <c r="DN5" i="16"/>
  <c r="DO5" i="16"/>
  <c r="DO5" i="4"/>
  <c r="DN5" i="4"/>
  <c r="DM5" i="4"/>
  <c r="DJ5" i="4"/>
  <c r="DI5" i="4"/>
  <c r="DI5" i="2" l="1"/>
  <c r="DJ5" i="2"/>
  <c r="DM5" i="2"/>
  <c r="DN5" i="2"/>
  <c r="DO5" i="2"/>
  <c r="DI5" i="3"/>
  <c r="DJ5" i="3"/>
  <c r="DM5" i="3"/>
  <c r="DN5" i="3"/>
  <c r="DO5" i="3"/>
  <c r="DB5" i="11"/>
  <c r="DC5" i="11"/>
  <c r="DD5" i="11"/>
  <c r="DE5" i="11"/>
  <c r="DF5" i="11"/>
  <c r="DG5" i="11"/>
  <c r="DH5" i="11"/>
  <c r="DH5" i="1"/>
  <c r="DB5" i="3"/>
  <c r="DE5" i="3"/>
  <c r="DF5" i="3"/>
  <c r="DG5" i="3"/>
  <c r="DH5" i="3"/>
  <c r="DC5" i="3"/>
  <c r="DD5" i="3"/>
  <c r="DG5" i="6" l="1"/>
  <c r="DF5" i="6"/>
  <c r="DE5" i="6"/>
  <c r="DD5" i="6"/>
  <c r="DC5" i="6"/>
  <c r="DB5" i="6"/>
  <c r="DB5" i="16"/>
  <c r="DC5" i="16"/>
  <c r="DD5" i="16"/>
  <c r="DE5" i="16"/>
  <c r="DF5" i="16"/>
  <c r="DG5" i="16"/>
  <c r="DH5" i="16"/>
  <c r="DB5" i="4"/>
  <c r="DC5" i="4"/>
  <c r="DD5" i="4"/>
  <c r="DE5" i="4"/>
  <c r="DF5" i="4"/>
  <c r="DG5" i="4"/>
  <c r="DH5" i="4"/>
  <c r="DB5" i="5"/>
  <c r="DC5" i="5"/>
  <c r="DD5" i="5"/>
  <c r="DE5" i="5"/>
  <c r="DF5" i="5"/>
  <c r="DG5" i="5"/>
  <c r="DH5" i="5"/>
  <c r="DB5" i="2"/>
  <c r="DC5" i="2"/>
  <c r="DD5" i="2"/>
  <c r="DE5" i="2"/>
  <c r="DF5" i="2"/>
  <c r="DG5" i="2"/>
  <c r="DH5" i="2"/>
  <c r="DB5" i="1" l="1"/>
  <c r="DC5" i="1"/>
  <c r="DD5" i="1"/>
  <c r="DE5" i="1"/>
  <c r="DF5" i="1"/>
  <c r="DG5" i="1"/>
  <c r="DA5" i="11" l="1"/>
  <c r="CZ5" i="11"/>
  <c r="CY5" i="11"/>
  <c r="CX5" i="11"/>
  <c r="CW5" i="11"/>
  <c r="CV5" i="11"/>
  <c r="CU5" i="11"/>
  <c r="CV5" i="1"/>
  <c r="CW5" i="1"/>
  <c r="CX5" i="1"/>
  <c r="CY5" i="1"/>
  <c r="CZ5" i="1"/>
  <c r="DA5" i="1"/>
  <c r="CU5" i="1"/>
  <c r="CU5" i="4" l="1"/>
  <c r="CV5" i="4"/>
  <c r="CW5" i="4"/>
  <c r="CX5" i="4"/>
  <c r="CY5" i="4"/>
  <c r="CZ5" i="4"/>
  <c r="DA5" i="4"/>
  <c r="CZ5" i="6" l="1"/>
  <c r="CY5" i="6"/>
  <c r="CX5" i="6"/>
  <c r="CW5" i="6"/>
  <c r="CV5" i="6"/>
  <c r="CU5" i="6"/>
  <c r="CU5" i="16"/>
  <c r="CV5" i="16"/>
  <c r="CW5" i="16"/>
  <c r="CX5" i="16"/>
  <c r="CY5" i="16"/>
  <c r="CZ5" i="16"/>
  <c r="DA5" i="16"/>
  <c r="CU5" i="5"/>
  <c r="CV5" i="5"/>
  <c r="CW5" i="5"/>
  <c r="CX5" i="5"/>
  <c r="CY5" i="5"/>
  <c r="CZ5" i="5"/>
  <c r="DA5" i="5"/>
  <c r="CU5" i="3" l="1"/>
  <c r="CV5" i="3"/>
  <c r="CW5" i="3"/>
  <c r="CX5" i="3"/>
  <c r="CY5" i="3"/>
  <c r="CZ5" i="3"/>
  <c r="DA5" i="3"/>
  <c r="CU5" i="2"/>
  <c r="CV5" i="2"/>
  <c r="CW5" i="2"/>
  <c r="CX5" i="2"/>
  <c r="CY5" i="2"/>
  <c r="CZ5" i="2"/>
  <c r="DA5" i="2"/>
  <c r="CG5" i="11"/>
  <c r="CH5" i="11"/>
  <c r="CI5" i="11"/>
  <c r="CJ5" i="11"/>
  <c r="CK5" i="11"/>
  <c r="CL5" i="11"/>
  <c r="CP5" i="11"/>
  <c r="CQ5" i="11"/>
  <c r="CR5" i="11"/>
  <c r="CS5" i="11"/>
  <c r="CT5" i="11"/>
  <c r="CS5" i="6" l="1"/>
  <c r="CR5" i="6"/>
  <c r="CQ5" i="6"/>
  <c r="CP5" i="6"/>
  <c r="CQ5" i="1"/>
  <c r="CR5" i="1"/>
  <c r="CS5" i="1"/>
  <c r="CT5" i="1"/>
  <c r="CP5" i="1"/>
  <c r="CQ5" i="5" l="1"/>
  <c r="CR5" i="5"/>
  <c r="CS5" i="5"/>
  <c r="CT5" i="5"/>
  <c r="CP5" i="5"/>
  <c r="CQ5" i="16"/>
  <c r="CR5" i="16"/>
  <c r="CS5" i="16"/>
  <c r="CT5" i="16"/>
  <c r="CP5" i="16"/>
  <c r="CQ5" i="4"/>
  <c r="CR5" i="4"/>
  <c r="CS5" i="4"/>
  <c r="CT5" i="4"/>
  <c r="CP5" i="4"/>
  <c r="CQ5" i="3" l="1"/>
  <c r="CR5" i="3"/>
  <c r="CS5" i="3"/>
  <c r="CT5" i="3"/>
  <c r="CP5" i="3"/>
  <c r="CQ5" i="2"/>
  <c r="CR5" i="2"/>
  <c r="CS5" i="2"/>
  <c r="CT5" i="2"/>
  <c r="CP5" i="2"/>
  <c r="CI5" i="4"/>
  <c r="CG5" i="4"/>
  <c r="CH5" i="4"/>
  <c r="CJ5" i="4"/>
  <c r="CK5" i="4"/>
  <c r="CL5" i="4"/>
  <c r="CG5" i="6"/>
  <c r="CH5" i="6"/>
  <c r="CI5" i="6"/>
  <c r="CJ5" i="6"/>
  <c r="CK5" i="6"/>
  <c r="CL5" i="6"/>
  <c r="CG5" i="5"/>
  <c r="CH5" i="5"/>
  <c r="CI5" i="5"/>
  <c r="CJ5" i="5"/>
  <c r="CK5" i="5"/>
  <c r="CL5" i="5"/>
  <c r="CG5" i="16"/>
  <c r="CH5" i="16"/>
  <c r="CI5" i="16"/>
  <c r="CJ5" i="16"/>
  <c r="CK5" i="16"/>
  <c r="CL5" i="16"/>
  <c r="CG5" i="3" l="1"/>
  <c r="CH5" i="3"/>
  <c r="CI5" i="3"/>
  <c r="CJ5" i="3"/>
  <c r="CK5" i="3"/>
  <c r="CL5" i="3"/>
  <c r="CG5" i="2"/>
  <c r="CH5" i="2"/>
  <c r="CI5" i="2"/>
  <c r="CJ5" i="2"/>
  <c r="CK5" i="2"/>
  <c r="CL5" i="2"/>
  <c r="CG5" i="1"/>
  <c r="CH5" i="1"/>
  <c r="CI5" i="1"/>
  <c r="CJ5" i="1"/>
  <c r="CK5" i="1"/>
  <c r="CL5" i="1"/>
  <c r="BZ5" i="11" l="1"/>
  <c r="CA5" i="11"/>
  <c r="CB5" i="11"/>
  <c r="CC5" i="11"/>
  <c r="CD5" i="11"/>
  <c r="CE5" i="11"/>
  <c r="CF5" i="11"/>
  <c r="BZ5" i="16"/>
  <c r="CA5" i="16"/>
  <c r="CB5" i="16"/>
  <c r="CC5" i="16"/>
  <c r="CD5" i="16"/>
  <c r="CE5" i="16"/>
  <c r="CF5" i="16"/>
  <c r="CA5" i="4"/>
  <c r="CB5" i="4"/>
  <c r="CC5" i="4"/>
  <c r="CD5" i="4"/>
  <c r="CE5" i="4"/>
  <c r="CF5" i="4"/>
  <c r="BZ5" i="4"/>
  <c r="CA5" i="1"/>
  <c r="CB5" i="1"/>
  <c r="CC5" i="1"/>
  <c r="CD5" i="1"/>
  <c r="CE5" i="1"/>
  <c r="CF5" i="1"/>
  <c r="BZ5" i="1"/>
  <c r="CF5" i="6"/>
  <c r="BZ5" i="5"/>
  <c r="CA5" i="5"/>
  <c r="CB5" i="5"/>
  <c r="CC5" i="5"/>
  <c r="CD5" i="5"/>
  <c r="CE5" i="5"/>
  <c r="CF5" i="5"/>
  <c r="BZ5" i="6"/>
  <c r="CE5" i="6"/>
  <c r="CD5" i="6"/>
  <c r="CC5" i="6"/>
  <c r="CB5" i="6"/>
  <c r="CA5" i="6"/>
  <c r="BZ5" i="3" l="1"/>
  <c r="CA5" i="3"/>
  <c r="CB5" i="3"/>
  <c r="CC5" i="3"/>
  <c r="CD5" i="3"/>
  <c r="CE5" i="3"/>
  <c r="CF5" i="3"/>
  <c r="BZ5" i="2"/>
  <c r="CA5" i="2"/>
  <c r="CB5" i="2"/>
  <c r="CC5" i="2"/>
  <c r="CD5" i="2"/>
  <c r="CE5" i="2"/>
  <c r="CF5" i="2"/>
  <c r="BY5" i="11" l="1"/>
  <c r="BX5" i="11"/>
  <c r="BW5" i="11"/>
  <c r="BV5" i="11"/>
  <c r="BU5" i="11"/>
  <c r="BT5" i="11"/>
  <c r="BS5" i="11"/>
  <c r="BY5" i="1"/>
  <c r="BX5" i="1"/>
  <c r="BW5" i="1"/>
  <c r="BV5" i="1"/>
  <c r="BU5" i="1"/>
  <c r="BT5" i="1"/>
  <c r="BS5" i="1"/>
  <c r="BX5" i="6" l="1"/>
  <c r="BW5" i="6"/>
  <c r="BV5" i="6"/>
  <c r="BU5" i="6"/>
  <c r="BT5" i="6"/>
  <c r="BS5" i="6"/>
  <c r="BS5" i="16" l="1"/>
  <c r="BT5" i="16"/>
  <c r="BU5" i="16"/>
  <c r="BV5" i="16"/>
  <c r="BW5" i="16"/>
  <c r="BX5" i="16"/>
  <c r="BY5" i="16"/>
  <c r="BS5" i="4"/>
  <c r="BT5" i="4"/>
  <c r="BU5" i="4"/>
  <c r="BV5" i="4"/>
  <c r="BW5" i="4"/>
  <c r="BX5" i="4"/>
  <c r="BY5" i="4"/>
  <c r="BS5" i="3" l="1"/>
  <c r="BT5" i="3"/>
  <c r="BU5" i="3"/>
  <c r="BV5" i="3"/>
  <c r="BW5" i="3"/>
  <c r="BX5" i="3"/>
  <c r="BY5" i="3"/>
  <c r="BS5" i="5"/>
  <c r="BT5" i="5"/>
  <c r="BU5" i="5"/>
  <c r="BV5" i="5"/>
  <c r="BW5" i="5"/>
  <c r="BX5" i="5"/>
  <c r="BY5" i="5"/>
  <c r="BS5" i="2"/>
  <c r="BT5" i="2"/>
  <c r="BU5" i="2"/>
  <c r="BV5" i="2"/>
  <c r="BW5" i="2"/>
  <c r="BX5" i="2"/>
  <c r="BY5" i="2"/>
  <c r="BR5" i="11" l="1"/>
  <c r="BQ5" i="11"/>
  <c r="BP5" i="11"/>
  <c r="BO5" i="11"/>
  <c r="BN5" i="11"/>
  <c r="BM5" i="11"/>
  <c r="BL5" i="11"/>
  <c r="BR5" i="16"/>
  <c r="BQ5" i="16"/>
  <c r="BP5" i="16"/>
  <c r="BO5" i="16"/>
  <c r="BN5" i="16"/>
  <c r="BM5" i="16"/>
  <c r="BL5" i="16"/>
  <c r="BR17" i="1" l="1"/>
  <c r="BQ17" i="1"/>
  <c r="BP17" i="1"/>
  <c r="BO17" i="1"/>
  <c r="BN17" i="1"/>
  <c r="BM17" i="1"/>
  <c r="BL17" i="1"/>
  <c r="BL23" i="1"/>
  <c r="BM23" i="1"/>
  <c r="BN23" i="1"/>
  <c r="BO23" i="1"/>
  <c r="BP23" i="1"/>
  <c r="BQ23" i="1"/>
  <c r="BR23" i="1"/>
  <c r="BL5" i="1"/>
  <c r="BM5" i="1"/>
  <c r="BN5" i="1"/>
  <c r="BO5" i="1"/>
  <c r="BP5" i="1"/>
  <c r="BQ5" i="1"/>
  <c r="BR5" i="1"/>
  <c r="BL5" i="4"/>
  <c r="BM5" i="4"/>
  <c r="BN5" i="4"/>
  <c r="BO5" i="4"/>
  <c r="BP5" i="4"/>
  <c r="BQ5" i="4"/>
  <c r="BR5" i="4"/>
  <c r="BL5" i="7"/>
  <c r="BQ5" i="6" l="1"/>
  <c r="BP5" i="6"/>
  <c r="BO5" i="6"/>
  <c r="BN5" i="6"/>
  <c r="BM5" i="6"/>
  <c r="BL5" i="6"/>
  <c r="BL5" i="5"/>
  <c r="BM5" i="5"/>
  <c r="BN5" i="5"/>
  <c r="BO5" i="5"/>
  <c r="BP5" i="5"/>
  <c r="BQ5" i="5"/>
  <c r="BR5" i="5"/>
  <c r="BL5" i="2" l="1"/>
  <c r="BM5" i="2"/>
  <c r="BN5" i="2"/>
  <c r="BO5" i="2"/>
  <c r="BP5" i="2"/>
  <c r="BQ5" i="2"/>
  <c r="BR5" i="2"/>
  <c r="BL5" i="3"/>
  <c r="BM5" i="3"/>
  <c r="BN5" i="3"/>
  <c r="BO5" i="3"/>
  <c r="BP5" i="3"/>
  <c r="BQ5" i="3"/>
  <c r="BR5" i="3"/>
  <c r="O5" i="4"/>
  <c r="BH5" i="4" l="1"/>
  <c r="BI5" i="4"/>
  <c r="BJ5" i="4"/>
  <c r="BK5" i="4"/>
  <c r="BH5" i="11"/>
  <c r="BI5" i="11"/>
  <c r="BJ5" i="11"/>
  <c r="BK5" i="11"/>
  <c r="BH5" i="16"/>
  <c r="BI5" i="16"/>
  <c r="BJ5" i="16"/>
  <c r="BK5" i="16"/>
  <c r="BH5" i="7"/>
  <c r="BI5" i="7"/>
  <c r="BJ5" i="7"/>
  <c r="BH5" i="1" l="1"/>
  <c r="BI5" i="1"/>
  <c r="BJ5" i="1"/>
  <c r="BK5" i="1"/>
  <c r="BH17" i="1"/>
  <c r="BI17" i="1"/>
  <c r="BJ17" i="1"/>
  <c r="BK17" i="1"/>
  <c r="BH23" i="1"/>
  <c r="BI23" i="1"/>
  <c r="BJ23" i="1"/>
  <c r="BK23" i="1"/>
  <c r="BH5" i="6"/>
  <c r="BI5" i="6"/>
  <c r="BJ5" i="6"/>
  <c r="BH5" i="2"/>
  <c r="BI5" i="2"/>
  <c r="BJ5" i="2"/>
  <c r="BK5" i="2"/>
  <c r="BH5" i="3"/>
  <c r="BI5" i="3"/>
  <c r="BJ5" i="3"/>
  <c r="BK5" i="3"/>
  <c r="BH5" i="5"/>
  <c r="BI5" i="5"/>
  <c r="BJ5" i="5"/>
  <c r="BK5" i="5"/>
  <c r="BE5" i="11"/>
  <c r="BF5" i="11"/>
  <c r="BG5" i="11"/>
  <c r="BG5" i="7"/>
  <c r="BF5" i="7"/>
  <c r="BE5" i="7"/>
  <c r="BE5" i="6"/>
  <c r="BF5" i="6"/>
  <c r="BG5" i="6"/>
  <c r="BE17" i="1"/>
  <c r="BF17" i="1"/>
  <c r="BG17" i="1"/>
  <c r="BE5" i="1"/>
  <c r="BF5" i="1"/>
  <c r="BG5" i="1"/>
  <c r="BE23" i="1"/>
  <c r="BF23" i="1"/>
  <c r="BG23" i="1"/>
  <c r="BE5" i="5" l="1"/>
  <c r="BF5" i="5"/>
  <c r="BG5" i="5"/>
  <c r="BE5" i="4"/>
  <c r="BF5" i="4"/>
  <c r="BG5" i="4"/>
  <c r="BE5" i="16"/>
  <c r="BF5" i="16"/>
  <c r="BG5" i="16"/>
  <c r="BE5" i="2" l="1"/>
  <c r="BF5" i="2"/>
  <c r="BG5" i="2"/>
  <c r="BE5" i="3"/>
  <c r="BF5" i="3"/>
  <c r="BG5" i="3"/>
  <c r="BA5" i="11" l="1"/>
  <c r="BB5" i="11"/>
  <c r="BC5" i="11"/>
  <c r="BD5" i="11"/>
  <c r="BA5" i="7"/>
  <c r="BB5" i="7"/>
  <c r="BA5" i="6" l="1"/>
  <c r="BB5" i="6"/>
  <c r="BC5" i="6"/>
  <c r="BA5" i="5"/>
  <c r="BB5" i="5"/>
  <c r="BC5" i="5"/>
  <c r="BD5" i="5"/>
  <c r="BA5" i="16"/>
  <c r="BB5" i="16"/>
  <c r="BC5" i="16"/>
  <c r="BD5" i="16"/>
  <c r="BA5" i="4"/>
  <c r="BB5" i="4"/>
  <c r="BC5" i="4"/>
  <c r="BD5" i="4"/>
  <c r="BA5" i="3" l="1"/>
  <c r="BB5" i="3"/>
  <c r="BC5" i="3"/>
  <c r="BD5" i="3"/>
  <c r="BA5" i="2"/>
  <c r="BB5" i="2"/>
  <c r="BC5" i="2"/>
  <c r="BD5" i="2"/>
  <c r="BA17" i="1"/>
  <c r="BB17" i="1"/>
  <c r="BC17" i="1"/>
  <c r="BD17" i="1"/>
  <c r="BA23" i="1"/>
  <c r="BB23" i="1"/>
  <c r="BC23" i="1"/>
  <c r="BD23" i="1"/>
  <c r="BA5" i="1"/>
  <c r="BB5" i="1"/>
  <c r="BC5" i="1"/>
  <c r="BD5" i="1"/>
  <c r="AX5" i="11" l="1"/>
  <c r="AY5" i="11"/>
  <c r="AZ5" i="11"/>
  <c r="AX5" i="7"/>
  <c r="AX5" i="6" l="1"/>
  <c r="AY5" i="6"/>
  <c r="AZ5" i="6"/>
  <c r="AZ5" i="7"/>
  <c r="AY5" i="7"/>
  <c r="AX5" i="5"/>
  <c r="AY5" i="5"/>
  <c r="AZ5" i="5"/>
  <c r="AX5" i="16"/>
  <c r="AY5" i="16"/>
  <c r="AZ5" i="16"/>
  <c r="AX5" i="4"/>
  <c r="AY5" i="4"/>
  <c r="AZ5" i="4"/>
  <c r="AX5" i="3" l="1"/>
  <c r="AY5" i="3"/>
  <c r="AZ5" i="3"/>
  <c r="AX5" i="2"/>
  <c r="AY5" i="2"/>
  <c r="AZ5" i="2"/>
  <c r="AX17" i="1"/>
  <c r="AY17" i="1"/>
  <c r="AZ17" i="1"/>
  <c r="AX23" i="1"/>
  <c r="AY23" i="1"/>
  <c r="AZ23" i="1"/>
  <c r="AX5" i="1"/>
  <c r="AY5" i="1"/>
  <c r="AZ5" i="1"/>
  <c r="AT5" i="11"/>
  <c r="AU5" i="11"/>
  <c r="AV5" i="11"/>
  <c r="AW5" i="11"/>
  <c r="AT5" i="16"/>
  <c r="AU5" i="16"/>
  <c r="AV5" i="16"/>
  <c r="AW5" i="16"/>
  <c r="AT5" i="4"/>
  <c r="AU5" i="4"/>
  <c r="AV5" i="4"/>
  <c r="AW5" i="4"/>
  <c r="AT5" i="7" l="1"/>
  <c r="AU5" i="7"/>
  <c r="AV5" i="7"/>
  <c r="AT5" i="6"/>
  <c r="AU5" i="6"/>
  <c r="AV5" i="6"/>
  <c r="AT5" i="5"/>
  <c r="AU5" i="5"/>
  <c r="AV5" i="5"/>
  <c r="AW5" i="5"/>
  <c r="AT5" i="3" l="1"/>
  <c r="AU5" i="3"/>
  <c r="AV5" i="3"/>
  <c r="AW5" i="3"/>
  <c r="AT5" i="2"/>
  <c r="AU5" i="2"/>
  <c r="AV5" i="2"/>
  <c r="AW5" i="2"/>
  <c r="AQ23" i="1"/>
  <c r="AR23" i="1"/>
  <c r="AS23" i="1"/>
  <c r="AT23" i="1"/>
  <c r="AU23" i="1"/>
  <c r="AV23" i="1"/>
  <c r="AW23" i="1"/>
  <c r="AQ17" i="1"/>
  <c r="AR17" i="1"/>
  <c r="AS17" i="1"/>
  <c r="AT17" i="1"/>
  <c r="AU17" i="1"/>
  <c r="AV17" i="1"/>
  <c r="AW17" i="1"/>
  <c r="AT5" i="1"/>
  <c r="AU5" i="1"/>
  <c r="AV5" i="1"/>
  <c r="AW5" i="1"/>
  <c r="AQ5" i="11"/>
  <c r="AR5" i="11"/>
  <c r="AS5" i="11"/>
  <c r="AQ5" i="4"/>
  <c r="AR5" i="4"/>
  <c r="AS5" i="4"/>
  <c r="AQ5" i="16"/>
  <c r="AR5" i="16"/>
  <c r="AS5" i="16"/>
  <c r="AS5" i="7"/>
  <c r="AR5" i="7"/>
  <c r="AQ5" i="7"/>
  <c r="AQ5" i="6" l="1"/>
  <c r="AR5" i="6"/>
  <c r="AS5" i="6"/>
  <c r="AQ5" i="1" l="1"/>
  <c r="AR5" i="1"/>
  <c r="AS5" i="1"/>
  <c r="AQ5" i="3" l="1"/>
  <c r="AR5" i="3"/>
  <c r="AS5" i="3"/>
  <c r="AQ5" i="2"/>
  <c r="AR5" i="2"/>
  <c r="AS5" i="2"/>
  <c r="AQ5" i="5"/>
  <c r="AR5" i="5"/>
  <c r="AS5" i="5"/>
  <c r="AM5" i="7"/>
  <c r="AN5" i="7"/>
  <c r="AO5" i="7"/>
  <c r="AM23" i="1"/>
  <c r="AN23" i="1"/>
  <c r="AO23" i="1"/>
  <c r="AP23" i="1"/>
  <c r="AM17" i="1"/>
  <c r="AN17" i="1"/>
  <c r="AO17" i="1"/>
  <c r="AP17" i="1"/>
  <c r="AM5" i="11"/>
  <c r="AN5" i="11"/>
  <c r="AO5" i="11"/>
  <c r="AP5" i="11"/>
  <c r="AM5" i="1"/>
  <c r="AN5" i="1"/>
  <c r="AO5" i="1"/>
  <c r="AP5" i="1"/>
  <c r="AM5" i="16" l="1"/>
  <c r="AN5" i="16"/>
  <c r="AO5" i="16"/>
  <c r="AP5" i="16"/>
  <c r="AM5" i="4"/>
  <c r="AN5" i="4"/>
  <c r="AO5" i="4"/>
  <c r="AP5" i="4"/>
  <c r="AM5" i="3" l="1"/>
  <c r="AN5" i="3"/>
  <c r="AO5" i="3"/>
  <c r="AP5" i="3"/>
  <c r="AM5" i="2"/>
  <c r="AN5" i="2"/>
  <c r="AO5" i="2"/>
  <c r="AP5" i="2"/>
  <c r="AM5" i="6"/>
  <c r="AN5" i="6"/>
  <c r="AO5" i="6"/>
  <c r="AM5" i="5"/>
  <c r="AN5" i="5"/>
  <c r="AO5" i="5"/>
  <c r="AP5" i="5"/>
  <c r="AJ5" i="11"/>
  <c r="AK5" i="11"/>
  <c r="AL5" i="11"/>
  <c r="AL5" i="7" l="1"/>
  <c r="AK5" i="7"/>
  <c r="AJ5" i="7"/>
  <c r="AJ5" i="16"/>
  <c r="AK5" i="16"/>
  <c r="AL5" i="16"/>
  <c r="AJ5" i="4"/>
  <c r="AK5" i="4"/>
  <c r="AL5" i="4"/>
  <c r="AJ5" i="6"/>
  <c r="AK5" i="6"/>
  <c r="AL5" i="6"/>
  <c r="AJ5" i="5"/>
  <c r="AK5" i="5"/>
  <c r="AL5" i="5"/>
  <c r="AJ5" i="3"/>
  <c r="AK5" i="3"/>
  <c r="AL5" i="3"/>
  <c r="AJ5" i="2"/>
  <c r="AK5" i="2"/>
  <c r="AL5" i="2"/>
  <c r="AJ5" i="1"/>
  <c r="AK5" i="1"/>
  <c r="AL5" i="1"/>
  <c r="AJ23" i="1"/>
  <c r="AK23" i="1"/>
  <c r="AL23" i="1"/>
  <c r="AJ17" i="1"/>
  <c r="AK17" i="1"/>
  <c r="AL17" i="1"/>
  <c r="AF23" i="1" l="1"/>
  <c r="AG23" i="1"/>
  <c r="AH23" i="1"/>
  <c r="AI23" i="1"/>
  <c r="AF5" i="11"/>
  <c r="AG5" i="11"/>
  <c r="AH5" i="11"/>
  <c r="AI5" i="11"/>
  <c r="AF5" i="7"/>
  <c r="AG5" i="7"/>
  <c r="AH5" i="7"/>
  <c r="AF5" i="6"/>
  <c r="AG5" i="6"/>
  <c r="AH5" i="6"/>
  <c r="AF5" i="5"/>
  <c r="AG5" i="5"/>
  <c r="AH5" i="5"/>
  <c r="AI5" i="5"/>
  <c r="AF5" i="16"/>
  <c r="AG5" i="16"/>
  <c r="AH5" i="16"/>
  <c r="AI5" i="16"/>
  <c r="AF5" i="4"/>
  <c r="AG5" i="4"/>
  <c r="AH5" i="4"/>
  <c r="AI5" i="4"/>
  <c r="AF5" i="3"/>
  <c r="AG5" i="3"/>
  <c r="AH5" i="3"/>
  <c r="AI5" i="3"/>
  <c r="AF5" i="2"/>
  <c r="AG5" i="2"/>
  <c r="AH5" i="2"/>
  <c r="AI5" i="2"/>
  <c r="AF5" i="1"/>
  <c r="AG5" i="1"/>
  <c r="AH5" i="1"/>
  <c r="AI5" i="1"/>
  <c r="AF17" i="1" l="1"/>
  <c r="AG17" i="1"/>
  <c r="AH17" i="1"/>
  <c r="AI17" i="1"/>
  <c r="AC5" i="11" l="1"/>
  <c r="AD5" i="11"/>
  <c r="AE5" i="11"/>
  <c r="AD5" i="7"/>
  <c r="AE5" i="7"/>
  <c r="AC5" i="7"/>
  <c r="AD5" i="6"/>
  <c r="AE5" i="6"/>
  <c r="AC5" i="6"/>
  <c r="AC5" i="5"/>
  <c r="AD5" i="5"/>
  <c r="AE5" i="5"/>
  <c r="AC5" i="16"/>
  <c r="AD5" i="16"/>
  <c r="AE5" i="16"/>
  <c r="AC5" i="4"/>
  <c r="AD5" i="4"/>
  <c r="AE5" i="4"/>
  <c r="AC5" i="3"/>
  <c r="AD5" i="3"/>
  <c r="AE5" i="3"/>
  <c r="AC5" i="2"/>
  <c r="AD5" i="2"/>
  <c r="AE5" i="2"/>
  <c r="AC23" i="1"/>
  <c r="AD23" i="1"/>
  <c r="AE23" i="1"/>
  <c r="AC5" i="1"/>
  <c r="AD5" i="1"/>
  <c r="AE5" i="1"/>
  <c r="AC17" i="1" l="1"/>
  <c r="AD17" i="1"/>
  <c r="AE17" i="1"/>
  <c r="Z5" i="11"/>
  <c r="AA5" i="11"/>
  <c r="AB5" i="11"/>
  <c r="Z5" i="7"/>
  <c r="AA5" i="7"/>
  <c r="Z5" i="6"/>
  <c r="AA5" i="6"/>
  <c r="Z5" i="5"/>
  <c r="AA5" i="5"/>
  <c r="AB5" i="5"/>
  <c r="Z5" i="16"/>
  <c r="AA5" i="16"/>
  <c r="AB5" i="16"/>
  <c r="Z5" i="4"/>
  <c r="AA5" i="4"/>
  <c r="AB5" i="4"/>
  <c r="Z5" i="3"/>
  <c r="AA5" i="3"/>
  <c r="AB5" i="3"/>
  <c r="Z5" i="2"/>
  <c r="AA5" i="2"/>
  <c r="AB5" i="2"/>
  <c r="Z23" i="1"/>
  <c r="AA23" i="1"/>
  <c r="AB23" i="1"/>
  <c r="Z5" i="1"/>
  <c r="AA5" i="1"/>
  <c r="AB5" i="1"/>
  <c r="Z17" i="1" l="1"/>
  <c r="AA17" i="1"/>
  <c r="AB17" i="1"/>
  <c r="V5" i="11"/>
  <c r="W5" i="11"/>
  <c r="X5" i="11"/>
  <c r="Y5" i="11"/>
  <c r="Y5" i="16"/>
  <c r="Y5" i="7"/>
  <c r="W5" i="6"/>
  <c r="X5" i="6"/>
  <c r="Y5" i="6"/>
  <c r="V5" i="6"/>
  <c r="V5" i="5"/>
  <c r="W5" i="5"/>
  <c r="X5" i="5"/>
  <c r="Y5" i="5"/>
  <c r="Y5" i="4"/>
  <c r="V5" i="3"/>
  <c r="W5" i="3"/>
  <c r="X5" i="3"/>
  <c r="Y5" i="3"/>
  <c r="V5" i="2"/>
  <c r="W5" i="2"/>
  <c r="X5" i="2"/>
  <c r="Y5" i="2"/>
  <c r="V17" i="1"/>
  <c r="W17" i="1"/>
  <c r="X17" i="1"/>
  <c r="Y17" i="1"/>
  <c r="V23" i="1"/>
  <c r="W23" i="1"/>
  <c r="X23" i="1"/>
  <c r="Y23" i="1"/>
  <c r="V5" i="1"/>
  <c r="W5" i="1"/>
  <c r="X5" i="1"/>
  <c r="Y5" i="1"/>
  <c r="W5" i="7" l="1"/>
  <c r="X5" i="7"/>
  <c r="V5" i="7"/>
  <c r="O5" i="16" l="1"/>
  <c r="X5" i="16"/>
  <c r="W5" i="16"/>
  <c r="V5" i="16"/>
  <c r="U5" i="16"/>
  <c r="T5" i="16"/>
  <c r="S5" i="16"/>
  <c r="R5" i="16"/>
  <c r="Q5" i="16"/>
  <c r="P5" i="16"/>
  <c r="A5" i="16" l="1"/>
  <c r="V5" i="4" l="1"/>
  <c r="W5" i="4"/>
  <c r="X5" i="4"/>
  <c r="R17" i="1" l="1"/>
  <c r="Q17" i="1"/>
  <c r="P17" i="1"/>
  <c r="O17" i="1"/>
  <c r="A18" i="1"/>
  <c r="U17" i="1"/>
  <c r="T17" i="1"/>
  <c r="S17" i="1"/>
  <c r="A17" i="1" l="1"/>
  <c r="A19" i="1" s="1"/>
  <c r="S5" i="11" l="1"/>
  <c r="T5" i="11"/>
  <c r="U5" i="11"/>
  <c r="S5" i="7"/>
  <c r="T5" i="7"/>
  <c r="S5" i="6"/>
  <c r="T5" i="6"/>
  <c r="S5" i="5"/>
  <c r="T5" i="5"/>
  <c r="U5" i="5"/>
  <c r="S5" i="4"/>
  <c r="T5" i="4"/>
  <c r="U5" i="4"/>
  <c r="S5" i="3"/>
  <c r="T5" i="3"/>
  <c r="U5" i="3"/>
  <c r="S5" i="2"/>
  <c r="T5" i="2"/>
  <c r="U5" i="2"/>
  <c r="S23" i="1"/>
  <c r="T23" i="1"/>
  <c r="U23" i="1"/>
  <c r="S5" i="1"/>
  <c r="T5" i="1"/>
  <c r="U5" i="1"/>
  <c r="P5" i="11" l="1"/>
  <c r="Q5" i="11"/>
  <c r="R5" i="11"/>
  <c r="O5" i="11"/>
  <c r="R5" i="7" l="1"/>
  <c r="R5" i="6"/>
  <c r="R5" i="5"/>
  <c r="R5" i="4"/>
  <c r="R5" i="3"/>
  <c r="R5" i="2"/>
  <c r="R23" i="1"/>
  <c r="R5" i="1"/>
  <c r="P5" i="7" l="1"/>
  <c r="Q5" i="7"/>
  <c r="O5" i="7"/>
  <c r="P5" i="6"/>
  <c r="Q5" i="6"/>
  <c r="O5" i="6"/>
  <c r="P5" i="5"/>
  <c r="Q5" i="5"/>
  <c r="O5" i="5"/>
  <c r="P5" i="4"/>
  <c r="Q5" i="4"/>
  <c r="P5" i="3"/>
  <c r="Q5" i="3"/>
  <c r="O5" i="3"/>
  <c r="P5" i="2"/>
  <c r="Q5" i="2"/>
  <c r="O5" i="2"/>
  <c r="P23" i="1"/>
  <c r="Q23" i="1"/>
  <c r="O23" i="1"/>
  <c r="P5" i="1"/>
  <c r="Q5" i="1"/>
  <c r="O5" i="1"/>
  <c r="A23" i="1" l="1"/>
  <c r="A5" i="4"/>
  <c r="A5" i="2"/>
  <c r="A5" i="1"/>
  <c r="A10" i="41"/>
  <c r="A11" i="41" s="1"/>
  <c r="IR11" i="41"/>
  <c r="IW11" i="41"/>
  <c r="IV11" i="41"/>
  <c r="IU11" i="41"/>
  <c r="IT11" i="41"/>
  <c r="IS11" i="41"/>
</calcChain>
</file>

<file path=xl/sharedStrings.xml><?xml version="1.0" encoding="utf-8"?>
<sst xmlns="http://schemas.openxmlformats.org/spreadsheetml/2006/main" count="17171" uniqueCount="3226">
  <si>
    <t>Çalışma Saati</t>
  </si>
  <si>
    <t>Ürün Adeti</t>
  </si>
  <si>
    <t>3. Hafta</t>
  </si>
  <si>
    <t>4. Hafta</t>
  </si>
  <si>
    <t>5. Hafta</t>
  </si>
  <si>
    <t>6. Hafta</t>
  </si>
  <si>
    <t>7. Hafta</t>
  </si>
  <si>
    <t>8. Hafta</t>
  </si>
  <si>
    <t>9. Hafta</t>
  </si>
  <si>
    <t>Verimlilik</t>
  </si>
  <si>
    <t>Hafta</t>
  </si>
  <si>
    <t>10. Hafta</t>
  </si>
  <si>
    <t>11. Hafta</t>
  </si>
  <si>
    <t>12. Hafta</t>
  </si>
  <si>
    <t>13. Hafta</t>
  </si>
  <si>
    <t>14. Hafta</t>
  </si>
  <si>
    <t>15. Hafta</t>
  </si>
  <si>
    <t>16. Hafta</t>
  </si>
  <si>
    <t>17. Hafta</t>
  </si>
  <si>
    <t>18. Hafta</t>
  </si>
  <si>
    <t>19. Hafta</t>
  </si>
  <si>
    <t>20. Hafta</t>
  </si>
  <si>
    <t>21. Hafta</t>
  </si>
  <si>
    <t>22. Hafta</t>
  </si>
  <si>
    <t>23. Hafta</t>
  </si>
  <si>
    <t>24. Hafta</t>
  </si>
  <si>
    <t>25. Hafta</t>
  </si>
  <si>
    <t>26. Hafta</t>
  </si>
  <si>
    <t>27. Hafta</t>
  </si>
  <si>
    <t>28. Hafta</t>
  </si>
  <si>
    <t>29. Hafta</t>
  </si>
  <si>
    <t>30. Hafta</t>
  </si>
  <si>
    <t>31. Hafta</t>
  </si>
  <si>
    <t>32. Hafta</t>
  </si>
  <si>
    <t>33. Hafta</t>
  </si>
  <si>
    <t>34. Hafta</t>
  </si>
  <si>
    <t>35. Hafta</t>
  </si>
  <si>
    <t>36. Hafta</t>
  </si>
  <si>
    <t>37. Hafta</t>
  </si>
  <si>
    <t>38. Hafta</t>
  </si>
  <si>
    <t>39. Hafta</t>
  </si>
  <si>
    <t>40. Hafta</t>
  </si>
  <si>
    <t>41. Hafta</t>
  </si>
  <si>
    <t>42. Hafta</t>
  </si>
  <si>
    <t>43. Hafta</t>
  </si>
  <si>
    <t>44. Hafta</t>
  </si>
  <si>
    <t>45. Hafta</t>
  </si>
  <si>
    <t>46. Hafta</t>
  </si>
  <si>
    <t>47. Hafta</t>
  </si>
  <si>
    <t>48. Hafta</t>
  </si>
  <si>
    <t>49. Hafta</t>
  </si>
  <si>
    <t>50. Hafta</t>
  </si>
  <si>
    <t>51. Hafta</t>
  </si>
  <si>
    <t>52. Hafta</t>
  </si>
  <si>
    <t>1. Hafta</t>
  </si>
  <si>
    <t>Gün</t>
  </si>
  <si>
    <t>Tarih</t>
  </si>
  <si>
    <t>Toplam</t>
  </si>
  <si>
    <t>Adres Denetim</t>
  </si>
  <si>
    <t>Adresleme</t>
  </si>
  <si>
    <t>Ekipman-Ürün Kabul</t>
  </si>
  <si>
    <t>İade Kabul</t>
  </si>
  <si>
    <t>Kargo</t>
  </si>
  <si>
    <t>Ofis</t>
  </si>
  <si>
    <t>Sipariş Takip</t>
  </si>
  <si>
    <t>Sorter</t>
  </si>
  <si>
    <t>Tekli-Eksik Sevk</t>
  </si>
  <si>
    <t>Toplama</t>
  </si>
  <si>
    <t>Vas</t>
  </si>
  <si>
    <t>Pzt (3.Hafta)</t>
  </si>
  <si>
    <t>Sal (3.Hafta)</t>
  </si>
  <si>
    <t>Çar (3.Hafta)</t>
  </si>
  <si>
    <t>Per (3.Hafta)</t>
  </si>
  <si>
    <t>Cum (3.Hafta)</t>
  </si>
  <si>
    <t>Cmt (3.Hafta)</t>
  </si>
  <si>
    <t>Paz (3.Hafta)</t>
  </si>
  <si>
    <t>Pzt (4.Hafta)</t>
  </si>
  <si>
    <t>Sal (4.Hafta)</t>
  </si>
  <si>
    <t>Çar (4.Hafta)</t>
  </si>
  <si>
    <t>Per (4.Hafta)</t>
  </si>
  <si>
    <t>Cum (4.Hafta)</t>
  </si>
  <si>
    <t>Cmt (4.Hafta)</t>
  </si>
  <si>
    <t>Paz (4.Hafta)</t>
  </si>
  <si>
    <t>Pzt (5.Hafta)</t>
  </si>
  <si>
    <t>Sal (5.Hafta)</t>
  </si>
  <si>
    <t>Çar (5.Hafta)</t>
  </si>
  <si>
    <t>Per (5.Hafta)</t>
  </si>
  <si>
    <t>Cum (5.Hafta)</t>
  </si>
  <si>
    <t>Cmt (5.Hafta)</t>
  </si>
  <si>
    <t>Paz (5.Hafta)</t>
  </si>
  <si>
    <t>Pzt (6.Hafta)</t>
  </si>
  <si>
    <t>Sal (6.Hafta)</t>
  </si>
  <si>
    <t>Çar (6.Hafta)</t>
  </si>
  <si>
    <t>Per (6.Hafta)</t>
  </si>
  <si>
    <t>Cum (6.Hafta)</t>
  </si>
  <si>
    <t>Cmt (6.Hafta)</t>
  </si>
  <si>
    <t>Paz (6.Hafta)</t>
  </si>
  <si>
    <t>Pzt (7.Hafta)</t>
  </si>
  <si>
    <t>Sal (7.Hafta)</t>
  </si>
  <si>
    <t>Çar (7.Hafta)</t>
  </si>
  <si>
    <t>Per (7.Hafta)</t>
  </si>
  <si>
    <t>Cum (7.Hafta)</t>
  </si>
  <si>
    <t>Cmt (7.Hafta)</t>
  </si>
  <si>
    <t>Paz (7.Hafta)</t>
  </si>
  <si>
    <t>Pzt (8.Hafta)</t>
  </si>
  <si>
    <t>Sal (8.Hafta)</t>
  </si>
  <si>
    <t>Çar (8.Hafta)</t>
  </si>
  <si>
    <t>Per (8.Hafta)</t>
  </si>
  <si>
    <t>Cum (8.Hafta)</t>
  </si>
  <si>
    <t>Cmt (8.Hafta)</t>
  </si>
  <si>
    <t>Paz (8.Hafta)</t>
  </si>
  <si>
    <t>Pzt (9.Hafta)</t>
  </si>
  <si>
    <t>Sal (9.Hafta)</t>
  </si>
  <si>
    <t>Çar (9.Hafta)</t>
  </si>
  <si>
    <t>Per (9.Hafta)</t>
  </si>
  <si>
    <t>Cum (9.Hafta)</t>
  </si>
  <si>
    <t>Cmt (9.Hafta)</t>
  </si>
  <si>
    <t>Paz (9.Hafta)</t>
  </si>
  <si>
    <t>Pzt (10.Hafta)</t>
  </si>
  <si>
    <t>Sal (10.Hafta)</t>
  </si>
  <si>
    <t>Çar (10.Hafta)</t>
  </si>
  <si>
    <t>Per (10.Hafta)</t>
  </si>
  <si>
    <t>Cum (10.Hafta)</t>
  </si>
  <si>
    <t>Cmt (10.Hafta)</t>
  </si>
  <si>
    <t>Paz (10.Hafta)</t>
  </si>
  <si>
    <t>Pzt (11.Hafta)</t>
  </si>
  <si>
    <t>Sal (11.Hafta)</t>
  </si>
  <si>
    <t>Çar (11.Hafta)</t>
  </si>
  <si>
    <t>Per (11.Hafta)</t>
  </si>
  <si>
    <t>Cum (11.Hafta)</t>
  </si>
  <si>
    <t>Cmt (11.Hafta)</t>
  </si>
  <si>
    <t>Paz (11.Hafta)</t>
  </si>
  <si>
    <t>Pzt (12.Hafta)</t>
  </si>
  <si>
    <t>Sal (12.Hafta)</t>
  </si>
  <si>
    <t>Çar (12.Hafta)</t>
  </si>
  <si>
    <t>Per (12.Hafta)</t>
  </si>
  <si>
    <t>Cum (12.Hafta)</t>
  </si>
  <si>
    <t>Cmt (12.Hafta)</t>
  </si>
  <si>
    <t>Paz (12.Hafta)</t>
  </si>
  <si>
    <t>Pzt (13.Hafta)</t>
  </si>
  <si>
    <t>Sal (13.Hafta)</t>
  </si>
  <si>
    <t>Çar (13.Hafta)</t>
  </si>
  <si>
    <t>Per (13.Hafta)</t>
  </si>
  <si>
    <t>Cum (13.Hafta)</t>
  </si>
  <si>
    <t>Cmt (13.Hafta)</t>
  </si>
  <si>
    <t>Paz (13.Hafta)</t>
  </si>
  <si>
    <t>Pzt (14.Hafta)</t>
  </si>
  <si>
    <t>Sal (14.Hafta)</t>
  </si>
  <si>
    <t>Çar (14.Hafta)</t>
  </si>
  <si>
    <t>Per (14.Hafta)</t>
  </si>
  <si>
    <t>Cum (14.Hafta)</t>
  </si>
  <si>
    <t>Cmt (14.Hafta)</t>
  </si>
  <si>
    <t>Paz (14.Hafta)</t>
  </si>
  <si>
    <t>Pzt (15.Hafta)</t>
  </si>
  <si>
    <t>Sal (15.Hafta)</t>
  </si>
  <si>
    <t>Çar (15.Hafta)</t>
  </si>
  <si>
    <t>Per (15.Hafta)</t>
  </si>
  <si>
    <t>Cum (15.Hafta)</t>
  </si>
  <si>
    <t>Cmt (15.Hafta)</t>
  </si>
  <si>
    <t>Paz (15.Hafta)</t>
  </si>
  <si>
    <t>Pzt (16.Hafta)</t>
  </si>
  <si>
    <t>Sal (16.Hafta)</t>
  </si>
  <si>
    <t>Çar (16.Hafta)</t>
  </si>
  <si>
    <t>Per (16.Hafta)</t>
  </si>
  <si>
    <t>Cum (16.Hafta)</t>
  </si>
  <si>
    <t>Cmt (16.Hafta)</t>
  </si>
  <si>
    <t>Paz (16.Hafta)</t>
  </si>
  <si>
    <t>Pzt (17.Hafta)</t>
  </si>
  <si>
    <t>Sal (17.Hafta)</t>
  </si>
  <si>
    <t>Çar (17.Hafta)</t>
  </si>
  <si>
    <t>Per (17.Hafta)</t>
  </si>
  <si>
    <t>Cum (17.Hafta)</t>
  </si>
  <si>
    <t>Cmt (17.Hafta)</t>
  </si>
  <si>
    <t>Paz (17.Hafta)</t>
  </si>
  <si>
    <t>Pzt (18.Hafta)</t>
  </si>
  <si>
    <t>Sal (18.Hafta)</t>
  </si>
  <si>
    <t>Çar (18.Hafta)</t>
  </si>
  <si>
    <t>Per (18.Hafta)</t>
  </si>
  <si>
    <t>Cum (18.Hafta)</t>
  </si>
  <si>
    <t>Cmt (18.Hafta)</t>
  </si>
  <si>
    <t>Paz (18.Hafta)</t>
  </si>
  <si>
    <t>Pzt (19.Hafta)</t>
  </si>
  <si>
    <t>Sal (19.Hafta)</t>
  </si>
  <si>
    <t>Çar (19.Hafta)</t>
  </si>
  <si>
    <t>Per (19.Hafta)</t>
  </si>
  <si>
    <t>Cum (19.Hafta)</t>
  </si>
  <si>
    <t>Cmt (19.Hafta)</t>
  </si>
  <si>
    <t>Paz (19.Hafta)</t>
  </si>
  <si>
    <t>Pzt (20.Hafta)</t>
  </si>
  <si>
    <t>Sal (20.Hafta)</t>
  </si>
  <si>
    <t>Çar (20.Hafta)</t>
  </si>
  <si>
    <t>Per (20.Hafta)</t>
  </si>
  <si>
    <t>Cum (20.Hafta)</t>
  </si>
  <si>
    <t>Cmt (20.Hafta)</t>
  </si>
  <si>
    <t>Paz (20.Hafta)</t>
  </si>
  <si>
    <t>Pzt (21.Hafta)</t>
  </si>
  <si>
    <t>Sal (21.Hafta)</t>
  </si>
  <si>
    <t>Çar (21.Hafta)</t>
  </si>
  <si>
    <t>Per (21.Hafta)</t>
  </si>
  <si>
    <t>Cum (21.Hafta)</t>
  </si>
  <si>
    <t>Cmt (21.Hafta)</t>
  </si>
  <si>
    <t>Paz (21.Hafta)</t>
  </si>
  <si>
    <t>Pzt (22.Hafta)</t>
  </si>
  <si>
    <t>Sal (22.Hafta)</t>
  </si>
  <si>
    <t>Çar (22.Hafta)</t>
  </si>
  <si>
    <t>Per (22.Hafta)</t>
  </si>
  <si>
    <t>Cum (22.Hafta)</t>
  </si>
  <si>
    <t>Cmt (22.Hafta)</t>
  </si>
  <si>
    <t>Paz (22.Hafta)</t>
  </si>
  <si>
    <t>Pzt (23.Hafta)</t>
  </si>
  <si>
    <t>Sal (23.Hafta)</t>
  </si>
  <si>
    <t>Çar (23.Hafta)</t>
  </si>
  <si>
    <t>Per (23.Hafta)</t>
  </si>
  <si>
    <t>Cum (23.Hafta)</t>
  </si>
  <si>
    <t>Cmt (23.Hafta)</t>
  </si>
  <si>
    <t>Paz (23.Hafta)</t>
  </si>
  <si>
    <t>Pzt (24.Hafta)</t>
  </si>
  <si>
    <t>Sal (24.Hafta)</t>
  </si>
  <si>
    <t>Çar (24.Hafta)</t>
  </si>
  <si>
    <t>Per (24.Hafta)</t>
  </si>
  <si>
    <t>Cum (24.Hafta)</t>
  </si>
  <si>
    <t>Cmt (24.Hafta)</t>
  </si>
  <si>
    <t>Paz (24.Hafta)</t>
  </si>
  <si>
    <t>Pzt (25.Hafta)</t>
  </si>
  <si>
    <t>Sal (25.Hafta)</t>
  </si>
  <si>
    <t>Çar (25.Hafta)</t>
  </si>
  <si>
    <t>Per (25.Hafta)</t>
  </si>
  <si>
    <t>Cum (25.Hafta)</t>
  </si>
  <si>
    <t>Cmt (25.Hafta)</t>
  </si>
  <si>
    <t>Paz (25.Hafta)</t>
  </si>
  <si>
    <t>Pzt (26.Hafta)</t>
  </si>
  <si>
    <t>Sal (26.Hafta)</t>
  </si>
  <si>
    <t>Çar (26.Hafta)</t>
  </si>
  <si>
    <t>Per (26.Hafta)</t>
  </si>
  <si>
    <t>Cum (26.Hafta)</t>
  </si>
  <si>
    <t>Cmt (26.Hafta)</t>
  </si>
  <si>
    <t>Paz (26.Hafta)</t>
  </si>
  <si>
    <t>Pzt (27.Hafta)</t>
  </si>
  <si>
    <t>Sal (27.Hafta)</t>
  </si>
  <si>
    <t>Çar (27.Hafta)</t>
  </si>
  <si>
    <t>Per (27.Hafta)</t>
  </si>
  <si>
    <t>Cum (27.Hafta)</t>
  </si>
  <si>
    <t>Cmt (27.Hafta)</t>
  </si>
  <si>
    <t>Paz (27.Hafta)</t>
  </si>
  <si>
    <t>Pzt (28.Hafta)</t>
  </si>
  <si>
    <t>Sal (28.Hafta)</t>
  </si>
  <si>
    <t>Çar (28.Hafta)</t>
  </si>
  <si>
    <t>Per (28.Hafta)</t>
  </si>
  <si>
    <t>Cum (28.Hafta)</t>
  </si>
  <si>
    <t>Cmt (28.Hafta)</t>
  </si>
  <si>
    <t>Paz (28.Hafta)</t>
  </si>
  <si>
    <t>Pzt (29.Hafta)</t>
  </si>
  <si>
    <t>Sal (29.Hafta)</t>
  </si>
  <si>
    <t>Çar (29.Hafta)</t>
  </si>
  <si>
    <t>Per (29.Hafta)</t>
  </si>
  <si>
    <t>Cum (29.Hafta)</t>
  </si>
  <si>
    <t>Cmt (29.Hafta)</t>
  </si>
  <si>
    <t>Paz (29.Hafta)</t>
  </si>
  <si>
    <t>Pzt (30.Hafta)</t>
  </si>
  <si>
    <t>Sal (30.Hafta)</t>
  </si>
  <si>
    <t>Çar (30.Hafta)</t>
  </si>
  <si>
    <t>Per (30.Hafta)</t>
  </si>
  <si>
    <t>Cum (30.Hafta)</t>
  </si>
  <si>
    <t>Cmt (30.Hafta)</t>
  </si>
  <si>
    <t>Paz (30.Hafta)</t>
  </si>
  <si>
    <t>Pzt (31.Hafta)</t>
  </si>
  <si>
    <t>Sal (31.Hafta)</t>
  </si>
  <si>
    <t>Çar (31.Hafta)</t>
  </si>
  <si>
    <t>Per (31.Hafta)</t>
  </si>
  <si>
    <t>Cum (31.Hafta)</t>
  </si>
  <si>
    <t>Cmt (31.Hafta)</t>
  </si>
  <si>
    <t>Paz (31.Hafta)</t>
  </si>
  <si>
    <t>Pzt (32.Hafta)</t>
  </si>
  <si>
    <t>Sal (32.Hafta)</t>
  </si>
  <si>
    <t>Çar (32.Hafta)</t>
  </si>
  <si>
    <t>Per (32.Hafta)</t>
  </si>
  <si>
    <t>Cum (32.Hafta)</t>
  </si>
  <si>
    <t>Cmt (32.Hafta)</t>
  </si>
  <si>
    <t>Paz (32.Hafta)</t>
  </si>
  <si>
    <t>Pzt (33.Hafta)</t>
  </si>
  <si>
    <t>Sal (33.Hafta)</t>
  </si>
  <si>
    <t>Çar (33.Hafta)</t>
  </si>
  <si>
    <t>Per (33.Hafta)</t>
  </si>
  <si>
    <t>Cum (33.Hafta)</t>
  </si>
  <si>
    <t>Cmt (33.Hafta)</t>
  </si>
  <si>
    <t>Paz (33.Hafta)</t>
  </si>
  <si>
    <t>Pzt (34.Hafta)</t>
  </si>
  <si>
    <t>Sal (34.Hafta)</t>
  </si>
  <si>
    <t>Çar (34.Hafta)</t>
  </si>
  <si>
    <t>Per (34.Hafta)</t>
  </si>
  <si>
    <t>Cum (34.Hafta)</t>
  </si>
  <si>
    <t>Cmt (34.Hafta)</t>
  </si>
  <si>
    <t>Paz (34.Hafta)</t>
  </si>
  <si>
    <t>Pzt (35.Hafta)</t>
  </si>
  <si>
    <t>Sal (35.Hafta)</t>
  </si>
  <si>
    <t>Çar (35.Hafta)</t>
  </si>
  <si>
    <t>Per (35.Hafta)</t>
  </si>
  <si>
    <t>Cum (35.Hafta)</t>
  </si>
  <si>
    <t>Cmt (35.Hafta)</t>
  </si>
  <si>
    <t>Paz (35.Hafta)</t>
  </si>
  <si>
    <t>Pzt (36.Hafta)</t>
  </si>
  <si>
    <t>Sal (36.Hafta)</t>
  </si>
  <si>
    <t>Çar (36.Hafta)</t>
  </si>
  <si>
    <t>Per (36.Hafta)</t>
  </si>
  <si>
    <t>Cum (36.Hafta)</t>
  </si>
  <si>
    <t>Cmt (36.Hafta)</t>
  </si>
  <si>
    <t>Paz (36.Hafta)</t>
  </si>
  <si>
    <t>Pzt (37.Hafta)</t>
  </si>
  <si>
    <t>Sal (37.Hafta)</t>
  </si>
  <si>
    <t>Çar (37.Hafta)</t>
  </si>
  <si>
    <t>Per (37.Hafta)</t>
  </si>
  <si>
    <t>Cum (37.Hafta)</t>
  </si>
  <si>
    <t>Cmt (37.Hafta)</t>
  </si>
  <si>
    <t>Paz (37.Hafta)</t>
  </si>
  <si>
    <t>Pzt (38.Hafta)</t>
  </si>
  <si>
    <t>Sal (38.Hafta)</t>
  </si>
  <si>
    <t>Çar (38.Hafta)</t>
  </si>
  <si>
    <t>Per (38.Hafta)</t>
  </si>
  <si>
    <t>Cum (38.Hafta)</t>
  </si>
  <si>
    <t>Cmt (38.Hafta)</t>
  </si>
  <si>
    <t>Paz (38.Hafta)</t>
  </si>
  <si>
    <t>Pzt (39.Hafta)</t>
  </si>
  <si>
    <t>Sal (39.Hafta)</t>
  </si>
  <si>
    <t>Çar (39.Hafta)</t>
  </si>
  <si>
    <t>Per (39.Hafta)</t>
  </si>
  <si>
    <t>Cum (39.Hafta)</t>
  </si>
  <si>
    <t>Cmt (39.Hafta)</t>
  </si>
  <si>
    <t>Paz (39.Hafta)</t>
  </si>
  <si>
    <t>Pzt (40.Hafta)</t>
  </si>
  <si>
    <t>Sal (40.Hafta)</t>
  </si>
  <si>
    <t>Çar (40.Hafta)</t>
  </si>
  <si>
    <t>Per (40.Hafta)</t>
  </si>
  <si>
    <t>Cum (40.Hafta)</t>
  </si>
  <si>
    <t>Cmt (40.Hafta)</t>
  </si>
  <si>
    <t>Paz (40.Hafta)</t>
  </si>
  <si>
    <t>Pzt (41.Hafta)</t>
  </si>
  <si>
    <t>Sal (41.Hafta)</t>
  </si>
  <si>
    <t>Çar (41.Hafta)</t>
  </si>
  <si>
    <t>Per (41.Hafta)</t>
  </si>
  <si>
    <t>Cum (41.Hafta)</t>
  </si>
  <si>
    <t>Cmt (41.Hafta)</t>
  </si>
  <si>
    <t>Paz (41.Hafta)</t>
  </si>
  <si>
    <t>Pzt (42.Hafta)</t>
  </si>
  <si>
    <t>Sal (42.Hafta)</t>
  </si>
  <si>
    <t>Çar (42.Hafta)</t>
  </si>
  <si>
    <t>Per (42.Hafta)</t>
  </si>
  <si>
    <t>Cum (42.Hafta)</t>
  </si>
  <si>
    <t>Cmt (42.Hafta)</t>
  </si>
  <si>
    <t>Paz (42.Hafta)</t>
  </si>
  <si>
    <t>Pzt (43.Hafta)</t>
  </si>
  <si>
    <t>Sal (43.Hafta)</t>
  </si>
  <si>
    <t>Çar (43.Hafta)</t>
  </si>
  <si>
    <t>Per (43.Hafta)</t>
  </si>
  <si>
    <t>Cum (43.Hafta)</t>
  </si>
  <si>
    <t>Cmt (43.Hafta)</t>
  </si>
  <si>
    <t>Paz (43.Hafta)</t>
  </si>
  <si>
    <t>Pzt (44.Hafta)</t>
  </si>
  <si>
    <t>Sal (44.Hafta)</t>
  </si>
  <si>
    <t>Çar (44.Hafta)</t>
  </si>
  <si>
    <t>Per (44.Hafta)</t>
  </si>
  <si>
    <t>Cum (44.Hafta)</t>
  </si>
  <si>
    <t>Cmt (44.Hafta)</t>
  </si>
  <si>
    <t>Paz (44.Hafta)</t>
  </si>
  <si>
    <t>Pzt (45.Hafta)</t>
  </si>
  <si>
    <t>Sal (45.Hafta)</t>
  </si>
  <si>
    <t>Çar (45.Hafta)</t>
  </si>
  <si>
    <t>Per (45.Hafta)</t>
  </si>
  <si>
    <t>Cum (45.Hafta)</t>
  </si>
  <si>
    <t>Cmt (45.Hafta)</t>
  </si>
  <si>
    <t>Paz (45.Hafta)</t>
  </si>
  <si>
    <t>Pzt (46.Hafta)</t>
  </si>
  <si>
    <t>Sal (46.Hafta)</t>
  </si>
  <si>
    <t>Çar (46.Hafta)</t>
  </si>
  <si>
    <t>Per (46.Hafta)</t>
  </si>
  <si>
    <t>Cum (46.Hafta)</t>
  </si>
  <si>
    <t>Cmt (46.Hafta)</t>
  </si>
  <si>
    <t>Paz (46.Hafta)</t>
  </si>
  <si>
    <t>Pzt (47.Hafta)</t>
  </si>
  <si>
    <t>Sal (47.Hafta)</t>
  </si>
  <si>
    <t>Çar (47.Hafta)</t>
  </si>
  <si>
    <t>Per (47.Hafta)</t>
  </si>
  <si>
    <t>Cum (47.Hafta)</t>
  </si>
  <si>
    <t>Cmt (47.Hafta)</t>
  </si>
  <si>
    <t>Paz (47.Hafta)</t>
  </si>
  <si>
    <t>Pzt (48.Hafta)</t>
  </si>
  <si>
    <t>Sal (48.Hafta)</t>
  </si>
  <si>
    <t>Çar (48.Hafta)</t>
  </si>
  <si>
    <t>Per (48.Hafta)</t>
  </si>
  <si>
    <t>Cum (48.Hafta)</t>
  </si>
  <si>
    <t>Cmt (48.Hafta)</t>
  </si>
  <si>
    <t>Paz (48.Hafta)</t>
  </si>
  <si>
    <t>Pzt (49.Hafta)</t>
  </si>
  <si>
    <t>Sal (49.Hafta)</t>
  </si>
  <si>
    <t>Çar (49.Hafta)</t>
  </si>
  <si>
    <t>Per (49.Hafta)</t>
  </si>
  <si>
    <t>Cum (49.Hafta)</t>
  </si>
  <si>
    <t>Cmt (49.Hafta)</t>
  </si>
  <si>
    <t>Paz (49.Hafta)</t>
  </si>
  <si>
    <t>Pzt (50.Hafta)</t>
  </si>
  <si>
    <t>Sal (50.Hafta)</t>
  </si>
  <si>
    <t>Çar (50.Hafta)</t>
  </si>
  <si>
    <t>Per (50.Hafta)</t>
  </si>
  <si>
    <t>Cum (50.Hafta)</t>
  </si>
  <si>
    <t>Cmt (50.Hafta)</t>
  </si>
  <si>
    <t>Paz (50.Hafta)</t>
  </si>
  <si>
    <t>Pzt (51.Hafta)</t>
  </si>
  <si>
    <t>Sal (51.Hafta)</t>
  </si>
  <si>
    <t>Çar (51.Hafta)</t>
  </si>
  <si>
    <t>Per (51.Hafta)</t>
  </si>
  <si>
    <t>Cum (51.Hafta)</t>
  </si>
  <si>
    <t>Cmt (51.Hafta)</t>
  </si>
  <si>
    <t>Paz (51.Hafta)</t>
  </si>
  <si>
    <t>Pzt (52.Hafta)</t>
  </si>
  <si>
    <t>Sal (52.Hafta)</t>
  </si>
  <si>
    <t>Çar (52.Hafta)</t>
  </si>
  <si>
    <t>Per (52.Hafta)</t>
  </si>
  <si>
    <t>Cum (52.Hafta)</t>
  </si>
  <si>
    <t>Cmt (52.Hafta)</t>
  </si>
  <si>
    <t>Paz (52.Hafta)</t>
  </si>
  <si>
    <t>Pzt (1.Hafta)</t>
  </si>
  <si>
    <t>Sal (1.Hafta)</t>
  </si>
  <si>
    <t>Çar (1.Hafta)</t>
  </si>
  <si>
    <t>2025 Hedef Verimlilik</t>
  </si>
  <si>
    <t>Gerçekleşen Adet</t>
  </si>
  <si>
    <t>Gerçekleşen Verimlilik</t>
  </si>
  <si>
    <t>2. Hafta</t>
  </si>
  <si>
    <t>Hedef Çalışma Süre</t>
  </si>
  <si>
    <t>Gerçekleşen Çalışma Saat</t>
  </si>
  <si>
    <t>Genel</t>
  </si>
  <si>
    <t>Sorter çıkış</t>
  </si>
  <si>
    <t>İlk tablo beyaz yaka ve ofis çalışanları hariç tüm çalışma saatleri ve e ticaret müşteri çıkış ürün adeti</t>
  </si>
  <si>
    <t>İkinci tablo ve grafik beyaz yaka / ofis çalışanları hariç tüm çalışma saatleri ve sorter müşteri çıkışları ve dat işlem adetleri toplamı</t>
  </si>
  <si>
    <t>Koli Kabul</t>
  </si>
  <si>
    <t>İlk tablo ürün kabul ve ekipman personel çalışma saati ve kabul edilen koli sayısı</t>
  </si>
  <si>
    <t>İkinci tablo ürün kabul ve ekipman personel çalışma saati ve kabul edilen koli siçi ürün miktar</t>
  </si>
  <si>
    <t>Adresleme personeli çalışma saati ve adreslenen miktar</t>
  </si>
  <si>
    <t>Toplama personeli çalışma saati ve toplanan ürün miktarı</t>
  </si>
  <si>
    <t>İlk tablo sorter personel çalışma saati ve tüm çıkışlar iade mğza transferi crossborder müşteri siparişleri</t>
  </si>
  <si>
    <t>İkinci tablo sorter personel çalışma saati ve müşteri siparişleri</t>
  </si>
  <si>
    <t>Kargo personeli çalışma saati ve ayrıştırılan kargo sipariş sayısı</t>
  </si>
  <si>
    <t>Tüm iade personeli çalışma saati ve kabul edilen iade ürün miktarı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</si>
  <si>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</si>
  <si>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</si>
  <si>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</si>
  <si>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</si>
  <si>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</si>
  <si>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</si>
  <si>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</si>
  <si>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</si>
  <si>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</si>
  <si>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</si>
  <si>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</si>
  <si>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</si>
  <si>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Saat</t>
  </si>
  <si>
    <t>Tekli</t>
  </si>
  <si>
    <t>Genel çıkış sorter müşteri siparişleri</t>
  </si>
  <si>
    <t>Sorter Müşteri çıkış saat</t>
  </si>
  <si>
    <t>Eksik Sevk Adet</t>
  </si>
  <si>
    <t>Tekli Eksik Sevk Çıkış</t>
  </si>
  <si>
    <t>145116</t>
  </si>
  <si>
    <t>ABDULKADİR DOĞAN</t>
  </si>
  <si>
    <t>229311</t>
  </si>
  <si>
    <t>ABDULKERİM DENLİ</t>
  </si>
  <si>
    <t>198836</t>
  </si>
  <si>
    <t>ABDULLAH İLKAN</t>
  </si>
  <si>
    <t>145013</t>
  </si>
  <si>
    <t>ABDURRAHİM SERGİN</t>
  </si>
  <si>
    <t>259919</t>
  </si>
  <si>
    <t>ABDÜLKADİR IŞIK</t>
  </si>
  <si>
    <t>103363</t>
  </si>
  <si>
    <t>ADEM KULAKSIZ</t>
  </si>
  <si>
    <t>229212</t>
  </si>
  <si>
    <t>ADEM MERT</t>
  </si>
  <si>
    <t>150081</t>
  </si>
  <si>
    <t>AHMET COŞKUN</t>
  </si>
  <si>
    <t>181122</t>
  </si>
  <si>
    <t>AHMET DURMAZ</t>
  </si>
  <si>
    <t>158438</t>
  </si>
  <si>
    <t>AHMET ELMACI</t>
  </si>
  <si>
    <t>194601</t>
  </si>
  <si>
    <t>AHMET FATİH TAŞDAN</t>
  </si>
  <si>
    <t>310995</t>
  </si>
  <si>
    <t>AHMET TATLİ</t>
  </si>
  <si>
    <t>311132</t>
  </si>
  <si>
    <t>AHSEN UYANIK</t>
  </si>
  <si>
    <t>297625</t>
  </si>
  <si>
    <t>ALEYNA İREMNUR BAYRAK</t>
  </si>
  <si>
    <t>272706</t>
  </si>
  <si>
    <t>ALEYNA KADICIK</t>
  </si>
  <si>
    <t>310987</t>
  </si>
  <si>
    <t>ALEYNA ÖNTÜRK</t>
  </si>
  <si>
    <t>194972</t>
  </si>
  <si>
    <t>ALİ AY</t>
  </si>
  <si>
    <t>82146</t>
  </si>
  <si>
    <t>ALİ DİNLER</t>
  </si>
  <si>
    <t>86391</t>
  </si>
  <si>
    <t>ALİ KAZAN</t>
  </si>
  <si>
    <t>274433</t>
  </si>
  <si>
    <t>ALİ ÖZKAYA</t>
  </si>
  <si>
    <t>229143</t>
  </si>
  <si>
    <t>ALİCAN TEKİN</t>
  </si>
  <si>
    <t>310708</t>
  </si>
  <si>
    <t>ALİYE BERNA TATAR</t>
  </si>
  <si>
    <t>105429</t>
  </si>
  <si>
    <t>ARİF YILMAZ</t>
  </si>
  <si>
    <t>299281</t>
  </si>
  <si>
    <t>ARZU YALVAÇ</t>
  </si>
  <si>
    <t>198627</t>
  </si>
  <si>
    <t>ASENA ALGÜL</t>
  </si>
  <si>
    <t>65220</t>
  </si>
  <si>
    <t>AYFER ATLAN</t>
  </si>
  <si>
    <t>86394</t>
  </si>
  <si>
    <t>AYHAN ARAT</t>
  </si>
  <si>
    <t>283504</t>
  </si>
  <si>
    <t>AYHAN TACAR</t>
  </si>
  <si>
    <t>239045</t>
  </si>
  <si>
    <t>AYKUT HATİM</t>
  </si>
  <si>
    <t>221725</t>
  </si>
  <si>
    <t>AYNUR KILIÇ</t>
  </si>
  <si>
    <t>274391</t>
  </si>
  <si>
    <t>AYSUN AKÇAY</t>
  </si>
  <si>
    <t>273688</t>
  </si>
  <si>
    <t>AYŞE KATAN</t>
  </si>
  <si>
    <t>310989</t>
  </si>
  <si>
    <t>AYŞEGÜL ŞAHİN</t>
  </si>
  <si>
    <t>275796</t>
  </si>
  <si>
    <t>AYŞEGÜL YAKDİ</t>
  </si>
  <si>
    <t>278976</t>
  </si>
  <si>
    <t>AYTEN BİTER</t>
  </si>
  <si>
    <t>310999</t>
  </si>
  <si>
    <t>AZAD KARATAŞ</t>
  </si>
  <si>
    <t>107733</t>
  </si>
  <si>
    <t>AZİZ ACAR</t>
  </si>
  <si>
    <t>311036</t>
  </si>
  <si>
    <t>BAHAR SAMİ</t>
  </si>
  <si>
    <t>201932</t>
  </si>
  <si>
    <t>BARIŞ ÇİLGASİT</t>
  </si>
  <si>
    <t>245766</t>
  </si>
  <si>
    <t>BAŞAK AKTAŞ</t>
  </si>
  <si>
    <t>274263</t>
  </si>
  <si>
    <t>BAŞAK DEMİRBUĞA</t>
  </si>
  <si>
    <t>240742</t>
  </si>
  <si>
    <t>BAYRAM ÖZDEMİR</t>
  </si>
  <si>
    <t>81328</t>
  </si>
  <si>
    <t>BAYRAM POLAT</t>
  </si>
  <si>
    <t>202084</t>
  </si>
  <si>
    <t>BEDRİYE RUVEYDA ÇAĞLAYAN</t>
  </si>
  <si>
    <t>29994</t>
  </si>
  <si>
    <t>BEKİR ÇELİK</t>
  </si>
  <si>
    <t>245674</t>
  </si>
  <si>
    <t>BEKTAŞ DEMİR</t>
  </si>
  <si>
    <t>272915</t>
  </si>
  <si>
    <t>BELGİN YALVAÇ</t>
  </si>
  <si>
    <t>221748</t>
  </si>
  <si>
    <t>BERFİN KAVAKÇİOĞLU</t>
  </si>
  <si>
    <t>279075</t>
  </si>
  <si>
    <t>BERFİN PARİN</t>
  </si>
  <si>
    <t>299090</t>
  </si>
  <si>
    <t>BERİVAN GENCER</t>
  </si>
  <si>
    <t>198840</t>
  </si>
  <si>
    <t>BERK POLAT</t>
  </si>
  <si>
    <t>194651</t>
  </si>
  <si>
    <t>BERKAN MERİÇLİ</t>
  </si>
  <si>
    <t>273400</t>
  </si>
  <si>
    <t>BETÜL EZİN</t>
  </si>
  <si>
    <t>260820</t>
  </si>
  <si>
    <t>BETÜL YAZGAN</t>
  </si>
  <si>
    <t>276124</t>
  </si>
  <si>
    <t>BEYZA YILMAZ</t>
  </si>
  <si>
    <t>310920</t>
  </si>
  <si>
    <t>BUKET GÜVENÇ</t>
  </si>
  <si>
    <t>229292</t>
  </si>
  <si>
    <t>BUKET NUR KIRIŞ</t>
  </si>
  <si>
    <t>32904</t>
  </si>
  <si>
    <t>BULUT ÇAM</t>
  </si>
  <si>
    <t>196265</t>
  </si>
  <si>
    <t>BURAK ÇOBAN</t>
  </si>
  <si>
    <t>159082</t>
  </si>
  <si>
    <t>BURAK GÜN</t>
  </si>
  <si>
    <t>86302</t>
  </si>
  <si>
    <t>BURHAN SAMANCI</t>
  </si>
  <si>
    <t>82660</t>
  </si>
  <si>
    <t>BURHANETTİN AYTANÖZÜ</t>
  </si>
  <si>
    <t>141193</t>
  </si>
  <si>
    <t>BÜLENT AY</t>
  </si>
  <si>
    <t>240692</t>
  </si>
  <si>
    <t>BÜŞRA ÇELİK</t>
  </si>
  <si>
    <t>158836</t>
  </si>
  <si>
    <t>CAN GÜLER</t>
  </si>
  <si>
    <t>299268</t>
  </si>
  <si>
    <t>CANSU ACER</t>
  </si>
  <si>
    <t>231273</t>
  </si>
  <si>
    <t>CANSU KAVAKLI</t>
  </si>
  <si>
    <t>215423</t>
  </si>
  <si>
    <t>CELAL İNAL</t>
  </si>
  <si>
    <t>65305</t>
  </si>
  <si>
    <t>CEM SELÇUK</t>
  </si>
  <si>
    <t>150091</t>
  </si>
  <si>
    <t>CENGİZ KAYA</t>
  </si>
  <si>
    <t>195031</t>
  </si>
  <si>
    <t>CESİM NİLOFER</t>
  </si>
  <si>
    <t>44106</t>
  </si>
  <si>
    <t>COŞKUN AKGÜL</t>
  </si>
  <si>
    <t>221142</t>
  </si>
  <si>
    <t>CUMALİ DAMARHAN</t>
  </si>
  <si>
    <t>230559</t>
  </si>
  <si>
    <t>187504</t>
  </si>
  <si>
    <t>DEMET AKTAŞ</t>
  </si>
  <si>
    <t>194879</t>
  </si>
  <si>
    <t>172965</t>
  </si>
  <si>
    <t>DEMET TATAN</t>
  </si>
  <si>
    <t>194987</t>
  </si>
  <si>
    <t>DENİZ ATALAY</t>
  </si>
  <si>
    <t>292099</t>
  </si>
  <si>
    <t>DERYA CANSEVEN</t>
  </si>
  <si>
    <t>230860</t>
  </si>
  <si>
    <t>DİLAN KIRMIŞ</t>
  </si>
  <si>
    <t>275826</t>
  </si>
  <si>
    <t>DİLARA NACAR</t>
  </si>
  <si>
    <t>161133</t>
  </si>
  <si>
    <t>DİLEK ŞANLAN</t>
  </si>
  <si>
    <t>276032</t>
  </si>
  <si>
    <t>DOĞAN AKSU</t>
  </si>
  <si>
    <t>56737</t>
  </si>
  <si>
    <t>DOĞAN BAYRAM</t>
  </si>
  <si>
    <t>310880</t>
  </si>
  <si>
    <t>DOĞAN BİNGÖL</t>
  </si>
  <si>
    <t>189841</t>
  </si>
  <si>
    <t>DOĞUKAN KOÇ</t>
  </si>
  <si>
    <t>310819</t>
  </si>
  <si>
    <t>EBRU EKİNCİ</t>
  </si>
  <si>
    <t>260816</t>
  </si>
  <si>
    <t>EBRU ÖZER</t>
  </si>
  <si>
    <t>260757</t>
  </si>
  <si>
    <t>ECENUR SEÇKİN</t>
  </si>
  <si>
    <t>298995</t>
  </si>
  <si>
    <t>EDA ÖZMEN</t>
  </si>
  <si>
    <t>107157</t>
  </si>
  <si>
    <t>ELİF ÇAPA</t>
  </si>
  <si>
    <t>106490</t>
  </si>
  <si>
    <t>ELİF DEMİRCİ</t>
  </si>
  <si>
    <t>297904</t>
  </si>
  <si>
    <t>ELİF TÜRDÜ</t>
  </si>
  <si>
    <t>86494</t>
  </si>
  <si>
    <t>ELİF UTKU</t>
  </si>
  <si>
    <t>279151</t>
  </si>
  <si>
    <t>ELİF YAVUZ</t>
  </si>
  <si>
    <t>80247</t>
  </si>
  <si>
    <t>EMİNE BABUR</t>
  </si>
  <si>
    <t>263668</t>
  </si>
  <si>
    <t>EMİNE DÖNDER</t>
  </si>
  <si>
    <t>273547</t>
  </si>
  <si>
    <t>EMİNE GÜL ELEMEN</t>
  </si>
  <si>
    <t>221398</t>
  </si>
  <si>
    <t>EMİNE KATAN</t>
  </si>
  <si>
    <t>275594</t>
  </si>
  <si>
    <t>EMİNE KAYA</t>
  </si>
  <si>
    <t>230808</t>
  </si>
  <si>
    <t>EMRAH HANYA</t>
  </si>
  <si>
    <t>211916</t>
  </si>
  <si>
    <t>EMRAH KAHRAMAN</t>
  </si>
  <si>
    <t>277479</t>
  </si>
  <si>
    <t>EMRAH ÖZDEMİR</t>
  </si>
  <si>
    <t>194708</t>
  </si>
  <si>
    <t>EMRE GİDİCİ</t>
  </si>
  <si>
    <t>221709</t>
  </si>
  <si>
    <t>EMRE KIZILKAYA</t>
  </si>
  <si>
    <t>80829</t>
  </si>
  <si>
    <t>EMRE SALMAN</t>
  </si>
  <si>
    <t>246262</t>
  </si>
  <si>
    <t>EMRE TÜRK</t>
  </si>
  <si>
    <t>197085</t>
  </si>
  <si>
    <t>EMRECAN KARABEL</t>
  </si>
  <si>
    <t>160864</t>
  </si>
  <si>
    <t>ENES AÇIKGÖZ</t>
  </si>
  <si>
    <t>267037</t>
  </si>
  <si>
    <t>ENES KUŞ</t>
  </si>
  <si>
    <t>220910</t>
  </si>
  <si>
    <t>ENES ÖZDEMİR</t>
  </si>
  <si>
    <t>118806</t>
  </si>
  <si>
    <t>ENGİN GÖKÇE</t>
  </si>
  <si>
    <t>221719</t>
  </si>
  <si>
    <t>ENGİN TANKAŞ</t>
  </si>
  <si>
    <t>275774</t>
  </si>
  <si>
    <t>ERCAN ÇİFTÇİ</t>
  </si>
  <si>
    <t>181816</t>
  </si>
  <si>
    <t>ERCAN ÖZDEK</t>
  </si>
  <si>
    <t>195696</t>
  </si>
  <si>
    <t>ERCAN SABANCI</t>
  </si>
  <si>
    <t>159279</t>
  </si>
  <si>
    <t>ERCAN SANATCI</t>
  </si>
  <si>
    <t>196104</t>
  </si>
  <si>
    <t>ERCAN YILDIRIM</t>
  </si>
  <si>
    <t>187994</t>
  </si>
  <si>
    <t>ERDAL ORHAN</t>
  </si>
  <si>
    <t>277739</t>
  </si>
  <si>
    <t>ERDAL TAŞPINAR</t>
  </si>
  <si>
    <t>293570</t>
  </si>
  <si>
    <t>EREN ARİF ÇINAR</t>
  </si>
  <si>
    <t>266572</t>
  </si>
  <si>
    <t>EREN SÖNMEZ</t>
  </si>
  <si>
    <t>303499</t>
  </si>
  <si>
    <t>ERGİN KARAGEL</t>
  </si>
  <si>
    <t>274757</t>
  </si>
  <si>
    <t>ERHAN AYGÜN</t>
  </si>
  <si>
    <t>105400</t>
  </si>
  <si>
    <t>ERHAN BAYRAM</t>
  </si>
  <si>
    <t>278785</t>
  </si>
  <si>
    <t>ERKAN TOPRAK</t>
  </si>
  <si>
    <t>194731</t>
  </si>
  <si>
    <t>ESİN ÖZDEMİR</t>
  </si>
  <si>
    <t>274765</t>
  </si>
  <si>
    <t>ESMA BOZOĞLAN</t>
  </si>
  <si>
    <t>310935</t>
  </si>
  <si>
    <t>ESRA ALKAN</t>
  </si>
  <si>
    <t>259994</t>
  </si>
  <si>
    <t>ESRA BAKIMLI</t>
  </si>
  <si>
    <t>292230</t>
  </si>
  <si>
    <t>ESRA GÜNDOĞDU</t>
  </si>
  <si>
    <t>299603</t>
  </si>
  <si>
    <t>ESRA NUR DEMİRKIRAN</t>
  </si>
  <si>
    <t>196095</t>
  </si>
  <si>
    <t>293453</t>
  </si>
  <si>
    <t>EVİN ERDOĞAN</t>
  </si>
  <si>
    <t>310711</t>
  </si>
  <si>
    <t>EVİN TEMEL</t>
  </si>
  <si>
    <t>278709</t>
  </si>
  <si>
    <t>EYLEM GÜMÜŞ</t>
  </si>
  <si>
    <t>145041</t>
  </si>
  <si>
    <t>EYÜP DEMİR</t>
  </si>
  <si>
    <t>231088</t>
  </si>
  <si>
    <t>EYYÜP ÖZDEMİR</t>
  </si>
  <si>
    <t>273687</t>
  </si>
  <si>
    <t>EZGİ KÜÇÜKKAYA</t>
  </si>
  <si>
    <t>172954</t>
  </si>
  <si>
    <t>EZGİ YILMAZ</t>
  </si>
  <si>
    <t>77701</t>
  </si>
  <si>
    <t>FARUK MARAL</t>
  </si>
  <si>
    <t>181312</t>
  </si>
  <si>
    <t>FATİH ERSİN ÜNLÜ</t>
  </si>
  <si>
    <t>194575</t>
  </si>
  <si>
    <t>FATİH TÜRK</t>
  </si>
  <si>
    <t>198043</t>
  </si>
  <si>
    <t>FATİH UTAN</t>
  </si>
  <si>
    <t>173037</t>
  </si>
  <si>
    <t>FATİH YORULMAZ</t>
  </si>
  <si>
    <t>100885</t>
  </si>
  <si>
    <t>FATİME DEMİRTOPCU</t>
  </si>
  <si>
    <t>241933</t>
  </si>
  <si>
    <t>FATMA COŞKUN</t>
  </si>
  <si>
    <t>273376</t>
  </si>
  <si>
    <t>FATMA ÇETİNKAYA</t>
  </si>
  <si>
    <t>181984</t>
  </si>
  <si>
    <t>FATMA GÜL ABAY</t>
  </si>
  <si>
    <t>230571</t>
  </si>
  <si>
    <t>FATMA GÜNGÖR</t>
  </si>
  <si>
    <t>224360</t>
  </si>
  <si>
    <t>277339</t>
  </si>
  <si>
    <t>FATMA TAŞDEMİR</t>
  </si>
  <si>
    <t>297622</t>
  </si>
  <si>
    <t>FATMA VARLI</t>
  </si>
  <si>
    <t>145021</t>
  </si>
  <si>
    <t>FERDİ BİLGİÇ</t>
  </si>
  <si>
    <t>196352</t>
  </si>
  <si>
    <t>FERHAT ÇALKÖY</t>
  </si>
  <si>
    <t>111870</t>
  </si>
  <si>
    <t>FERİT EVREN</t>
  </si>
  <si>
    <t>311001</t>
  </si>
  <si>
    <t>FERYAT TEKİN</t>
  </si>
  <si>
    <t>229175</t>
  </si>
  <si>
    <t>FESİH BAYRAM</t>
  </si>
  <si>
    <t>144302</t>
  </si>
  <si>
    <t>FEYYAZ ÇELİK</t>
  </si>
  <si>
    <t>310942</t>
  </si>
  <si>
    <t>FEYZA KASAP</t>
  </si>
  <si>
    <t>278132</t>
  </si>
  <si>
    <t>FIRAT ALTUN</t>
  </si>
  <si>
    <t>112066</t>
  </si>
  <si>
    <t>FİDAN ÖZAKDAŞ</t>
  </si>
  <si>
    <t>274436</t>
  </si>
  <si>
    <t>FİDAN ŞAHİN</t>
  </si>
  <si>
    <t>293594</t>
  </si>
  <si>
    <t>3701</t>
  </si>
  <si>
    <t>GAMZE TEKELİ</t>
  </si>
  <si>
    <t>296952</t>
  </si>
  <si>
    <t>GAMZE YILDIZ</t>
  </si>
  <si>
    <t>197709</t>
  </si>
  <si>
    <t>GÖKHAN GÜR</t>
  </si>
  <si>
    <t>180359</t>
  </si>
  <si>
    <t>GÖKHAN KEÇECİ</t>
  </si>
  <si>
    <t>195501</t>
  </si>
  <si>
    <t>GÖKHAN KOCAMAN</t>
  </si>
  <si>
    <t>89352</t>
  </si>
  <si>
    <t>GÖKHAN TEPER</t>
  </si>
  <si>
    <t>105543</t>
  </si>
  <si>
    <t>GÜL ALTINTAŞ</t>
  </si>
  <si>
    <t>260142</t>
  </si>
  <si>
    <t>GÜLBEN TÜTÜNCÜ</t>
  </si>
  <si>
    <t>243352</t>
  </si>
  <si>
    <t>GÜLCAN ARSLAN</t>
  </si>
  <si>
    <t>265452</t>
  </si>
  <si>
    <t>GÜLCAN ERDEM</t>
  </si>
  <si>
    <t>25741</t>
  </si>
  <si>
    <t>GÜLCAN TORAMAN</t>
  </si>
  <si>
    <t>272447</t>
  </si>
  <si>
    <t>GÜLER AVŞAR</t>
  </si>
  <si>
    <t>279530</t>
  </si>
  <si>
    <t>GÜLLÜ DALPOLAT</t>
  </si>
  <si>
    <t>274592</t>
  </si>
  <si>
    <t>GÜLNAZ BURSA</t>
  </si>
  <si>
    <t>277589</t>
  </si>
  <si>
    <t>GÜLSÜM KIZILTAŞ</t>
  </si>
  <si>
    <t>273256</t>
  </si>
  <si>
    <t>GÜLTEN ESKİCİ</t>
  </si>
  <si>
    <t>87359</t>
  </si>
  <si>
    <t>GÜLÜSTAN KAYAHAN</t>
  </si>
  <si>
    <t>195307</t>
  </si>
  <si>
    <t>GÜRKAN ELMAS</t>
  </si>
  <si>
    <t>278136</t>
  </si>
  <si>
    <t>GÜVEN ARSLAN</t>
  </si>
  <si>
    <t>291107</t>
  </si>
  <si>
    <t>HABİBE DEMİRAL</t>
  </si>
  <si>
    <t>221653</t>
  </si>
  <si>
    <t>HACER ERALP</t>
  </si>
  <si>
    <t>196243</t>
  </si>
  <si>
    <t>HAKAN KURT</t>
  </si>
  <si>
    <t>145757</t>
  </si>
  <si>
    <t>HAKAN MECAN</t>
  </si>
  <si>
    <t>201220</t>
  </si>
  <si>
    <t>HAKAN TEVFİK KÜÇÜKÇOLAK</t>
  </si>
  <si>
    <t>297912</t>
  </si>
  <si>
    <t>HALİME OĞUS</t>
  </si>
  <si>
    <t>230776</t>
  </si>
  <si>
    <t>HAMDUSENA ERÇİN</t>
  </si>
  <si>
    <t>102302</t>
  </si>
  <si>
    <t>HAMİT DEMİR</t>
  </si>
  <si>
    <t>163207</t>
  </si>
  <si>
    <t>HARUN HATİPOĞLU</t>
  </si>
  <si>
    <t>231757</t>
  </si>
  <si>
    <t>22023</t>
  </si>
  <si>
    <t>HATİCE ASLAN</t>
  </si>
  <si>
    <t>65791</t>
  </si>
  <si>
    <t>HATİCE KARAER</t>
  </si>
  <si>
    <t>274576</t>
  </si>
  <si>
    <t>HATİCE KÜÇÜKÇAYIR</t>
  </si>
  <si>
    <t>310717</t>
  </si>
  <si>
    <t>HAVA ÖZTÜRK</t>
  </si>
  <si>
    <t>264953</t>
  </si>
  <si>
    <t>HAVİN KANON</t>
  </si>
  <si>
    <t>194470</t>
  </si>
  <si>
    <t>HAYDAR SERDAROĞLU</t>
  </si>
  <si>
    <t>65248</t>
  </si>
  <si>
    <t>HEDİYE YANIK</t>
  </si>
  <si>
    <t>246264</t>
  </si>
  <si>
    <t>HEKİM YALAV</t>
  </si>
  <si>
    <t>220961</t>
  </si>
  <si>
    <t>HELİN ÇELİK</t>
  </si>
  <si>
    <t>194898</t>
  </si>
  <si>
    <t>HİLAL ASAK</t>
  </si>
  <si>
    <t>300127</t>
  </si>
  <si>
    <t>HÜLYA SÖNMEZ</t>
  </si>
  <si>
    <t>196171</t>
  </si>
  <si>
    <t>HÜSEYİN BAYRAM</t>
  </si>
  <si>
    <t>213035</t>
  </si>
  <si>
    <t>HÜSEYİN KAYA</t>
  </si>
  <si>
    <t>303505</t>
  </si>
  <si>
    <t>İBRAHİM KARA</t>
  </si>
  <si>
    <t>138751</t>
  </si>
  <si>
    <t>İBRAHİM KIRĞIN</t>
  </si>
  <si>
    <t>284509</t>
  </si>
  <si>
    <t>İBRAHİM KORKMAZ</t>
  </si>
  <si>
    <t>231318</t>
  </si>
  <si>
    <t>İBRAHİM SARIBULAK</t>
  </si>
  <si>
    <t>221285</t>
  </si>
  <si>
    <t>İLAYDA AKÇAY</t>
  </si>
  <si>
    <t>214533</t>
  </si>
  <si>
    <t>İLKER ÖZYİLDİRİM</t>
  </si>
  <si>
    <t>293172</t>
  </si>
  <si>
    <t>183051</t>
  </si>
  <si>
    <t>İREM GÜLTEPE</t>
  </si>
  <si>
    <t>272851</t>
  </si>
  <si>
    <t>İREMNUR ERYILMAZ</t>
  </si>
  <si>
    <t>31351</t>
  </si>
  <si>
    <t>İSMAİL ÖZAKDAŞ</t>
  </si>
  <si>
    <t>299100</t>
  </si>
  <si>
    <t>İSMAİL YILDIZ</t>
  </si>
  <si>
    <t>239680</t>
  </si>
  <si>
    <t>İSTEK ERKOÇAK</t>
  </si>
  <si>
    <t>158650</t>
  </si>
  <si>
    <t>KAAN ARISÜT</t>
  </si>
  <si>
    <t>299083</t>
  </si>
  <si>
    <t>KADER KANDEMİR</t>
  </si>
  <si>
    <t>221506</t>
  </si>
  <si>
    <t>KADER KAYACAN</t>
  </si>
  <si>
    <t>293853</t>
  </si>
  <si>
    <t>KADER KOÇAK</t>
  </si>
  <si>
    <t>291087</t>
  </si>
  <si>
    <t>KADER ŞEFLEK</t>
  </si>
  <si>
    <t>274247</t>
  </si>
  <si>
    <t>KADER TATLİ</t>
  </si>
  <si>
    <t>81899</t>
  </si>
  <si>
    <t>KADİR DİLEK</t>
  </si>
  <si>
    <t>195034</t>
  </si>
  <si>
    <t>KADRİ ALTİN</t>
  </si>
  <si>
    <t>195435</t>
  </si>
  <si>
    <t>KADRİ SARIÇİÇEK</t>
  </si>
  <si>
    <t>260830</t>
  </si>
  <si>
    <t>KARDELEN ÖZEREN</t>
  </si>
  <si>
    <t>260127</t>
  </si>
  <si>
    <t>KARDELEN ŞANLI</t>
  </si>
  <si>
    <t>196111</t>
  </si>
  <si>
    <t>KARDİLE KARADAĞ</t>
  </si>
  <si>
    <t>303501</t>
  </si>
  <si>
    <t>KENAN AYAR</t>
  </si>
  <si>
    <t>229517</t>
  </si>
  <si>
    <t>KÜBRA EZEL KILIÇ</t>
  </si>
  <si>
    <t>231112</t>
  </si>
  <si>
    <t>KÜBRA YILMAZ</t>
  </si>
  <si>
    <t>274699</t>
  </si>
  <si>
    <t>LEYLA ÇAKICI</t>
  </si>
  <si>
    <t>229220</t>
  </si>
  <si>
    <t>LİYADİN AVŞAR</t>
  </si>
  <si>
    <t>181509</t>
  </si>
  <si>
    <t>LOKMAN MACÜ</t>
  </si>
  <si>
    <t>230883</t>
  </si>
  <si>
    <t>MECNUN İBİLİ</t>
  </si>
  <si>
    <t>299082</t>
  </si>
  <si>
    <t>MEDİNE DEMİR</t>
  </si>
  <si>
    <t>242877</t>
  </si>
  <si>
    <t>MEHMET ALİ YAKAN</t>
  </si>
  <si>
    <t>86406</t>
  </si>
  <si>
    <t>MEHMET AŞKIN</t>
  </si>
  <si>
    <t>234888</t>
  </si>
  <si>
    <t>MEHMET BEKTAŞ</t>
  </si>
  <si>
    <t>103566</t>
  </si>
  <si>
    <t>MEHMET DİYAP DAŞ</t>
  </si>
  <si>
    <t>118549</t>
  </si>
  <si>
    <t>MEHMET DOĞAN</t>
  </si>
  <si>
    <t>107006</t>
  </si>
  <si>
    <t>MEHMET GEDİK</t>
  </si>
  <si>
    <t>175574</t>
  </si>
  <si>
    <t>MEHMET GÜLTEKİN</t>
  </si>
  <si>
    <t>242494</t>
  </si>
  <si>
    <t>MEHMET KAMIŞ</t>
  </si>
  <si>
    <t>109840</t>
  </si>
  <si>
    <t>MEHMET KAYA</t>
  </si>
  <si>
    <t>194503</t>
  </si>
  <si>
    <t>MEHMET ÖZDEMİR</t>
  </si>
  <si>
    <t>134090</t>
  </si>
  <si>
    <t>MEHMET ŞAHİN</t>
  </si>
  <si>
    <t>229229</t>
  </si>
  <si>
    <t>MEHMET TAMAÇİN</t>
  </si>
  <si>
    <t>180839</t>
  </si>
  <si>
    <t>MEHMET TAYANİR</t>
  </si>
  <si>
    <t>263664</t>
  </si>
  <si>
    <t>MELEK ERTUĞRUL</t>
  </si>
  <si>
    <t>221595</t>
  </si>
  <si>
    <t>MELEK TEMURTAŞ</t>
  </si>
  <si>
    <t>311040</t>
  </si>
  <si>
    <t>MERT ALİ ERKAN</t>
  </si>
  <si>
    <t>221724</t>
  </si>
  <si>
    <t>MERT ÖZALAN</t>
  </si>
  <si>
    <t>229312</t>
  </si>
  <si>
    <t>MERTCAN ÇORBACI</t>
  </si>
  <si>
    <t>311095</t>
  </si>
  <si>
    <t>194969</t>
  </si>
  <si>
    <t>MESUT ÇELİK</t>
  </si>
  <si>
    <t>195460</t>
  </si>
  <si>
    <t>MESUT KORKUT</t>
  </si>
  <si>
    <t>45741</t>
  </si>
  <si>
    <t>METİN ÖZHAN</t>
  </si>
  <si>
    <t>81491</t>
  </si>
  <si>
    <t>MİHRİCAN ALTINTAŞ</t>
  </si>
  <si>
    <t>275850</t>
  </si>
  <si>
    <t>MİKDAT AKYASAN</t>
  </si>
  <si>
    <t>299672</t>
  </si>
  <si>
    <t>MİNE İNCE</t>
  </si>
  <si>
    <t>299166</t>
  </si>
  <si>
    <t>MİZGİN AYDIN</t>
  </si>
  <si>
    <t>197499</t>
  </si>
  <si>
    <t>MUHAMMED TAŞ</t>
  </si>
  <si>
    <t>175494</t>
  </si>
  <si>
    <t>MUHAMMET KARAARSLAN</t>
  </si>
  <si>
    <t>242695</t>
  </si>
  <si>
    <t>MURAT AKTAŞ</t>
  </si>
  <si>
    <t>220964</t>
  </si>
  <si>
    <t>MURAT ERİŞ</t>
  </si>
  <si>
    <t>275778</t>
  </si>
  <si>
    <t>MURAT EŞME</t>
  </si>
  <si>
    <t>303339</t>
  </si>
  <si>
    <t>MURAT KÖK</t>
  </si>
  <si>
    <t>229313</t>
  </si>
  <si>
    <t>MURAT SANAMER</t>
  </si>
  <si>
    <t>303473</t>
  </si>
  <si>
    <t>MURAT ŞANLI</t>
  </si>
  <si>
    <t>82204</t>
  </si>
  <si>
    <t>MURAT UZUN</t>
  </si>
  <si>
    <t>276092</t>
  </si>
  <si>
    <t>MUSA GÜMÜŞ</t>
  </si>
  <si>
    <t>147448</t>
  </si>
  <si>
    <t>MUSTAFA ALGÜN</t>
  </si>
  <si>
    <t>231731</t>
  </si>
  <si>
    <t>MUSTAFA DEMİR</t>
  </si>
  <si>
    <t>105413</t>
  </si>
  <si>
    <t>MUSTAFA KORKUT</t>
  </si>
  <si>
    <t>102892</t>
  </si>
  <si>
    <t>MUSTAFA MUTLU</t>
  </si>
  <si>
    <t>197711</t>
  </si>
  <si>
    <t>MUSTAFA TALHA SARAÇ</t>
  </si>
  <si>
    <t>107740</t>
  </si>
  <si>
    <t>MUSTAFA TOKOL</t>
  </si>
  <si>
    <t>100597</t>
  </si>
  <si>
    <t>MÜGE ÇABIK</t>
  </si>
  <si>
    <t>122473</t>
  </si>
  <si>
    <t>MÜJDE TEMEL</t>
  </si>
  <si>
    <t>121122</t>
  </si>
  <si>
    <t>MÜSLÜM YALVAN</t>
  </si>
  <si>
    <t>273000</t>
  </si>
  <si>
    <t>NAZAR TÜRKEN</t>
  </si>
  <si>
    <t>273669</t>
  </si>
  <si>
    <t>NAZİFE KOTAN</t>
  </si>
  <si>
    <t>291012</t>
  </si>
  <si>
    <t>NERGİZ KATAN</t>
  </si>
  <si>
    <t>240699</t>
  </si>
  <si>
    <t>NERİMAN TAŞKIN</t>
  </si>
  <si>
    <t>276415</t>
  </si>
  <si>
    <t>NESLİHAN KOLTAŞ</t>
  </si>
  <si>
    <t>194883</t>
  </si>
  <si>
    <t>NEVZAT İSTER</t>
  </si>
  <si>
    <t>195401</t>
  </si>
  <si>
    <t>NEVZAT YILDIRIMÇAKAR</t>
  </si>
  <si>
    <t>273667</t>
  </si>
  <si>
    <t>NEZAHAT KIZANLIK</t>
  </si>
  <si>
    <t>196254</t>
  </si>
  <si>
    <t>NEZİR MİTAN</t>
  </si>
  <si>
    <t>291005</t>
  </si>
  <si>
    <t>NEZİYET AVCI</t>
  </si>
  <si>
    <t>137378</t>
  </si>
  <si>
    <t>NİLAY TAPU</t>
  </si>
  <si>
    <t>298787</t>
  </si>
  <si>
    <t>NİLGÜN ERTAN</t>
  </si>
  <si>
    <t>43485</t>
  </si>
  <si>
    <t>NİMET İŞBİTER</t>
  </si>
  <si>
    <t>65895</t>
  </si>
  <si>
    <t>NURAY YILMAZ</t>
  </si>
  <si>
    <t>25745</t>
  </si>
  <si>
    <t>NURCAN CEYLAN</t>
  </si>
  <si>
    <t>172936</t>
  </si>
  <si>
    <t>NURCAN PİYAL</t>
  </si>
  <si>
    <t>272980</t>
  </si>
  <si>
    <t>NURCAN YÜCE</t>
  </si>
  <si>
    <t>292097</t>
  </si>
  <si>
    <t>NURDANE ÖZÇELİK</t>
  </si>
  <si>
    <t>272998</t>
  </si>
  <si>
    <t>NURGÜL KILIÇ</t>
  </si>
  <si>
    <t>112140</t>
  </si>
  <si>
    <t>NURTEN CANKURT</t>
  </si>
  <si>
    <t>143030</t>
  </si>
  <si>
    <t>NURULLAH DÖĞER</t>
  </si>
  <si>
    <t>278687</t>
  </si>
  <si>
    <t>NURULLAH SEVÜK</t>
  </si>
  <si>
    <t>229172</t>
  </si>
  <si>
    <t>OKTAY BALĞASUN</t>
  </si>
  <si>
    <t>105786</t>
  </si>
  <si>
    <t>OLGUN ATABEY</t>
  </si>
  <si>
    <t>197198</t>
  </si>
  <si>
    <t>OLGUN ERGÜL</t>
  </si>
  <si>
    <t>8829</t>
  </si>
  <si>
    <t>ONUR KARASU</t>
  </si>
  <si>
    <t>138591</t>
  </si>
  <si>
    <t>ONUR KUÇLU</t>
  </si>
  <si>
    <t>275864</t>
  </si>
  <si>
    <t>OSMAN AKKÖSE</t>
  </si>
  <si>
    <t>300562</t>
  </si>
  <si>
    <t>OSMAN YILMAZ</t>
  </si>
  <si>
    <t>80330</t>
  </si>
  <si>
    <t>OYA KAYA</t>
  </si>
  <si>
    <t>245709</t>
  </si>
  <si>
    <t>ÖMER BAYRAM</t>
  </si>
  <si>
    <t>242686</t>
  </si>
  <si>
    <t>ÖMER ÇELİK</t>
  </si>
  <si>
    <t>195110</t>
  </si>
  <si>
    <t>ÖZGÜR DEMİRKOL</t>
  </si>
  <si>
    <t>143241</t>
  </si>
  <si>
    <t>ÖZKAN EKİCİ</t>
  </si>
  <si>
    <t>279021</t>
  </si>
  <si>
    <t>ÖZLEM HASRET PAR</t>
  </si>
  <si>
    <t>293170</t>
  </si>
  <si>
    <t>ÖZLEM KURT</t>
  </si>
  <si>
    <t>183747</t>
  </si>
  <si>
    <t>ÖZNUR ELMASTAŞ</t>
  </si>
  <si>
    <t>221714</t>
  </si>
  <si>
    <t>ÖZTÜRK TOĞMUŞ</t>
  </si>
  <si>
    <t>310912</t>
  </si>
  <si>
    <t>PINAR TUNUZ</t>
  </si>
  <si>
    <t>272696</t>
  </si>
  <si>
    <t>RABİA ÇELİK</t>
  </si>
  <si>
    <t>199101</t>
  </si>
  <si>
    <t>RABİA NUR DAYAN</t>
  </si>
  <si>
    <t>106999</t>
  </si>
  <si>
    <t>RAMAZAN ALP</t>
  </si>
  <si>
    <t>194467</t>
  </si>
  <si>
    <t>RAMAZAN AYDEMİR</t>
  </si>
  <si>
    <t>221413</t>
  </si>
  <si>
    <t>RAMAZAN GÜÇLÜ</t>
  </si>
  <si>
    <t>278920</t>
  </si>
  <si>
    <t>RECEP AYAZ</t>
  </si>
  <si>
    <t>187975</t>
  </si>
  <si>
    <t>RECEP KARABACAK</t>
  </si>
  <si>
    <t>158826</t>
  </si>
  <si>
    <t>REFİK TAŞÇİ</t>
  </si>
  <si>
    <t>100826</t>
  </si>
  <si>
    <t>REFİK YILMAZ</t>
  </si>
  <si>
    <t>274212</t>
  </si>
  <si>
    <t>REYHAN KADEŞ</t>
  </si>
  <si>
    <t>245760</t>
  </si>
  <si>
    <t>RIDVAN AKINCI</t>
  </si>
  <si>
    <t>180358</t>
  </si>
  <si>
    <t>RIDVAN DİNÇ</t>
  </si>
  <si>
    <t>194720</t>
  </si>
  <si>
    <t>RIDVAN İNİK</t>
  </si>
  <si>
    <t>231117</t>
  </si>
  <si>
    <t>RIDVAN TOKUŞ</t>
  </si>
  <si>
    <t>273305</t>
  </si>
  <si>
    <t>RIHAN KESER</t>
  </si>
  <si>
    <t>138357</t>
  </si>
  <si>
    <t>RIZA ŞANVER</t>
  </si>
  <si>
    <t>221414</t>
  </si>
  <si>
    <t>RUGİYE AKDAĞ</t>
  </si>
  <si>
    <t>231187</t>
  </si>
  <si>
    <t>RÜMEYSA TUNÇ</t>
  </si>
  <si>
    <t>100615</t>
  </si>
  <si>
    <t>SABAHAT ÇELİK</t>
  </si>
  <si>
    <t>168530</t>
  </si>
  <si>
    <t>SADIK DEMİRTAŞ</t>
  </si>
  <si>
    <t>182008</t>
  </si>
  <si>
    <t>SALİH ORHAN</t>
  </si>
  <si>
    <t>230872</t>
  </si>
  <si>
    <t>SAMET ÇEKİCİ</t>
  </si>
  <si>
    <t>290737</t>
  </si>
  <si>
    <t>SAMET KARAKAYA</t>
  </si>
  <si>
    <t>310849</t>
  </si>
  <si>
    <t>SAMİ KARADOĞAN</t>
  </si>
  <si>
    <t>250171</t>
  </si>
  <si>
    <t>SANİYE BAHADIR</t>
  </si>
  <si>
    <t>65251</t>
  </si>
  <si>
    <t>SANİYE ÇALIK</t>
  </si>
  <si>
    <t>104264</t>
  </si>
  <si>
    <t>SAYNUR PALA</t>
  </si>
  <si>
    <t>278690</t>
  </si>
  <si>
    <t>SEDAT ÖZCAN</t>
  </si>
  <si>
    <t>298993</t>
  </si>
  <si>
    <t>SEHER KANDEMİR</t>
  </si>
  <si>
    <t>233010</t>
  </si>
  <si>
    <t>SEHER YILMAZ</t>
  </si>
  <si>
    <t>234395</t>
  </si>
  <si>
    <t>SELAMİ ÖZDEMİR</t>
  </si>
  <si>
    <t>220965</t>
  </si>
  <si>
    <t>SELCAN SAĞLAM</t>
  </si>
  <si>
    <t>86780</t>
  </si>
  <si>
    <t>SELDA GÜRENİN</t>
  </si>
  <si>
    <t>272791</t>
  </si>
  <si>
    <t>SELİN ASLAN</t>
  </si>
  <si>
    <t>310818</t>
  </si>
  <si>
    <t>SELİN KANOĞLU</t>
  </si>
  <si>
    <t>106249</t>
  </si>
  <si>
    <t>SELMA YILMAZ</t>
  </si>
  <si>
    <t>275769</t>
  </si>
  <si>
    <t>90121</t>
  </si>
  <si>
    <t>SEMA TERZİ</t>
  </si>
  <si>
    <t>194579</t>
  </si>
  <si>
    <t>SEMRA ŞAHİN</t>
  </si>
  <si>
    <t>273666</t>
  </si>
  <si>
    <t>SEMRAY SOYLU</t>
  </si>
  <si>
    <t>300566</t>
  </si>
  <si>
    <t>SENAN BARTU</t>
  </si>
  <si>
    <t>144924</t>
  </si>
  <si>
    <t>SERAP KARA</t>
  </si>
  <si>
    <t>111769</t>
  </si>
  <si>
    <t>SERCAN ERDOĞAN</t>
  </si>
  <si>
    <t>248372</t>
  </si>
  <si>
    <t>SERCAN TURGAY</t>
  </si>
  <si>
    <t>198037</t>
  </si>
  <si>
    <t>SERDAR AYDEMİR</t>
  </si>
  <si>
    <t>195312</t>
  </si>
  <si>
    <t>SERHAN ÖZDEMİR</t>
  </si>
  <si>
    <t>86460</t>
  </si>
  <si>
    <t>SERKAN AYATA</t>
  </si>
  <si>
    <t>221848</t>
  </si>
  <si>
    <t>SERKAN TİMAR</t>
  </si>
  <si>
    <t>105100</t>
  </si>
  <si>
    <t>SERPİL ŞENGÜL</t>
  </si>
  <si>
    <t>300112</t>
  </si>
  <si>
    <t>SEVGİ ERKUT</t>
  </si>
  <si>
    <t>82162</t>
  </si>
  <si>
    <t>SEVGİ ÖZDOĞAN</t>
  </si>
  <si>
    <t>231079</t>
  </si>
  <si>
    <t>SEVİNÇ YILDIZ</t>
  </si>
  <si>
    <t>194990</t>
  </si>
  <si>
    <t>SEYDANUR ÇORBACI</t>
  </si>
  <si>
    <t>138930</t>
  </si>
  <si>
    <t>SEZER ÇELİK</t>
  </si>
  <si>
    <t>195300</t>
  </si>
  <si>
    <t>SEZER SARSILMAZ</t>
  </si>
  <si>
    <t>275004</t>
  </si>
  <si>
    <t>SEZGİN SAĞIR</t>
  </si>
  <si>
    <t>274218</t>
  </si>
  <si>
    <t>SİBEL AVŞAR</t>
  </si>
  <si>
    <t>222339</t>
  </si>
  <si>
    <t>SİBEL IŞIK</t>
  </si>
  <si>
    <t>310915</t>
  </si>
  <si>
    <t>SİBEL ŞENSES</t>
  </si>
  <si>
    <t>195002</t>
  </si>
  <si>
    <t>SİNAN GÜNEY</t>
  </si>
  <si>
    <t>189075</t>
  </si>
  <si>
    <t>SİNEM KOCAKAYA</t>
  </si>
  <si>
    <t>118493</t>
  </si>
  <si>
    <t>SONAY AKCA</t>
  </si>
  <si>
    <t>107060</t>
  </si>
  <si>
    <t>SONER KOÇ</t>
  </si>
  <si>
    <t>81939</t>
  </si>
  <si>
    <t>SONGÜL BEKTAŞ</t>
  </si>
  <si>
    <t>100677</t>
  </si>
  <si>
    <t>SONGÜL MARANGOZ</t>
  </si>
  <si>
    <t>292759</t>
  </si>
  <si>
    <t>SULTAN ÖRS</t>
  </si>
  <si>
    <t>310943</t>
  </si>
  <si>
    <t>SÜMENYE AÇIKGÖZ</t>
  </si>
  <si>
    <t>239902</t>
  </si>
  <si>
    <t>ŞABAN YURDAN</t>
  </si>
  <si>
    <t>185126</t>
  </si>
  <si>
    <t>ŞAHİN FİDAN</t>
  </si>
  <si>
    <t>293715</t>
  </si>
  <si>
    <t>ŞENAY KAYMAKCI</t>
  </si>
  <si>
    <t>274080</t>
  </si>
  <si>
    <t>ŞEREF BİLEN</t>
  </si>
  <si>
    <t>221031</t>
  </si>
  <si>
    <t>ŞERİF DEMİR</t>
  </si>
  <si>
    <t>276312</t>
  </si>
  <si>
    <t>ŞEVİN GÜLÜN</t>
  </si>
  <si>
    <t>149738</t>
  </si>
  <si>
    <t>ŞEVKET CAN</t>
  </si>
  <si>
    <t>276423</t>
  </si>
  <si>
    <t>ŞEVVAL KALKAN</t>
  </si>
  <si>
    <t>303637</t>
  </si>
  <si>
    <t>ŞEYHMUS AYKUT</t>
  </si>
  <si>
    <t>182403</t>
  </si>
  <si>
    <t>ŞEYMA AYAN</t>
  </si>
  <si>
    <t>274095</t>
  </si>
  <si>
    <t>ŞEYMA KILIÇ</t>
  </si>
  <si>
    <t>260823</t>
  </si>
  <si>
    <t>ŞÜKRAN ÖZDEMİR</t>
  </si>
  <si>
    <t>194827</t>
  </si>
  <si>
    <t>TAYFUN ÖZDEMİR</t>
  </si>
  <si>
    <t>183055</t>
  </si>
  <si>
    <t>TOLGA ÖZCAN</t>
  </si>
  <si>
    <t>260042</t>
  </si>
  <si>
    <t>TUBA SALIKÇI</t>
  </si>
  <si>
    <t>105319</t>
  </si>
  <si>
    <t>TUGAY AYDINLIK</t>
  </si>
  <si>
    <t>86249</t>
  </si>
  <si>
    <t>TUGAY KILIÇ</t>
  </si>
  <si>
    <t>276043</t>
  </si>
  <si>
    <t>TUĞBA ALİME GÖVERCİN</t>
  </si>
  <si>
    <t>275985</t>
  </si>
  <si>
    <t>TUĞBA ÖZTÜRK</t>
  </si>
  <si>
    <t>293511</t>
  </si>
  <si>
    <t>173204</t>
  </si>
  <si>
    <t>TURGUT AYAR</t>
  </si>
  <si>
    <t>230910</t>
  </si>
  <si>
    <t>TÜLAY GÜÇ</t>
  </si>
  <si>
    <t>51743</t>
  </si>
  <si>
    <t>TÜLİN TOLUBAŞ</t>
  </si>
  <si>
    <t>173038</t>
  </si>
  <si>
    <t>UFUK KOÇ</t>
  </si>
  <si>
    <t>159181</t>
  </si>
  <si>
    <t>UMUT GÜNEŞ</t>
  </si>
  <si>
    <t>195363</t>
  </si>
  <si>
    <t>180342</t>
  </si>
  <si>
    <t>UMUT GÜŞELİ</t>
  </si>
  <si>
    <t>108333</t>
  </si>
  <si>
    <t>ÜMMÜHAN TÜRKAN</t>
  </si>
  <si>
    <t>221548</t>
  </si>
  <si>
    <t>VEDAT TAYDEN</t>
  </si>
  <si>
    <t>194739</t>
  </si>
  <si>
    <t>VOLKAN ÖZDEMİR</t>
  </si>
  <si>
    <t>111494</t>
  </si>
  <si>
    <t>YADİKAR YILDIZ</t>
  </si>
  <si>
    <t>56349</t>
  </si>
  <si>
    <t>YAĞMUR EFE</t>
  </si>
  <si>
    <t>279132</t>
  </si>
  <si>
    <t>YASEMİN AYDIN</t>
  </si>
  <si>
    <t>81511</t>
  </si>
  <si>
    <t>YASEMİN ÇAM</t>
  </si>
  <si>
    <t>100573</t>
  </si>
  <si>
    <t>YASEMİN ÇETİN</t>
  </si>
  <si>
    <t>95148</t>
  </si>
  <si>
    <t>78540</t>
  </si>
  <si>
    <t>YASEMİN ERGEBE</t>
  </si>
  <si>
    <t>172626</t>
  </si>
  <si>
    <t>YASİN ÇOLAK</t>
  </si>
  <si>
    <t>194777</t>
  </si>
  <si>
    <t>YASİN KARAKAYA</t>
  </si>
  <si>
    <t>229409</t>
  </si>
  <si>
    <t>YAŞAR GÖKDAĞ</t>
  </si>
  <si>
    <t>291001</t>
  </si>
  <si>
    <t>YELİZ ŞAHİN</t>
  </si>
  <si>
    <t>195310</t>
  </si>
  <si>
    <t>YELİZ TÜRKMEN</t>
  </si>
  <si>
    <t>80224</t>
  </si>
  <si>
    <t>YETER ŞENGÜL</t>
  </si>
  <si>
    <t>117633</t>
  </si>
  <si>
    <t>YILDIZ GÜNGÖR</t>
  </si>
  <si>
    <t>105627</t>
  </si>
  <si>
    <t>YUNUS BABUR</t>
  </si>
  <si>
    <t>310998</t>
  </si>
  <si>
    <t>YUNUS EMRE HIDIR</t>
  </si>
  <si>
    <t>104603</t>
  </si>
  <si>
    <t>YUNUS EMRE KESKİN</t>
  </si>
  <si>
    <t>178804</t>
  </si>
  <si>
    <t>YUNUS TANER</t>
  </si>
  <si>
    <t>229215</t>
  </si>
  <si>
    <t>YUSUF SEZEN</t>
  </si>
  <si>
    <t>111571</t>
  </si>
  <si>
    <t>YÜCEL DELGE</t>
  </si>
  <si>
    <t>81717</t>
  </si>
  <si>
    <t>YÜCEL POLAT</t>
  </si>
  <si>
    <t>277843</t>
  </si>
  <si>
    <t>ZEYNEP ALTUN</t>
  </si>
  <si>
    <t>194729</t>
  </si>
  <si>
    <t>ZEYNEP BALĞASUN</t>
  </si>
  <si>
    <t>150391</t>
  </si>
  <si>
    <t>ZİLAN TÜFENCİ</t>
  </si>
  <si>
    <t>138098</t>
  </si>
  <si>
    <t>ZOZAN GÜNGÖR</t>
  </si>
  <si>
    <t>276758</t>
  </si>
  <si>
    <t>ZÖHRE BEKTAŞ</t>
  </si>
  <si>
    <t>299154</t>
  </si>
  <si>
    <t>MERVE GÖKÇE</t>
  </si>
  <si>
    <t>138166</t>
  </si>
  <si>
    <t>HAMİT SERCAN</t>
  </si>
  <si>
    <t>196262</t>
  </si>
  <si>
    <t>MÜJDAT ÖCAL</t>
  </si>
  <si>
    <t>221727</t>
  </si>
  <si>
    <t>YUNUS ERAY POLAT</t>
  </si>
  <si>
    <t>299290</t>
  </si>
  <si>
    <t>BEYZA KARABIYIKOĞLU</t>
  </si>
  <si>
    <t>194804</t>
  </si>
  <si>
    <t>EYYÜP YILDIZ</t>
  </si>
  <si>
    <t>AZİZ ÇAYIROĞLU</t>
  </si>
  <si>
    <t>GÜLCAN ATİK</t>
  </si>
  <si>
    <t>GÜLER ABALI</t>
  </si>
  <si>
    <t>UMUTCAN YANAR</t>
  </si>
  <si>
    <t>HİLAL KADAN</t>
  </si>
  <si>
    <t>İLKNUR ERTAN</t>
  </si>
  <si>
    <t>KÜBRA ATAYURT</t>
  </si>
  <si>
    <t>SAHRA KINÇAK</t>
  </si>
  <si>
    <t>ZEHRA ÇAPTUĞ</t>
  </si>
  <si>
    <t>ECE ESEN</t>
  </si>
  <si>
    <t>ALİ KÖYLÜ</t>
  </si>
  <si>
    <t>ALPER ÇOBAN</t>
  </si>
  <si>
    <t>AYTAÇ YANAĞLIBAŞ</t>
  </si>
  <si>
    <t>CEYHUN ŞARAPCIOĞLU</t>
  </si>
  <si>
    <t>ERDEM MERT</t>
  </si>
  <si>
    <t>GÜVEN ÖZCAN</t>
  </si>
  <si>
    <t>HASAN AHMET AŞIKKUTLU</t>
  </si>
  <si>
    <t>İBRAHİM MERTOĞLU</t>
  </si>
  <si>
    <t>İSMAİL ALINCAK</t>
  </si>
  <si>
    <t>İSMAİL KOÇ</t>
  </si>
  <si>
    <t>MEHMET KARALI</t>
  </si>
  <si>
    <t>MURAT ÇATAL</t>
  </si>
  <si>
    <t>MURAT KOCABAY</t>
  </si>
  <si>
    <t>ÖMER İLTER</t>
  </si>
  <si>
    <t>ÖZLEM ŞANLI</t>
  </si>
  <si>
    <t>YASEMİN ATALAY</t>
  </si>
  <si>
    <t>ÖZGE DEMİRHAN</t>
  </si>
  <si>
    <t>260269</t>
  </si>
  <si>
    <t>267969</t>
  </si>
  <si>
    <t>240248</t>
  </si>
  <si>
    <t>310657</t>
  </si>
  <si>
    <t>243331</t>
  </si>
  <si>
    <t>299079</t>
  </si>
  <si>
    <t>274237</t>
  </si>
  <si>
    <t>296775</t>
  </si>
  <si>
    <t>293363</t>
  </si>
  <si>
    <t>273874</t>
  </si>
  <si>
    <t>138778</t>
  </si>
  <si>
    <t>80701</t>
  </si>
  <si>
    <t>54896</t>
  </si>
  <si>
    <t>230924</t>
  </si>
  <si>
    <t>27746</t>
  </si>
  <si>
    <t>183717</t>
  </si>
  <si>
    <t>54884</t>
  </si>
  <si>
    <t>255419</t>
  </si>
  <si>
    <t>165823</t>
  </si>
  <si>
    <t>185123</t>
  </si>
  <si>
    <t>115983</t>
  </si>
  <si>
    <t>31531</t>
  </si>
  <si>
    <t>80601</t>
  </si>
  <si>
    <t>145024</t>
  </si>
  <si>
    <t>172950</t>
  </si>
  <si>
    <t>183053</t>
  </si>
  <si>
    <t>81571</t>
  </si>
  <si>
    <t>312060</t>
  </si>
  <si>
    <t>YUSUF ABAY</t>
  </si>
  <si>
    <t>METİN GÖKTAŞ</t>
  </si>
  <si>
    <t>GÜRSEL ÖZÜBEK</t>
  </si>
  <si>
    <t>194995</t>
  </si>
  <si>
    <t>185118</t>
  </si>
  <si>
    <t>198135</t>
  </si>
  <si>
    <t>Ay</t>
  </si>
  <si>
    <t>Toplam Saat</t>
  </si>
  <si>
    <t>ADI VE SOYADI</t>
  </si>
  <si>
    <t>TAKIM LİDERİ</t>
  </si>
  <si>
    <t>GÖREV ALANI</t>
  </si>
  <si>
    <t>GAMZENUR UZUNBAY</t>
  </si>
  <si>
    <t>HACER AYHAN</t>
  </si>
  <si>
    <t>İLKNUR CAN</t>
  </si>
  <si>
    <t>TUNCAY POLAT</t>
  </si>
  <si>
    <t>276020</t>
  </si>
  <si>
    <t>EVREN TAYBİLLİ</t>
  </si>
  <si>
    <t>Satır Etiketleri</t>
  </si>
  <si>
    <t>Genel Toplam</t>
  </si>
  <si>
    <t>REF</t>
  </si>
  <si>
    <t>Personel Sayısı</t>
  </si>
  <si>
    <t>POZİSYON ADI</t>
  </si>
  <si>
    <t>OPERASYON DESTEK PERSONELİ</t>
  </si>
  <si>
    <t>LOJİSTİK DEPO OPERATÖRÜ</t>
  </si>
  <si>
    <t>EKİPMAN OPERATÖRÜ</t>
  </si>
  <si>
    <t>OPERASYON TAKIM LİDERİ</t>
  </si>
  <si>
    <t>BERAT CELİL BALCI</t>
  </si>
  <si>
    <t>KAZİM KOÇMAN</t>
  </si>
  <si>
    <t>KENAN AYBAR</t>
  </si>
  <si>
    <t>ONUR AYDIN</t>
  </si>
  <si>
    <t>FORKLİFT OPERATÖRÜ</t>
  </si>
  <si>
    <t>SEVİLAY FAZLIOĞLU</t>
  </si>
  <si>
    <t>ŞENOL PAMUK</t>
  </si>
  <si>
    <t>TAHSİN GÜMÜŞTEN</t>
  </si>
  <si>
    <t>260248</t>
  </si>
  <si>
    <t>198211</t>
  </si>
  <si>
    <t>312890</t>
  </si>
  <si>
    <t>312894</t>
  </si>
  <si>
    <t>80707</t>
  </si>
  <si>
    <t>62549</t>
  </si>
  <si>
    <t>278593</t>
  </si>
  <si>
    <t>250225</t>
  </si>
  <si>
    <t>243274</t>
  </si>
  <si>
    <t>296325</t>
  </si>
  <si>
    <t>289469</t>
  </si>
  <si>
    <t>268327</t>
  </si>
  <si>
    <t>267711</t>
  </si>
  <si>
    <t>265692</t>
  </si>
  <si>
    <t>265578</t>
  </si>
  <si>
    <t>250313</t>
  </si>
  <si>
    <t>250223</t>
  </si>
  <si>
    <t>250714</t>
  </si>
  <si>
    <t>243347</t>
  </si>
  <si>
    <t>300953</t>
  </si>
  <si>
    <t>299889</t>
  </si>
  <si>
    <t>240780</t>
  </si>
  <si>
    <t>243335</t>
  </si>
  <si>
    <t>213056</t>
  </si>
  <si>
    <t>292935</t>
  </si>
  <si>
    <t>290627</t>
  </si>
  <si>
    <t>290586</t>
  </si>
  <si>
    <t>290504</t>
  </si>
  <si>
    <t>265500</t>
  </si>
  <si>
    <t>267966</t>
  </si>
  <si>
    <t>189228</t>
  </si>
  <si>
    <t>121910</t>
  </si>
  <si>
    <t>173210</t>
  </si>
  <si>
    <t>289480</t>
  </si>
  <si>
    <t>199149</t>
  </si>
  <si>
    <t>239658</t>
  </si>
  <si>
    <t>229031</t>
  </si>
  <si>
    <t>224773</t>
  </si>
  <si>
    <t>229218</t>
  </si>
  <si>
    <t>106389</t>
  </si>
  <si>
    <t>81280</t>
  </si>
  <si>
    <t>239224</t>
  </si>
  <si>
    <t>158390</t>
  </si>
  <si>
    <t>145377</t>
  </si>
  <si>
    <t>CEYLAN KUŞ</t>
  </si>
  <si>
    <t>ELİF KUŞ</t>
  </si>
  <si>
    <t>AYKUT KÜÇÜK</t>
  </si>
  <si>
    <t>İPEK SAYAN</t>
  </si>
  <si>
    <t>YEŞİM COŞKUN</t>
  </si>
  <si>
    <t>SEYİT AHMET KARAOĞLAN</t>
  </si>
  <si>
    <t>İNCİ BETÜL AZAKLI</t>
  </si>
  <si>
    <t>ŞEYDA CAN</t>
  </si>
  <si>
    <t>KADRİYE AKGEYİK</t>
  </si>
  <si>
    <t>SERHAT SALTIK</t>
  </si>
  <si>
    <t>NİLGÜN İPEK</t>
  </si>
  <si>
    <t>KARDELEN KILIÇ</t>
  </si>
  <si>
    <t>NİSANUR DOĞAN</t>
  </si>
  <si>
    <t>ERHAN UYSAL</t>
  </si>
  <si>
    <t>GÜLÜZAR İRİÇ</t>
  </si>
  <si>
    <t>RABİA ÖZASLAN</t>
  </si>
  <si>
    <t>BEYZA ELGÜL</t>
  </si>
  <si>
    <t>DÖNDÜ IŞIK</t>
  </si>
  <si>
    <t>ESİN ÇELİK</t>
  </si>
  <si>
    <t>SEDA BOZKURT</t>
  </si>
  <si>
    <t>BERÇİM DEMİR</t>
  </si>
  <si>
    <t>ÜMMÜGÜLSÜM ELMAS</t>
  </si>
  <si>
    <t>NAME KÖSEOĞLU</t>
  </si>
  <si>
    <t>İLKNUR BAYRAM</t>
  </si>
  <si>
    <t>ZEYNEP YAKUT</t>
  </si>
  <si>
    <t>NEVİM YÜKSEL</t>
  </si>
  <si>
    <t>AHMET SEMİZ</t>
  </si>
  <si>
    <t>MELİK YAMAK</t>
  </si>
  <si>
    <t>BURHAN GEZER</t>
  </si>
  <si>
    <t>BURAK YILMAZ</t>
  </si>
  <si>
    <t>ELİF TOPAL</t>
  </si>
  <si>
    <t>ŞEYHMUS BAŞAK</t>
  </si>
  <si>
    <t>ONUR KIZILTEPE</t>
  </si>
  <si>
    <t>ABDULLAH BAŞAK</t>
  </si>
  <si>
    <t>HÜSEYİN HARAÇ</t>
  </si>
  <si>
    <t>YÖNETİCİ-MÜDÜR</t>
  </si>
  <si>
    <t>ODP</t>
  </si>
  <si>
    <t>ADRES DENETİM</t>
  </si>
  <si>
    <t>ÜRÜN JELATİNLEME-KAT PAKET</t>
  </si>
  <si>
    <t>Kalite Kontol</t>
  </si>
  <si>
    <t>EKİPMANLA TAŞIMA</t>
  </si>
  <si>
    <t>TOPLAMA</t>
  </si>
  <si>
    <t>NAKLİYE-ADRESLEME-OKUTMA</t>
  </si>
  <si>
    <t>İADE KARGO KABUL</t>
  </si>
  <si>
    <t>ÜTÜ PAKET</t>
  </si>
  <si>
    <t>KOLİLİ ADRESLEME</t>
  </si>
  <si>
    <t>SORTER AYRIŞTIRMA- PAKETLEME- BESLEME</t>
  </si>
  <si>
    <t>WAS</t>
  </si>
  <si>
    <t>EKSİK SİPARİŞ ALANI</t>
  </si>
  <si>
    <t>REZERVESİZ TOPLAMA</t>
  </si>
  <si>
    <t>ARA TAŞIMA</t>
  </si>
  <si>
    <t>ETİKET ÇIKARMA</t>
  </si>
  <si>
    <t>İADE KABUL</t>
  </si>
  <si>
    <t>SAYIM STOK</t>
  </si>
  <si>
    <t>SİPARİŞ TAKİP</t>
  </si>
  <si>
    <t>SORTER BESLEME</t>
  </si>
  <si>
    <t>FİLE OPERASYONU</t>
  </si>
  <si>
    <t>MÜŞTERİ ŞİKAYET MAİL TAKİP / İMHA İNT 1</t>
  </si>
  <si>
    <t>ÜRÜN KABUL</t>
  </si>
  <si>
    <t>SORTER AYRIŞTIRMA-ÜTÜ</t>
  </si>
  <si>
    <t xml:space="preserve">TÜKE </t>
  </si>
  <si>
    <t>ORTA ALAN</t>
  </si>
  <si>
    <t>HASRET KOÇ</t>
  </si>
  <si>
    <t>KOLİ KAPAK-GERİ DÖNÜŞÜM</t>
  </si>
  <si>
    <t>SEVKİYAT FAZLASI KONTROL</t>
  </si>
  <si>
    <t>ÜRÜN KAT PAKET JELATİNLEME</t>
  </si>
  <si>
    <t>SORTER ARKA GÖZ OKUTMA</t>
  </si>
  <si>
    <t>İADE SORUNLU PAKETLER MAİL</t>
  </si>
  <si>
    <t>KAYIP TAZMİN KONTROL</t>
  </si>
  <si>
    <t>ÜRÜN JELATİNLEME-KAT PAKET-BESLEME</t>
  </si>
  <si>
    <t>MANUEL SEVK</t>
  </si>
  <si>
    <t>RPA TAKİP MANUEL GÖNDERİLER</t>
  </si>
  <si>
    <t xml:space="preserve">ÜRÜN JELATİNLEME-KAT PAKET </t>
  </si>
  <si>
    <t>326535</t>
  </si>
  <si>
    <t>ALİ KEMAL BOZKURT</t>
  </si>
  <si>
    <t>326531</t>
  </si>
  <si>
    <t>YUNUS GÜLEN</t>
  </si>
  <si>
    <t>BARKOD İŞLEMİ</t>
  </si>
  <si>
    <t>DIŞ SAHA EKİPMAN</t>
  </si>
  <si>
    <t>195108</t>
  </si>
  <si>
    <t>HAKKI CAN ARSLAN</t>
  </si>
  <si>
    <t>325644</t>
  </si>
  <si>
    <t>EMİNE TUTGAÇ</t>
  </si>
  <si>
    <t>325717</t>
  </si>
  <si>
    <t>AYŞE ATİK</t>
  </si>
  <si>
    <t>325894</t>
  </si>
  <si>
    <t>BİRCAN KESER</t>
  </si>
  <si>
    <t>325847</t>
  </si>
  <si>
    <t>EDA BAL</t>
  </si>
  <si>
    <t>326289</t>
  </si>
  <si>
    <t>HAYRETTİN GÜNER</t>
  </si>
  <si>
    <t>312997</t>
  </si>
  <si>
    <t>NURULLAH ATMACA</t>
  </si>
  <si>
    <t>325722</t>
  </si>
  <si>
    <t>EBRU TURHAN</t>
  </si>
  <si>
    <t>325781</t>
  </si>
  <si>
    <t>325855</t>
  </si>
  <si>
    <t>YÜCEL AZBAY</t>
  </si>
  <si>
    <t>325925</t>
  </si>
  <si>
    <t>TÜRKAN ÇİÇEK</t>
  </si>
  <si>
    <t>325645</t>
  </si>
  <si>
    <t>İREM GÜNDOĞDU</t>
  </si>
  <si>
    <t>325782</t>
  </si>
  <si>
    <t>CANSU DEĞER</t>
  </si>
  <si>
    <t>325790</t>
  </si>
  <si>
    <t>BERİVAN MASYAN</t>
  </si>
  <si>
    <t>326035</t>
  </si>
  <si>
    <t>REYHAN İNCE</t>
  </si>
  <si>
    <t>276034</t>
  </si>
  <si>
    <t>BİRGÜL ÇAM</t>
  </si>
  <si>
    <t>325656</t>
  </si>
  <si>
    <t>YAĞMUR SEVİNDİK</t>
  </si>
  <si>
    <t>325670</t>
  </si>
  <si>
    <t>MELEK KADAN</t>
  </si>
  <si>
    <t>325875</t>
  </si>
  <si>
    <t>ZEYNEP ALTIN GÜMÜŞ</t>
  </si>
  <si>
    <t>325896</t>
  </si>
  <si>
    <t>EYLEM BULUT</t>
  </si>
  <si>
    <t>325865</t>
  </si>
  <si>
    <t>NERGİS İLA</t>
  </si>
  <si>
    <t>325631</t>
  </si>
  <si>
    <t>EMRE KASNAKCİ</t>
  </si>
  <si>
    <t>326018</t>
  </si>
  <si>
    <t>ABDULLAH EMİR EZER</t>
  </si>
  <si>
    <t>326031</t>
  </si>
  <si>
    <t>ABDÜLSAMED ÇINAR</t>
  </si>
  <si>
    <t>326259</t>
  </si>
  <si>
    <t>ÇAĞLAR KANTAR</t>
  </si>
  <si>
    <t>325727</t>
  </si>
  <si>
    <t>HASAN HÜSEYİN DEĞİRMENCİ</t>
  </si>
  <si>
    <t>325867</t>
  </si>
  <si>
    <t>ZEYNEP SUDE KARAPINAR</t>
  </si>
  <si>
    <t>325891</t>
  </si>
  <si>
    <t>ZİLAN SÜTÇÜ</t>
  </si>
  <si>
    <t>326039</t>
  </si>
  <si>
    <t>BETÜL ÇALAPKOLU</t>
  </si>
  <si>
    <t>325860</t>
  </si>
  <si>
    <t>SUDE ÇİFTÇİ</t>
  </si>
  <si>
    <t>325868</t>
  </si>
  <si>
    <t>ÖZLEM SEFERCİK</t>
  </si>
  <si>
    <t>325638</t>
  </si>
  <si>
    <t>ÇAĞDAŞ KARAHAN</t>
  </si>
  <si>
    <t>325778</t>
  </si>
  <si>
    <t>326017</t>
  </si>
  <si>
    <t>RUMEYSA AYDIN</t>
  </si>
  <si>
    <t>325930</t>
  </si>
  <si>
    <t>EZGİ GÜVENÇ</t>
  </si>
  <si>
    <t>326000</t>
  </si>
  <si>
    <t>SUZAN POLAT</t>
  </si>
  <si>
    <t>326006</t>
  </si>
  <si>
    <t>TUBA PERDE</t>
  </si>
  <si>
    <t>325642</t>
  </si>
  <si>
    <t>EKİN ALTİNBAŞ</t>
  </si>
  <si>
    <t>325933</t>
  </si>
  <si>
    <t>MUHAMMED MUSTAFA KÜTÜK</t>
  </si>
  <si>
    <t>325898</t>
  </si>
  <si>
    <t>ASLI DENGTAŞ</t>
  </si>
  <si>
    <t>325873</t>
  </si>
  <si>
    <t>MELEK NUR TOP</t>
  </si>
  <si>
    <t>325623</t>
  </si>
  <si>
    <t>GÖKHAN KAYA</t>
  </si>
  <si>
    <t>240460</t>
  </si>
  <si>
    <t>325845</t>
  </si>
  <si>
    <t>VİLDAN DAĞDEVİREN</t>
  </si>
  <si>
    <t>326313</t>
  </si>
  <si>
    <t>DİLAN BAŞBUĞA</t>
  </si>
  <si>
    <t>326257</t>
  </si>
  <si>
    <t>ESRA AKKAN</t>
  </si>
  <si>
    <t>326288</t>
  </si>
  <si>
    <t>ESRA ORTAÇ</t>
  </si>
  <si>
    <t>326663</t>
  </si>
  <si>
    <t>YUSUF GEZER</t>
  </si>
  <si>
    <t>OPERASYON YÖNETİCİSİ</t>
  </si>
  <si>
    <t>SÜREÇ VE SİSTEM YALINLAŞTIRMA YÖNETİCİSİ</t>
  </si>
  <si>
    <t>YURT İÇİ DEPO OPERASYON GRUP MÜDÜRÜ</t>
  </si>
  <si>
    <t>SÜREÇ VE SİSTEM YALINLAŞTIRMA UZMAN YARDIMCISI</t>
  </si>
  <si>
    <t>263331</t>
  </si>
  <si>
    <t>EMEL AKTÜRK</t>
  </si>
  <si>
    <t>328350</t>
  </si>
  <si>
    <t>MEHTAP SÜTCÜ</t>
  </si>
  <si>
    <t>328360</t>
  </si>
  <si>
    <t>MERVE ÇELİK</t>
  </si>
  <si>
    <t>328380</t>
  </si>
  <si>
    <t>RUKEN KANCA</t>
  </si>
  <si>
    <t>328980</t>
  </si>
  <si>
    <t>SABURLLAH BÜYÜKKAYA</t>
  </si>
  <si>
    <t>328354</t>
  </si>
  <si>
    <t>EBRU DEMİR</t>
  </si>
  <si>
    <t>328353</t>
  </si>
  <si>
    <t>328359</t>
  </si>
  <si>
    <t>MERVE ŞARAN</t>
  </si>
  <si>
    <t>328383</t>
  </si>
  <si>
    <t>ZEYNEP FUADE UYGUN</t>
  </si>
  <si>
    <t>328729</t>
  </si>
  <si>
    <t>RÜVEYDA TOYOĞLU</t>
  </si>
  <si>
    <t>328731</t>
  </si>
  <si>
    <t>SEDANUR SEKENDİZ</t>
  </si>
  <si>
    <t>328704</t>
  </si>
  <si>
    <t>SEMİHA KARAALP</t>
  </si>
  <si>
    <t>328661</t>
  </si>
  <si>
    <t>ELİF UÇAR</t>
  </si>
  <si>
    <t>328691</t>
  </si>
  <si>
    <t>SEVDA ERAT</t>
  </si>
  <si>
    <t>328663</t>
  </si>
  <si>
    <t>ŞEYDA AVŞAR</t>
  </si>
  <si>
    <t>328683</t>
  </si>
  <si>
    <t>YAĞMUR KARABACAK</t>
  </si>
  <si>
    <t>328900</t>
  </si>
  <si>
    <t>SEVDA YALVAÇ</t>
  </si>
  <si>
    <t>328895</t>
  </si>
  <si>
    <t>RECEP ÇAVDAR</t>
  </si>
  <si>
    <t>200851</t>
  </si>
  <si>
    <t>MUHAMMET KORKMAZ</t>
  </si>
  <si>
    <t>26469</t>
  </si>
  <si>
    <t>ALİ EVREN TAYBILLI</t>
  </si>
  <si>
    <t>YURT İÇİ LOJİSTİK OPERASYONLARI DİREKTÖRÜ</t>
  </si>
  <si>
    <t>MELTEM YANOVALI KALKAN</t>
  </si>
  <si>
    <t>MUSTAFA KÜÇÜK</t>
  </si>
  <si>
    <t>329208</t>
  </si>
  <si>
    <t>AHMET BOZYEL</t>
  </si>
  <si>
    <t>329203</t>
  </si>
  <si>
    <t>329211</t>
  </si>
  <si>
    <t>HÜSEYİN CAN YILMAZ</t>
  </si>
  <si>
    <t>326509</t>
  </si>
  <si>
    <t>ÖMER İBİŞ</t>
  </si>
  <si>
    <t>329182</t>
  </si>
  <si>
    <t>ANIL ATIŞ</t>
  </si>
  <si>
    <t>329186</t>
  </si>
  <si>
    <t>DİYAR AKÇAY</t>
  </si>
  <si>
    <t>329183</t>
  </si>
  <si>
    <t>EMRAH KARAKOÇ</t>
  </si>
  <si>
    <t>329214</t>
  </si>
  <si>
    <t>MEHMET TÜFEKÇİ</t>
  </si>
  <si>
    <t>329226</t>
  </si>
  <si>
    <t>ÖZCAN BOLAT</t>
  </si>
  <si>
    <t>329207</t>
  </si>
  <si>
    <t>SEFA ÇALIŞKAN</t>
  </si>
  <si>
    <t>329215</t>
  </si>
  <si>
    <t>HAKAN ÇAKIR</t>
  </si>
  <si>
    <t>329153</t>
  </si>
  <si>
    <t>CEREN SAĞIR</t>
  </si>
  <si>
    <t>329180</t>
  </si>
  <si>
    <t>AYŞENUR ŞİMŞEK</t>
  </si>
  <si>
    <t>329162</t>
  </si>
  <si>
    <t>BÜŞRA COŞKUN</t>
  </si>
  <si>
    <t>329150</t>
  </si>
  <si>
    <t>MUKADDES KARATAŞ</t>
  </si>
  <si>
    <t>329178</t>
  </si>
  <si>
    <t>SEHER SEYHAN</t>
  </si>
  <si>
    <t>329179</t>
  </si>
  <si>
    <t>SUDE AÇIKGÖZ</t>
  </si>
  <si>
    <t>329151</t>
  </si>
  <si>
    <t>SUDEM ÇEŞİT</t>
  </si>
  <si>
    <t>329244</t>
  </si>
  <si>
    <t>ESRA NAS</t>
  </si>
  <si>
    <t>329247</t>
  </si>
  <si>
    <t>HÜSNA ERDAL</t>
  </si>
  <si>
    <t>329235</t>
  </si>
  <si>
    <t>RUMEYSA ADLİ</t>
  </si>
  <si>
    <t>329239</t>
  </si>
  <si>
    <t>SEVCAN ERDAL</t>
  </si>
  <si>
    <t>329337</t>
  </si>
  <si>
    <t>BUSE KURTKULAĞI</t>
  </si>
  <si>
    <t>329308</t>
  </si>
  <si>
    <t>BUSE YILMAZ</t>
  </si>
  <si>
    <t>329309</t>
  </si>
  <si>
    <t>EMRE KARAKURT</t>
  </si>
  <si>
    <t>329335</t>
  </si>
  <si>
    <t>ESMA FATMA ALKAN</t>
  </si>
  <si>
    <t>329310</t>
  </si>
  <si>
    <t>HÜLYA TINKIR KURT</t>
  </si>
  <si>
    <t>329327</t>
  </si>
  <si>
    <t>MUHAMMED ALİ BAYRAM</t>
  </si>
  <si>
    <t>329433</t>
  </si>
  <si>
    <t>YUNUS EMRE ÇAKIROĞLU</t>
  </si>
  <si>
    <t>329429</t>
  </si>
  <si>
    <t>CİHAN POLAT</t>
  </si>
  <si>
    <t>329425</t>
  </si>
  <si>
    <t>ŞÜKRAN KILIÇ</t>
  </si>
  <si>
    <t>329302</t>
  </si>
  <si>
    <t>MUSTAFA SARAÇLI</t>
  </si>
  <si>
    <t>240246</t>
  </si>
  <si>
    <t>BÜŞRA AYDIN</t>
  </si>
  <si>
    <t>329437</t>
  </si>
  <si>
    <t>NAZLICAN BOZKUŞ</t>
  </si>
  <si>
    <t>329499</t>
  </si>
  <si>
    <t>MERCAN SÖNMEZ</t>
  </si>
  <si>
    <t>329474</t>
  </si>
  <si>
    <t>BERAT CANER</t>
  </si>
  <si>
    <t>329459</t>
  </si>
  <si>
    <t>BESME AYDAR</t>
  </si>
  <si>
    <t>329444</t>
  </si>
  <si>
    <t>NURCAN DEMİR</t>
  </si>
  <si>
    <t>329619</t>
  </si>
  <si>
    <t>SİBEL ADIGÜZEL</t>
  </si>
  <si>
    <t>322122</t>
  </si>
  <si>
    <t>329615</t>
  </si>
  <si>
    <t>LEYLA ŞİMŞEK</t>
  </si>
  <si>
    <t>329614</t>
  </si>
  <si>
    <t>SERDAR MORKOÇ</t>
  </si>
  <si>
    <t>ÇAĞLA KORKMAZ</t>
  </si>
  <si>
    <t>ESRA GÜÇLÜ</t>
  </si>
  <si>
    <t>SALİHE SARIASLAN</t>
  </si>
  <si>
    <t>AYHAN  ÇELİK</t>
  </si>
  <si>
    <t>SİHEM ŞAHİN</t>
  </si>
  <si>
    <t>329867</t>
  </si>
  <si>
    <t>RABİA İLA</t>
  </si>
  <si>
    <t>329871</t>
  </si>
  <si>
    <t>PAPATYA ER</t>
  </si>
  <si>
    <t>329876</t>
  </si>
  <si>
    <t>ROJDA İÇEN</t>
  </si>
  <si>
    <t>329877</t>
  </si>
  <si>
    <t>EDA NUR ERÇIKAN</t>
  </si>
  <si>
    <t>329912</t>
  </si>
  <si>
    <t>İLKNUR DOĞAN</t>
  </si>
  <si>
    <t>329915</t>
  </si>
  <si>
    <t>CANAN HOTAN</t>
  </si>
  <si>
    <t>329744</t>
  </si>
  <si>
    <t>DAMLA VERİM</t>
  </si>
  <si>
    <t>329910</t>
  </si>
  <si>
    <t>ÇİĞDEM KAYA</t>
  </si>
  <si>
    <t>330166</t>
  </si>
  <si>
    <t>MEDİNE TOP</t>
  </si>
  <si>
    <t>180437</t>
  </si>
  <si>
    <t>ELANUR AKSU</t>
  </si>
  <si>
    <t>330180</t>
  </si>
  <si>
    <t>AZİZE AKSİN</t>
  </si>
  <si>
    <t>330175</t>
  </si>
  <si>
    <t>MUHAMMED MİRAC AKBAŞ</t>
  </si>
  <si>
    <t>330162</t>
  </si>
  <si>
    <t>BERİVAN GÜNGÖR</t>
  </si>
  <si>
    <t>330152</t>
  </si>
  <si>
    <t>FATMA UYMAZ</t>
  </si>
  <si>
    <t>263327</t>
  </si>
  <si>
    <t>EBRU AKTÜRK</t>
  </si>
  <si>
    <t>330203</t>
  </si>
  <si>
    <t>HAVVA ÖZKARA</t>
  </si>
  <si>
    <t>UMUT DEMİR</t>
  </si>
  <si>
    <t>289802</t>
  </si>
  <si>
    <t>Hücre Yapımı+Taşıma Yapan Personel Sayısı</t>
  </si>
  <si>
    <t>40.Hafta</t>
  </si>
  <si>
    <t>41.Hafta</t>
  </si>
  <si>
    <t>42.Hafta</t>
  </si>
  <si>
    <t>43.Hafta</t>
  </si>
  <si>
    <t>44.Hafta</t>
  </si>
  <si>
    <t>45.Hafta</t>
  </si>
  <si>
    <t>46.Hafta</t>
  </si>
  <si>
    <t>47.Hafta</t>
  </si>
  <si>
    <t>48.Hafta</t>
  </si>
  <si>
    <t>Sipariş Takip TL</t>
  </si>
  <si>
    <t>TL-ODP</t>
  </si>
  <si>
    <t>49.Hafta</t>
  </si>
  <si>
    <t>Toplam Genel Verimlilik</t>
  </si>
  <si>
    <t>Genel Verimlilik Müşteri Çıkış</t>
  </si>
  <si>
    <t>50.Hafta</t>
  </si>
  <si>
    <t>51.Hafta</t>
  </si>
  <si>
    <t>Per (1.Hafta)</t>
  </si>
  <si>
    <t>Cum (1.Hafta)</t>
  </si>
  <si>
    <t>Cmt (1.Hafta)</t>
  </si>
  <si>
    <t>Paz (1.Hafta)</t>
  </si>
  <si>
    <t>Pzt (2.Hafta)</t>
  </si>
  <si>
    <t>Sal (2.Hafta)</t>
  </si>
  <si>
    <t>Çar (2.Hafta)</t>
  </si>
  <si>
    <t>Per (2.Hafta)</t>
  </si>
  <si>
    <t>Cum (2.Hafta)</t>
  </si>
  <si>
    <t>Cmt (2.Hafta)</t>
  </si>
  <si>
    <t>Paz (2.Hafta)</t>
  </si>
  <si>
    <t>Toplama-İade-Transfer Adet</t>
  </si>
  <si>
    <t>Sorter İade Transfer Adet</t>
  </si>
  <si>
    <t>Toplama Adet</t>
  </si>
  <si>
    <t>Sorter Adet</t>
  </si>
  <si>
    <t>Transfer İade Toplama Oran</t>
  </si>
  <si>
    <t>Transfer İade çıkış Oran</t>
  </si>
  <si>
    <t>Toplama Saat</t>
  </si>
  <si>
    <t>Sorter Saat</t>
  </si>
  <si>
    <t>Transfer-İade Saat</t>
  </si>
  <si>
    <t>Toplama Müşteri Saat</t>
  </si>
  <si>
    <t>Genel Verimlilik Adet</t>
  </si>
  <si>
    <t>İade -transfer süre</t>
  </si>
  <si>
    <t>Müşteri toplama süre</t>
  </si>
  <si>
    <t>İade-transfer okutma süre</t>
  </si>
  <si>
    <t>Müşteri sevk okutma</t>
  </si>
  <si>
    <t>Toplam Gerçekleşen Çalışma Saat</t>
  </si>
  <si>
    <t>Oca</t>
  </si>
  <si>
    <t>Şub</t>
  </si>
  <si>
    <t>Mar</t>
  </si>
  <si>
    <t>Nis</t>
  </si>
  <si>
    <t>May</t>
  </si>
  <si>
    <t>Haz</t>
  </si>
  <si>
    <t>Tem</t>
  </si>
  <si>
    <t>Ağu</t>
  </si>
  <si>
    <t>Eyl</t>
  </si>
  <si>
    <t>Eki</t>
  </si>
  <si>
    <t>Kas</t>
  </si>
  <si>
    <t>Ara</t>
  </si>
  <si>
    <t>Toplam hücre sayısı</t>
  </si>
  <si>
    <t>47 Stok</t>
  </si>
  <si>
    <t>Maliyet</t>
  </si>
  <si>
    <t>*68502 üzerinden hesaplandı</t>
  </si>
  <si>
    <t>*30 gün üzerinden hesap yapılmıştır</t>
  </si>
  <si>
    <t>*Ekim ayı mezenin koli yapımı</t>
  </si>
  <si>
    <t>*Kasım ayı mezenin koli yapımı+taşıma işleri</t>
  </si>
  <si>
    <t>*Aralık ayı mezenin koli yapımı+taşıma işleri</t>
  </si>
  <si>
    <t>Toplam Gerçekleşen Adet</t>
  </si>
  <si>
    <t>birim2</t>
  </si>
  <si>
    <t>01.01</t>
  </si>
  <si>
    <t>02.01</t>
  </si>
  <si>
    <t>03.01</t>
  </si>
  <si>
    <t>04.01</t>
  </si>
  <si>
    <t>05.01</t>
  </si>
  <si>
    <t>06.01</t>
  </si>
  <si>
    <t>07.01</t>
  </si>
  <si>
    <t>08.01</t>
  </si>
  <si>
    <t>09.01</t>
  </si>
  <si>
    <t>10.01</t>
  </si>
  <si>
    <t>11.01</t>
  </si>
  <si>
    <t>12.01</t>
  </si>
  <si>
    <t>13.01</t>
  </si>
  <si>
    <t>14.01</t>
  </si>
  <si>
    <t>15.01</t>
  </si>
  <si>
    <t>16.01</t>
  </si>
  <si>
    <t>17.01</t>
  </si>
  <si>
    <t>18.01</t>
  </si>
  <si>
    <t>19.01</t>
  </si>
  <si>
    <t>20.01</t>
  </si>
  <si>
    <t>21.01</t>
  </si>
  <si>
    <t>22.01</t>
  </si>
  <si>
    <t>23.01</t>
  </si>
  <si>
    <t>24.01</t>
  </si>
  <si>
    <t>25.01</t>
  </si>
  <si>
    <t>26.01</t>
  </si>
  <si>
    <t>27.01</t>
  </si>
  <si>
    <t>28.01</t>
  </si>
  <si>
    <t>29.01</t>
  </si>
  <si>
    <t>30.01</t>
  </si>
  <si>
    <t>31.01</t>
  </si>
  <si>
    <t>01.02</t>
  </si>
  <si>
    <t>02.02</t>
  </si>
  <si>
    <t>03.02</t>
  </si>
  <si>
    <t>04.02</t>
  </si>
  <si>
    <t>05.02</t>
  </si>
  <si>
    <t>06.02</t>
  </si>
  <si>
    <t>07.02</t>
  </si>
  <si>
    <t>08.02</t>
  </si>
  <si>
    <t>09.02</t>
  </si>
  <si>
    <t>10.02</t>
  </si>
  <si>
    <t>11.02</t>
  </si>
  <si>
    <t>12.02</t>
  </si>
  <si>
    <t>13.02</t>
  </si>
  <si>
    <t>14.02</t>
  </si>
  <si>
    <t>15.02</t>
  </si>
  <si>
    <t>16.02</t>
  </si>
  <si>
    <t>17.02</t>
  </si>
  <si>
    <t>18.02</t>
  </si>
  <si>
    <t>19.02</t>
  </si>
  <si>
    <t>20.02</t>
  </si>
  <si>
    <t>21.02</t>
  </si>
  <si>
    <t>22.02</t>
  </si>
  <si>
    <t>23.02</t>
  </si>
  <si>
    <t>24.02</t>
  </si>
  <si>
    <t>25.02</t>
  </si>
  <si>
    <t>26.02</t>
  </si>
  <si>
    <t>27.02</t>
  </si>
  <si>
    <t>28.02</t>
  </si>
  <si>
    <t>01.03</t>
  </si>
  <si>
    <t>02.03</t>
  </si>
  <si>
    <t>03.03</t>
  </si>
  <si>
    <t>04.03</t>
  </si>
  <si>
    <t>05.03</t>
  </si>
  <si>
    <t>06.03</t>
  </si>
  <si>
    <t>07.03</t>
  </si>
  <si>
    <t>08.03</t>
  </si>
  <si>
    <t>09.03</t>
  </si>
  <si>
    <t>10.03</t>
  </si>
  <si>
    <t>11.03</t>
  </si>
  <si>
    <t>12.03</t>
  </si>
  <si>
    <t>13.03</t>
  </si>
  <si>
    <t>14.03</t>
  </si>
  <si>
    <t>15.03</t>
  </si>
  <si>
    <t>16.03</t>
  </si>
  <si>
    <t>17.03</t>
  </si>
  <si>
    <t>18.03</t>
  </si>
  <si>
    <t>19.03</t>
  </si>
  <si>
    <t>20.03</t>
  </si>
  <si>
    <t>21.03</t>
  </si>
  <si>
    <t>22.03</t>
  </si>
  <si>
    <t>23.03</t>
  </si>
  <si>
    <t>24.03</t>
  </si>
  <si>
    <t>25.03</t>
  </si>
  <si>
    <t>26.03</t>
  </si>
  <si>
    <t>27.03</t>
  </si>
  <si>
    <t>28.03</t>
  </si>
  <si>
    <t>29.03</t>
  </si>
  <si>
    <t>30.03</t>
  </si>
  <si>
    <t>31.03</t>
  </si>
  <si>
    <t>01.04</t>
  </si>
  <si>
    <t>02.04</t>
  </si>
  <si>
    <t>03.04</t>
  </si>
  <si>
    <t>04.04</t>
  </si>
  <si>
    <t>05.04</t>
  </si>
  <si>
    <t>06.04</t>
  </si>
  <si>
    <t>07.04</t>
  </si>
  <si>
    <t>08.04</t>
  </si>
  <si>
    <t>09.04</t>
  </si>
  <si>
    <t>10.04</t>
  </si>
  <si>
    <t>11.04</t>
  </si>
  <si>
    <t>12.04</t>
  </si>
  <si>
    <t>13.04</t>
  </si>
  <si>
    <t>14.04</t>
  </si>
  <si>
    <t>15.04</t>
  </si>
  <si>
    <t>16.04</t>
  </si>
  <si>
    <t>17.04</t>
  </si>
  <si>
    <t>18.04</t>
  </si>
  <si>
    <t>19.04</t>
  </si>
  <si>
    <t>20.04</t>
  </si>
  <si>
    <t>21.04</t>
  </si>
  <si>
    <t>22.04</t>
  </si>
  <si>
    <t>23.04</t>
  </si>
  <si>
    <t>24.04</t>
  </si>
  <si>
    <t>25.04</t>
  </si>
  <si>
    <t>26.04</t>
  </si>
  <si>
    <t>27.04</t>
  </si>
  <si>
    <t>28.04</t>
  </si>
  <si>
    <t>29.04</t>
  </si>
  <si>
    <t>30.04</t>
  </si>
  <si>
    <t>01.05</t>
  </si>
  <si>
    <t>02.05</t>
  </si>
  <si>
    <t>03.05</t>
  </si>
  <si>
    <t>04.05</t>
  </si>
  <si>
    <t>05.05</t>
  </si>
  <si>
    <t>06.05</t>
  </si>
  <si>
    <t>07.05</t>
  </si>
  <si>
    <t>08.05</t>
  </si>
  <si>
    <t>09.05</t>
  </si>
  <si>
    <t>10.05</t>
  </si>
  <si>
    <t>11.05</t>
  </si>
  <si>
    <t>12.05</t>
  </si>
  <si>
    <t>13.05</t>
  </si>
  <si>
    <t>14.05</t>
  </si>
  <si>
    <t>15.05</t>
  </si>
  <si>
    <t>16.05</t>
  </si>
  <si>
    <t>17.05</t>
  </si>
  <si>
    <t>18.05</t>
  </si>
  <si>
    <t>19.05</t>
  </si>
  <si>
    <t>20.05</t>
  </si>
  <si>
    <t>21.05</t>
  </si>
  <si>
    <t>22.05</t>
  </si>
  <si>
    <t>23.05</t>
  </si>
  <si>
    <t>24.05</t>
  </si>
  <si>
    <t>25.05</t>
  </si>
  <si>
    <t>26.05</t>
  </si>
  <si>
    <t>27.05</t>
  </si>
  <si>
    <t>28.05</t>
  </si>
  <si>
    <t>29.05</t>
  </si>
  <si>
    <t>30.05</t>
  </si>
  <si>
    <t>31.05</t>
  </si>
  <si>
    <t>01.06</t>
  </si>
  <si>
    <t>02.06</t>
  </si>
  <si>
    <t>03.06</t>
  </si>
  <si>
    <t>04.06</t>
  </si>
  <si>
    <t>05.06</t>
  </si>
  <si>
    <t>06.06</t>
  </si>
  <si>
    <t>07.06</t>
  </si>
  <si>
    <t>08.06</t>
  </si>
  <si>
    <t>09.06</t>
  </si>
  <si>
    <t>10.06</t>
  </si>
  <si>
    <t>11.06</t>
  </si>
  <si>
    <t>12.06</t>
  </si>
  <si>
    <t>13.06</t>
  </si>
  <si>
    <t>14.06</t>
  </si>
  <si>
    <t>15.06</t>
  </si>
  <si>
    <t>16.06</t>
  </si>
  <si>
    <t>17.06</t>
  </si>
  <si>
    <t>18.06</t>
  </si>
  <si>
    <t>19.06</t>
  </si>
  <si>
    <t>20.06</t>
  </si>
  <si>
    <t>21.06</t>
  </si>
  <si>
    <t>22.06</t>
  </si>
  <si>
    <t>23.06</t>
  </si>
  <si>
    <t>24.06</t>
  </si>
  <si>
    <t>25.06</t>
  </si>
  <si>
    <t>26.06</t>
  </si>
  <si>
    <t>27.06</t>
  </si>
  <si>
    <t>28.06</t>
  </si>
  <si>
    <t>29.06</t>
  </si>
  <si>
    <t>30.06</t>
  </si>
  <si>
    <t>01.07</t>
  </si>
  <si>
    <t>02.07</t>
  </si>
  <si>
    <t>03.07</t>
  </si>
  <si>
    <t>04.07</t>
  </si>
  <si>
    <t>05.07</t>
  </si>
  <si>
    <t>06.07</t>
  </si>
  <si>
    <t>07.07</t>
  </si>
  <si>
    <t>08.07</t>
  </si>
  <si>
    <t>09.07</t>
  </si>
  <si>
    <t>10.07</t>
  </si>
  <si>
    <t>11.07</t>
  </si>
  <si>
    <t>12.07</t>
  </si>
  <si>
    <t>13.07</t>
  </si>
  <si>
    <t>14.07</t>
  </si>
  <si>
    <t>15.07</t>
  </si>
  <si>
    <t>16.07</t>
  </si>
  <si>
    <t>17.07</t>
  </si>
  <si>
    <t>18.07</t>
  </si>
  <si>
    <t>19.07</t>
  </si>
  <si>
    <t>20.07</t>
  </si>
  <si>
    <t>21.07</t>
  </si>
  <si>
    <t>22.07</t>
  </si>
  <si>
    <t>23.07</t>
  </si>
  <si>
    <t>24.07</t>
  </si>
  <si>
    <t>25.07</t>
  </si>
  <si>
    <t>26.07</t>
  </si>
  <si>
    <t>27.07</t>
  </si>
  <si>
    <t>28.07</t>
  </si>
  <si>
    <t>29.07</t>
  </si>
  <si>
    <t>30.07</t>
  </si>
  <si>
    <t>31.07</t>
  </si>
  <si>
    <t>01.08</t>
  </si>
  <si>
    <t>02.08</t>
  </si>
  <si>
    <t>03.08</t>
  </si>
  <si>
    <t>04.08</t>
  </si>
  <si>
    <t>05.08</t>
  </si>
  <si>
    <t>06.08</t>
  </si>
  <si>
    <t>07.08</t>
  </si>
  <si>
    <t>08.08</t>
  </si>
  <si>
    <t>09.08</t>
  </si>
  <si>
    <t>10.08</t>
  </si>
  <si>
    <t>11.08</t>
  </si>
  <si>
    <t>12.08</t>
  </si>
  <si>
    <t>13.08</t>
  </si>
  <si>
    <t>14.08</t>
  </si>
  <si>
    <t>15.08</t>
  </si>
  <si>
    <t>16.08</t>
  </si>
  <si>
    <t>17.08</t>
  </si>
  <si>
    <t>18.08</t>
  </si>
  <si>
    <t>19.08</t>
  </si>
  <si>
    <t>20.08</t>
  </si>
  <si>
    <t>21.08</t>
  </si>
  <si>
    <t>22.08</t>
  </si>
  <si>
    <t>23.08</t>
  </si>
  <si>
    <t>24.08</t>
  </si>
  <si>
    <t>25.08</t>
  </si>
  <si>
    <t>26.08</t>
  </si>
  <si>
    <t>27.08</t>
  </si>
  <si>
    <t>28.08</t>
  </si>
  <si>
    <t>29.08</t>
  </si>
  <si>
    <t>30.08</t>
  </si>
  <si>
    <t>31.08</t>
  </si>
  <si>
    <t>01.10</t>
  </si>
  <si>
    <t>02.10</t>
  </si>
  <si>
    <t>03.10</t>
  </si>
  <si>
    <t>04.10</t>
  </si>
  <si>
    <t>05.10</t>
  </si>
  <si>
    <t>06.10</t>
  </si>
  <si>
    <t>07.10</t>
  </si>
  <si>
    <t>08.10</t>
  </si>
  <si>
    <t>09.10</t>
  </si>
  <si>
    <t>10.10</t>
  </si>
  <si>
    <t>11.10</t>
  </si>
  <si>
    <t>12.10</t>
  </si>
  <si>
    <t>13.10</t>
  </si>
  <si>
    <t>14.10</t>
  </si>
  <si>
    <t>15.10</t>
  </si>
  <si>
    <t>16.10</t>
  </si>
  <si>
    <t>17.10</t>
  </si>
  <si>
    <t>18.10</t>
  </si>
  <si>
    <t>19.10</t>
  </si>
  <si>
    <t>20.10</t>
  </si>
  <si>
    <t>21.10</t>
  </si>
  <si>
    <t>22.10</t>
  </si>
  <si>
    <t>23.10</t>
  </si>
  <si>
    <t>24.10</t>
  </si>
  <si>
    <t>25.10</t>
  </si>
  <si>
    <t>26.10</t>
  </si>
  <si>
    <t>27.10</t>
  </si>
  <si>
    <t>28.10</t>
  </si>
  <si>
    <t>29.10</t>
  </si>
  <si>
    <t>30.10</t>
  </si>
  <si>
    <t>31.10</t>
  </si>
  <si>
    <t>01.11</t>
  </si>
  <si>
    <t>02.11</t>
  </si>
  <si>
    <t>03.11</t>
  </si>
  <si>
    <t>04.11</t>
  </si>
  <si>
    <t>05.11</t>
  </si>
  <si>
    <t>06.11</t>
  </si>
  <si>
    <t>07.11</t>
  </si>
  <si>
    <t>08.11</t>
  </si>
  <si>
    <t>09.11</t>
  </si>
  <si>
    <t>10.11</t>
  </si>
  <si>
    <t>11.11</t>
  </si>
  <si>
    <t>12.11</t>
  </si>
  <si>
    <t>13.11</t>
  </si>
  <si>
    <t>14.11</t>
  </si>
  <si>
    <t>15.11</t>
  </si>
  <si>
    <t>16.11</t>
  </si>
  <si>
    <t>17.11</t>
  </si>
  <si>
    <t>18.11</t>
  </si>
  <si>
    <t>19.11</t>
  </si>
  <si>
    <t>20.11</t>
  </si>
  <si>
    <t>21.11</t>
  </si>
  <si>
    <t>22.11</t>
  </si>
  <si>
    <t>23.11</t>
  </si>
  <si>
    <t>24.11</t>
  </si>
  <si>
    <t>25.11</t>
  </si>
  <si>
    <t>26.11</t>
  </si>
  <si>
    <t>27.11</t>
  </si>
  <si>
    <t>28.11</t>
  </si>
  <si>
    <t>29.11</t>
  </si>
  <si>
    <t>30.11</t>
  </si>
  <si>
    <t>01.12</t>
  </si>
  <si>
    <t>02.12</t>
  </si>
  <si>
    <t>03.12</t>
  </si>
  <si>
    <t>04.12</t>
  </si>
  <si>
    <t>05.12</t>
  </si>
  <si>
    <t>06.12</t>
  </si>
  <si>
    <t>07.12</t>
  </si>
  <si>
    <t>08.12</t>
  </si>
  <si>
    <t>09.12</t>
  </si>
  <si>
    <t>10.12</t>
  </si>
  <si>
    <t>11.12</t>
  </si>
  <si>
    <t>12.12</t>
  </si>
  <si>
    <t>13.12</t>
  </si>
  <si>
    <t>14.12</t>
  </si>
  <si>
    <t>15.12</t>
  </si>
  <si>
    <t>16.12</t>
  </si>
  <si>
    <t>17.12</t>
  </si>
  <si>
    <t>18.12</t>
  </si>
  <si>
    <t>19.12</t>
  </si>
  <si>
    <t>20.12</t>
  </si>
  <si>
    <t>21.12</t>
  </si>
  <si>
    <t>22.12</t>
  </si>
  <si>
    <t>23.12</t>
  </si>
  <si>
    <t>24.12</t>
  </si>
  <si>
    <t>25.12</t>
  </si>
  <si>
    <t>26.12</t>
  </si>
  <si>
    <t>27.12</t>
  </si>
  <si>
    <t>28.12</t>
  </si>
  <si>
    <t>29.12</t>
  </si>
  <si>
    <t>30.12</t>
  </si>
  <si>
    <t>31.12</t>
  </si>
  <si>
    <t>sorter</t>
  </si>
  <si>
    <t>toplama</t>
  </si>
  <si>
    <t>vas</t>
  </si>
  <si>
    <t>tekli</t>
  </si>
  <si>
    <t xml:space="preserve">Adresleme </t>
  </si>
  <si>
    <t>adres denetim</t>
  </si>
  <si>
    <t>iade kabul</t>
  </si>
  <si>
    <t>52.Hafta</t>
  </si>
  <si>
    <t>2025 Ay</t>
  </si>
  <si>
    <t>2026 Hedef Verimlilik</t>
  </si>
  <si>
    <t>2025 Verimlilik</t>
  </si>
  <si>
    <t>Denetim</t>
  </si>
  <si>
    <t>2025Hedef</t>
  </si>
  <si>
    <t>Oran</t>
  </si>
  <si>
    <t>Müşteri Çıkışı</t>
  </si>
  <si>
    <t>DİDEM KOÇAK</t>
  </si>
  <si>
    <t>NURCAN TANAÇ</t>
  </si>
  <si>
    <t>239447</t>
  </si>
  <si>
    <t>ADRESLEME</t>
  </si>
  <si>
    <t>SORTER</t>
  </si>
  <si>
    <t>TEKLİ</t>
  </si>
  <si>
    <t>KARGO</t>
  </si>
  <si>
    <t>DENETİM</t>
  </si>
  <si>
    <t>İADE</t>
  </si>
  <si>
    <t>GENEL VERİMLİLİK</t>
  </si>
  <si>
    <t>MÜŞTERİ ÇIKIŞ</t>
  </si>
  <si>
    <t>İade</t>
  </si>
  <si>
    <t>Müşteri</t>
  </si>
  <si>
    <t>Gerçekleşen Adet(koli)</t>
  </si>
  <si>
    <t>FATMA SARIBULAK</t>
  </si>
  <si>
    <t>YELİZ ÇETİN</t>
  </si>
  <si>
    <t>MEHMETCAN YAPRAK</t>
  </si>
  <si>
    <t>HELİN ÇETİNKAYA</t>
  </si>
  <si>
    <t>MERYEM GÜNER</t>
  </si>
  <si>
    <t>BEYZANUR BAKIR</t>
  </si>
  <si>
    <t>İKLİME PELİT</t>
  </si>
  <si>
    <t>ÇİÇEK ÖZCAN</t>
  </si>
  <si>
    <t>KADER ÜSTÜNBAŞ</t>
  </si>
  <si>
    <t>SERDAR ÖZER</t>
  </si>
  <si>
    <t>ÖZLEM HAKYEMEZ</t>
  </si>
  <si>
    <t>ROJBİN DEMİR</t>
  </si>
  <si>
    <t>NEŞE İLA</t>
  </si>
  <si>
    <t>NURTEN ŞENER</t>
  </si>
  <si>
    <t>SEDAT AKTAŞ</t>
  </si>
  <si>
    <t>CEYLAN DEMİR</t>
  </si>
  <si>
    <t>GÜLİSTAN ARSLAN</t>
  </si>
  <si>
    <t>HAVA YILDIRIM</t>
  </si>
  <si>
    <t>İCRAN YAKUT</t>
  </si>
  <si>
    <t>KÜBRA ALP</t>
  </si>
  <si>
    <t>MELİKE KADAN</t>
  </si>
  <si>
    <t>RABİA AYTAR</t>
  </si>
  <si>
    <t>ŞİLAN UĞUR</t>
  </si>
  <si>
    <t>YALÇIN ARAT</t>
  </si>
  <si>
    <t>EBUBEKİR TİNAŞ</t>
  </si>
  <si>
    <t>CEMİLE İNAL</t>
  </si>
  <si>
    <t>HAZAL ERDAL</t>
  </si>
  <si>
    <t>RIDVAN İŞNAS</t>
  </si>
  <si>
    <t>SEDEF ÇİNER</t>
  </si>
  <si>
    <t>FURKAN ULUTAŞ</t>
  </si>
  <si>
    <t>HAKAN YAŞAR</t>
  </si>
  <si>
    <t>HARUN GÜLTEKİN</t>
  </si>
  <si>
    <t>340589</t>
  </si>
  <si>
    <t>291517</t>
  </si>
  <si>
    <t>340623</t>
  </si>
  <si>
    <t>239764</t>
  </si>
  <si>
    <t>340534</t>
  </si>
  <si>
    <t>340533</t>
  </si>
  <si>
    <t>340581</t>
  </si>
  <si>
    <t>340536</t>
  </si>
  <si>
    <t>340549</t>
  </si>
  <si>
    <t>277855</t>
  </si>
  <si>
    <t>340551</t>
  </si>
  <si>
    <t>340558</t>
  </si>
  <si>
    <t>340777</t>
  </si>
  <si>
    <t>340750</t>
  </si>
  <si>
    <t>340781</t>
  </si>
  <si>
    <t>340774</t>
  </si>
  <si>
    <t>340751</t>
  </si>
  <si>
    <t>340748</t>
  </si>
  <si>
    <t>340746</t>
  </si>
  <si>
    <t>172892</t>
  </si>
  <si>
    <t>340752</t>
  </si>
  <si>
    <t>340970</t>
  </si>
  <si>
    <t>341134</t>
  </si>
  <si>
    <t>341070</t>
  </si>
  <si>
    <t>341074</t>
  </si>
  <si>
    <t>341162</t>
  </si>
  <si>
    <t>341143</t>
  </si>
  <si>
    <t>341156</t>
  </si>
  <si>
    <t>341157</t>
  </si>
  <si>
    <t>341094</t>
  </si>
  <si>
    <t>FERHAT YILDIZ</t>
  </si>
  <si>
    <t>CANER ERDEM</t>
  </si>
  <si>
    <t>ÖMER DEMİR</t>
  </si>
  <si>
    <t>SEMİH GÜVEN</t>
  </si>
  <si>
    <t>MURAT CAN ÇİNAR</t>
  </si>
  <si>
    <t>CİHAN KOÇ</t>
  </si>
  <si>
    <t>DİYAR İŞİN</t>
  </si>
  <si>
    <t>YUSUF ELALDI</t>
  </si>
  <si>
    <t>MELEK ERDEM</t>
  </si>
  <si>
    <t>SEVAL ABAY</t>
  </si>
  <si>
    <t>RAVZA AYDİN</t>
  </si>
  <si>
    <t>ŞEYMA EZGİN</t>
  </si>
  <si>
    <t>HEDİYE ÖZDEMİR</t>
  </si>
  <si>
    <t>SEMANUR SAYAN</t>
  </si>
  <si>
    <t>ELİF İLBAY</t>
  </si>
  <si>
    <t>BERİVAN KILIÇ</t>
  </si>
  <si>
    <t>ZEYNEP BAHÇİ</t>
  </si>
  <si>
    <t>AYSUN ÇEÇEN</t>
  </si>
  <si>
    <t>MUHAMMET HALİL AKTAŞ</t>
  </si>
  <si>
    <t>ŞEVİN TEMEL</t>
  </si>
  <si>
    <t>KİFAYET GAMZE BAŞKAPAN</t>
  </si>
  <si>
    <t>ZEYNEP DOĞAN</t>
  </si>
  <si>
    <t>SUNA YALVAÇ</t>
  </si>
  <si>
    <t>BERFİN AKTAĞ</t>
  </si>
  <si>
    <t>MELEK ASLAN</t>
  </si>
  <si>
    <t>MUSTAFA BAY</t>
  </si>
  <si>
    <t>KÜBRA YAĞUZLUK</t>
  </si>
  <si>
    <t>KÜBRA ZERRİN ACAR</t>
  </si>
  <si>
    <t>GÜLİZAR YILMAZ</t>
  </si>
  <si>
    <t>AYŞENUR BİLEN</t>
  </si>
  <si>
    <t>341646</t>
  </si>
  <si>
    <t>341606</t>
  </si>
  <si>
    <t>341648</t>
  </si>
  <si>
    <t>341617</t>
  </si>
  <si>
    <t>344474</t>
  </si>
  <si>
    <t>196390</t>
  </si>
  <si>
    <t>344478</t>
  </si>
  <si>
    <t>344480</t>
  </si>
  <si>
    <t>297576</t>
  </si>
  <si>
    <t>265405</t>
  </si>
  <si>
    <t>344496</t>
  </si>
  <si>
    <t>344505</t>
  </si>
  <si>
    <t>249251</t>
  </si>
  <si>
    <t>278343</t>
  </si>
  <si>
    <t>344514</t>
  </si>
  <si>
    <t>344653</t>
  </si>
  <si>
    <t>344655</t>
  </si>
  <si>
    <t>344811</t>
  </si>
  <si>
    <t>344817</t>
  </si>
  <si>
    <t>344841</t>
  </si>
  <si>
    <t>344594</t>
  </si>
  <si>
    <t>344657</t>
  </si>
  <si>
    <t>344604</t>
  </si>
  <si>
    <t>344612</t>
  </si>
  <si>
    <t>344725</t>
  </si>
  <si>
    <t>344842</t>
  </si>
  <si>
    <t>345529</t>
  </si>
  <si>
    <t>345093</t>
  </si>
  <si>
    <t>345095</t>
  </si>
  <si>
    <t>345428</t>
  </si>
  <si>
    <t>345091</t>
  </si>
  <si>
    <t>345085</t>
  </si>
  <si>
    <t>345089</t>
  </si>
  <si>
    <t>345531</t>
  </si>
  <si>
    <t>345533</t>
  </si>
  <si>
    <t>Crossborder</t>
  </si>
  <si>
    <t>Müşteri Çıkış Adet</t>
  </si>
  <si>
    <t>Boş Koltuk</t>
  </si>
  <si>
    <t>ÖZGÜR SANCAR</t>
  </si>
  <si>
    <t>DEMET ŞAHİN</t>
  </si>
  <si>
    <t>DOĞUKAN KILIÇ</t>
  </si>
  <si>
    <t>MUHAMMET ALKAN</t>
  </si>
  <si>
    <t>MUHAMMET SAİT YILAN</t>
  </si>
  <si>
    <t>CANAN MEŞE</t>
  </si>
  <si>
    <t>SERAP GEVREK</t>
  </si>
  <si>
    <t>HÜSEYİN CULFA</t>
  </si>
  <si>
    <t>KADİR MENTEŞ</t>
  </si>
  <si>
    <t>ŞEVVAL COŞKUN</t>
  </si>
  <si>
    <t>BİLAL CEYLAN</t>
  </si>
  <si>
    <t>EMRE ÇETİN</t>
  </si>
  <si>
    <t>ÖMER ŞAHİN</t>
  </si>
  <si>
    <t>MUHAMMET RIZA AÇIKÇA</t>
  </si>
  <si>
    <t>CANER YİĞİT</t>
  </si>
  <si>
    <t>ABDULLAH EYÜP GÜLÜN</t>
  </si>
  <si>
    <t>BURCU KARAKAŞ</t>
  </si>
  <si>
    <t>LOKMAN UYĞUR</t>
  </si>
  <si>
    <t>ADİLE KAYA</t>
  </si>
  <si>
    <t>ŞÜKRAN KARABULUT</t>
  </si>
  <si>
    <t>SONGÜL AYDIN</t>
  </si>
  <si>
    <t>AHMET EFE KARAKAYA</t>
  </si>
  <si>
    <t>MERVE ÜNALAN</t>
  </si>
  <si>
    <t>İSHAK IĞDIR</t>
  </si>
  <si>
    <t>FATMA LEYLA KALAFAT</t>
  </si>
  <si>
    <t>BAHAR METE</t>
  </si>
  <si>
    <t>SEMA ARİ</t>
  </si>
  <si>
    <t>AHMET MELİH GELİBOLU</t>
  </si>
  <si>
    <t>ARJİN ÖZKAN</t>
  </si>
  <si>
    <t>ARİF KAYA</t>
  </si>
  <si>
    <t>SERAP MADEN</t>
  </si>
  <si>
    <t>AYŞE ÇAĞLAR</t>
  </si>
  <si>
    <t>MERVE VANLI</t>
  </si>
  <si>
    <t>NEHİR ALTINTAŞ</t>
  </si>
  <si>
    <t>YAĞMUR YAREN ERDOĞAN</t>
  </si>
  <si>
    <t>SEVGİ ALTAY</t>
  </si>
  <si>
    <t>ESRA IĞDIR</t>
  </si>
  <si>
    <t>ARZU SERBEST</t>
  </si>
  <si>
    <t>İSA ASLAN</t>
  </si>
  <si>
    <t>CAN GÜNEŞ</t>
  </si>
  <si>
    <t>AHMET YAŞAR</t>
  </si>
  <si>
    <t>ENES TAYIS</t>
  </si>
  <si>
    <t>ASLI ARSLAN</t>
  </si>
  <si>
    <t>KEREM ÜSTÜN</t>
  </si>
  <si>
    <t>HASAN GÜN</t>
  </si>
  <si>
    <t>MEHMET CAN BAYRAM</t>
  </si>
  <si>
    <t>ABDULLAH YAMAN</t>
  </si>
  <si>
    <t>EDANUR KULU</t>
  </si>
  <si>
    <t>MELİSA DÜŞKÜN</t>
  </si>
  <si>
    <t>MERYEM ARVAS</t>
  </si>
  <si>
    <t>HİRANUR ALDIM</t>
  </si>
  <si>
    <t>SUDE ÖZDEMİR</t>
  </si>
  <si>
    <t>RECEP ALTIN</t>
  </si>
  <si>
    <t>BUSE BAKIŞ</t>
  </si>
  <si>
    <t>HELİN KADAN</t>
  </si>
  <si>
    <t>ZELİHA TARTAR</t>
  </si>
  <si>
    <t>DİDEM YALÇIN</t>
  </si>
  <si>
    <t>ZEYNEP TAŞDEMİR</t>
  </si>
  <si>
    <t>UMUT CAN YILANCI</t>
  </si>
  <si>
    <t>ESMANUR TURAN</t>
  </si>
  <si>
    <t>ÇAĞLA AKKAYA</t>
  </si>
  <si>
    <t>NERGİZ BEYGUR</t>
  </si>
  <si>
    <t>YAĞMUR SARIKAYA</t>
  </si>
  <si>
    <t>YUSUF TAĞMAN</t>
  </si>
  <si>
    <t>TANER AYDOĞAN</t>
  </si>
  <si>
    <t>GAMZENUR GENEL</t>
  </si>
  <si>
    <t>43575</t>
  </si>
  <si>
    <t>350315</t>
  </si>
  <si>
    <t>347451</t>
  </si>
  <si>
    <t>346465</t>
  </si>
  <si>
    <t>298971</t>
  </si>
  <si>
    <t>349918</t>
  </si>
  <si>
    <t>350043</t>
  </si>
  <si>
    <t>350046</t>
  </si>
  <si>
    <t>350082</t>
  </si>
  <si>
    <t>350053</t>
  </si>
  <si>
    <t>349989</t>
  </si>
  <si>
    <t>349993</t>
  </si>
  <si>
    <t>266743</t>
  </si>
  <si>
    <t>349984</t>
  </si>
  <si>
    <t>349991</t>
  </si>
  <si>
    <t>299080</t>
  </si>
  <si>
    <t>349986</t>
  </si>
  <si>
    <t>350128</t>
  </si>
  <si>
    <t>350368</t>
  </si>
  <si>
    <t>293600</t>
  </si>
  <si>
    <t>350317</t>
  </si>
  <si>
    <t>350342</t>
  </si>
  <si>
    <t>350349</t>
  </si>
  <si>
    <t>350327</t>
  </si>
  <si>
    <t>350364</t>
  </si>
  <si>
    <t>349506</t>
  </si>
  <si>
    <t>349574</t>
  </si>
  <si>
    <t>350319</t>
  </si>
  <si>
    <t>350321</t>
  </si>
  <si>
    <t>350356</t>
  </si>
  <si>
    <t>350367</t>
  </si>
  <si>
    <t>350344</t>
  </si>
  <si>
    <t>350717</t>
  </si>
  <si>
    <t>350720</t>
  </si>
  <si>
    <t>350721</t>
  </si>
  <si>
    <t>350544</t>
  </si>
  <si>
    <t>350728</t>
  </si>
  <si>
    <t>350730</t>
  </si>
  <si>
    <t>350731</t>
  </si>
  <si>
    <t>350732</t>
  </si>
  <si>
    <t>350553</t>
  </si>
  <si>
    <t>350570</t>
  </si>
  <si>
    <t>350716</t>
  </si>
  <si>
    <t>350725</t>
  </si>
  <si>
    <t>350562</t>
  </si>
  <si>
    <t>350790</t>
  </si>
  <si>
    <t>350928</t>
  </si>
  <si>
    <t>350929</t>
  </si>
  <si>
    <t>350947</t>
  </si>
  <si>
    <t>350950</t>
  </si>
  <si>
    <t>350930</t>
  </si>
  <si>
    <t>350932</t>
  </si>
  <si>
    <t>350935</t>
  </si>
  <si>
    <t>350963</t>
  </si>
  <si>
    <t>350958</t>
  </si>
  <si>
    <t>350669</t>
  </si>
  <si>
    <t>350667</t>
  </si>
  <si>
    <t>234560</t>
  </si>
  <si>
    <t>351240</t>
  </si>
  <si>
    <t>350936</t>
  </si>
  <si>
    <t>351305</t>
  </si>
  <si>
    <t>351254</t>
  </si>
  <si>
    <t>351231</t>
  </si>
  <si>
    <t>351263</t>
  </si>
  <si>
    <t>351294</t>
  </si>
  <si>
    <t>351296</t>
  </si>
  <si>
    <t>297538</t>
  </si>
  <si>
    <t>351216</t>
  </si>
  <si>
    <t>351230</t>
  </si>
  <si>
    <t>351250</t>
  </si>
  <si>
    <t>MEDİNE İLHAN</t>
  </si>
  <si>
    <t>EMİN KAMÇILI</t>
  </si>
  <si>
    <t>MUSTAFA ORAL</t>
  </si>
  <si>
    <t>EREN DEMİR</t>
  </si>
  <si>
    <t>ESRA EKİNCİ</t>
  </si>
  <si>
    <t>SEVDA SAK</t>
  </si>
  <si>
    <t>ZİLAN DEMİR</t>
  </si>
  <si>
    <t>MAŞİDE NUR USLU</t>
  </si>
  <si>
    <t>SEHER SÖNER</t>
  </si>
  <si>
    <t>VOLKAN MUTLU</t>
  </si>
  <si>
    <t>HAYRİYE KAVUT</t>
  </si>
  <si>
    <t>RAMAZAN DEMİR</t>
  </si>
  <si>
    <t>MEDİNE SAYİR</t>
  </si>
  <si>
    <t>SADIK ACAR</t>
  </si>
  <si>
    <t>İBRAHİM ETHEM USLU</t>
  </si>
  <si>
    <t>FATİH TOPKAYA</t>
  </si>
  <si>
    <t>HELİN AYDIN</t>
  </si>
  <si>
    <t>MELİKE AY</t>
  </si>
  <si>
    <t>MUSTAFA GÜLEÇ</t>
  </si>
  <si>
    <t>KADİR KUL</t>
  </si>
  <si>
    <t>FATMA YAMAK</t>
  </si>
  <si>
    <t>SİNEM TÜRK</t>
  </si>
  <si>
    <t>AYSUN DUYGUCU</t>
  </si>
  <si>
    <t>ALEYNA ÖRS</t>
  </si>
  <si>
    <t>MELTEM YILDIRIM</t>
  </si>
  <si>
    <t>HAZAR YILDIRIMÇAKAR</t>
  </si>
  <si>
    <t>MEDİNE TEKBEY</t>
  </si>
  <si>
    <t>HÜLYA ALAYILDIZ</t>
  </si>
  <si>
    <t>351509</t>
  </si>
  <si>
    <t>351460</t>
  </si>
  <si>
    <t>351513</t>
  </si>
  <si>
    <t>351514</t>
  </si>
  <si>
    <t>351289</t>
  </si>
  <si>
    <t>351470</t>
  </si>
  <si>
    <t>351472</t>
  </si>
  <si>
    <t>351506</t>
  </si>
  <si>
    <t>351504</t>
  </si>
  <si>
    <t>351499</t>
  </si>
  <si>
    <t>351463</t>
  </si>
  <si>
    <t>351471</t>
  </si>
  <si>
    <t>351461</t>
  </si>
  <si>
    <t>351521</t>
  </si>
  <si>
    <t>299961</t>
  </si>
  <si>
    <t>351742</t>
  </si>
  <si>
    <t>351793</t>
  </si>
  <si>
    <t>351801</t>
  </si>
  <si>
    <t>351827</t>
  </si>
  <si>
    <t>351828</t>
  </si>
  <si>
    <t>351829</t>
  </si>
  <si>
    <t>351261</t>
  </si>
  <si>
    <t>311051</t>
  </si>
  <si>
    <t>351783</t>
  </si>
  <si>
    <t>351805</t>
  </si>
  <si>
    <t>351475</t>
  </si>
  <si>
    <t>351807</t>
  </si>
  <si>
    <t>351800</t>
  </si>
  <si>
    <t>351785</t>
  </si>
  <si>
    <t>Cr Birim Süre Sorter</t>
  </si>
  <si>
    <t>Cr Birim Süre Toplama</t>
  </si>
  <si>
    <t>Adet</t>
  </si>
  <si>
    <t>Müşteri Çıkış Verimlilik(Toplama-Sorter-Kargo)</t>
  </si>
  <si>
    <t>Crossborder(Toplama-Sorter-Kargo)</t>
  </si>
  <si>
    <t>DİYAR CANTEPE</t>
  </si>
  <si>
    <t>YAĞMUR TÜCİ</t>
  </si>
  <si>
    <t>TUĞBA ADIGÜZEL</t>
  </si>
  <si>
    <t>GAMZE MENTEŞ</t>
  </si>
  <si>
    <t>SUDENAZ GÜL</t>
  </si>
  <si>
    <t>ROJİN ORUÇ</t>
  </si>
  <si>
    <t>BARIŞ YILDIRIMÇAKAR</t>
  </si>
  <si>
    <t>İSA BOĞA</t>
  </si>
  <si>
    <t>FATMA BARIŞ</t>
  </si>
  <si>
    <t>SEZGİN SEZEN</t>
  </si>
  <si>
    <t>HANDAN GÜLSEVER</t>
  </si>
  <si>
    <t>DİLAN DÖNMEZ</t>
  </si>
  <si>
    <t>YUSUF DEMİR</t>
  </si>
  <si>
    <t>SERHAT GÜZERGAH</t>
  </si>
  <si>
    <t>MUHAMMED MUSTAFA BİNGÖL</t>
  </si>
  <si>
    <t>HAKAN AKKOYUN</t>
  </si>
  <si>
    <t>BERFİN ÇİFTÇİ</t>
  </si>
  <si>
    <t>MAKSUT CANSIZ</t>
  </si>
  <si>
    <t>RABİYA KIPÇAK</t>
  </si>
  <si>
    <t>GÜLBAHAR OKUR</t>
  </si>
  <si>
    <t>RUKEN ŞAHİN</t>
  </si>
  <si>
    <t>YUSUF AKTÜRK</t>
  </si>
  <si>
    <t>MUHAMMET EMİN İLHAN</t>
  </si>
  <si>
    <t>TUĞBA GÖKYAR</t>
  </si>
  <si>
    <t>ELİF ÖRS</t>
  </si>
  <si>
    <t>SEVDA BAYRAM</t>
  </si>
  <si>
    <t>İLKNUR KULAKSIZ</t>
  </si>
  <si>
    <t>ABDULLAH İLHAN</t>
  </si>
  <si>
    <t>OSMAN ÜNSAL</t>
  </si>
  <si>
    <t>YUSUF KARATAŞ</t>
  </si>
  <si>
    <t>FIRAT İŞGÖREN</t>
  </si>
  <si>
    <t>KAAN BOZKURT</t>
  </si>
  <si>
    <t>YAKUP YUSUF DURMUŞ</t>
  </si>
  <si>
    <t>EGE KOZKAMAN</t>
  </si>
  <si>
    <t>SEBRULLAH ÇOBAN</t>
  </si>
  <si>
    <t>İMDATCAN YILDIZ</t>
  </si>
  <si>
    <t>BURAK ERİŞEN</t>
  </si>
  <si>
    <t>ZAFER GÜLDÜR</t>
  </si>
  <si>
    <t>SEMİH BERK YURĞA</t>
  </si>
  <si>
    <t>YAHYA DAYAN</t>
  </si>
  <si>
    <t>YUSUF MİTAN</t>
  </si>
  <si>
    <t>SUDENAZ DURMUŞ</t>
  </si>
  <si>
    <t>YAĞMUR ALAKAŞ</t>
  </si>
  <si>
    <t>YAREN GERGİN</t>
  </si>
  <si>
    <t>MUSTAFA ÜNLÜ</t>
  </si>
  <si>
    <t>YUSUF YILDIZ</t>
  </si>
  <si>
    <t>NİHAL LALE</t>
  </si>
  <si>
    <t>BERKAN KILIÇ</t>
  </si>
  <si>
    <t>DİYAR YILDIRIM</t>
  </si>
  <si>
    <t>EMİRHAN TEKDEMİR</t>
  </si>
  <si>
    <t>EYYÜP ÖZKAN</t>
  </si>
  <si>
    <t>KEREM DAĞ</t>
  </si>
  <si>
    <t>ASİYE BİLSİN</t>
  </si>
  <si>
    <t>EDANUR AVCI</t>
  </si>
  <si>
    <t>MELEK ARVAS</t>
  </si>
  <si>
    <t>MERVE ARVAS</t>
  </si>
  <si>
    <t>REYYAN SÖNER</t>
  </si>
  <si>
    <t>MUSTAFA HAMZA TARTAR</t>
  </si>
  <si>
    <t>DERYA GÜLHAN</t>
  </si>
  <si>
    <t>GÜLZADE AKSOY</t>
  </si>
  <si>
    <t>HELİN UĞUR</t>
  </si>
  <si>
    <t>RUMEYSA SESLİKAYA</t>
  </si>
  <si>
    <t>ŞEVVAL SÖNER</t>
  </si>
  <si>
    <t>ARDA ÇELİK</t>
  </si>
  <si>
    <t>EMİRHAN KAZAK</t>
  </si>
  <si>
    <t>MUHAMMET EGE KARAÇAYIR</t>
  </si>
  <si>
    <t>351767</t>
  </si>
  <si>
    <t>351752</t>
  </si>
  <si>
    <t>351750</t>
  </si>
  <si>
    <t>351744</t>
  </si>
  <si>
    <t>351796</t>
  </si>
  <si>
    <t>352075</t>
  </si>
  <si>
    <t>352085</t>
  </si>
  <si>
    <t>352083</t>
  </si>
  <si>
    <t>352084</t>
  </si>
  <si>
    <t>351799</t>
  </si>
  <si>
    <t>352081</t>
  </si>
  <si>
    <t>352087</t>
  </si>
  <si>
    <t>352088</t>
  </si>
  <si>
    <t>352074</t>
  </si>
  <si>
    <t>352082</t>
  </si>
  <si>
    <t>351786</t>
  </si>
  <si>
    <t>351791</t>
  </si>
  <si>
    <t>352079</t>
  </si>
  <si>
    <t>352077</t>
  </si>
  <si>
    <t>270265</t>
  </si>
  <si>
    <t>352311</t>
  </si>
  <si>
    <t>352402</t>
  </si>
  <si>
    <t>352359</t>
  </si>
  <si>
    <t>352394</t>
  </si>
  <si>
    <t>200043</t>
  </si>
  <si>
    <t>352186</t>
  </si>
  <si>
    <t>352184</t>
  </si>
  <si>
    <t>352301</t>
  </si>
  <si>
    <t>352304</t>
  </si>
  <si>
    <t>352309</t>
  </si>
  <si>
    <t>352312</t>
  </si>
  <si>
    <t>352404</t>
  </si>
  <si>
    <t>352183</t>
  </si>
  <si>
    <t>352182</t>
  </si>
  <si>
    <t>352266</t>
  </si>
  <si>
    <t>352275</t>
  </si>
  <si>
    <t>352187</t>
  </si>
  <si>
    <t>352188</t>
  </si>
  <si>
    <t>352346</t>
  </si>
  <si>
    <t>352348</t>
  </si>
  <si>
    <t>352354</t>
  </si>
  <si>
    <t>352397</t>
  </si>
  <si>
    <t>352352</t>
  </si>
  <si>
    <t>352557</t>
  </si>
  <si>
    <t>352553</t>
  </si>
  <si>
    <t>352547</t>
  </si>
  <si>
    <t>352901</t>
  </si>
  <si>
    <t>352906</t>
  </si>
  <si>
    <t>352907</t>
  </si>
  <si>
    <t>352903</t>
  </si>
  <si>
    <t>352882</t>
  </si>
  <si>
    <t>352886</t>
  </si>
  <si>
    <t>352884</t>
  </si>
  <si>
    <t>352918</t>
  </si>
  <si>
    <t>352916</t>
  </si>
  <si>
    <t>340625</t>
  </si>
  <si>
    <t>352881</t>
  </si>
  <si>
    <t>352885</t>
  </si>
  <si>
    <t>352905</t>
  </si>
  <si>
    <t>352944</t>
  </si>
  <si>
    <t>352941</t>
  </si>
  <si>
    <t>352936</t>
  </si>
  <si>
    <t>352935</t>
  </si>
  <si>
    <t>352937</t>
  </si>
  <si>
    <t>352894</t>
  </si>
  <si>
    <t>352897</t>
  </si>
  <si>
    <t>352893</t>
  </si>
  <si>
    <t>352895</t>
  </si>
  <si>
    <t>352892</t>
  </si>
  <si>
    <t>352938</t>
  </si>
  <si>
    <t>352888</t>
  </si>
  <si>
    <t>352889</t>
  </si>
  <si>
    <t>352899</t>
  </si>
  <si>
    <t>352887</t>
  </si>
  <si>
    <t>352890</t>
  </si>
  <si>
    <t>352940</t>
  </si>
  <si>
    <t>352915</t>
  </si>
  <si>
    <t>352919</t>
  </si>
  <si>
    <t>YASEMİN TURHAN</t>
  </si>
  <si>
    <t>BERİN GÜN</t>
  </si>
  <si>
    <t>HİLAL  AKDENİZ</t>
  </si>
  <si>
    <t xml:space="preserve">YASİN  ÇAKIROĞLU </t>
  </si>
  <si>
    <t>SULTAN  TEMEL</t>
  </si>
  <si>
    <t>ESMA NUR SAĞIN</t>
  </si>
  <si>
    <t>NARİN SELDÜZ</t>
  </si>
  <si>
    <t>MERYEM ASLI CAN  DEMİRAL</t>
  </si>
  <si>
    <t>ZEYNEP  GÜVEN</t>
  </si>
  <si>
    <t>ŞİRVAN  SÖNMEZ</t>
  </si>
  <si>
    <t>CANDAR  GÜNER</t>
  </si>
  <si>
    <t>BERKE AYDENİZ</t>
  </si>
  <si>
    <t>İREM TUANNA TURAN</t>
  </si>
  <si>
    <t>DİLANUR  AKÇELİK</t>
  </si>
  <si>
    <t>ÖZLEM  DEMİR</t>
  </si>
  <si>
    <t>RAİFE ÇELİKER</t>
  </si>
  <si>
    <t>CEYDA  ŞENTÜRK</t>
  </si>
  <si>
    <t>MUHAMMED  KAMBUK</t>
  </si>
  <si>
    <t>MUSTAFA KEMAL KADİR KAMBUK</t>
  </si>
  <si>
    <t>ATAKAN  TARI</t>
  </si>
  <si>
    <t>MUHAMMED TALHA  KİLİK</t>
  </si>
  <si>
    <t xml:space="preserve">İLKNUR  ORTA </t>
  </si>
  <si>
    <t>NAZAR  KIPÇAK</t>
  </si>
  <si>
    <t>MAHMUT BARIŞ</t>
  </si>
  <si>
    <t>ABDULHAMİT COŞKUN</t>
  </si>
  <si>
    <t>YELİZ TUTKUN</t>
  </si>
  <si>
    <t>MELEK ÇERİBAŞ</t>
  </si>
  <si>
    <t>SUDE CÖDEL</t>
  </si>
  <si>
    <t>EVİN KURT</t>
  </si>
  <si>
    <t>FIRAT YAĞIZ</t>
  </si>
  <si>
    <t>KENAN İPEK</t>
  </si>
  <si>
    <t>BEDİRHAN ÇEBER</t>
  </si>
  <si>
    <t>ONUR EKİCİ</t>
  </si>
  <si>
    <t>CIVAN ARDA ARDAK</t>
  </si>
  <si>
    <t>ŞAHİN GÜVEN</t>
  </si>
  <si>
    <t>İLHAN ER</t>
  </si>
  <si>
    <t>CANER EKMEKÇİ</t>
  </si>
  <si>
    <t>GÜLBAHAR ATİK</t>
  </si>
  <si>
    <t>SİBEL SU</t>
  </si>
  <si>
    <t>SEVİLAY DEMİR</t>
  </si>
  <si>
    <t>NİSAN ÖZDEMİR</t>
  </si>
  <si>
    <t>SUNA ÖZAYYILDIZ</t>
  </si>
  <si>
    <t>GÜL ER</t>
  </si>
  <si>
    <t>SILA GÖGÜLTER</t>
  </si>
  <si>
    <t>MELİSA ÇERİBAŞ</t>
  </si>
  <si>
    <t>AYSUN YALVAÇ</t>
  </si>
  <si>
    <t>ÇAĞRI ÇELİK</t>
  </si>
  <si>
    <t>MİNE SÖYLEMEZOĞLU</t>
  </si>
  <si>
    <t>SİNEM ÇETİN</t>
  </si>
  <si>
    <t>EBRU BİĞİ</t>
  </si>
  <si>
    <t>SALİHE BABUR</t>
  </si>
  <si>
    <t>SİBEL İSET</t>
  </si>
  <si>
    <t>YUNUS YILDIRIM</t>
  </si>
  <si>
    <t>SİBEL KÖROĞLU</t>
  </si>
  <si>
    <t>CEREN ERGÜN</t>
  </si>
  <si>
    <t>DİLAN YAŞAR</t>
  </si>
  <si>
    <t>ÜNZİLE BAŞ</t>
  </si>
  <si>
    <t>KIYMET KAYA</t>
  </si>
  <si>
    <t>ŞİLAN YANZI</t>
  </si>
  <si>
    <t>İLAYDA ERGÜN</t>
  </si>
  <si>
    <t>DİLARA DOĞAN</t>
  </si>
  <si>
    <t>ŞADUMAN KÖSELİ</t>
  </si>
  <si>
    <t>HİVDAY AVŞAR</t>
  </si>
  <si>
    <t>YUNUS TOPÇU</t>
  </si>
  <si>
    <t>AYŞEGÜL ARSLAN</t>
  </si>
  <si>
    <t>İLAYDA ATLI</t>
  </si>
  <si>
    <t>ELİF KAYMAZ</t>
  </si>
  <si>
    <t>EYLÜL ÇELEBİ</t>
  </si>
  <si>
    <t>SEVİLAY ÖNEY</t>
  </si>
  <si>
    <t>GAMZE  KURULAY</t>
  </si>
  <si>
    <t>CAN BAŞARAN</t>
  </si>
  <si>
    <t>EKREM ALTAŞ</t>
  </si>
  <si>
    <t>ÜMMÜHAN KIZILÇAM</t>
  </si>
  <si>
    <t>HURİYE KAYA</t>
  </si>
  <si>
    <t>MERYEM ÖZDEMİR</t>
  </si>
  <si>
    <t>TÜLAY KAKKOV</t>
  </si>
  <si>
    <t>EMİNE ERDEM</t>
  </si>
  <si>
    <t>ARİFE YILDIZ</t>
  </si>
  <si>
    <t>MERVE ATAMAN</t>
  </si>
  <si>
    <t>ECE KAPUCUOĞLU</t>
  </si>
  <si>
    <t>DİDEM KIZIL</t>
  </si>
  <si>
    <t>EYBİCAN BEKTEMUR</t>
  </si>
  <si>
    <t>NİMET KAYA</t>
  </si>
  <si>
    <t>ŞÜKRAN BADUR</t>
  </si>
  <si>
    <t>YAĞMUR AKŞİT</t>
  </si>
  <si>
    <t xml:space="preserve">SUDENUR  KARATAŞ </t>
  </si>
  <si>
    <t>TUĞÇE GÜRBÜZ</t>
  </si>
  <si>
    <t>İREM OCAKLIK</t>
  </si>
  <si>
    <t>MERVE ARABOĞA</t>
  </si>
  <si>
    <t>ŞEVVAL KARAYEL</t>
  </si>
  <si>
    <t>SILA ÇİMEN</t>
  </si>
  <si>
    <t>ELİSA BİTER</t>
  </si>
  <si>
    <t>YAĞMUR GÜÇEL</t>
  </si>
  <si>
    <t>GÜLBAHAR DEYİN</t>
  </si>
  <si>
    <t>HÜLYA DURU</t>
  </si>
  <si>
    <t>HALİME DAĞ</t>
  </si>
  <si>
    <t>HİLAL SU KARAKURT</t>
  </si>
  <si>
    <t>NURSEMİN ZENGİN</t>
  </si>
  <si>
    <t>EYLÜL BAYDAR</t>
  </si>
  <si>
    <t>SENANUR UŞNA</t>
  </si>
  <si>
    <t>ECEM DAMAT</t>
  </si>
  <si>
    <t>BAHAR UĞUN</t>
  </si>
  <si>
    <t>BURAK KİNYAZ TOĞRUL</t>
  </si>
  <si>
    <t>YUNUS MERT SÜRMEN</t>
  </si>
  <si>
    <t>ENES BEDİRHAN TURAN</t>
  </si>
  <si>
    <t>MEVLANA SEYHAN</t>
  </si>
  <si>
    <t>MURAT EREN ERGİN</t>
  </si>
  <si>
    <t>BARAN ELBİR</t>
  </si>
  <si>
    <t>BERAT YİĞİT</t>
  </si>
  <si>
    <t>ORHAN GÜNTAÇ</t>
  </si>
  <si>
    <t>SERKAN HIRLİ</t>
  </si>
  <si>
    <t>EKREM ARSLAN</t>
  </si>
  <si>
    <t>İREM ÖZTÜRK</t>
  </si>
  <si>
    <t>FATMA CANİŞ</t>
  </si>
  <si>
    <t>SÜNDÜZ TURMUŞ</t>
  </si>
  <si>
    <t>BEDİA AYDIN</t>
  </si>
  <si>
    <t>ALİ BİTİK</t>
  </si>
  <si>
    <t>TUNAHAN ÇAKIR</t>
  </si>
  <si>
    <t>MUSTAFA YAZAR</t>
  </si>
  <si>
    <t>ZAFER ÜNLÜ</t>
  </si>
  <si>
    <t>ABDULLAH AKYOL</t>
  </si>
  <si>
    <t>DİLARA ÜNAL</t>
  </si>
  <si>
    <t>EVİNDAR ADALMIŞ</t>
  </si>
  <si>
    <t>LORİN BALAMİR</t>
  </si>
  <si>
    <t>MEHTAP ÖZTÜRK</t>
  </si>
  <si>
    <t>NAZAR DÜZENLİ</t>
  </si>
  <si>
    <t>SERHAN DURMUŞ</t>
  </si>
  <si>
    <t>SUDENAZ ÖNTÜRK</t>
  </si>
  <si>
    <t>ZEYNEP SÜTÇÜ</t>
  </si>
  <si>
    <t>DENİZ BAYDAR</t>
  </si>
  <si>
    <t>EYÜP KARAATAY</t>
  </si>
  <si>
    <t>ABDULGEYLANİ ÜNAL</t>
  </si>
  <si>
    <t>KUBİLAY DAĞDEVİREN</t>
  </si>
  <si>
    <t>OĞUZ TAYANİR</t>
  </si>
  <si>
    <t>ÖNDER SÖYLEMEZ</t>
  </si>
  <si>
    <t>YUSUF GÜNEŞ</t>
  </si>
  <si>
    <t>BURAK ÜÇER</t>
  </si>
  <si>
    <t>BEYZANUR KAYA</t>
  </si>
  <si>
    <t>353184</t>
  </si>
  <si>
    <t>353186</t>
  </si>
  <si>
    <t>353115</t>
  </si>
  <si>
    <t>353117</t>
  </si>
  <si>
    <t>353121</t>
  </si>
  <si>
    <t>353122</t>
  </si>
  <si>
    <t>353167</t>
  </si>
  <si>
    <t>353166</t>
  </si>
  <si>
    <t>353199</t>
  </si>
  <si>
    <t>353198</t>
  </si>
  <si>
    <t>353194</t>
  </si>
  <si>
    <t>353187</t>
  </si>
  <si>
    <t>353189</t>
  </si>
  <si>
    <t>353191</t>
  </si>
  <si>
    <t>264892</t>
  </si>
  <si>
    <t>353176</t>
  </si>
  <si>
    <t>353179</t>
  </si>
  <si>
    <t>353125</t>
  </si>
  <si>
    <t>353126</t>
  </si>
  <si>
    <t>353128</t>
  </si>
  <si>
    <t>353130</t>
  </si>
  <si>
    <t>353132</t>
  </si>
  <si>
    <t>353165</t>
  </si>
  <si>
    <t>353171</t>
  </si>
  <si>
    <t>353168</t>
  </si>
  <si>
    <t>353169</t>
  </si>
  <si>
    <t>109540</t>
  </si>
  <si>
    <t>290160</t>
  </si>
  <si>
    <t>118127</t>
  </si>
  <si>
    <t>300992</t>
  </si>
  <si>
    <t>187169</t>
  </si>
  <si>
    <t>349497</t>
  </si>
  <si>
    <t>349488</t>
  </si>
  <si>
    <t>345096</t>
  </si>
  <si>
    <t>345433</t>
  </si>
  <si>
    <t>350713</t>
  </si>
  <si>
    <t>345181</t>
  </si>
  <si>
    <t>292179</t>
  </si>
  <si>
    <t>198530</t>
  </si>
  <si>
    <t>239699</t>
  </si>
  <si>
    <t>234989</t>
  </si>
  <si>
    <t>346145</t>
  </si>
  <si>
    <t>345112</t>
  </si>
  <si>
    <t>349540</t>
  </si>
  <si>
    <t>345436</t>
  </si>
  <si>
    <t>290643</t>
  </si>
  <si>
    <t>350557</t>
  </si>
  <si>
    <t>290287</t>
  </si>
  <si>
    <t>300530</t>
  </si>
  <si>
    <t>65286</t>
  </si>
  <si>
    <t>294102</t>
  </si>
  <si>
    <t>329307</t>
  </si>
  <si>
    <t>121113</t>
  </si>
  <si>
    <t>267921</t>
  </si>
  <si>
    <t>349572</t>
  </si>
  <si>
    <t>349554</t>
  </si>
  <si>
    <t>290267</t>
  </si>
  <si>
    <t>345108</t>
  </si>
  <si>
    <t>350715</t>
  </si>
  <si>
    <t>345435</t>
  </si>
  <si>
    <t>349489</t>
  </si>
  <si>
    <t>329159</t>
  </si>
  <si>
    <t>329506</t>
  </si>
  <si>
    <t>346140</t>
  </si>
  <si>
    <t>346139</t>
  </si>
  <si>
    <t>349502</t>
  </si>
  <si>
    <t>274127</t>
  </si>
  <si>
    <t>267972</t>
  </si>
  <si>
    <t>345434</t>
  </si>
  <si>
    <t>345121</t>
  </si>
  <si>
    <t>346144</t>
  </si>
  <si>
    <t>345175</t>
  </si>
  <si>
    <t>353391</t>
  </si>
  <si>
    <t>353389</t>
  </si>
  <si>
    <t>353387</t>
  </si>
  <si>
    <t>353386</t>
  </si>
  <si>
    <t>353385</t>
  </si>
  <si>
    <t>353521</t>
  </si>
  <si>
    <t>353415</t>
  </si>
  <si>
    <t>353388</t>
  </si>
  <si>
    <t>353523</t>
  </si>
  <si>
    <t>353526</t>
  </si>
  <si>
    <t>353528</t>
  </si>
  <si>
    <t>353530</t>
  </si>
  <si>
    <t>353466</t>
  </si>
  <si>
    <t>353459</t>
  </si>
  <si>
    <t>353452</t>
  </si>
  <si>
    <t>353445</t>
  </si>
  <si>
    <t>353439</t>
  </si>
  <si>
    <t>353401</t>
  </si>
  <si>
    <t>353413</t>
  </si>
  <si>
    <t>353395</t>
  </si>
  <si>
    <t>353394</t>
  </si>
  <si>
    <t>353534</t>
  </si>
  <si>
    <t>353532</t>
  </si>
  <si>
    <t>353402</t>
  </si>
  <si>
    <t>353404</t>
  </si>
  <si>
    <t>353392</t>
  </si>
  <si>
    <t>248950</t>
  </si>
  <si>
    <t>353757</t>
  </si>
  <si>
    <t>353775</t>
  </si>
  <si>
    <t>351301</t>
  </si>
  <si>
    <t>353780</t>
  </si>
  <si>
    <t>353743</t>
  </si>
  <si>
    <t>353739</t>
  </si>
  <si>
    <t>353762</t>
  </si>
  <si>
    <t>353748</t>
  </si>
  <si>
    <t>353752</t>
  </si>
  <si>
    <t>353746</t>
  </si>
  <si>
    <t>353754</t>
  </si>
  <si>
    <t>353833</t>
  </si>
  <si>
    <t>353759</t>
  </si>
  <si>
    <t>353777</t>
  </si>
  <si>
    <t>353753</t>
  </si>
  <si>
    <t>353437</t>
  </si>
  <si>
    <t>HATİCE AKTAŞ</t>
  </si>
  <si>
    <t>SEVGİ DEMİR</t>
  </si>
  <si>
    <t>LEYLA GÜNGÖR</t>
  </si>
  <si>
    <t>SÜMEYRA UÇUK</t>
  </si>
  <si>
    <t>KARDELEN MİZİKOĞLU</t>
  </si>
  <si>
    <t>ELVAN ÇİÇEK</t>
  </si>
  <si>
    <t>MERVE ACAR</t>
  </si>
  <si>
    <t>NİDA ADIGÜZEL</t>
  </si>
  <si>
    <t>ZEYNEP SUSUROĞLU</t>
  </si>
  <si>
    <t>ELİF ACER</t>
  </si>
  <si>
    <t>BERİVAN DEMİR</t>
  </si>
  <si>
    <t>VİYAN ADALMIŞ</t>
  </si>
  <si>
    <t>MERVE ŞARMAN</t>
  </si>
  <si>
    <t>BERFİN ÖZGEZER</t>
  </si>
  <si>
    <t>YAREN KARATAN</t>
  </si>
  <si>
    <t>BUSE DEMİRCAN</t>
  </si>
  <si>
    <t>GAMZE BABAT</t>
  </si>
  <si>
    <t>AYŞE YILDIZ</t>
  </si>
  <si>
    <t>HARUN KAÇMAZ</t>
  </si>
  <si>
    <t>ÖZLEM ÇELİK</t>
  </si>
  <si>
    <t>SÜMEYYA BİTER</t>
  </si>
  <si>
    <t>NESRİN ALGU</t>
  </si>
  <si>
    <t>ŞEYMA AKTAŞ</t>
  </si>
  <si>
    <t>KADRİYE GÜRER</t>
  </si>
  <si>
    <t>BEYZANUR SELOĞLU</t>
  </si>
  <si>
    <t>EVİN GÜNDÜZ</t>
  </si>
  <si>
    <t>EYLÜL ERTUĞRUL</t>
  </si>
  <si>
    <t>SEMANUR SADAK</t>
  </si>
  <si>
    <t>YUSUF CAN</t>
  </si>
  <si>
    <t>UĞURCAN ALTAY</t>
  </si>
  <si>
    <t>MUSTAFA KELEŞ</t>
  </si>
  <si>
    <t>DOĞAN BOZAN</t>
  </si>
  <si>
    <t>BATUHAN SUSTAN</t>
  </si>
  <si>
    <t>SERHAT KORKUT</t>
  </si>
  <si>
    <t>BEDİRHAN EFE GÜL</t>
  </si>
  <si>
    <t>YUSUF BABUR</t>
  </si>
  <si>
    <t>MUHAMMED ÖRS</t>
  </si>
  <si>
    <t>AYŞE ÇETİN</t>
  </si>
  <si>
    <t>İREM NUR YILDIRIM</t>
  </si>
  <si>
    <t>SEDA YILDIRIM</t>
  </si>
  <si>
    <t>SONGÜL ŞANVERDİ</t>
  </si>
  <si>
    <t>İLAYDA BİLİCİ</t>
  </si>
  <si>
    <t>ZELİHA AYBAR</t>
  </si>
  <si>
    <t>HATİCE ORTA</t>
  </si>
  <si>
    <t>DİLEK KILIÇ</t>
  </si>
  <si>
    <t>EMİNE AKSU</t>
  </si>
  <si>
    <t>PINAR ÇALAPKOLU</t>
  </si>
  <si>
    <t>BAŞAK CENKERİ</t>
  </si>
  <si>
    <t>FATMANUR ÇALIŞKAN</t>
  </si>
  <si>
    <t>FADİME ÖZNUR GÜNEŞ</t>
  </si>
  <si>
    <t>İREM ESRA ERSOY</t>
  </si>
  <si>
    <t>EBRAR MELİSA DAŞ</t>
  </si>
  <si>
    <t>YASEMİN ERGÜN</t>
  </si>
  <si>
    <t>BERAT ÖZDEK</t>
  </si>
  <si>
    <t>YUSUF YILMAZ</t>
  </si>
  <si>
    <t>EMRE YILMAZ</t>
  </si>
  <si>
    <t>RAHMAN HALİL BAŞLI</t>
  </si>
  <si>
    <t>MUSA DEMİR</t>
  </si>
  <si>
    <t>MUHAMMED ALİ ONAT</t>
  </si>
  <si>
    <t>ALPEREN ÜZNÜK</t>
  </si>
  <si>
    <t>AHMET TOLUMOĞLU</t>
  </si>
  <si>
    <t>354326</t>
  </si>
  <si>
    <t>354329</t>
  </si>
  <si>
    <t>354333</t>
  </si>
  <si>
    <t>296234</t>
  </si>
  <si>
    <t>354334</t>
  </si>
  <si>
    <t>354339</t>
  </si>
  <si>
    <t>354338</t>
  </si>
  <si>
    <t>354345</t>
  </si>
  <si>
    <t>354353</t>
  </si>
  <si>
    <t>354360</t>
  </si>
  <si>
    <t>354296</t>
  </si>
  <si>
    <t>354292</t>
  </si>
  <si>
    <t>354293</t>
  </si>
  <si>
    <t>354315</t>
  </si>
  <si>
    <t>354316</t>
  </si>
  <si>
    <t>354318</t>
  </si>
  <si>
    <t>344512</t>
  </si>
  <si>
    <t>354319</t>
  </si>
  <si>
    <t>354328</t>
  </si>
  <si>
    <t>249865</t>
  </si>
  <si>
    <t>354320</t>
  </si>
  <si>
    <t>354323</t>
  </si>
  <si>
    <t>354324</t>
  </si>
  <si>
    <t>354336</t>
  </si>
  <si>
    <t>354349</t>
  </si>
  <si>
    <t>354352</t>
  </si>
  <si>
    <t>354356</t>
  </si>
  <si>
    <t>354357</t>
  </si>
  <si>
    <t>354347</t>
  </si>
  <si>
    <t>354350</t>
  </si>
  <si>
    <t>354335</t>
  </si>
  <si>
    <t>354341</t>
  </si>
  <si>
    <t>354344</t>
  </si>
  <si>
    <t>354343</t>
  </si>
  <si>
    <t>276658</t>
  </si>
  <si>
    <t>354330</t>
  </si>
  <si>
    <t>354331</t>
  </si>
  <si>
    <t>354639</t>
  </si>
  <si>
    <t>354649</t>
  </si>
  <si>
    <t>354658</t>
  </si>
  <si>
    <t>354670</t>
  </si>
  <si>
    <t>354682</t>
  </si>
  <si>
    <t>354644</t>
  </si>
  <si>
    <t>354646</t>
  </si>
  <si>
    <t>354657</t>
  </si>
  <si>
    <t>354653</t>
  </si>
  <si>
    <t>354655</t>
  </si>
  <si>
    <t>354659</t>
  </si>
  <si>
    <t>354661</t>
  </si>
  <si>
    <t>354348</t>
  </si>
  <si>
    <t>354667</t>
  </si>
  <si>
    <t>354676</t>
  </si>
  <si>
    <t>354679</t>
  </si>
  <si>
    <t>354686</t>
  </si>
  <si>
    <t>354687</t>
  </si>
  <si>
    <t>354688</t>
  </si>
  <si>
    <t>354691</t>
  </si>
  <si>
    <t>354692</t>
  </si>
  <si>
    <t>354689</t>
  </si>
  <si>
    <t>354718</t>
  </si>
  <si>
    <t>354731</t>
  </si>
  <si>
    <t>GİZEM YILDIRIM</t>
  </si>
  <si>
    <t>NURAY SÜNE</t>
  </si>
  <si>
    <t>RUMEYSA DİLEK AKYEL</t>
  </si>
  <si>
    <t>SÜMEYYE DEMİR</t>
  </si>
  <si>
    <t>CEYLAN ERGİN</t>
  </si>
  <si>
    <t>AYŞEGÜL TÜRKER</t>
  </si>
  <si>
    <t>CANSU DEMİR</t>
  </si>
  <si>
    <t>ELİF ERŞEN</t>
  </si>
  <si>
    <t>ELVAN BÜLBÜN</t>
  </si>
  <si>
    <t>ÖZNUR KÖÇMEN</t>
  </si>
  <si>
    <t>ROJİN DOLAR</t>
  </si>
  <si>
    <t>SEMA KONCA</t>
  </si>
  <si>
    <t>ŞENGÜL BAYRAM</t>
  </si>
  <si>
    <t>MEDİNE ASLAN</t>
  </si>
  <si>
    <t>MERVE BERK</t>
  </si>
  <si>
    <t>MERYEM ERTONBUL</t>
  </si>
  <si>
    <t>FATMA DEMİR</t>
  </si>
  <si>
    <t>GÜLSÜM ÇİÇEK</t>
  </si>
  <si>
    <t>HAVİN KARAGÜLLE</t>
  </si>
  <si>
    <t>HELİN ÇABUK</t>
  </si>
  <si>
    <t>İLKNUR ZORBA</t>
  </si>
  <si>
    <t>ELİF ÇEKEN</t>
  </si>
  <si>
    <t>NAZLICAN ÇOBAN</t>
  </si>
  <si>
    <t>TUĞBA DENİZ</t>
  </si>
  <si>
    <t>YAREN TURAN</t>
  </si>
  <si>
    <t>EREN BABUR</t>
  </si>
  <si>
    <t>MUHAMMED ENSAR ÖNKÜR</t>
  </si>
  <si>
    <t>BEDİRHAN HAZAN</t>
  </si>
  <si>
    <t>BİRKAN BOLAT</t>
  </si>
  <si>
    <t>DİDAR KILIÇ</t>
  </si>
  <si>
    <t>AYŞE MERVE AZAKLI</t>
  </si>
  <si>
    <t>RABİA ÖZKAN</t>
  </si>
  <si>
    <t>HELİN SENA KAYA</t>
  </si>
  <si>
    <t>355196</t>
  </si>
  <si>
    <t>355192</t>
  </si>
  <si>
    <t>355171</t>
  </si>
  <si>
    <t>355127</t>
  </si>
  <si>
    <t>355173</t>
  </si>
  <si>
    <t>355182</t>
  </si>
  <si>
    <t>355125</t>
  </si>
  <si>
    <t>355188</t>
  </si>
  <si>
    <t>355122</t>
  </si>
  <si>
    <t>211562</t>
  </si>
  <si>
    <t>355203</t>
  </si>
  <si>
    <t>355204</t>
  </si>
  <si>
    <t>355117</t>
  </si>
  <si>
    <t>355186</t>
  </si>
  <si>
    <t>355119</t>
  </si>
  <si>
    <t>355191</t>
  </si>
  <si>
    <t>355116</t>
  </si>
  <si>
    <t>332938</t>
  </si>
  <si>
    <t>355202</t>
  </si>
  <si>
    <t>355172</t>
  </si>
  <si>
    <t>355121</t>
  </si>
  <si>
    <t>355194</t>
  </si>
  <si>
    <t>355176</t>
  </si>
  <si>
    <t>355205</t>
  </si>
  <si>
    <t>355181</t>
  </si>
  <si>
    <t>355178</t>
  </si>
  <si>
    <t>241756</t>
  </si>
  <si>
    <t>278977</t>
  </si>
  <si>
    <t>355288</t>
  </si>
  <si>
    <t>355299</t>
  </si>
  <si>
    <t>355206</t>
  </si>
  <si>
    <t>300222</t>
  </si>
  <si>
    <t>347795</t>
  </si>
  <si>
    <t>349528</t>
  </si>
  <si>
    <t>BETÜL AKÇAY</t>
  </si>
  <si>
    <t>ROJİN KURT</t>
  </si>
  <si>
    <t>TUĞBA TETİK</t>
  </si>
  <si>
    <t>GÜLİSTAN BİLECEN</t>
  </si>
  <si>
    <t>SEVGİ KURT</t>
  </si>
  <si>
    <t>MUSA GÖKCAN</t>
  </si>
  <si>
    <t>ESMANUR AKBAŞ</t>
  </si>
  <si>
    <t>HÜLYA UÇAR</t>
  </si>
  <si>
    <t>KADRİYE NARİN OĞURTAN</t>
  </si>
  <si>
    <t>ŞEYMA ŞEN</t>
  </si>
  <si>
    <t>ZÜLFİYE SARIYUMAK</t>
  </si>
  <si>
    <t>SUDENAZ ALP</t>
  </si>
  <si>
    <t>GÜNAY TURAK</t>
  </si>
  <si>
    <t>KADER EFE</t>
  </si>
  <si>
    <t>BEYZANUR BULDU</t>
  </si>
  <si>
    <t>ESRA TAHTECİ</t>
  </si>
  <si>
    <t>FERİDE TORUN</t>
  </si>
  <si>
    <t>İPEK TAŞDEMİR</t>
  </si>
  <si>
    <t>İLKNUR KABAN</t>
  </si>
  <si>
    <t>SERHAT ÇİÇEK</t>
  </si>
  <si>
    <t>Part-Time</t>
  </si>
  <si>
    <t>YÖNETİM</t>
  </si>
  <si>
    <t>Ref2</t>
  </si>
  <si>
    <t>355364</t>
  </si>
  <si>
    <t>355367</t>
  </si>
  <si>
    <t>355369</t>
  </si>
  <si>
    <t>355169</t>
  </si>
  <si>
    <t>355366</t>
  </si>
  <si>
    <t>334378</t>
  </si>
  <si>
    <t>355498</t>
  </si>
  <si>
    <t>355497</t>
  </si>
  <si>
    <t>355499</t>
  </si>
  <si>
    <t>303356</t>
  </si>
  <si>
    <t>354643</t>
  </si>
  <si>
    <t>355502</t>
  </si>
  <si>
    <t>355372</t>
  </si>
  <si>
    <t>355546</t>
  </si>
  <si>
    <t>354638</t>
  </si>
  <si>
    <t>278410</t>
  </si>
  <si>
    <t>355550</t>
  </si>
  <si>
    <t>355549</t>
  </si>
  <si>
    <t>355512</t>
  </si>
  <si>
    <t>355304</t>
  </si>
  <si>
    <t>GÖREV ALANI2</t>
  </si>
  <si>
    <t>Toplam 05.10</t>
  </si>
  <si>
    <t>Toplam 06.10</t>
  </si>
  <si>
    <t>Toplam 07.10</t>
  </si>
  <si>
    <t>Toplam 08.10</t>
  </si>
  <si>
    <t>Toplam 09.10</t>
  </si>
  <si>
    <t>Toplam 10.10</t>
  </si>
  <si>
    <t>Toplam 11.10</t>
  </si>
  <si>
    <t>DESTEK</t>
  </si>
  <si>
    <t>Verilen</t>
  </si>
  <si>
    <t>INTERNET DEPO ADRES KONTROL VE VAS</t>
  </si>
  <si>
    <t>INTERNET DEPO KARGO</t>
  </si>
  <si>
    <t>INTERNET DEPO MUSTERI IADE</t>
  </si>
  <si>
    <t>Internet Depo Ozel Projeler</t>
  </si>
  <si>
    <t>INTERNET DEPO SORTER VE PAKETLEME</t>
  </si>
  <si>
    <t>INTERNET DEPO TOPLAMA</t>
  </si>
  <si>
    <t>INTERNET DEPO URUN KABUL VE ADRESLEME</t>
  </si>
  <si>
    <t>alınan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</si>
</sst>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₺&quot;* #,##0.00_-;\-&quot;₺&quot;* #,##0.00_-;_-&quot;₺&quot;* &quot;-&quot;??_-;_-@_-"/>
    <numFmt numFmtId="43" formatCode="_-* #,##0.00_-;\-* #,##0.00_-;_-* &quot;-&quot;??_-;_-@_-"/>
    <numFmt numFmtId="164" formatCode="_-* #,##0_-;\-* #,##0_-;_-* &quot;-&quot;??_-;_-@_-"/>
    <numFmt numFmtId="165" formatCode="_-&quot;₺&quot;* #,##0_-;\-&quot;₺&quot;* #,##0_-;_-&quot;₺&quot;* &quot;-&quot;??_-;_-@_-"/>
    <numFmt numFmtId="166" formatCode="0.0"/>
    <numFmt numFmtId="167" formatCode="_-* #,##0.0_-;\-* #,##0.0_-;_-* &quot;-&quot;??_-;_-@_-"/>
    <numFmt numFmtId="168" formatCode="0.0%"/>
    <numFmt numFmtId="169" formatCode="_-* #,##0.000_-;\-* #,##0.000_-;_-* &quot;-&quot;??_-;_-@_-"/>
    <numFmt numFmtId="170" formatCode="0.000%"/>
    <numFmt numFmtId="171" formatCode="dd\.mm\.yyyy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Segoe UI"/>
      <family val="2"/>
      <charset val="162"/>
    </font>
    <font>
      <b/>
      <sz val="11"/>
      <color rgb="FFCD5937"/>
      <name val="Calibri"/>
      <family val="2"/>
      <scheme val="minor"/>
    </font>
    <font>
      <sz val="10"/>
      <name val="SansSerif"/>
      <charset val="2"/>
    </font>
    <font>
      <sz val="8"/>
      <color theme="1"/>
      <name val="Segoe UI"/>
      <family val="2"/>
      <charset val="162"/>
    </font>
    <font>
      <sz val="11"/>
      <color theme="1"/>
      <name val="Segoe UI"/>
      <family val="2"/>
      <charset val="162"/>
    </font>
    <font>
      <b/>
      <sz val="11"/>
      <color rgb="FFCD5937"/>
      <name val="Segoe UI"/>
      <family val="2"/>
      <charset val="162"/>
    </font>
    <font>
      <sz val="10"/>
      <color theme="1"/>
      <name val="SansSerif"/>
      <charset val="2"/>
    </font>
    <font>
      <b/>
      <sz val="8"/>
      <color rgb="FF000000"/>
      <name val="Calibri"/>
      <family val="2"/>
      <charset val="162"/>
      <scheme val="minor"/>
    </font>
    <font>
      <b/>
      <sz val="11"/>
      <color rgb="FF000000"/>
      <name val="Calibri"/>
      <family val="2"/>
      <charset val="162"/>
      <scheme val="minor"/>
    </font>
    <font>
      <b/>
      <sz val="8"/>
      <color rgb="FF000000"/>
      <name val="Arial"/>
      <family val="2"/>
      <charset val="162"/>
    </font>
    <font>
      <sz val="8"/>
      <color rgb="FF000000"/>
      <name val="Calibri"/>
      <family val="2"/>
      <charset val="162"/>
      <scheme val="minor"/>
    </font>
    <font>
      <b/>
      <sz val="11"/>
      <color theme="1"/>
      <name val="Calibri"/>
      <charset val="1"/>
    </font>
  </fonts>
  <fills count="1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1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4" fillId="0" borderId="0" applyFont="0" applyFill="0" applyBorder="0" applyAlignment="0" applyProtection="0"/>
    <xf numFmtId="0" fontId="10" fillId="0" borderId="0"/>
  </cellStyleXfs>
  <cellXfs count="244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1" fontId="0" fillId="0" borderId="0" xfId="0" applyNumberFormat="1"/>
    <xf numFmtId="0" fontId="5" fillId="0" borderId="0" xfId="0" applyFont="1"/>
    <xf numFmtId="1" fontId="0" fillId="0" borderId="0" xfId="0" applyNumberFormat="1" applyBorder="1"/>
    <xf numFmtId="164" fontId="0" fillId="0" borderId="0" xfId="1" applyNumberFormat="1" applyFont="1" applyBorder="1"/>
    <xf numFmtId="0" fontId="0" fillId="0" borderId="0" xfId="0" applyBorder="1"/>
    <xf numFmtId="164" fontId="0" fillId="0" borderId="0" xfId="0" applyNumberFormat="1" applyFill="1" applyBorder="1"/>
    <xf numFmtId="0" fontId="5" fillId="2" borderId="0" xfId="0" applyFont="1" applyFill="1" applyBorder="1"/>
    <xf numFmtId="14" fontId="5" fillId="2" borderId="0" xfId="0" applyNumberFormat="1" applyFont="1" applyFill="1" applyBorder="1"/>
    <xf numFmtId="0" fontId="5" fillId="3" borderId="0" xfId="0" applyFont="1" applyFill="1" applyBorder="1"/>
    <xf numFmtId="164" fontId="5" fillId="4" borderId="0" xfId="1" applyNumberFormat="1" applyFont="1" applyFill="1" applyBorder="1"/>
    <xf numFmtId="0" fontId="5" fillId="4" borderId="0" xfId="0" applyFont="1" applyFill="1" applyBorder="1"/>
    <xf numFmtId="164" fontId="5" fillId="5" borderId="0" xfId="1" applyNumberFormat="1" applyFont="1" applyFill="1" applyBorder="1"/>
    <xf numFmtId="0" fontId="5" fillId="5" borderId="0" xfId="0" applyFont="1" applyFill="1" applyBorder="1"/>
    <xf numFmtId="164" fontId="5" fillId="6" borderId="0" xfId="1" applyNumberFormat="1" applyFont="1" applyFill="1" applyBorder="1"/>
    <xf numFmtId="0" fontId="5" fillId="6" borderId="0" xfId="0" applyFont="1" applyFill="1" applyBorder="1"/>
    <xf numFmtId="164" fontId="0" fillId="10" borderId="0" xfId="1" applyNumberFormat="1" applyFont="1" applyFill="1" applyBorder="1" applyAlignment="1">
      <alignment horizontal="center"/>
    </xf>
    <xf numFmtId="164" fontId="0" fillId="0" borderId="0" xfId="0" applyNumberFormat="1" applyBorder="1"/>
    <xf numFmtId="165" fontId="0" fillId="0" borderId="0" xfId="0" applyNumberFormat="1" applyBorder="1"/>
    <xf numFmtId="0" fontId="0" fillId="0" borderId="0" xfId="0" applyNumberFormat="1" applyBorder="1"/>
    <xf numFmtId="0" fontId="1" fillId="0" borderId="0" xfId="0" applyFont="1" applyBorder="1" applyAlignment="1">
      <alignment vertical="center"/>
    </xf>
    <xf numFmtId="14" fontId="7" fillId="0" borderId="0" xfId="0" applyNumberFormat="1" applyFont="1" applyBorder="1" applyAlignment="1">
      <alignment vertical="center" wrapText="1"/>
    </xf>
    <xf numFmtId="3" fontId="0" fillId="0" borderId="0" xfId="0" applyNumberForma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3" fontId="0" fillId="0" borderId="0" xfId="0" applyNumberFormat="1" applyBorder="1"/>
    <xf numFmtId="14" fontId="0" fillId="0" borderId="0" xfId="0" applyNumberFormat="1" applyBorder="1"/>
    <xf numFmtId="43" fontId="0" fillId="0" borderId="0" xfId="0" applyNumberFormat="1"/>
    <xf numFmtId="164" fontId="0" fillId="8" borderId="0" xfId="1" applyNumberFormat="1" applyFont="1" applyFill="1" applyBorder="1"/>
    <xf numFmtId="10" fontId="0" fillId="0" borderId="0" xfId="9" applyNumberFormat="1" applyFont="1" applyBorder="1"/>
    <xf numFmtId="0" fontId="0" fillId="0" borderId="0" xfId="0" applyFont="1" applyBorder="1"/>
    <xf numFmtId="14" fontId="7" fillId="2" borderId="0" xfId="0" applyNumberFormat="1" applyFont="1" applyFill="1" applyBorder="1"/>
    <xf numFmtId="164" fontId="0" fillId="0" borderId="0" xfId="0" applyNumberFormat="1" applyBorder="1" applyAlignment="1">
      <alignment vertical="center" wrapText="1"/>
    </xf>
    <xf numFmtId="3" fontId="0" fillId="0" borderId="0" xfId="0" applyNumberFormat="1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center" wrapText="1"/>
    </xf>
    <xf numFmtId="3" fontId="0" fillId="0" borderId="0" xfId="0" applyNumberFormat="1" applyFont="1" applyBorder="1" applyAlignment="1">
      <alignment vertical="center" wrapText="1"/>
    </xf>
    <xf numFmtId="0" fontId="0" fillId="0" borderId="0" xfId="0" applyBorder="1" applyAlignment="1">
      <alignment horizontal="left"/>
    </xf>
    <xf numFmtId="164" fontId="0" fillId="0" borderId="0" xfId="1" applyNumberFormat="1" applyFont="1" applyBorder="1" applyAlignment="1">
      <alignment horizontal="center"/>
    </xf>
    <xf numFmtId="3" fontId="7" fillId="0" borderId="0" xfId="0" applyNumberFormat="1" applyFont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14" fontId="0" fillId="8" borderId="0" xfId="0" applyNumberFormat="1" applyFill="1" applyBorder="1"/>
    <xf numFmtId="1" fontId="0" fillId="8" borderId="0" xfId="0" applyNumberFormat="1" applyFill="1" applyBorder="1"/>
    <xf numFmtId="0" fontId="0" fillId="8" borderId="0" xfId="0" applyFill="1" applyBorder="1"/>
    <xf numFmtId="164" fontId="0" fillId="0" borderId="0" xfId="1" applyNumberFormat="1" applyFont="1" applyBorder="1" applyAlignment="1">
      <alignment horizontal="right" wrapText="1"/>
    </xf>
    <xf numFmtId="164" fontId="0" fillId="0" borderId="0" xfId="1" applyNumberFormat="1" applyFont="1" applyFill="1" applyBorder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166" fontId="0" fillId="0" borderId="0" xfId="0" applyNumberFormat="1"/>
    <xf numFmtId="0" fontId="10" fillId="0" borderId="0" xfId="10" applyNumberFormat="1" applyBorder="1"/>
    <xf numFmtId="0" fontId="11" fillId="0" borderId="0" xfId="0" applyFont="1" applyBorder="1" applyAlignment="1">
      <alignment vertical="center"/>
    </xf>
    <xf numFmtId="14" fontId="8" fillId="0" borderId="0" xfId="0" applyNumberFormat="1" applyFont="1" applyBorder="1" applyAlignment="1">
      <alignment vertical="center" wrapText="1"/>
    </xf>
    <xf numFmtId="3" fontId="12" fillId="0" borderId="0" xfId="0" applyNumberFormat="1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11" fillId="0" borderId="0" xfId="0" applyFont="1" applyBorder="1"/>
    <xf numFmtId="14" fontId="7" fillId="2" borderId="0" xfId="1" applyNumberFormat="1" applyFont="1" applyFill="1" applyBorder="1"/>
    <xf numFmtId="14" fontId="0" fillId="0" borderId="0" xfId="0" applyNumberFormat="1" applyFont="1" applyBorder="1"/>
    <xf numFmtId="3" fontId="0" fillId="0" borderId="0" xfId="1" applyNumberFormat="1" applyFont="1" applyFill="1" applyBorder="1"/>
    <xf numFmtId="3" fontId="8" fillId="0" borderId="0" xfId="0" applyNumberFormat="1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ill="1" applyBorder="1"/>
    <xf numFmtId="9" fontId="0" fillId="0" borderId="0" xfId="9" applyFont="1" applyBorder="1"/>
    <xf numFmtId="10" fontId="0" fillId="0" borderId="0" xfId="9" applyNumberFormat="1" applyFont="1"/>
    <xf numFmtId="164" fontId="0" fillId="0" borderId="0" xfId="1" applyNumberFormat="1" applyFont="1" applyAlignment="1">
      <alignment horizontal="center"/>
    </xf>
    <xf numFmtId="0" fontId="0" fillId="0" borderId="0" xfId="9" applyNumberFormat="1" applyFont="1"/>
    <xf numFmtId="14" fontId="0" fillId="0" borderId="0" xfId="0" applyNumberFormat="1" applyBorder="1" applyAlignment="1">
      <alignment vertical="center" wrapText="1"/>
    </xf>
    <xf numFmtId="167" fontId="0" fillId="0" borderId="0" xfId="0" applyNumberFormat="1"/>
    <xf numFmtId="3" fontId="0" fillId="0" borderId="0" xfId="0" applyNumberFormat="1" applyFill="1" applyBorder="1" applyAlignment="1">
      <alignment vertical="center" wrapText="1"/>
    </xf>
    <xf numFmtId="16" fontId="7" fillId="0" borderId="0" xfId="0" applyNumberFormat="1" applyFont="1" applyBorder="1" applyAlignment="1">
      <alignment vertical="center" wrapText="1"/>
    </xf>
    <xf numFmtId="14" fontId="12" fillId="0" borderId="0" xfId="0" applyNumberFormat="1" applyFont="1" applyBorder="1" applyAlignment="1">
      <alignment vertical="center" wrapText="1"/>
    </xf>
    <xf numFmtId="164" fontId="14" fillId="0" borderId="0" xfId="1" applyNumberFormat="1" applyFont="1" applyBorder="1"/>
    <xf numFmtId="0" fontId="7" fillId="0" borderId="0" xfId="0" applyFont="1" applyAlignment="1">
      <alignment vertical="center" wrapText="1"/>
    </xf>
    <xf numFmtId="16" fontId="0" fillId="0" borderId="0" xfId="0" applyNumberFormat="1" applyBorder="1"/>
    <xf numFmtId="16" fontId="12" fillId="0" borderId="0" xfId="0" applyNumberFormat="1" applyFont="1" applyBorder="1" applyAlignment="1">
      <alignment vertical="center" wrapText="1"/>
    </xf>
    <xf numFmtId="14" fontId="7" fillId="0" borderId="0" xfId="0" applyNumberFormat="1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7" fillId="0" borderId="0" xfId="0" applyFont="1" applyAlignment="1">
      <alignment vertical="center"/>
    </xf>
    <xf numFmtId="43" fontId="0" fillId="0" borderId="0" xfId="0" applyNumberFormat="1" applyBorder="1"/>
    <xf numFmtId="0" fontId="12" fillId="0" borderId="0" xfId="0" applyFont="1" applyAlignment="1">
      <alignment vertical="center" wrapText="1"/>
    </xf>
    <xf numFmtId="0" fontId="7" fillId="0" borderId="0" xfId="0" applyFont="1" applyBorder="1" applyAlignment="1">
      <alignment vertical="center" wrapText="1"/>
    </xf>
    <xf numFmtId="16" fontId="0" fillId="0" borderId="0" xfId="0" applyNumberFormat="1" applyBorder="1" applyAlignment="1">
      <alignment vertical="center" wrapText="1"/>
    </xf>
    <xf numFmtId="0" fontId="7" fillId="3" borderId="0" xfId="0" applyFont="1" applyFill="1" applyBorder="1"/>
    <xf numFmtId="164" fontId="7" fillId="4" borderId="0" xfId="1" applyNumberFormat="1" applyFont="1" applyFill="1" applyBorder="1"/>
    <xf numFmtId="0" fontId="7" fillId="4" borderId="0" xfId="0" applyFont="1" applyFill="1" applyBorder="1"/>
    <xf numFmtId="164" fontId="7" fillId="5" borderId="0" xfId="1" applyNumberFormat="1" applyFont="1" applyFill="1" applyBorder="1"/>
    <xf numFmtId="0" fontId="7" fillId="5" borderId="0" xfId="0" applyFont="1" applyFill="1" applyBorder="1"/>
    <xf numFmtId="164" fontId="0" fillId="0" borderId="0" xfId="1" applyNumberFormat="1" applyFont="1" applyBorder="1" applyAlignment="1">
      <alignment horizontal="center" vertical="center"/>
    </xf>
    <xf numFmtId="164" fontId="0" fillId="0" borderId="0" xfId="1" applyNumberFormat="1" applyFont="1" applyBorder="1" applyAlignment="1">
      <alignment vertical="center" wrapText="1"/>
    </xf>
    <xf numFmtId="164" fontId="7" fillId="6" borderId="0" xfId="1" applyNumberFormat="1" applyFont="1" applyFill="1" applyBorder="1"/>
    <xf numFmtId="0" fontId="7" fillId="6" borderId="0" xfId="0" applyFont="1" applyFill="1" applyBorder="1"/>
    <xf numFmtId="0" fontId="7" fillId="0" borderId="0" xfId="0" applyFont="1" applyBorder="1" applyAlignment="1">
      <alignment vertical="center" wrapText="1"/>
    </xf>
    <xf numFmtId="164" fontId="9" fillId="0" borderId="0" xfId="0" applyNumberFormat="1" applyFont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0" fontId="13" fillId="0" borderId="0" xfId="0" applyFont="1" applyBorder="1" applyAlignment="1">
      <alignment vertical="center" wrapText="1"/>
    </xf>
    <xf numFmtId="164" fontId="1" fillId="0" borderId="0" xfId="1" applyNumberFormat="1" applyFont="1" applyBorder="1" applyAlignment="1">
      <alignment vertical="center" wrapText="1"/>
    </xf>
    <xf numFmtId="164" fontId="1" fillId="0" borderId="0" xfId="1" applyNumberFormat="1" applyFont="1" applyFill="1" applyBorder="1" applyAlignment="1">
      <alignment vertical="center" wrapText="1"/>
    </xf>
    <xf numFmtId="0" fontId="7" fillId="2" borderId="0" xfId="0" applyFont="1" applyFill="1" applyBorder="1"/>
    <xf numFmtId="164" fontId="12" fillId="0" borderId="0" xfId="1" applyNumberFormat="1" applyFont="1" applyBorder="1" applyAlignment="1">
      <alignment vertical="center" wrapText="1"/>
    </xf>
    <xf numFmtId="164" fontId="0" fillId="0" borderId="0" xfId="1" applyNumberFormat="1" applyFont="1" applyAlignment="1">
      <alignment vertical="center" wrapText="1"/>
    </xf>
    <xf numFmtId="1" fontId="0" fillId="0" borderId="0" xfId="0" applyNumberFormat="1" applyFill="1" applyBorder="1"/>
    <xf numFmtId="164" fontId="0" fillId="0" borderId="0" xfId="1" applyNumberFormat="1" applyFont="1" applyBorder="1" applyAlignment="1">
      <alignment horizontal="left"/>
    </xf>
    <xf numFmtId="0" fontId="0" fillId="0" borderId="0" xfId="0" applyFill="1" applyBorder="1" applyAlignment="1">
      <alignment horizontal="left"/>
    </xf>
    <xf numFmtId="164" fontId="4" fillId="0" borderId="0" xfId="1" applyNumberFormat="1" applyFont="1" applyAlignment="1">
      <alignment wrapText="1"/>
    </xf>
    <xf numFmtId="43" fontId="0" fillId="0" borderId="0" xfId="1" applyFont="1" applyBorder="1" applyAlignment="1">
      <alignment horizontal="left"/>
    </xf>
    <xf numFmtId="164" fontId="0" fillId="0" borderId="0" xfId="0" applyNumberFormat="1" applyBorder="1" applyAlignment="1">
      <alignment horizontal="left"/>
    </xf>
    <xf numFmtId="0" fontId="0" fillId="8" borderId="0" xfId="0" applyFill="1" applyBorder="1" applyAlignment="1">
      <alignment horizontal="left"/>
    </xf>
    <xf numFmtId="164" fontId="0" fillId="0" borderId="0" xfId="1" applyNumberFormat="1" applyFont="1" applyBorder="1" applyAlignment="1">
      <alignment wrapText="1"/>
    </xf>
    <xf numFmtId="164" fontId="0" fillId="0" borderId="0" xfId="1" applyNumberFormat="1" applyFont="1" applyAlignment="1">
      <alignment wrapText="1"/>
    </xf>
    <xf numFmtId="0" fontId="0" fillId="0" borderId="0" xfId="0" applyAlignment="1">
      <alignment horizontal="center"/>
    </xf>
    <xf numFmtId="3" fontId="7" fillId="0" borderId="0" xfId="0" applyNumberFormat="1" applyFont="1" applyAlignment="1">
      <alignment vertical="center" wrapText="1"/>
    </xf>
    <xf numFmtId="165" fontId="0" fillId="0" borderId="0" xfId="2" applyNumberFormat="1" applyFont="1"/>
    <xf numFmtId="0" fontId="0" fillId="0" borderId="0" xfId="0" applyAlignment="1"/>
    <xf numFmtId="14" fontId="0" fillId="0" borderId="0" xfId="0" applyNumberFormat="1" applyAlignment="1">
      <alignment horizontal="left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164" fontId="9" fillId="0" borderId="0" xfId="0" applyNumberFormat="1" applyFont="1" applyAlignment="1">
      <alignment vertical="center" wrapText="1"/>
    </xf>
    <xf numFmtId="0" fontId="15" fillId="11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top"/>
    </xf>
    <xf numFmtId="164" fontId="7" fillId="0" borderId="0" xfId="1" applyNumberFormat="1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3" fontId="5" fillId="0" borderId="5" xfId="0" applyNumberFormat="1" applyFont="1" applyBorder="1" applyAlignment="1">
      <alignment horizontal="center"/>
    </xf>
    <xf numFmtId="43" fontId="1" fillId="0" borderId="6" xfId="1" applyFont="1" applyBorder="1" applyAlignment="1">
      <alignment horizontal="center"/>
    </xf>
    <xf numFmtId="43" fontId="1" fillId="0" borderId="8" xfId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68" fontId="5" fillId="15" borderId="4" xfId="9" applyNumberFormat="1" applyFont="1" applyFill="1" applyBorder="1" applyAlignment="1">
      <alignment horizontal="center"/>
    </xf>
    <xf numFmtId="168" fontId="5" fillId="16" borderId="8" xfId="9" applyNumberFormat="1" applyFont="1" applyFill="1" applyBorder="1" applyAlignment="1">
      <alignment horizontal="center"/>
    </xf>
    <xf numFmtId="9" fontId="5" fillId="15" borderId="8" xfId="9" applyFont="1" applyFill="1" applyBorder="1" applyAlignment="1">
      <alignment horizontal="center"/>
    </xf>
    <xf numFmtId="168" fontId="5" fillId="15" borderId="8" xfId="9" applyNumberFormat="1" applyFont="1" applyFill="1" applyBorder="1" applyAlignment="1">
      <alignment horizontal="center"/>
    </xf>
    <xf numFmtId="9" fontId="0" fillId="0" borderId="6" xfId="9" applyFont="1" applyBorder="1" applyAlignment="1">
      <alignment horizontal="center"/>
    </xf>
    <xf numFmtId="168" fontId="5" fillId="15" borderId="6" xfId="9" applyNumberFormat="1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168" fontId="5" fillId="16" borderId="4" xfId="9" applyNumberFormat="1" applyFont="1" applyFill="1" applyBorder="1" applyAlignment="1">
      <alignment horizontal="center"/>
    </xf>
    <xf numFmtId="3" fontId="5" fillId="0" borderId="9" xfId="0" applyNumberFormat="1" applyFont="1" applyBorder="1" applyAlignment="1">
      <alignment horizontal="center"/>
    </xf>
    <xf numFmtId="3" fontId="1" fillId="0" borderId="10" xfId="0" applyNumberFormat="1" applyFont="1" applyBorder="1" applyAlignment="1">
      <alignment horizontal="center"/>
    </xf>
    <xf numFmtId="3" fontId="1" fillId="0" borderId="11" xfId="0" applyNumberFormat="1" applyFont="1" applyBorder="1" applyAlignment="1">
      <alignment horizontal="center"/>
    </xf>
    <xf numFmtId="3" fontId="5" fillId="0" borderId="6" xfId="0" applyNumberFormat="1" applyFont="1" applyBorder="1" applyAlignment="1">
      <alignment horizontal="center"/>
    </xf>
    <xf numFmtId="9" fontId="0" fillId="0" borderId="11" xfId="9" applyFont="1" applyBorder="1" applyAlignment="1">
      <alignment horizontal="center"/>
    </xf>
    <xf numFmtId="9" fontId="0" fillId="0" borderId="0" xfId="9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0" fontId="0" fillId="0" borderId="0" xfId="0" applyNumberFormat="1"/>
    <xf numFmtId="0" fontId="11" fillId="0" borderId="0" xfId="0" applyFont="1"/>
    <xf numFmtId="0" fontId="11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16" fontId="8" fillId="0" borderId="0" xfId="0" applyNumberFormat="1" applyFont="1" applyAlignment="1">
      <alignment vertical="center" wrapText="1"/>
    </xf>
    <xf numFmtId="3" fontId="12" fillId="0" borderId="0" xfId="0" applyNumberFormat="1" applyFont="1" applyAlignment="1">
      <alignment vertical="center" wrapText="1"/>
    </xf>
    <xf numFmtId="0" fontId="13" fillId="0" borderId="0" xfId="0" applyFont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164" fontId="0" fillId="8" borderId="0" xfId="0" applyNumberFormat="1" applyFill="1"/>
    <xf numFmtId="164" fontId="0" fillId="8" borderId="0" xfId="0" applyNumberFormat="1" applyFill="1" applyBorder="1" applyAlignment="1">
      <alignment horizontal="left"/>
    </xf>
    <xf numFmtId="164" fontId="0" fillId="8" borderId="0" xfId="1" applyNumberFormat="1" applyFont="1" applyFill="1" applyBorder="1" applyAlignment="1">
      <alignment horizontal="left"/>
    </xf>
    <xf numFmtId="164" fontId="0" fillId="8" borderId="0" xfId="1" applyNumberFormat="1" applyFont="1" applyFill="1"/>
    <xf numFmtId="164" fontId="0" fillId="8" borderId="0" xfId="1" applyNumberFormat="1" applyFont="1" applyFill="1" applyBorder="1" applyAlignment="1">
      <alignment vertical="center" wrapText="1"/>
    </xf>
    <xf numFmtId="9" fontId="0" fillId="8" borderId="0" xfId="9" applyFont="1" applyFill="1" applyBorder="1"/>
    <xf numFmtId="164" fontId="0" fillId="8" borderId="0" xfId="0" applyNumberFormat="1" applyFill="1" applyBorder="1"/>
    <xf numFmtId="9" fontId="0" fillId="0" borderId="10" xfId="9" applyFont="1" applyBorder="1" applyAlignment="1">
      <alignment horizontal="center"/>
    </xf>
    <xf numFmtId="9" fontId="0" fillId="0" borderId="12" xfId="9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3" fontId="1" fillId="0" borderId="12" xfId="0" applyNumberFormat="1" applyFont="1" applyBorder="1" applyAlignment="1">
      <alignment horizontal="center"/>
    </xf>
    <xf numFmtId="3" fontId="1" fillId="0" borderId="6" xfId="0" applyNumberFormat="1" applyFont="1" applyBorder="1" applyAlignment="1">
      <alignment horizontal="center"/>
    </xf>
    <xf numFmtId="3" fontId="1" fillId="0" borderId="0" xfId="0" applyNumberFormat="1" applyFont="1" applyFill="1" applyBorder="1" applyAlignment="1">
      <alignment horizontal="center"/>
    </xf>
    <xf numFmtId="164" fontId="7" fillId="0" borderId="0" xfId="0" applyNumberFormat="1" applyFont="1" applyAlignment="1">
      <alignment vertical="center" wrapText="1"/>
    </xf>
    <xf numFmtId="0" fontId="7" fillId="0" borderId="0" xfId="0" applyNumberFormat="1" applyFont="1" applyAlignment="1">
      <alignment vertical="center" wrapText="1"/>
    </xf>
    <xf numFmtId="0" fontId="0" fillId="0" borderId="0" xfId="2" applyNumberFormat="1" applyFont="1" applyBorder="1"/>
    <xf numFmtId="164" fontId="7" fillId="0" borderId="0" xfId="1" applyNumberFormat="1" applyFont="1" applyAlignment="1">
      <alignment vertical="center" wrapText="1"/>
    </xf>
    <xf numFmtId="4" fontId="1" fillId="0" borderId="0" xfId="0" applyNumberFormat="1" applyFont="1" applyFill="1" applyBorder="1" applyAlignment="1">
      <alignment horizontal="center"/>
    </xf>
    <xf numFmtId="43" fontId="0" fillId="0" borderId="10" xfId="1" applyFont="1" applyBorder="1" applyAlignment="1">
      <alignment horizontal="center"/>
    </xf>
    <xf numFmtId="0" fontId="0" fillId="0" borderId="0" xfId="0" applyAlignment="1">
      <alignment vertical="center" wrapText="1"/>
    </xf>
    <xf numFmtId="1" fontId="9" fillId="0" borderId="0" xfId="0" applyNumberFormat="1" applyFont="1" applyAlignment="1">
      <alignment vertical="center" wrapText="1"/>
    </xf>
    <xf numFmtId="9" fontId="0" fillId="0" borderId="0" xfId="9" applyNumberFormat="1" applyFont="1" applyBorder="1"/>
    <xf numFmtId="14" fontId="0" fillId="16" borderId="0" xfId="0" applyNumberFormat="1" applyFill="1" applyBorder="1"/>
    <xf numFmtId="164" fontId="0" fillId="16" borderId="0" xfId="0" applyNumberFormat="1" applyFill="1"/>
    <xf numFmtId="164" fontId="0" fillId="16" borderId="0" xfId="0" applyNumberFormat="1" applyFill="1" applyBorder="1" applyAlignment="1">
      <alignment horizontal="left"/>
    </xf>
    <xf numFmtId="164" fontId="0" fillId="16" borderId="0" xfId="1" applyNumberFormat="1" applyFont="1" applyFill="1" applyBorder="1"/>
    <xf numFmtId="164" fontId="0" fillId="16" borderId="0" xfId="1" applyNumberFormat="1" applyFont="1" applyFill="1" applyBorder="1" applyAlignment="1">
      <alignment horizontal="left"/>
    </xf>
    <xf numFmtId="164" fontId="0" fillId="16" borderId="0" xfId="1" applyNumberFormat="1" applyFont="1" applyFill="1"/>
    <xf numFmtId="164" fontId="0" fillId="16" borderId="0" xfId="1" applyNumberFormat="1" applyFont="1" applyFill="1" applyBorder="1" applyAlignment="1">
      <alignment vertical="center" wrapText="1"/>
    </xf>
    <xf numFmtId="9" fontId="0" fillId="16" borderId="0" xfId="9" applyFont="1" applyFill="1" applyBorder="1"/>
    <xf numFmtId="164" fontId="0" fillId="16" borderId="0" xfId="0" applyNumberFormat="1" applyFill="1" applyBorder="1"/>
    <xf numFmtId="0" fontId="0" fillId="16" borderId="0" xfId="0" applyFill="1" applyBorder="1"/>
    <xf numFmtId="0" fontId="7" fillId="16" borderId="0" xfId="0" applyFont="1" applyFill="1" applyAlignment="1">
      <alignment vertical="center" wrapText="1"/>
    </xf>
    <xf numFmtId="3" fontId="0" fillId="16" borderId="0" xfId="0" applyNumberFormat="1" applyFill="1" applyAlignment="1">
      <alignment vertical="center" wrapText="1"/>
    </xf>
    <xf numFmtId="164" fontId="0" fillId="0" borderId="10" xfId="1" applyNumberFormat="1" applyFont="1" applyBorder="1" applyAlignment="1">
      <alignment horizontal="center"/>
    </xf>
    <xf numFmtId="14" fontId="0" fillId="0" borderId="0" xfId="1" applyNumberFormat="1" applyFont="1" applyBorder="1"/>
    <xf numFmtId="3" fontId="8" fillId="0" borderId="0" xfId="0" applyNumberFormat="1" applyFont="1" applyAlignment="1">
      <alignment vertical="center" wrapText="1"/>
    </xf>
    <xf numFmtId="0" fontId="0" fillId="0" borderId="0" xfId="1" applyNumberFormat="1" applyFont="1" applyBorder="1"/>
    <xf numFmtId="0" fontId="0" fillId="0" borderId="2" xfId="0" applyBorder="1"/>
    <xf numFmtId="0" fontId="0" fillId="0" borderId="13" xfId="0" applyBorder="1"/>
    <xf numFmtId="164" fontId="0" fillId="0" borderId="13" xfId="1" applyNumberFormat="1" applyFont="1" applyBorder="1"/>
    <xf numFmtId="0" fontId="0" fillId="0" borderId="14" xfId="0" applyBorder="1"/>
    <xf numFmtId="164" fontId="0" fillId="0" borderId="15" xfId="1" applyNumberFormat="1" applyFont="1" applyBorder="1"/>
    <xf numFmtId="0" fontId="0" fillId="0" borderId="16" xfId="0" applyBorder="1"/>
    <xf numFmtId="0" fontId="5" fillId="0" borderId="6" xfId="0" applyFont="1" applyBorder="1"/>
    <xf numFmtId="1" fontId="0" fillId="0" borderId="0" xfId="0" applyNumberFormat="1" applyFont="1" applyBorder="1"/>
    <xf numFmtId="14" fontId="9" fillId="0" borderId="0" xfId="0" applyNumberFormat="1" applyFont="1" applyAlignment="1">
      <alignment vertical="center" wrapText="1"/>
    </xf>
    <xf numFmtId="16" fontId="7" fillId="0" borderId="0" xfId="0" applyNumberFormat="1" applyFont="1" applyAlignment="1">
      <alignment vertical="center" wrapText="1"/>
    </xf>
    <xf numFmtId="1" fontId="7" fillId="0" borderId="0" xfId="0" applyNumberFormat="1" applyFont="1" applyAlignment="1">
      <alignment vertical="center" wrapText="1"/>
    </xf>
    <xf numFmtId="169" fontId="5" fillId="6" borderId="0" xfId="1" applyNumberFormat="1" applyFont="1" applyFill="1" applyBorder="1"/>
    <xf numFmtId="1" fontId="0" fillId="0" borderId="13" xfId="0" applyNumberFormat="1" applyBorder="1"/>
    <xf numFmtId="14" fontId="0" fillId="0" borderId="0" xfId="0" applyNumberFormat="1" applyAlignment="1">
      <alignment vertical="center" wrapText="1"/>
    </xf>
    <xf numFmtId="1" fontId="7" fillId="0" borderId="0" xfId="0" applyNumberFormat="1" applyFont="1" applyBorder="1" applyAlignment="1">
      <alignment vertical="center" wrapText="1"/>
    </xf>
    <xf numFmtId="164" fontId="7" fillId="0" borderId="0" xfId="0" applyNumberFormat="1" applyFont="1" applyBorder="1" applyAlignment="1">
      <alignment vertical="center" wrapText="1"/>
    </xf>
    <xf numFmtId="10" fontId="0" fillId="0" borderId="0" xfId="0" applyNumberFormat="1" applyBorder="1"/>
    <xf numFmtId="0" fontId="0" fillId="0" borderId="0" xfId="0" applyAlignment="1">
      <alignment horizontal="center"/>
    </xf>
    <xf numFmtId="3" fontId="0" fillId="8" borderId="0" xfId="0" applyNumberFormat="1" applyFill="1" applyAlignment="1">
      <alignment vertical="center" wrapText="1"/>
    </xf>
    <xf numFmtId="9" fontId="0" fillId="8" borderId="0" xfId="9" applyNumberFormat="1" applyFont="1" applyFill="1" applyBorder="1"/>
    <xf numFmtId="10" fontId="0" fillId="8" borderId="0" xfId="9" applyNumberFormat="1" applyFont="1" applyFill="1" applyBorder="1"/>
    <xf numFmtId="0" fontId="0" fillId="0" borderId="0" xfId="9" applyNumberFormat="1" applyFont="1" applyBorder="1"/>
    <xf numFmtId="0" fontId="7" fillId="0" borderId="0" xfId="0" applyFont="1" applyBorder="1" applyAlignment="1">
      <alignment vertical="center" wrapText="1"/>
    </xf>
    <xf numFmtId="43" fontId="0" fillId="0" borderId="0" xfId="1" applyNumberFormat="1" applyFont="1"/>
    <xf numFmtId="2" fontId="0" fillId="0" borderId="0" xfId="0" applyNumberFormat="1" applyBorder="1" applyAlignment="1">
      <alignment horizontal="center"/>
    </xf>
    <xf numFmtId="0" fontId="0" fillId="0" borderId="0" xfId="0" applyFont="1" applyFill="1" applyBorder="1"/>
    <xf numFmtId="170" fontId="0" fillId="0" borderId="0" xfId="9" applyNumberFormat="1" applyFont="1" applyBorder="1"/>
    <xf numFmtId="164" fontId="7" fillId="0" borderId="0" xfId="1" applyNumberFormat="1" applyFont="1" applyBorder="1" applyAlignment="1">
      <alignment vertical="center" wrapText="1"/>
    </xf>
    <xf numFmtId="164" fontId="11" fillId="0" borderId="0" xfId="0" applyNumberFormat="1" applyFont="1" applyAlignment="1">
      <alignment vertical="center"/>
    </xf>
    <xf numFmtId="0" fontId="19" fillId="17" borderId="17" xfId="0" applyFont="1" applyFill="1" applyBorder="1"/>
    <xf numFmtId="0" fontId="0" fillId="0" borderId="0" xfId="0" applyAlignment="1">
      <alignment horizontal="center"/>
    </xf>
    <xf numFmtId="0" fontId="7" fillId="0" borderId="0" xfId="0" applyFont="1" applyBorder="1" applyAlignment="1">
      <alignment vertical="center" wrapText="1"/>
    </xf>
    <xf numFmtId="0" fontId="13" fillId="0" borderId="0" xfId="0" applyFont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171" fontId="19" fillId="17" borderId="17" xfId="0" applyNumberFormat="1" applyFont="1" applyFill="1" applyBorder="1"/>
  </cellXfs>
  <cellStyles count="11">
    <cellStyle name="Normal" xfId="0" builtinId="0"/>
    <cellStyle name="Normal 2" xfId="7" xr:uid="{94EB25D3-8A52-4855-B875-09DA52F75071}"/>
    <cellStyle name="Normal 3" xfId="10" xr:uid="{B36A62EA-02E9-4823-AF10-8A1288B5142C}"/>
    <cellStyle name="Normal 360" xfId="3" xr:uid="{8C90E049-2CB8-425D-99B6-B8EFFA4A18C9}"/>
    <cellStyle name="Normal 4" xfId="8" xr:uid="{5E5CFB4D-2493-4287-99F2-225129925356}"/>
    <cellStyle name="Normal 411" xfId="4" xr:uid="{966B0DD9-C4C3-4291-B835-D59B14BB865F}"/>
    <cellStyle name="Normal 413" xfId="5" xr:uid="{ED35C4FC-1DDA-49B8-817B-83C7F80BC9D5}"/>
    <cellStyle name="Normal 414" xfId="6" xr:uid="{4E77E6ED-B732-4D9F-9EAB-B2366FE17971}"/>
    <cellStyle name="ParaBirimi" xfId="2" builtinId="4"/>
    <cellStyle name="Virgül" xfId="1" builtinId="3"/>
    <cellStyle name="Yüzde" xfId="9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TABLO'!$C$2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TABLO'!$B$3:$B$6</c:f>
              <c:strCache>
                <c:ptCount val="4"/>
                <c:pt idx="0">
                  <c:v>38. Hafta</c:v>
                </c:pt>
                <c:pt idx="1">
                  <c:v>39. Hafta</c:v>
                </c:pt>
                <c:pt idx="2">
                  <c:v>40. Hafta</c:v>
                </c:pt>
                <c:pt idx="3">
                  <c:v>41. Hafta</c:v>
                </c:pt>
              </c:strCache>
            </c:strRef>
          </c:cat>
          <c:val>
            <c:numRef>
              <c:f>'KPI TABLO'!$C$3:$C$6</c:f>
              <c:numCache>
                <c:formatCode>_-* #,##0_-;\-* #,##0_-;_-* "-"??_-;_-@_-</c:formatCode>
                <c:ptCount val="4"/>
                <c:pt idx="0">
                  <c:v>390.68053148469085</c:v>
                </c:pt>
                <c:pt idx="1">
                  <c:v>424.3765972720746</c:v>
                </c:pt>
                <c:pt idx="2">
                  <c:v>409.74351786965661</c:v>
                </c:pt>
                <c:pt idx="3">
                  <c:v>329.83949298582922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D-4FE4-B7BF-BD4B931A8DDA}"/>
            </c:ext>
          </c:extLst>
        </c:ser>
        <c:ser>
          <c:idx val="1"/>
          <c:order val="1"/>
          <c:tx>
            <c:strRef>
              <c:f>'KPI TABLO'!$D$2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TABLO'!$B$3:$B$6</c:f>
              <c:strCache>
                <c:ptCount val="4"/>
                <c:pt idx="0">
                  <c:v>38. Hafta</c:v>
                </c:pt>
                <c:pt idx="1">
                  <c:v>39. Hafta</c:v>
                </c:pt>
                <c:pt idx="2">
                  <c:v>40. Hafta</c:v>
                </c:pt>
                <c:pt idx="3">
                  <c:v>41. Hafta</c:v>
                </c:pt>
              </c:strCache>
            </c:strRef>
          </c:cat>
          <c:val>
            <c:numRef>
              <c:f>'KPI TABLO'!$D$3:$D$6</c:f>
              <c:numCache>
                <c:formatCode>_-* #,##0_-;\-* #,##0_-;_-* "-"??_-;_-@_-</c:formatCode>
                <c:ptCount val="4"/>
                <c:pt idx="0">
                  <c:v>325.94090909090903</c:v>
                </c:pt>
                <c:pt idx="1">
                  <c:v>321.65522454424183</c:v>
                </c:pt>
                <c:pt idx="2">
                  <c:v>315.77528983106987</c:v>
                </c:pt>
                <c:pt idx="3">
                  <c:v>319.26420111191686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9D-4FE4-B7BF-BD4B931A8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0489519"/>
        <c:axId val="1370489935"/>
      </c:barChart>
      <c:catAx>
        <c:axId val="137048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70489935"/>
        <c:crosses val="autoZero"/>
        <c:auto val="1"/>
        <c:lblAlgn val="ctr"/>
        <c:lblOffset val="100"/>
        <c:noMultiLvlLbl val="0"/>
      </c:catAx>
      <c:valAx>
        <c:axId val="1370489935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crossAx val="137048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TABLO'!$G$2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TABLO'!$B$3:$B$6</c:f>
              <c:strCache>
                <c:ptCount val="4"/>
                <c:pt idx="0">
                  <c:v>38. Hafta</c:v>
                </c:pt>
                <c:pt idx="1">
                  <c:v>39. Hafta</c:v>
                </c:pt>
                <c:pt idx="2">
                  <c:v>40. Hafta</c:v>
                </c:pt>
                <c:pt idx="3">
                  <c:v>41. Hafta</c:v>
                </c:pt>
              </c:strCache>
            </c:strRef>
          </c:cat>
          <c:val>
            <c:numRef>
              <c:f>'KPI TABLO'!$G$3:$G$6</c:f>
              <c:numCache>
                <c:formatCode>_-* #,##0_-;\-* #,##0_-;_-* "-"??_-;_-@_-</c:formatCode>
                <c:ptCount val="4"/>
                <c:pt idx="0">
                  <c:v>107.31026529651045</c:v>
                </c:pt>
                <c:pt idx="1">
                  <c:v>96.805890714003269</c:v>
                </c:pt>
                <c:pt idx="2">
                  <c:v>96.838528545687126</c:v>
                </c:pt>
                <c:pt idx="3">
                  <c:v>94.680800331132104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27-4BE7-8F11-2E2787EA5290}"/>
            </c:ext>
          </c:extLst>
        </c:ser>
        <c:ser>
          <c:idx val="1"/>
          <c:order val="1"/>
          <c:tx>
            <c:strRef>
              <c:f>'KPI TABLO'!$H$2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TABLO'!$B$3:$B$6</c:f>
              <c:strCache>
                <c:ptCount val="4"/>
                <c:pt idx="0">
                  <c:v>38. Hafta</c:v>
                </c:pt>
                <c:pt idx="1">
                  <c:v>39. Hafta</c:v>
                </c:pt>
                <c:pt idx="2">
                  <c:v>40. Hafta</c:v>
                </c:pt>
                <c:pt idx="3">
                  <c:v>41. Hafta</c:v>
                </c:pt>
              </c:strCache>
            </c:strRef>
          </c:cat>
          <c:val>
            <c:numRef>
              <c:f>'KPI TABLO'!$H$3:$H$6</c:f>
              <c:numCache>
                <c:formatCode>_-* #,##0_-;\-* #,##0_-;_-* "-"??_-;_-@_-</c:formatCode>
                <c:ptCount val="4"/>
                <c:pt idx="0">
                  <c:v>97.614342686377952</c:v>
                </c:pt>
                <c:pt idx="1">
                  <c:v>96.76720761187633</c:v>
                </c:pt>
                <c:pt idx="2">
                  <c:v>97.594337790097597</c:v>
                </c:pt>
                <c:pt idx="3">
                  <c:v>85.523569874845137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27-4BE7-8F11-2E2787EA5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0489519"/>
        <c:axId val="1370489935"/>
      </c:barChart>
      <c:catAx>
        <c:axId val="137048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70489935"/>
        <c:crosses val="autoZero"/>
        <c:auto val="1"/>
        <c:lblAlgn val="ctr"/>
        <c:lblOffset val="100"/>
        <c:noMultiLvlLbl val="0"/>
      </c:catAx>
      <c:valAx>
        <c:axId val="1370489935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crossAx val="137048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TABLO'!$K$2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TABLO'!$B$3:$B$6</c:f>
              <c:strCache>
                <c:ptCount val="4"/>
                <c:pt idx="0">
                  <c:v>38. Hafta</c:v>
                </c:pt>
                <c:pt idx="1">
                  <c:v>39. Hafta</c:v>
                </c:pt>
                <c:pt idx="2">
                  <c:v>40. Hafta</c:v>
                </c:pt>
                <c:pt idx="3">
                  <c:v>41. Hafta</c:v>
                </c:pt>
              </c:strCache>
            </c:strRef>
          </c:cat>
          <c:val>
            <c:numRef>
              <c:f>'KPI TABLO'!$K$3:$K$6</c:f>
              <c:numCache>
                <c:formatCode>_-* #,##0_-;\-* #,##0_-;_-* "-"??_-;_-@_-</c:formatCode>
                <c:ptCount val="4"/>
                <c:pt idx="0">
                  <c:v>81.699856051031404</c:v>
                </c:pt>
                <c:pt idx="1">
                  <c:v>85.44841128651619</c:v>
                </c:pt>
                <c:pt idx="2">
                  <c:v>79.268524753980842</c:v>
                </c:pt>
                <c:pt idx="3">
                  <c:v>84.376960452448941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64-4571-9CFE-CB435D45A9CC}"/>
            </c:ext>
          </c:extLst>
        </c:ser>
        <c:ser>
          <c:idx val="1"/>
          <c:order val="1"/>
          <c:tx>
            <c:strRef>
              <c:f>'KPI TABLO'!$L$2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TABLO'!$B$3:$B$6</c:f>
              <c:strCache>
                <c:ptCount val="4"/>
                <c:pt idx="0">
                  <c:v>38. Hafta</c:v>
                </c:pt>
                <c:pt idx="1">
                  <c:v>39. Hafta</c:v>
                </c:pt>
                <c:pt idx="2">
                  <c:v>40. Hafta</c:v>
                </c:pt>
                <c:pt idx="3">
                  <c:v>41. Hafta</c:v>
                </c:pt>
              </c:strCache>
            </c:strRef>
          </c:cat>
          <c:val>
            <c:numRef>
              <c:f>'KPI TABLO'!$L$3:$L$6</c:f>
              <c:numCache>
                <c:formatCode>_-* #,##0_-;\-* #,##0_-;_-* "-"??_-;_-@_-</c:formatCode>
                <c:ptCount val="4"/>
                <c:pt idx="0">
                  <c:v>66.92144568191776</c:v>
                </c:pt>
                <c:pt idx="1">
                  <c:v>65.801726401211965</c:v>
                </c:pt>
                <c:pt idx="2">
                  <c:v>63.75160654273148</c:v>
                </c:pt>
                <c:pt idx="3">
                  <c:v>61.940007852154757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64-4571-9CFE-CB435D45A9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0489519"/>
        <c:axId val="1370489935"/>
      </c:barChart>
      <c:catAx>
        <c:axId val="137048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70489935"/>
        <c:crosses val="autoZero"/>
        <c:auto val="1"/>
        <c:lblAlgn val="ctr"/>
        <c:lblOffset val="100"/>
        <c:noMultiLvlLbl val="0"/>
      </c:catAx>
      <c:valAx>
        <c:axId val="1370489935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crossAx val="137048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TABLO'!$O$2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TABLO'!$B$3:$B$6</c:f>
              <c:strCache>
                <c:ptCount val="4"/>
                <c:pt idx="0">
                  <c:v>38. Hafta</c:v>
                </c:pt>
                <c:pt idx="1">
                  <c:v>39. Hafta</c:v>
                </c:pt>
                <c:pt idx="2">
                  <c:v>40. Hafta</c:v>
                </c:pt>
                <c:pt idx="3">
                  <c:v>41. Hafta</c:v>
                </c:pt>
              </c:strCache>
            </c:strRef>
          </c:cat>
          <c:val>
            <c:numRef>
              <c:f>'KPI TABLO'!$O$3:$O$6</c:f>
              <c:numCache>
                <c:formatCode>_-* #,##0_-;\-* #,##0_-;_-* "-"??_-;_-@_-</c:formatCode>
                <c:ptCount val="4"/>
                <c:pt idx="0">
                  <c:v>86.36515679442509</c:v>
                </c:pt>
                <c:pt idx="1">
                  <c:v>94.762915129151295</c:v>
                </c:pt>
                <c:pt idx="2">
                  <c:v>90.785971000123936</c:v>
                </c:pt>
                <c:pt idx="3">
                  <c:v>96.985804049336735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38-4C8E-8959-E19D34F16512}"/>
            </c:ext>
          </c:extLst>
        </c:ser>
        <c:ser>
          <c:idx val="1"/>
          <c:order val="1"/>
          <c:tx>
            <c:strRef>
              <c:f>'KPI TABLO'!$P$2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TABLO'!$B$3:$B$6</c:f>
              <c:strCache>
                <c:ptCount val="4"/>
                <c:pt idx="0">
                  <c:v>38. Hafta</c:v>
                </c:pt>
                <c:pt idx="1">
                  <c:v>39. Hafta</c:v>
                </c:pt>
                <c:pt idx="2">
                  <c:v>40. Hafta</c:v>
                </c:pt>
                <c:pt idx="3">
                  <c:v>41. Hafta</c:v>
                </c:pt>
              </c:strCache>
            </c:strRef>
          </c:cat>
          <c:val>
            <c:numRef>
              <c:f>'KPI TABLO'!$P$3:$P$6</c:f>
              <c:numCache>
                <c:formatCode>_-* #,##0_-;\-* #,##0_-;_-* "-"??_-;_-@_-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38-4C8E-8959-E19D34F165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0489519"/>
        <c:axId val="1370489935"/>
      </c:barChart>
      <c:catAx>
        <c:axId val="137048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70489935"/>
        <c:crosses val="autoZero"/>
        <c:auto val="1"/>
        <c:lblAlgn val="ctr"/>
        <c:lblOffset val="100"/>
        <c:noMultiLvlLbl val="0"/>
      </c:catAx>
      <c:valAx>
        <c:axId val="1370489935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crossAx val="137048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TABLO'!$S$2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TABLO'!$B$3:$B$6</c:f>
              <c:strCache>
                <c:ptCount val="4"/>
                <c:pt idx="0">
                  <c:v>38. Hafta</c:v>
                </c:pt>
                <c:pt idx="1">
                  <c:v>39. Hafta</c:v>
                </c:pt>
                <c:pt idx="2">
                  <c:v>40. Hafta</c:v>
                </c:pt>
                <c:pt idx="3">
                  <c:v>41. Hafta</c:v>
                </c:pt>
              </c:strCache>
            </c:strRef>
          </c:cat>
          <c:val>
            <c:numRef>
              <c:f>'KPI TABLO'!$S$3:$S$6</c:f>
              <c:numCache>
                <c:formatCode>_-* #,##0_-;\-* #,##0_-;_-* "-"??_-;_-@_-</c:formatCode>
                <c:ptCount val="4"/>
                <c:pt idx="0">
                  <c:v>111.41793280547827</c:v>
                </c:pt>
                <c:pt idx="1">
                  <c:v>119.22686230248307</c:v>
                </c:pt>
                <c:pt idx="2">
                  <c:v>126.67004767217773</c:v>
                </c:pt>
                <c:pt idx="3">
                  <c:v>125.1719978066167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D3-4A84-9AA8-3CC8BD04D83E}"/>
            </c:ext>
          </c:extLst>
        </c:ser>
        <c:ser>
          <c:idx val="1"/>
          <c:order val="1"/>
          <c:tx>
            <c:strRef>
              <c:f>'KPI TABLO'!$T$2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TABLO'!$B$3:$B$6</c:f>
              <c:strCache>
                <c:ptCount val="4"/>
                <c:pt idx="0">
                  <c:v>38. Hafta</c:v>
                </c:pt>
                <c:pt idx="1">
                  <c:v>39. Hafta</c:v>
                </c:pt>
                <c:pt idx="2">
                  <c:v>40. Hafta</c:v>
                </c:pt>
                <c:pt idx="3">
                  <c:v>41. Hafta</c:v>
                </c:pt>
              </c:strCache>
            </c:strRef>
          </c:cat>
          <c:val>
            <c:numRef>
              <c:f>'KPI TABLO'!$T$3:$T$6</c:f>
              <c:numCache>
                <c:formatCode>_-* #,##0_-;\-* #,##0_-;_-* "-"??_-;_-@_-</c:formatCode>
                <c:ptCount val="4"/>
                <c:pt idx="0">
                  <c:v>108.00085766358144</c:v>
                </c:pt>
                <c:pt idx="1">
                  <c:v>134.53555465258026</c:v>
                </c:pt>
                <c:pt idx="2">
                  <c:v>142.93176815847394</c:v>
                </c:pt>
                <c:pt idx="3">
                  <c:v>138.73299678751721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D3-4A84-9AA8-3CC8BD04D8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0489519"/>
        <c:axId val="1370489935"/>
      </c:barChart>
      <c:catAx>
        <c:axId val="137048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70489935"/>
        <c:crosses val="autoZero"/>
        <c:auto val="1"/>
        <c:lblAlgn val="ctr"/>
        <c:lblOffset val="100"/>
        <c:noMultiLvlLbl val="0"/>
      </c:catAx>
      <c:valAx>
        <c:axId val="1370489935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crossAx val="137048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TABLO'!$W$2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TABLO'!$B$3:$B$6</c:f>
              <c:strCache>
                <c:ptCount val="4"/>
                <c:pt idx="0">
                  <c:v>38. Hafta</c:v>
                </c:pt>
                <c:pt idx="1">
                  <c:v>39. Hafta</c:v>
                </c:pt>
                <c:pt idx="2">
                  <c:v>40. Hafta</c:v>
                </c:pt>
                <c:pt idx="3">
                  <c:v>41. Hafta</c:v>
                </c:pt>
              </c:strCache>
            </c:strRef>
          </c:cat>
          <c:val>
            <c:numRef>
              <c:f>'KPI TABLO'!$W$3:$W$6</c:f>
              <c:numCache>
                <c:formatCode>_-* #,##0_-;\-* #,##0_-;_-* "-"??_-;_-@_-</c:formatCode>
                <c:ptCount val="4"/>
                <c:pt idx="0">
                  <c:v>480.56878891343649</c:v>
                </c:pt>
                <c:pt idx="1">
                  <c:v>634.77028683500851</c:v>
                </c:pt>
                <c:pt idx="2">
                  <c:v>608.90476190476193</c:v>
                </c:pt>
                <c:pt idx="3">
                  <c:v>657.14978065594323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BD-4F12-973E-DE791A8D61C4}"/>
            </c:ext>
          </c:extLst>
        </c:ser>
        <c:ser>
          <c:idx val="1"/>
          <c:order val="1"/>
          <c:tx>
            <c:strRef>
              <c:f>'KPI TABLO'!$X$2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TABLO'!$B$3:$B$6</c:f>
              <c:strCache>
                <c:ptCount val="4"/>
                <c:pt idx="0">
                  <c:v>38. Hafta</c:v>
                </c:pt>
                <c:pt idx="1">
                  <c:v>39. Hafta</c:v>
                </c:pt>
                <c:pt idx="2">
                  <c:v>40. Hafta</c:v>
                </c:pt>
                <c:pt idx="3">
                  <c:v>41. Hafta</c:v>
                </c:pt>
              </c:strCache>
            </c:strRef>
          </c:cat>
          <c:val>
            <c:numRef>
              <c:f>'KPI TABLO'!$X$3:$X$6</c:f>
              <c:numCache>
                <c:formatCode>_-* #,##0_-;\-* #,##0_-;_-* "-"??_-;_-@_-</c:formatCode>
                <c:ptCount val="4"/>
                <c:pt idx="0">
                  <c:v>546.36960506582238</c:v>
                </c:pt>
                <c:pt idx="1">
                  <c:v>570.85644216358605</c:v>
                </c:pt>
                <c:pt idx="2">
                  <c:v>482.48328697159019</c:v>
                </c:pt>
                <c:pt idx="3">
                  <c:v>487.82276189757897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BD-4F12-973E-DE791A8D61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0489519"/>
        <c:axId val="1370489935"/>
      </c:barChart>
      <c:catAx>
        <c:axId val="137048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70489935"/>
        <c:crosses val="autoZero"/>
        <c:auto val="1"/>
        <c:lblAlgn val="ctr"/>
        <c:lblOffset val="100"/>
        <c:noMultiLvlLbl val="0"/>
      </c:catAx>
      <c:valAx>
        <c:axId val="1370489935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crossAx val="137048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TABLO'!$AA$2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TABLO'!$B$3:$B$6</c:f>
              <c:strCache>
                <c:ptCount val="4"/>
                <c:pt idx="0">
                  <c:v>38. Hafta</c:v>
                </c:pt>
                <c:pt idx="1">
                  <c:v>39. Hafta</c:v>
                </c:pt>
                <c:pt idx="2">
                  <c:v>40. Hafta</c:v>
                </c:pt>
                <c:pt idx="3">
                  <c:v>41. Hafta</c:v>
                </c:pt>
              </c:strCache>
            </c:strRef>
          </c:cat>
          <c:val>
            <c:numRef>
              <c:f>'KPI TABLO'!$AA$3:$AA$6</c:f>
              <c:numCache>
                <c:formatCode>_-* #,##0_-;\-* #,##0_-;_-* "-"??_-;_-@_-</c:formatCode>
                <c:ptCount val="4"/>
                <c:pt idx="0">
                  <c:v>21.867793824116472</c:v>
                </c:pt>
                <c:pt idx="1">
                  <c:v>24.164460980549148</c:v>
                </c:pt>
                <c:pt idx="2">
                  <c:v>27.512652986104722</c:v>
                </c:pt>
                <c:pt idx="3">
                  <c:v>25.296507777399896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97-44CF-96B1-192C007AC697}"/>
            </c:ext>
          </c:extLst>
        </c:ser>
        <c:ser>
          <c:idx val="1"/>
          <c:order val="1"/>
          <c:tx>
            <c:strRef>
              <c:f>'KPI TABLO'!$AB$2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TABLO'!$B$3:$B$6</c:f>
              <c:strCache>
                <c:ptCount val="4"/>
                <c:pt idx="0">
                  <c:v>38. Hafta</c:v>
                </c:pt>
                <c:pt idx="1">
                  <c:v>39. Hafta</c:v>
                </c:pt>
                <c:pt idx="2">
                  <c:v>40. Hafta</c:v>
                </c:pt>
                <c:pt idx="3">
                  <c:v>41. Hafta</c:v>
                </c:pt>
              </c:strCache>
            </c:strRef>
          </c:cat>
          <c:val>
            <c:numRef>
              <c:f>'KPI TABLO'!$AB$3:$AB$6</c:f>
              <c:numCache>
                <c:formatCode>_-* #,##0_-;\-* #,##0_-;_-* "-"??_-;_-@_-</c:formatCode>
                <c:ptCount val="4"/>
                <c:pt idx="0">
                  <c:v>27.603798855473027</c:v>
                </c:pt>
                <c:pt idx="1">
                  <c:v>28.47743658210948</c:v>
                </c:pt>
                <c:pt idx="2">
                  <c:v>23.672401206594952</c:v>
                </c:pt>
                <c:pt idx="3">
                  <c:v>23.377637947725074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97-44CF-96B1-192C007AC6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0489519"/>
        <c:axId val="1370489935"/>
      </c:barChart>
      <c:catAx>
        <c:axId val="137048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70489935"/>
        <c:crosses val="autoZero"/>
        <c:auto val="1"/>
        <c:lblAlgn val="ctr"/>
        <c:lblOffset val="100"/>
        <c:noMultiLvlLbl val="0"/>
      </c:catAx>
      <c:valAx>
        <c:axId val="1370489935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crossAx val="137048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TABLO'!$AE$2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TABLO'!$B$3:$B$6</c:f>
              <c:strCache>
                <c:ptCount val="4"/>
                <c:pt idx="0">
                  <c:v>38. Hafta</c:v>
                </c:pt>
                <c:pt idx="1">
                  <c:v>39. Hafta</c:v>
                </c:pt>
                <c:pt idx="2">
                  <c:v>40. Hafta</c:v>
                </c:pt>
                <c:pt idx="3">
                  <c:v>41. Hafta</c:v>
                </c:pt>
              </c:strCache>
            </c:strRef>
          </c:cat>
          <c:val>
            <c:numRef>
              <c:f>'KPI TABLO'!$AE$3:$AE$6</c:f>
              <c:numCache>
                <c:formatCode>_-* #,##0_-;\-* #,##0_-;_-* "-"??_-;_-@_-</c:formatCode>
                <c:ptCount val="4"/>
                <c:pt idx="0">
                  <c:v>39.413136388044997</c:v>
                </c:pt>
                <c:pt idx="1">
                  <c:v>40.374145151703551</c:v>
                </c:pt>
                <c:pt idx="2">
                  <c:v>37.767192441415077</c:v>
                </c:pt>
                <c:pt idx="3">
                  <c:v>37.30964439535304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62-42D4-8553-25CCE6C0D1EF}"/>
            </c:ext>
          </c:extLst>
        </c:ser>
        <c:ser>
          <c:idx val="1"/>
          <c:order val="1"/>
          <c:tx>
            <c:strRef>
              <c:f>'KPI TABLO'!$AF$2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TABLO'!$B$3:$B$6</c:f>
              <c:strCache>
                <c:ptCount val="4"/>
                <c:pt idx="0">
                  <c:v>38. Hafta</c:v>
                </c:pt>
                <c:pt idx="1">
                  <c:v>39. Hafta</c:v>
                </c:pt>
                <c:pt idx="2">
                  <c:v>40. Hafta</c:v>
                </c:pt>
                <c:pt idx="3">
                  <c:v>41. Hafta</c:v>
                </c:pt>
              </c:strCache>
            </c:strRef>
          </c:cat>
          <c:val>
            <c:numRef>
              <c:f>'KPI TABLO'!$AF$3:$AF$6</c:f>
              <c:numCache>
                <c:formatCode>_-* #,##0_-;\-* #,##0_-;_-* "-"??_-;_-@_-</c:formatCode>
                <c:ptCount val="4"/>
                <c:pt idx="0">
                  <c:v>32.528689515842188</c:v>
                </c:pt>
                <c:pt idx="1">
                  <c:v>32.170976096265889</c:v>
                </c:pt>
                <c:pt idx="2">
                  <c:v>31.107469674398807</c:v>
                </c:pt>
                <c:pt idx="3">
                  <c:v>28.82938185223238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62-42D4-8553-25CCE6C0D1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0489519"/>
        <c:axId val="1370489935"/>
      </c:barChart>
      <c:catAx>
        <c:axId val="137048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70489935"/>
        <c:crosses val="autoZero"/>
        <c:auto val="1"/>
        <c:lblAlgn val="ctr"/>
        <c:lblOffset val="100"/>
        <c:noMultiLvlLbl val="0"/>
      </c:catAx>
      <c:valAx>
        <c:axId val="1370489935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crossAx val="137048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TABLO'!$AI$2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TABLO'!$B$3:$B$6</c:f>
              <c:strCache>
                <c:ptCount val="4"/>
                <c:pt idx="0">
                  <c:v>38. Hafta</c:v>
                </c:pt>
                <c:pt idx="1">
                  <c:v>39. Hafta</c:v>
                </c:pt>
                <c:pt idx="2">
                  <c:v>40. Hafta</c:v>
                </c:pt>
                <c:pt idx="3">
                  <c:v>41. Hafta</c:v>
                </c:pt>
              </c:strCache>
            </c:strRef>
          </c:cat>
          <c:val>
            <c:numRef>
              <c:f>'KPI TABLO'!$AI$3:$AI$6</c:f>
              <c:numCache>
                <c:formatCode>_-* #,##0_-;\-* #,##0_-;_-* "-"??_-;_-@_-</c:formatCode>
                <c:ptCount val="4"/>
                <c:pt idx="0">
                  <c:v>38.315720152614645</c:v>
                </c:pt>
                <c:pt idx="1">
                  <c:v>40.373022871471569</c:v>
                </c:pt>
                <c:pt idx="2">
                  <c:v>38.094298521317569</c:v>
                </c:pt>
                <c:pt idx="3">
                  <c:v>37.296638633406758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44-4C96-86F0-69160C65225E}"/>
            </c:ext>
          </c:extLst>
        </c:ser>
        <c:ser>
          <c:idx val="1"/>
          <c:order val="1"/>
          <c:tx>
            <c:strRef>
              <c:f>'KPI TABLO'!$AJ$2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TABLO'!$B$3:$B$6</c:f>
              <c:strCache>
                <c:ptCount val="4"/>
                <c:pt idx="0">
                  <c:v>38. Hafta</c:v>
                </c:pt>
                <c:pt idx="1">
                  <c:v>39. Hafta</c:v>
                </c:pt>
                <c:pt idx="2">
                  <c:v>40. Hafta</c:v>
                </c:pt>
                <c:pt idx="3">
                  <c:v>41. Hafta</c:v>
                </c:pt>
              </c:strCache>
            </c:strRef>
          </c:cat>
          <c:val>
            <c:numRef>
              <c:f>'KPI TABLO'!$AJ$3:$AJ$6</c:f>
              <c:numCache>
                <c:formatCode>_-* #,##0_-;\-* #,##0_-;_-* "-"??_-;_-@_-</c:formatCode>
                <c:ptCount val="4"/>
                <c:pt idx="0">
                  <c:v>30.667368063364613</c:v>
                </c:pt>
                <c:pt idx="1">
                  <c:v>29.906634085766989</c:v>
                </c:pt>
                <c:pt idx="2">
                  <c:v>29.613395329690839</c:v>
                </c:pt>
                <c:pt idx="3">
                  <c:v>27.563674642733787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44-4C96-86F0-69160C6522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0489519"/>
        <c:axId val="1370489935"/>
      </c:barChart>
      <c:catAx>
        <c:axId val="137048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70489935"/>
        <c:crosses val="autoZero"/>
        <c:auto val="1"/>
        <c:lblAlgn val="ctr"/>
        <c:lblOffset val="100"/>
        <c:noMultiLvlLbl val="0"/>
      </c:catAx>
      <c:valAx>
        <c:axId val="1370489935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crossAx val="137048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283029</xdr:colOff>
      <xdr:row>15</xdr:row>
      <xdr:rowOff>76200</xdr:rowOff>
    </xdr:from>
    <xdr:to>
      <xdr:col>5</xdr:col>
      <xdr:colOff>468087</xdr:colOff>
      <xdr:row>26</xdr:row>
      <xdr:rowOff>141512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8B3297FF-19C5-465C-A962-7AA7FD5CFD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130630</xdr:colOff>
      <xdr:row>15</xdr:row>
      <xdr:rowOff>76200</xdr:rowOff>
    </xdr:from>
    <xdr:to>
      <xdr:col>11</xdr:col>
      <xdr:colOff>435429</xdr:colOff>
      <xdr:row>27</xdr:row>
      <xdr:rowOff>97972</xdr:rowOff>
    </xdr:to>
    <xdr:graphicFrame macro="">
      <xdr:nvGraphicFramePr>
        <xdr:cNvPr id="6" name="Grafik 5">
          <a:extLst>
            <a:ext uri="{FF2B5EF4-FFF2-40B4-BE49-F238E27FC236}">
              <a16:creationId xmlns:a16="http://schemas.microsoft.com/office/drawing/2014/main" id="{BD3DA336-AE6E-43E3-86FE-97DF8673EF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54429</xdr:colOff>
      <xdr:row>15</xdr:row>
      <xdr:rowOff>108857</xdr:rowOff>
    </xdr:from>
    <xdr:to>
      <xdr:col>18</xdr:col>
      <xdr:colOff>195943</xdr:colOff>
      <xdr:row>27</xdr:row>
      <xdr:rowOff>130629</xdr:rowOff>
    </xdr:to>
    <xdr:graphicFrame macro="">
      <xdr:nvGraphicFramePr>
        <xdr:cNvPr id="7" name="Grafik 6">
          <a:extLst>
            <a:ext uri="{FF2B5EF4-FFF2-40B4-BE49-F238E27FC236}">
              <a16:creationId xmlns:a16="http://schemas.microsoft.com/office/drawing/2014/main" id="{31A8EDB6-61B6-4347-96B1-662DBDDBD2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500743</xdr:colOff>
      <xdr:row>15</xdr:row>
      <xdr:rowOff>141514</xdr:rowOff>
    </xdr:from>
    <xdr:to>
      <xdr:col>25</xdr:col>
      <xdr:colOff>32656</xdr:colOff>
      <xdr:row>27</xdr:row>
      <xdr:rowOff>163286</xdr:rowOff>
    </xdr:to>
    <xdr:graphicFrame macro="">
      <xdr:nvGraphicFramePr>
        <xdr:cNvPr id="8" name="Grafik 7">
          <a:extLst>
            <a:ext uri="{FF2B5EF4-FFF2-40B4-BE49-F238E27FC236}">
              <a16:creationId xmlns:a16="http://schemas.microsoft.com/office/drawing/2014/main" id="{4086F8A1-978F-4261-802B-41A4BEFE5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293914</xdr:colOff>
      <xdr:row>15</xdr:row>
      <xdr:rowOff>97971</xdr:rowOff>
    </xdr:from>
    <xdr:to>
      <xdr:col>30</xdr:col>
      <xdr:colOff>598713</xdr:colOff>
      <xdr:row>27</xdr:row>
      <xdr:rowOff>119743</xdr:rowOff>
    </xdr:to>
    <xdr:graphicFrame macro="">
      <xdr:nvGraphicFramePr>
        <xdr:cNvPr id="9" name="Grafik 8">
          <a:extLst>
            <a:ext uri="{FF2B5EF4-FFF2-40B4-BE49-F238E27FC236}">
              <a16:creationId xmlns:a16="http://schemas.microsoft.com/office/drawing/2014/main" id="{4EBD5543-9F07-4466-970E-824C479121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130628</xdr:colOff>
      <xdr:row>15</xdr:row>
      <xdr:rowOff>76200</xdr:rowOff>
    </xdr:from>
    <xdr:to>
      <xdr:col>36</xdr:col>
      <xdr:colOff>435428</xdr:colOff>
      <xdr:row>27</xdr:row>
      <xdr:rowOff>97972</xdr:rowOff>
    </xdr:to>
    <xdr:graphicFrame macro="">
      <xdr:nvGraphicFramePr>
        <xdr:cNvPr id="10" name="Grafik 9">
          <a:extLst>
            <a:ext uri="{FF2B5EF4-FFF2-40B4-BE49-F238E27FC236}">
              <a16:creationId xmlns:a16="http://schemas.microsoft.com/office/drawing/2014/main" id="{FBBA64FE-0FF8-4064-AA86-5AC1396413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37</xdr:col>
      <xdr:colOff>32657</xdr:colOff>
      <xdr:row>15</xdr:row>
      <xdr:rowOff>65315</xdr:rowOff>
    </xdr:from>
    <xdr:to>
      <xdr:col>41</xdr:col>
      <xdr:colOff>500742</xdr:colOff>
      <xdr:row>27</xdr:row>
      <xdr:rowOff>87087</xdr:rowOff>
    </xdr:to>
    <xdr:graphicFrame macro="">
      <xdr:nvGraphicFramePr>
        <xdr:cNvPr id="11" name="Grafik 10">
          <a:extLst>
            <a:ext uri="{FF2B5EF4-FFF2-40B4-BE49-F238E27FC236}">
              <a16:creationId xmlns:a16="http://schemas.microsoft.com/office/drawing/2014/main" id="{3D8BBBCB-C069-45D7-BA4B-8DC059798D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42</xdr:col>
      <xdr:colOff>54429</xdr:colOff>
      <xdr:row>15</xdr:row>
      <xdr:rowOff>10885</xdr:rowOff>
    </xdr:from>
    <xdr:to>
      <xdr:col>46</xdr:col>
      <xdr:colOff>522514</xdr:colOff>
      <xdr:row>27</xdr:row>
      <xdr:rowOff>32657</xdr:rowOff>
    </xdr:to>
    <xdr:graphicFrame macro="">
      <xdr:nvGraphicFramePr>
        <xdr:cNvPr id="12" name="Grafik 11">
          <a:extLst>
            <a:ext uri="{FF2B5EF4-FFF2-40B4-BE49-F238E27FC236}">
              <a16:creationId xmlns:a16="http://schemas.microsoft.com/office/drawing/2014/main" id="{A2D45799-2798-44D0-B599-949C19C353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47</xdr:col>
      <xdr:colOff>65314</xdr:colOff>
      <xdr:row>14</xdr:row>
      <xdr:rowOff>174172</xdr:rowOff>
    </xdr:from>
    <xdr:to>
      <xdr:col>51</xdr:col>
      <xdr:colOff>533399</xdr:colOff>
      <xdr:row>27</xdr:row>
      <xdr:rowOff>10887</xdr:rowOff>
    </xdr:to>
    <xdr:graphicFrame macro="">
      <xdr:nvGraphicFramePr>
        <xdr:cNvPr id="13" name="Grafik 12">
          <a:extLst>
            <a:ext uri="{FF2B5EF4-FFF2-40B4-BE49-F238E27FC236}">
              <a16:creationId xmlns:a16="http://schemas.microsoft.com/office/drawing/2014/main" id="{308D337C-11C2-414F-98E5-E9DD5BCA84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OMER.ILTER\Desktop\Kopya%20Ocak'25%20pdks%20maa&#351;%20hesaplama%20G&#252;n%20F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uantaj (3)"/>
      <sheetName val="Sayfa2"/>
      <sheetName val="tüm birimler"/>
      <sheetName val="Sayfa4"/>
      <sheetName val="Sayfa1"/>
    </sheetNames>
    <sheetDataSet>
      <sheetData sheetId="0" refreshError="1"/>
      <sheetData sheetId="1" refreshError="1">
        <row r="1">
          <cell r="C1" t="str">
            <v>birim2</v>
          </cell>
          <cell r="G1" t="str">
            <v>01.01</v>
          </cell>
          <cell r="H1" t="str">
            <v>02.01</v>
          </cell>
          <cell r="I1" t="str">
            <v>03.01</v>
          </cell>
          <cell r="J1" t="str">
            <v>04.01</v>
          </cell>
          <cell r="K1" t="str">
            <v>05.01</v>
          </cell>
          <cell r="L1" t="str">
            <v>06.01</v>
          </cell>
          <cell r="M1" t="str">
            <v>07.01</v>
          </cell>
          <cell r="N1" t="str">
            <v>08.01</v>
          </cell>
          <cell r="O1" t="str">
            <v>09.01</v>
          </cell>
          <cell r="P1" t="str">
            <v>10.01</v>
          </cell>
          <cell r="Q1" t="str">
            <v>11.01</v>
          </cell>
          <cell r="R1" t="str">
            <v>12.01</v>
          </cell>
          <cell r="S1" t="str">
            <v>13.01</v>
          </cell>
          <cell r="T1" t="str">
            <v>14.01</v>
          </cell>
          <cell r="U1" t="str">
            <v>15.01</v>
          </cell>
          <cell r="V1" t="str">
            <v>16.01</v>
          </cell>
          <cell r="W1" t="str">
            <v>17.01</v>
          </cell>
          <cell r="X1" t="str">
            <v>18.01</v>
          </cell>
          <cell r="Y1" t="str">
            <v>19.01</v>
          </cell>
          <cell r="Z1" t="str">
            <v>20.01</v>
          </cell>
          <cell r="AA1" t="str">
            <v>21.01</v>
          </cell>
          <cell r="AB1" t="str">
            <v>22.01</v>
          </cell>
          <cell r="AC1" t="str">
            <v>23.01</v>
          </cell>
          <cell r="AD1" t="str">
            <v>24.01</v>
          </cell>
          <cell r="AE1" t="str">
            <v>25.01</v>
          </cell>
          <cell r="AF1" t="str">
            <v>26.01</v>
          </cell>
          <cell r="AG1" t="str">
            <v>27.01</v>
          </cell>
          <cell r="AH1" t="str">
            <v>28.01</v>
          </cell>
          <cell r="AI1" t="str">
            <v>29.01</v>
          </cell>
          <cell r="AJ1" t="str">
            <v>30.01</v>
          </cell>
          <cell r="AK1" t="str">
            <v>31.01</v>
          </cell>
        </row>
        <row r="2">
          <cell r="C2" t="str">
            <v>sorter</v>
          </cell>
          <cell r="G2" t="str">
            <v>RT</v>
          </cell>
          <cell r="H2">
            <v>7.5</v>
          </cell>
          <cell r="I2" t="str">
            <v>YI</v>
          </cell>
          <cell r="J2" t="str">
            <v>HT</v>
          </cell>
          <cell r="K2">
            <v>7.5</v>
          </cell>
          <cell r="L2">
            <v>7.5</v>
          </cell>
          <cell r="M2">
            <v>7.5</v>
          </cell>
          <cell r="N2">
            <v>7.5</v>
          </cell>
          <cell r="O2">
            <v>7.25</v>
          </cell>
          <cell r="P2">
            <v>7.0833333333333339</v>
          </cell>
          <cell r="Q2" t="str">
            <v>HT</v>
          </cell>
          <cell r="R2">
            <v>7.5</v>
          </cell>
          <cell r="S2">
            <v>7.5</v>
          </cell>
          <cell r="T2">
            <v>7.5</v>
          </cell>
          <cell r="U2">
            <v>7.5</v>
          </cell>
          <cell r="V2">
            <v>7.5</v>
          </cell>
          <cell r="W2">
            <v>7.5</v>
          </cell>
          <cell r="X2" t="str">
            <v>HT</v>
          </cell>
          <cell r="Y2">
            <v>7.5</v>
          </cell>
          <cell r="Z2">
            <v>7.5</v>
          </cell>
          <cell r="AA2">
            <v>7.5</v>
          </cell>
          <cell r="AB2">
            <v>7.5</v>
          </cell>
          <cell r="AC2">
            <v>7.5</v>
          </cell>
          <cell r="AD2">
            <v>7.5</v>
          </cell>
          <cell r="AE2" t="str">
            <v>HT</v>
          </cell>
          <cell r="AF2">
            <v>7.5</v>
          </cell>
          <cell r="AG2">
            <v>7.5</v>
          </cell>
          <cell r="AH2">
            <v>7.5</v>
          </cell>
          <cell r="AI2" t="str">
            <v>YI</v>
          </cell>
          <cell r="AJ2" t="str">
            <v>YI</v>
          </cell>
          <cell r="AK2">
            <v>6.5</v>
          </cell>
        </row>
        <row r="3">
          <cell r="C3" t="str">
            <v>toplama</v>
          </cell>
          <cell r="G3" t="str">
            <v>RT</v>
          </cell>
          <cell r="H3">
            <v>7.5</v>
          </cell>
          <cell r="I3">
            <v>7.5</v>
          </cell>
          <cell r="J3">
            <v>7.5</v>
          </cell>
          <cell r="K3" t="str">
            <v>HT</v>
          </cell>
          <cell r="L3">
            <v>7.5</v>
          </cell>
          <cell r="M3">
            <v>7.5</v>
          </cell>
          <cell r="N3">
            <v>7.5</v>
          </cell>
          <cell r="O3">
            <v>7.5</v>
          </cell>
          <cell r="P3">
            <v>7.5</v>
          </cell>
          <cell r="Q3">
            <v>7.5</v>
          </cell>
          <cell r="R3" t="str">
            <v>HT</v>
          </cell>
          <cell r="S3">
            <v>7.5</v>
          </cell>
          <cell r="T3">
            <v>7.5</v>
          </cell>
          <cell r="U3">
            <v>7.5</v>
          </cell>
          <cell r="V3">
            <v>7.5</v>
          </cell>
          <cell r="W3">
            <v>7.5</v>
          </cell>
          <cell r="X3">
            <v>7.5</v>
          </cell>
          <cell r="Y3" t="str">
            <v>HT</v>
          </cell>
          <cell r="Z3">
            <v>4.666666666666667</v>
          </cell>
          <cell r="AA3">
            <v>7.5</v>
          </cell>
          <cell r="AB3">
            <v>7.5</v>
          </cell>
          <cell r="AC3">
            <v>7.5</v>
          </cell>
          <cell r="AD3">
            <v>7.5</v>
          </cell>
          <cell r="AE3">
            <v>7.5</v>
          </cell>
          <cell r="AF3" t="str">
            <v>HT</v>
          </cell>
          <cell r="AG3">
            <v>7.5</v>
          </cell>
          <cell r="AH3">
            <v>7.5</v>
          </cell>
          <cell r="AI3">
            <v>4.5</v>
          </cell>
          <cell r="AJ3" t="str">
            <v>YI</v>
          </cell>
          <cell r="AK3" t="str">
            <v>YI</v>
          </cell>
        </row>
        <row r="4">
          <cell r="C4" t="str">
            <v>vas</v>
          </cell>
          <cell r="G4" t="str">
            <v>RT</v>
          </cell>
          <cell r="H4">
            <v>7.5</v>
          </cell>
          <cell r="I4">
            <v>7.5</v>
          </cell>
          <cell r="J4">
            <v>7.5</v>
          </cell>
          <cell r="K4" t="str">
            <v>HT</v>
          </cell>
          <cell r="L4">
            <v>7.5</v>
          </cell>
          <cell r="M4">
            <v>7.5</v>
          </cell>
          <cell r="N4">
            <v>7.5</v>
          </cell>
          <cell r="O4">
            <v>7.5</v>
          </cell>
          <cell r="P4">
            <v>7.5</v>
          </cell>
          <cell r="Q4" t="str">
            <v>YI</v>
          </cell>
          <cell r="R4" t="str">
            <v>HT</v>
          </cell>
          <cell r="S4">
            <v>7.5</v>
          </cell>
          <cell r="T4">
            <v>7.5</v>
          </cell>
          <cell r="U4">
            <v>7.5</v>
          </cell>
          <cell r="V4">
            <v>7.5</v>
          </cell>
          <cell r="W4">
            <v>7.5</v>
          </cell>
          <cell r="X4">
            <v>7.5</v>
          </cell>
          <cell r="Y4" t="str">
            <v>HT</v>
          </cell>
          <cell r="Z4">
            <v>7.5</v>
          </cell>
          <cell r="AA4">
            <v>7.5</v>
          </cell>
          <cell r="AB4">
            <v>7.5</v>
          </cell>
          <cell r="AC4">
            <v>7.5</v>
          </cell>
          <cell r="AD4">
            <v>7.5</v>
          </cell>
          <cell r="AE4">
            <v>7.5</v>
          </cell>
          <cell r="AF4" t="str">
            <v>HT</v>
          </cell>
          <cell r="AG4">
            <v>7.5</v>
          </cell>
          <cell r="AH4">
            <v>7.5</v>
          </cell>
          <cell r="AI4">
            <v>7.5</v>
          </cell>
          <cell r="AJ4">
            <v>7.5</v>
          </cell>
          <cell r="AK4">
            <v>6.833333333333333</v>
          </cell>
        </row>
        <row r="5">
          <cell r="C5" t="str">
            <v>sorter</v>
          </cell>
          <cell r="G5" t="str">
            <v>RT</v>
          </cell>
          <cell r="H5">
            <v>7.5</v>
          </cell>
          <cell r="I5">
            <v>7.5</v>
          </cell>
          <cell r="J5">
            <v>7.5</v>
          </cell>
          <cell r="K5" t="str">
            <v>HT</v>
          </cell>
          <cell r="L5">
            <v>4.166666666666667</v>
          </cell>
          <cell r="M5">
            <v>7.5</v>
          </cell>
          <cell r="N5">
            <v>5</v>
          </cell>
          <cell r="O5">
            <v>7.5</v>
          </cell>
          <cell r="P5">
            <v>7.5</v>
          </cell>
          <cell r="Q5">
            <v>7.5</v>
          </cell>
          <cell r="R5" t="str">
            <v>HT</v>
          </cell>
          <cell r="S5">
            <v>7.5</v>
          </cell>
          <cell r="T5">
            <v>7.5</v>
          </cell>
          <cell r="U5">
            <v>7.5</v>
          </cell>
          <cell r="V5">
            <v>7.5</v>
          </cell>
          <cell r="W5">
            <v>7.5</v>
          </cell>
          <cell r="X5">
            <v>7.5</v>
          </cell>
          <cell r="Y5" t="str">
            <v>HT</v>
          </cell>
          <cell r="Z5">
            <v>7.5</v>
          </cell>
          <cell r="AA5">
            <v>7.5</v>
          </cell>
          <cell r="AB5">
            <v>7.5</v>
          </cell>
          <cell r="AC5">
            <v>7.5</v>
          </cell>
          <cell r="AD5">
            <v>7.5</v>
          </cell>
          <cell r="AE5">
            <v>7.5</v>
          </cell>
          <cell r="AF5" t="str">
            <v>HT</v>
          </cell>
          <cell r="AG5">
            <v>7.5</v>
          </cell>
          <cell r="AH5">
            <v>7.1666666666666661</v>
          </cell>
          <cell r="AI5">
            <v>7.5</v>
          </cell>
          <cell r="AJ5">
            <v>6.833333333333333</v>
          </cell>
          <cell r="AK5">
            <v>7.5</v>
          </cell>
        </row>
        <row r="6">
          <cell r="C6" t="str">
            <v>Kargo</v>
          </cell>
          <cell r="G6" t="str">
            <v>RT</v>
          </cell>
          <cell r="H6">
            <v>7.5</v>
          </cell>
          <cell r="I6">
            <v>6.833333333333333</v>
          </cell>
          <cell r="J6" t="str">
            <v>HT</v>
          </cell>
          <cell r="K6">
            <v>7</v>
          </cell>
          <cell r="L6">
            <v>7.5</v>
          </cell>
          <cell r="M6">
            <v>7.5</v>
          </cell>
          <cell r="N6">
            <v>7.5</v>
          </cell>
          <cell r="O6">
            <v>7.5</v>
          </cell>
          <cell r="P6">
            <v>4.166666666666667</v>
          </cell>
          <cell r="Q6" t="str">
            <v>HT</v>
          </cell>
          <cell r="R6">
            <v>7.5</v>
          </cell>
          <cell r="S6">
            <v>7.5</v>
          </cell>
          <cell r="T6" t="str">
            <v>MI</v>
          </cell>
          <cell r="U6">
            <v>7.5</v>
          </cell>
          <cell r="V6">
            <v>7.5</v>
          </cell>
          <cell r="W6">
            <v>7.5</v>
          </cell>
          <cell r="X6" t="str">
            <v>HT</v>
          </cell>
          <cell r="Y6">
            <v>7.5</v>
          </cell>
          <cell r="Z6">
            <v>7.0833333333333339</v>
          </cell>
          <cell r="AA6">
            <v>7.0833333333333339</v>
          </cell>
          <cell r="AB6">
            <v>7.5</v>
          </cell>
          <cell r="AC6">
            <v>7.0833333333333339</v>
          </cell>
          <cell r="AD6">
            <v>7.5</v>
          </cell>
          <cell r="AE6" t="str">
            <v>HT</v>
          </cell>
          <cell r="AF6">
            <v>7.0833333333333339</v>
          </cell>
          <cell r="AG6">
            <v>7.5</v>
          </cell>
          <cell r="AH6">
            <v>7.5</v>
          </cell>
          <cell r="AI6">
            <v>7.5</v>
          </cell>
          <cell r="AJ6">
            <v>6.75</v>
          </cell>
          <cell r="AK6">
            <v>7.5</v>
          </cell>
        </row>
        <row r="7">
          <cell r="C7" t="str">
            <v>Kargo</v>
          </cell>
          <cell r="G7" t="str">
            <v>RT</v>
          </cell>
          <cell r="H7">
            <v>7.5</v>
          </cell>
          <cell r="I7">
            <v>7.5</v>
          </cell>
          <cell r="J7" t="str">
            <v>HT</v>
          </cell>
          <cell r="K7">
            <v>7</v>
          </cell>
          <cell r="L7">
            <v>7.5</v>
          </cell>
          <cell r="M7">
            <v>7.5</v>
          </cell>
          <cell r="N7">
            <v>7.5</v>
          </cell>
          <cell r="O7">
            <v>7.5</v>
          </cell>
          <cell r="P7">
            <v>7.5</v>
          </cell>
          <cell r="Q7" t="str">
            <v>HT</v>
          </cell>
          <cell r="R7">
            <v>7.5</v>
          </cell>
          <cell r="S7">
            <v>7.5</v>
          </cell>
          <cell r="T7">
            <v>7.5</v>
          </cell>
          <cell r="U7">
            <v>7.5</v>
          </cell>
          <cell r="V7">
            <v>7.5</v>
          </cell>
          <cell r="W7">
            <v>7.5</v>
          </cell>
          <cell r="X7" t="str">
            <v>HT</v>
          </cell>
          <cell r="Y7">
            <v>7.5</v>
          </cell>
          <cell r="Z7">
            <v>7.5</v>
          </cell>
          <cell r="AA7">
            <v>7.0833333333333339</v>
          </cell>
          <cell r="AB7">
            <v>7.5</v>
          </cell>
          <cell r="AC7">
            <v>7.0833333333333339</v>
          </cell>
          <cell r="AD7">
            <v>7.5</v>
          </cell>
          <cell r="AE7" t="str">
            <v>HT</v>
          </cell>
          <cell r="AF7">
            <v>7.0833333333333339</v>
          </cell>
          <cell r="AG7">
            <v>7.5</v>
          </cell>
          <cell r="AH7">
            <v>7.5</v>
          </cell>
          <cell r="AI7">
            <v>7.5</v>
          </cell>
          <cell r="AJ7">
            <v>7.5</v>
          </cell>
          <cell r="AK7">
            <v>7.5</v>
          </cell>
        </row>
        <row r="8">
          <cell r="C8" t="str">
            <v>sorter</v>
          </cell>
          <cell r="G8" t="str">
            <v>RT</v>
          </cell>
          <cell r="H8">
            <v>7.5</v>
          </cell>
          <cell r="I8">
            <v>7.5</v>
          </cell>
          <cell r="J8" t="str">
            <v>HT</v>
          </cell>
          <cell r="K8">
            <v>7.5</v>
          </cell>
          <cell r="L8">
            <v>7.5</v>
          </cell>
          <cell r="M8">
            <v>7.5</v>
          </cell>
          <cell r="N8">
            <v>7.5</v>
          </cell>
          <cell r="O8">
            <v>7.5</v>
          </cell>
          <cell r="P8">
            <v>7.5</v>
          </cell>
          <cell r="Q8" t="str">
            <v>HT</v>
          </cell>
          <cell r="R8">
            <v>7.5</v>
          </cell>
          <cell r="S8">
            <v>7.5</v>
          </cell>
          <cell r="T8">
            <v>7.5</v>
          </cell>
          <cell r="U8">
            <v>7.5</v>
          </cell>
          <cell r="V8">
            <v>7.5</v>
          </cell>
          <cell r="W8">
            <v>7.5</v>
          </cell>
          <cell r="X8" t="str">
            <v>HT</v>
          </cell>
          <cell r="Y8">
            <v>7.5</v>
          </cell>
          <cell r="Z8">
            <v>7.5</v>
          </cell>
          <cell r="AA8">
            <v>7.5</v>
          </cell>
          <cell r="AB8">
            <v>7.5</v>
          </cell>
          <cell r="AC8">
            <v>6.833333333333333</v>
          </cell>
          <cell r="AD8">
            <v>4.25</v>
          </cell>
          <cell r="AE8" t="str">
            <v>HT</v>
          </cell>
          <cell r="AF8">
            <v>7.5</v>
          </cell>
          <cell r="AG8">
            <v>7.5</v>
          </cell>
          <cell r="AH8">
            <v>7.5</v>
          </cell>
          <cell r="AI8">
            <v>7.5</v>
          </cell>
          <cell r="AJ8">
            <v>7.5</v>
          </cell>
          <cell r="AK8">
            <v>7.5</v>
          </cell>
        </row>
        <row r="9">
          <cell r="C9" t="str">
            <v>tekli</v>
          </cell>
          <cell r="G9" t="str">
            <v>RT</v>
          </cell>
          <cell r="H9">
            <v>7.5</v>
          </cell>
          <cell r="I9">
            <v>7.5</v>
          </cell>
          <cell r="J9">
            <v>7.5</v>
          </cell>
          <cell r="K9" t="str">
            <v>HT</v>
          </cell>
          <cell r="L9">
            <v>7.5</v>
          </cell>
          <cell r="M9">
            <v>7.5</v>
          </cell>
          <cell r="N9">
            <v>7.5</v>
          </cell>
          <cell r="O9">
            <v>7.5</v>
          </cell>
          <cell r="P9">
            <v>7.5</v>
          </cell>
          <cell r="Q9">
            <v>7.5</v>
          </cell>
          <cell r="R9" t="str">
            <v>HT</v>
          </cell>
          <cell r="S9">
            <v>7.5</v>
          </cell>
          <cell r="T9">
            <v>7.5</v>
          </cell>
          <cell r="U9" t="str">
            <v>MI</v>
          </cell>
          <cell r="V9" t="str">
            <v>MI</v>
          </cell>
          <cell r="W9" t="str">
            <v>MI</v>
          </cell>
          <cell r="X9" t="str">
            <v>YI</v>
          </cell>
          <cell r="Y9" t="str">
            <v>HT</v>
          </cell>
          <cell r="Z9">
            <v>7.5</v>
          </cell>
          <cell r="AA9">
            <v>7.5</v>
          </cell>
          <cell r="AB9">
            <v>7.5</v>
          </cell>
          <cell r="AC9">
            <v>7.5</v>
          </cell>
          <cell r="AD9">
            <v>7.5</v>
          </cell>
          <cell r="AE9">
            <v>7.5</v>
          </cell>
          <cell r="AF9" t="str">
            <v>HT</v>
          </cell>
          <cell r="AG9">
            <v>7.5</v>
          </cell>
          <cell r="AH9">
            <v>7.5</v>
          </cell>
          <cell r="AI9">
            <v>7.5</v>
          </cell>
          <cell r="AJ9">
            <v>7.5</v>
          </cell>
          <cell r="AK9">
            <v>7.5</v>
          </cell>
        </row>
        <row r="10">
          <cell r="C10" t="str">
            <v>toplama</v>
          </cell>
          <cell r="G10" t="str">
            <v>RT</v>
          </cell>
          <cell r="H10">
            <v>7.5</v>
          </cell>
          <cell r="I10">
            <v>7.5</v>
          </cell>
          <cell r="J10">
            <v>7.5</v>
          </cell>
          <cell r="K10" t="str">
            <v>HT</v>
          </cell>
          <cell r="L10">
            <v>7.5</v>
          </cell>
          <cell r="M10">
            <v>7.5</v>
          </cell>
          <cell r="N10">
            <v>7.5</v>
          </cell>
          <cell r="O10">
            <v>7.5</v>
          </cell>
          <cell r="P10">
            <v>7.5</v>
          </cell>
          <cell r="Q10">
            <v>7.5</v>
          </cell>
          <cell r="R10" t="str">
            <v>HT</v>
          </cell>
          <cell r="S10">
            <v>7.5</v>
          </cell>
          <cell r="T10">
            <v>7.5</v>
          </cell>
          <cell r="U10">
            <v>7.5</v>
          </cell>
          <cell r="V10">
            <v>7.5</v>
          </cell>
          <cell r="W10">
            <v>7.5</v>
          </cell>
          <cell r="X10">
            <v>7.5</v>
          </cell>
          <cell r="Y10" t="str">
            <v>HT</v>
          </cell>
          <cell r="Z10">
            <v>7.5</v>
          </cell>
          <cell r="AA10">
            <v>7.5</v>
          </cell>
          <cell r="AB10">
            <v>7.5</v>
          </cell>
          <cell r="AC10">
            <v>7.5</v>
          </cell>
          <cell r="AD10">
            <v>7.5</v>
          </cell>
          <cell r="AE10">
            <v>7.5</v>
          </cell>
          <cell r="AF10" t="str">
            <v>HT</v>
          </cell>
          <cell r="AG10">
            <v>7.5</v>
          </cell>
          <cell r="AH10">
            <v>7.5</v>
          </cell>
          <cell r="AI10">
            <v>7.5</v>
          </cell>
          <cell r="AJ10">
            <v>7.5</v>
          </cell>
          <cell r="AK10">
            <v>7.5</v>
          </cell>
        </row>
        <row r="11">
          <cell r="C11" t="str">
            <v xml:space="preserve">Adresleme </v>
          </cell>
          <cell r="G11" t="str">
            <v>RT</v>
          </cell>
          <cell r="H11">
            <v>7.5</v>
          </cell>
          <cell r="I11">
            <v>7.5</v>
          </cell>
          <cell r="J11">
            <v>7.5</v>
          </cell>
          <cell r="K11" t="str">
            <v>HT</v>
          </cell>
          <cell r="L11">
            <v>7.5</v>
          </cell>
          <cell r="M11">
            <v>7.5</v>
          </cell>
          <cell r="N11">
            <v>7.5</v>
          </cell>
          <cell r="O11">
            <v>7.5</v>
          </cell>
          <cell r="P11">
            <v>7.5</v>
          </cell>
          <cell r="Q11">
            <v>7.5</v>
          </cell>
          <cell r="R11" t="str">
            <v>HT</v>
          </cell>
          <cell r="S11">
            <v>7.5</v>
          </cell>
          <cell r="T11">
            <v>7.5</v>
          </cell>
          <cell r="U11">
            <v>7.5</v>
          </cell>
          <cell r="V11">
            <v>7.5</v>
          </cell>
          <cell r="W11" t="str">
            <v>YI</v>
          </cell>
          <cell r="X11" t="str">
            <v>YI</v>
          </cell>
          <cell r="Y11" t="str">
            <v>HT</v>
          </cell>
          <cell r="Z11">
            <v>7.5</v>
          </cell>
          <cell r="AA11" t="str">
            <v>YI</v>
          </cell>
          <cell r="AB11" t="str">
            <v>YI</v>
          </cell>
          <cell r="AC11">
            <v>7.5</v>
          </cell>
          <cell r="AD11">
            <v>7.5</v>
          </cell>
          <cell r="AE11">
            <v>7.5</v>
          </cell>
          <cell r="AF11" t="str">
            <v>HT</v>
          </cell>
          <cell r="AG11">
            <v>7.5</v>
          </cell>
          <cell r="AH11">
            <v>7.5</v>
          </cell>
          <cell r="AI11">
            <v>7.5</v>
          </cell>
          <cell r="AJ11">
            <v>7.5</v>
          </cell>
          <cell r="AK11">
            <v>7.5</v>
          </cell>
        </row>
        <row r="12">
          <cell r="C12" t="str">
            <v>adres denetim</v>
          </cell>
          <cell r="G12" t="str">
            <v>RT</v>
          </cell>
          <cell r="H12">
            <v>7.5</v>
          </cell>
          <cell r="I12">
            <v>7.5</v>
          </cell>
          <cell r="J12">
            <v>7.5</v>
          </cell>
          <cell r="K12" t="str">
            <v>HT</v>
          </cell>
          <cell r="L12">
            <v>7.5</v>
          </cell>
          <cell r="M12">
            <v>7.5</v>
          </cell>
          <cell r="N12">
            <v>7.5</v>
          </cell>
          <cell r="O12">
            <v>7.5</v>
          </cell>
          <cell r="P12">
            <v>7.5</v>
          </cell>
          <cell r="Q12">
            <v>7.5</v>
          </cell>
          <cell r="R12" t="str">
            <v>HT</v>
          </cell>
          <cell r="S12">
            <v>7.5</v>
          </cell>
          <cell r="T12">
            <v>7.5</v>
          </cell>
          <cell r="U12">
            <v>7.5</v>
          </cell>
          <cell r="V12">
            <v>7.5</v>
          </cell>
          <cell r="W12">
            <v>7.5</v>
          </cell>
          <cell r="X12">
            <v>7.5</v>
          </cell>
          <cell r="Y12" t="str">
            <v>HT</v>
          </cell>
          <cell r="Z12">
            <v>7.5</v>
          </cell>
          <cell r="AA12">
            <v>7.5</v>
          </cell>
          <cell r="AB12">
            <v>7.5</v>
          </cell>
          <cell r="AC12">
            <v>7.5</v>
          </cell>
          <cell r="AD12">
            <v>7.5</v>
          </cell>
          <cell r="AE12">
            <v>7.5</v>
          </cell>
          <cell r="AF12" t="str">
            <v>HT</v>
          </cell>
          <cell r="AG12">
            <v>7.5</v>
          </cell>
          <cell r="AH12">
            <v>7.5</v>
          </cell>
          <cell r="AI12">
            <v>7.5</v>
          </cell>
          <cell r="AJ12">
            <v>6.1666666666666679</v>
          </cell>
          <cell r="AK12">
            <v>7.5</v>
          </cell>
        </row>
        <row r="13">
          <cell r="C13" t="str">
            <v>sorter</v>
          </cell>
          <cell r="G13" t="str">
            <v>RT</v>
          </cell>
          <cell r="H13">
            <v>7.5</v>
          </cell>
          <cell r="I13">
            <v>7.5</v>
          </cell>
          <cell r="J13" t="str">
            <v>HT</v>
          </cell>
          <cell r="K13">
            <v>7.5</v>
          </cell>
          <cell r="L13">
            <v>7.5</v>
          </cell>
          <cell r="M13">
            <v>7.5</v>
          </cell>
          <cell r="N13">
            <v>7.5</v>
          </cell>
          <cell r="O13">
            <v>6.75</v>
          </cell>
          <cell r="P13">
            <v>7.5</v>
          </cell>
          <cell r="Q13" t="str">
            <v>HT</v>
          </cell>
          <cell r="R13">
            <v>7.5</v>
          </cell>
          <cell r="S13">
            <v>7.5</v>
          </cell>
          <cell r="T13">
            <v>7.5</v>
          </cell>
          <cell r="U13">
            <v>7.5</v>
          </cell>
          <cell r="V13">
            <v>7.5</v>
          </cell>
          <cell r="W13">
            <v>7.5</v>
          </cell>
          <cell r="X13" t="str">
            <v>HT</v>
          </cell>
          <cell r="Y13">
            <v>7.5</v>
          </cell>
          <cell r="Z13">
            <v>7.5</v>
          </cell>
          <cell r="AA13">
            <v>7.5</v>
          </cell>
          <cell r="AB13">
            <v>7.5</v>
          </cell>
          <cell r="AC13">
            <v>5</v>
          </cell>
          <cell r="AD13">
            <v>7.5</v>
          </cell>
          <cell r="AE13" t="str">
            <v>HT</v>
          </cell>
          <cell r="AF13">
            <v>7.5</v>
          </cell>
          <cell r="AG13">
            <v>7.5</v>
          </cell>
          <cell r="AH13">
            <v>7.5</v>
          </cell>
          <cell r="AI13">
            <v>7.5</v>
          </cell>
          <cell r="AJ13">
            <v>7.5</v>
          </cell>
          <cell r="AK13">
            <v>7.5</v>
          </cell>
        </row>
        <row r="14">
          <cell r="C14" t="str">
            <v>Sipariş Takip TL</v>
          </cell>
          <cell r="G14" t="str">
            <v>RT</v>
          </cell>
          <cell r="H14">
            <v>7.5</v>
          </cell>
          <cell r="I14">
            <v>7.5</v>
          </cell>
          <cell r="J14" t="str">
            <v>HT</v>
          </cell>
          <cell r="K14">
            <v>7.5</v>
          </cell>
          <cell r="L14">
            <v>7.5</v>
          </cell>
          <cell r="M14">
            <v>7.5</v>
          </cell>
          <cell r="N14">
            <v>7.5</v>
          </cell>
          <cell r="O14">
            <v>5.25</v>
          </cell>
          <cell r="P14">
            <v>7.5</v>
          </cell>
          <cell r="Q14" t="str">
            <v>HT</v>
          </cell>
          <cell r="R14">
            <v>7.5</v>
          </cell>
          <cell r="S14">
            <v>7.5</v>
          </cell>
          <cell r="T14">
            <v>7.5</v>
          </cell>
          <cell r="U14">
            <v>7.5</v>
          </cell>
          <cell r="V14">
            <v>7.5</v>
          </cell>
          <cell r="W14">
            <v>7.5</v>
          </cell>
          <cell r="X14" t="str">
            <v>HT</v>
          </cell>
          <cell r="Y14">
            <v>7.5</v>
          </cell>
          <cell r="Z14">
            <v>7.5</v>
          </cell>
          <cell r="AA14">
            <v>7.5</v>
          </cell>
          <cell r="AB14">
            <v>7.5</v>
          </cell>
          <cell r="AC14">
            <v>7.5</v>
          </cell>
          <cell r="AD14">
            <v>7.5</v>
          </cell>
          <cell r="AE14" t="str">
            <v>HT</v>
          </cell>
          <cell r="AF14">
            <v>7.5</v>
          </cell>
          <cell r="AG14">
            <v>7.5</v>
          </cell>
          <cell r="AH14">
            <v>7.5</v>
          </cell>
          <cell r="AI14">
            <v>7.5</v>
          </cell>
          <cell r="AJ14">
            <v>7.5</v>
          </cell>
          <cell r="AK14">
            <v>7.5</v>
          </cell>
        </row>
        <row r="15">
          <cell r="C15" t="str">
            <v>sorter</v>
          </cell>
          <cell r="G15" t="str">
            <v>RT</v>
          </cell>
          <cell r="H15">
            <v>7.5</v>
          </cell>
          <cell r="I15">
            <v>7.5</v>
          </cell>
          <cell r="J15">
            <v>5</v>
          </cell>
          <cell r="K15" t="str">
            <v>HT</v>
          </cell>
          <cell r="L15">
            <v>7.5</v>
          </cell>
          <cell r="M15">
            <v>7.5</v>
          </cell>
          <cell r="N15">
            <v>7.5</v>
          </cell>
          <cell r="O15">
            <v>7.5</v>
          </cell>
          <cell r="P15">
            <v>7.5</v>
          </cell>
          <cell r="Q15">
            <v>7.5</v>
          </cell>
          <cell r="R15" t="str">
            <v>HT</v>
          </cell>
          <cell r="S15">
            <v>7.5</v>
          </cell>
          <cell r="T15">
            <v>5.083333333333333</v>
          </cell>
          <cell r="U15">
            <v>7.5</v>
          </cell>
          <cell r="V15">
            <v>5.083333333333333</v>
          </cell>
          <cell r="W15">
            <v>7.5</v>
          </cell>
          <cell r="X15" t="str">
            <v>MI</v>
          </cell>
          <cell r="Y15" t="str">
            <v>HT</v>
          </cell>
          <cell r="Z15">
            <v>7.5</v>
          </cell>
          <cell r="AA15">
            <v>7.5</v>
          </cell>
          <cell r="AB15">
            <v>7.5</v>
          </cell>
          <cell r="AC15">
            <v>7.5</v>
          </cell>
          <cell r="AD15">
            <v>7.5</v>
          </cell>
          <cell r="AE15">
            <v>7.5</v>
          </cell>
          <cell r="AF15" t="str">
            <v>HT</v>
          </cell>
          <cell r="AG15">
            <v>7.5</v>
          </cell>
          <cell r="AH15">
            <v>7.5</v>
          </cell>
          <cell r="AI15">
            <v>7.5</v>
          </cell>
          <cell r="AJ15">
            <v>7.5</v>
          </cell>
          <cell r="AK15">
            <v>7.5</v>
          </cell>
        </row>
        <row r="16">
          <cell r="C16" t="str">
            <v>adres denetim</v>
          </cell>
          <cell r="G16" t="str">
            <v>RT</v>
          </cell>
          <cell r="H16">
            <v>7.5</v>
          </cell>
          <cell r="I16">
            <v>7.5</v>
          </cell>
          <cell r="J16">
            <v>7.5</v>
          </cell>
          <cell r="K16" t="str">
            <v>HT</v>
          </cell>
          <cell r="L16">
            <v>7.5</v>
          </cell>
          <cell r="M16">
            <v>7.5</v>
          </cell>
          <cell r="N16">
            <v>7.5</v>
          </cell>
          <cell r="O16">
            <v>7.5</v>
          </cell>
          <cell r="P16">
            <v>7.5</v>
          </cell>
          <cell r="Q16">
            <v>7.5</v>
          </cell>
          <cell r="R16" t="str">
            <v>HT</v>
          </cell>
          <cell r="S16" t="str">
            <v>CR</v>
          </cell>
          <cell r="T16" t="str">
            <v>CR</v>
          </cell>
          <cell r="U16">
            <v>7.5</v>
          </cell>
          <cell r="V16">
            <v>7.5</v>
          </cell>
          <cell r="W16" t="str">
            <v>MI</v>
          </cell>
          <cell r="X16">
            <v>7.5</v>
          </cell>
          <cell r="Y16" t="str">
            <v>HT</v>
          </cell>
          <cell r="Z16">
            <v>7.5</v>
          </cell>
          <cell r="AA16">
            <v>7.5</v>
          </cell>
          <cell r="AB16">
            <v>7.5</v>
          </cell>
          <cell r="AC16">
            <v>7.5</v>
          </cell>
          <cell r="AD16">
            <v>6.9166666666666679</v>
          </cell>
          <cell r="AE16">
            <v>7.5</v>
          </cell>
          <cell r="AF16" t="str">
            <v>HT</v>
          </cell>
          <cell r="AG16">
            <v>7.5</v>
          </cell>
          <cell r="AH16">
            <v>7.5</v>
          </cell>
          <cell r="AI16">
            <v>7.5</v>
          </cell>
          <cell r="AJ16">
            <v>7.5</v>
          </cell>
          <cell r="AK16">
            <v>7.5</v>
          </cell>
        </row>
        <row r="17">
          <cell r="C17" t="str">
            <v>toplama</v>
          </cell>
          <cell r="G17" t="str">
            <v>RT</v>
          </cell>
          <cell r="H17">
            <v>7.5</v>
          </cell>
          <cell r="I17">
            <v>7.5</v>
          </cell>
          <cell r="J17" t="str">
            <v>HT</v>
          </cell>
          <cell r="K17">
            <v>7.5</v>
          </cell>
          <cell r="L17">
            <v>7.5</v>
          </cell>
          <cell r="M17">
            <v>7.5</v>
          </cell>
          <cell r="N17">
            <v>7.5</v>
          </cell>
          <cell r="O17">
            <v>7.5</v>
          </cell>
          <cell r="P17" t="str">
            <v>MI</v>
          </cell>
          <cell r="Q17" t="str">
            <v>HT</v>
          </cell>
          <cell r="R17" t="str">
            <v>MI</v>
          </cell>
          <cell r="S17">
            <v>7.5</v>
          </cell>
          <cell r="T17">
            <v>7.5</v>
          </cell>
          <cell r="U17">
            <v>7.5</v>
          </cell>
          <cell r="V17">
            <v>7.5</v>
          </cell>
          <cell r="W17">
            <v>7.5</v>
          </cell>
          <cell r="X17" t="str">
            <v>HT</v>
          </cell>
          <cell r="Y17">
            <v>7.5</v>
          </cell>
          <cell r="Z17">
            <v>7.5</v>
          </cell>
          <cell r="AA17">
            <v>7.5</v>
          </cell>
          <cell r="AB17">
            <v>7.5</v>
          </cell>
          <cell r="AC17">
            <v>7.5</v>
          </cell>
          <cell r="AD17">
            <v>7.5</v>
          </cell>
          <cell r="AE17" t="str">
            <v>HT</v>
          </cell>
          <cell r="AF17">
            <v>7.5</v>
          </cell>
          <cell r="AG17">
            <v>7.5</v>
          </cell>
          <cell r="AH17">
            <v>7.5</v>
          </cell>
          <cell r="AI17">
            <v>7.5</v>
          </cell>
          <cell r="AJ17">
            <v>7.5</v>
          </cell>
          <cell r="AK17">
            <v>7.5</v>
          </cell>
        </row>
        <row r="18">
          <cell r="C18" t="str">
            <v>Kargo</v>
          </cell>
          <cell r="G18" t="str">
            <v>RT</v>
          </cell>
          <cell r="H18">
            <v>7.5</v>
          </cell>
          <cell r="I18">
            <v>7.5</v>
          </cell>
          <cell r="J18">
            <v>7.5</v>
          </cell>
          <cell r="K18" t="str">
            <v>HT</v>
          </cell>
          <cell r="L18">
            <v>7.5</v>
          </cell>
          <cell r="M18">
            <v>7.5</v>
          </cell>
          <cell r="N18" t="str">
            <v>YI</v>
          </cell>
          <cell r="O18" t="str">
            <v>YI</v>
          </cell>
          <cell r="P18">
            <v>7.5</v>
          </cell>
          <cell r="Q18">
            <v>7.5</v>
          </cell>
          <cell r="R18" t="str">
            <v>HT</v>
          </cell>
          <cell r="S18">
            <v>7.5</v>
          </cell>
          <cell r="T18">
            <v>7.5</v>
          </cell>
          <cell r="U18" t="str">
            <v>YI</v>
          </cell>
          <cell r="V18">
            <v>7.5</v>
          </cell>
          <cell r="W18">
            <v>7.5</v>
          </cell>
          <cell r="X18">
            <v>7.5</v>
          </cell>
          <cell r="Y18" t="str">
            <v>HT</v>
          </cell>
          <cell r="Z18">
            <v>7.5</v>
          </cell>
          <cell r="AA18">
            <v>7.5</v>
          </cell>
          <cell r="AB18">
            <v>7.5</v>
          </cell>
          <cell r="AC18">
            <v>7.5</v>
          </cell>
          <cell r="AD18">
            <v>7.5</v>
          </cell>
          <cell r="AE18">
            <v>7.5</v>
          </cell>
          <cell r="AF18" t="str">
            <v>HT</v>
          </cell>
          <cell r="AG18">
            <v>7.5</v>
          </cell>
          <cell r="AH18">
            <v>7.5</v>
          </cell>
          <cell r="AI18">
            <v>7.5</v>
          </cell>
          <cell r="AJ18">
            <v>7.5</v>
          </cell>
          <cell r="AK18">
            <v>7.5</v>
          </cell>
        </row>
        <row r="19">
          <cell r="C19" t="str">
            <v>Kargo</v>
          </cell>
          <cell r="G19" t="str">
            <v>RT</v>
          </cell>
          <cell r="H19" t="str">
            <v>YI</v>
          </cell>
          <cell r="I19" t="str">
            <v>YI</v>
          </cell>
          <cell r="J19" t="str">
            <v>HT</v>
          </cell>
          <cell r="K19" t="str">
            <v>YI</v>
          </cell>
          <cell r="L19" t="str">
            <v>CR</v>
          </cell>
          <cell r="M19" t="str">
            <v>CR</v>
          </cell>
          <cell r="N19">
            <v>7.5</v>
          </cell>
          <cell r="O19">
            <v>7.5</v>
          </cell>
          <cell r="P19">
            <v>7.5</v>
          </cell>
          <cell r="Q19" t="str">
            <v>HT</v>
          </cell>
          <cell r="R19">
            <v>7.5</v>
          </cell>
          <cell r="S19">
            <v>7.5</v>
          </cell>
          <cell r="T19">
            <v>7.5</v>
          </cell>
          <cell r="U19">
            <v>7.1666666666666661</v>
          </cell>
          <cell r="V19">
            <v>7.5</v>
          </cell>
          <cell r="W19">
            <v>7.5</v>
          </cell>
          <cell r="X19" t="str">
            <v>HT</v>
          </cell>
          <cell r="Y19">
            <v>7.5</v>
          </cell>
          <cell r="Z19">
            <v>7</v>
          </cell>
          <cell r="AA19">
            <v>7.5</v>
          </cell>
          <cell r="AB19">
            <v>7.5</v>
          </cell>
          <cell r="AC19">
            <v>7.5</v>
          </cell>
          <cell r="AD19">
            <v>7.5</v>
          </cell>
          <cell r="AE19" t="str">
            <v>HT</v>
          </cell>
          <cell r="AF19">
            <v>7.5</v>
          </cell>
          <cell r="AG19">
            <v>7.5</v>
          </cell>
          <cell r="AH19">
            <v>7.5</v>
          </cell>
          <cell r="AI19">
            <v>7.5</v>
          </cell>
          <cell r="AJ19">
            <v>7.5</v>
          </cell>
          <cell r="AK19">
            <v>7.5</v>
          </cell>
        </row>
        <row r="20">
          <cell r="C20" t="str">
            <v>iade kabul</v>
          </cell>
          <cell r="G20" t="str">
            <v>RT</v>
          </cell>
          <cell r="H20">
            <v>7.5</v>
          </cell>
          <cell r="I20">
            <v>7.5</v>
          </cell>
          <cell r="J20">
            <v>7.5</v>
          </cell>
          <cell r="K20" t="str">
            <v>HT</v>
          </cell>
          <cell r="L20">
            <v>7.5</v>
          </cell>
          <cell r="M20">
            <v>7.5</v>
          </cell>
          <cell r="N20">
            <v>7.5</v>
          </cell>
          <cell r="O20">
            <v>7.5</v>
          </cell>
          <cell r="P20">
            <v>7.5</v>
          </cell>
          <cell r="Q20">
            <v>7.5</v>
          </cell>
          <cell r="R20" t="str">
            <v>HT</v>
          </cell>
          <cell r="S20">
            <v>7.5</v>
          </cell>
          <cell r="T20">
            <v>7.5</v>
          </cell>
          <cell r="U20">
            <v>7.5</v>
          </cell>
          <cell r="V20">
            <v>7.5</v>
          </cell>
          <cell r="W20">
            <v>7.5</v>
          </cell>
          <cell r="X20">
            <v>7.5</v>
          </cell>
          <cell r="Y20" t="str">
            <v>HT</v>
          </cell>
          <cell r="Z20">
            <v>7.5</v>
          </cell>
          <cell r="AA20">
            <v>7.5</v>
          </cell>
          <cell r="AB20">
            <v>7.5</v>
          </cell>
          <cell r="AC20">
            <v>7.5</v>
          </cell>
          <cell r="AD20">
            <v>7.5</v>
          </cell>
          <cell r="AE20">
            <v>7.5</v>
          </cell>
          <cell r="AF20" t="str">
            <v>HT</v>
          </cell>
          <cell r="AG20">
            <v>7.5</v>
          </cell>
          <cell r="AH20">
            <v>7.5</v>
          </cell>
          <cell r="AI20">
            <v>7.5</v>
          </cell>
          <cell r="AJ20">
            <v>7.5</v>
          </cell>
          <cell r="AK20">
            <v>7.5</v>
          </cell>
        </row>
        <row r="21">
          <cell r="C21" t="str">
            <v>toplama</v>
          </cell>
          <cell r="G21" t="str">
            <v>RT</v>
          </cell>
          <cell r="H21" t="str">
            <v>MI</v>
          </cell>
          <cell r="I21" t="str">
            <v>MI</v>
          </cell>
          <cell r="J21" t="str">
            <v>MI</v>
          </cell>
          <cell r="K21" t="str">
            <v>HT</v>
          </cell>
          <cell r="L21">
            <v>8.5</v>
          </cell>
          <cell r="M21">
            <v>8.5</v>
          </cell>
          <cell r="N21">
            <v>8.5</v>
          </cell>
          <cell r="O21">
            <v>8.1666666666666661</v>
          </cell>
          <cell r="P21">
            <v>8.1666666666666661</v>
          </cell>
          <cell r="Q21" t="str">
            <v>HTM</v>
          </cell>
          <cell r="R21" t="str">
            <v>HT</v>
          </cell>
          <cell r="S21">
            <v>7.5</v>
          </cell>
          <cell r="T21">
            <v>7.5</v>
          </cell>
          <cell r="U21">
            <v>7.5</v>
          </cell>
          <cell r="V21">
            <v>7.5</v>
          </cell>
          <cell r="W21">
            <v>7.5</v>
          </cell>
          <cell r="X21" t="str">
            <v>HT</v>
          </cell>
          <cell r="Y21">
            <v>7.5</v>
          </cell>
          <cell r="Z21">
            <v>7.5</v>
          </cell>
          <cell r="AA21">
            <v>7.5</v>
          </cell>
          <cell r="AB21">
            <v>7.5</v>
          </cell>
          <cell r="AC21">
            <v>7.5</v>
          </cell>
          <cell r="AD21">
            <v>7.5</v>
          </cell>
          <cell r="AE21" t="str">
            <v>HT</v>
          </cell>
          <cell r="AF21">
            <v>7.5</v>
          </cell>
          <cell r="AG21">
            <v>7.5</v>
          </cell>
          <cell r="AH21">
            <v>7.5</v>
          </cell>
          <cell r="AI21">
            <v>7.5</v>
          </cell>
          <cell r="AJ21">
            <v>6.5</v>
          </cell>
          <cell r="AK21">
            <v>7.5</v>
          </cell>
        </row>
        <row r="22">
          <cell r="C22" t="str">
            <v>adres denetim</v>
          </cell>
          <cell r="G22" t="str">
            <v>RT</v>
          </cell>
          <cell r="H22">
            <v>7.5</v>
          </cell>
          <cell r="I22">
            <v>7.5</v>
          </cell>
          <cell r="J22">
            <v>7.5</v>
          </cell>
          <cell r="K22" t="str">
            <v>HT</v>
          </cell>
          <cell r="L22" t="str">
            <v>MI</v>
          </cell>
          <cell r="M22">
            <v>7.5</v>
          </cell>
          <cell r="N22">
            <v>7.5</v>
          </cell>
          <cell r="O22">
            <v>7.5</v>
          </cell>
          <cell r="P22">
            <v>7.5</v>
          </cell>
          <cell r="Q22">
            <v>7.5</v>
          </cell>
          <cell r="R22" t="str">
            <v>HT</v>
          </cell>
          <cell r="S22">
            <v>7.5</v>
          </cell>
          <cell r="T22">
            <v>7.5</v>
          </cell>
          <cell r="U22">
            <v>7.5</v>
          </cell>
          <cell r="V22">
            <v>7.5</v>
          </cell>
          <cell r="W22">
            <v>7.5</v>
          </cell>
          <cell r="X22" t="str">
            <v>YI</v>
          </cell>
          <cell r="Y22" t="str">
            <v>HT</v>
          </cell>
          <cell r="Z22">
            <v>7.5</v>
          </cell>
          <cell r="AA22">
            <v>7.5</v>
          </cell>
          <cell r="AB22">
            <v>7.5</v>
          </cell>
          <cell r="AC22">
            <v>7.5</v>
          </cell>
          <cell r="AD22">
            <v>7.5</v>
          </cell>
          <cell r="AE22">
            <v>7.5</v>
          </cell>
          <cell r="AF22" t="str">
            <v>HT</v>
          </cell>
          <cell r="AG22">
            <v>7.5</v>
          </cell>
          <cell r="AH22">
            <v>7.5</v>
          </cell>
          <cell r="AI22">
            <v>7.5</v>
          </cell>
          <cell r="AJ22">
            <v>7.5</v>
          </cell>
          <cell r="AK22">
            <v>7.5</v>
          </cell>
        </row>
        <row r="23">
          <cell r="C23" t="str">
            <v>toplama</v>
          </cell>
          <cell r="G23" t="str">
            <v>RT</v>
          </cell>
          <cell r="H23" t="str">
            <v>MI</v>
          </cell>
          <cell r="I23">
            <v>7.5</v>
          </cell>
          <cell r="J23" t="str">
            <v>HT</v>
          </cell>
          <cell r="K23">
            <v>7.5</v>
          </cell>
          <cell r="L23">
            <v>7.5</v>
          </cell>
          <cell r="M23">
            <v>7.5</v>
          </cell>
          <cell r="N23">
            <v>7.5</v>
          </cell>
          <cell r="O23">
            <v>7.5</v>
          </cell>
          <cell r="P23">
            <v>7.5</v>
          </cell>
          <cell r="Q23" t="str">
            <v>HT</v>
          </cell>
          <cell r="R23">
            <v>7.5</v>
          </cell>
          <cell r="S23">
            <v>7.5</v>
          </cell>
          <cell r="T23">
            <v>7.5</v>
          </cell>
          <cell r="U23">
            <v>7.5</v>
          </cell>
          <cell r="V23">
            <v>7.5</v>
          </cell>
          <cell r="W23">
            <v>6.9166666666666679</v>
          </cell>
          <cell r="X23" t="str">
            <v>HT</v>
          </cell>
          <cell r="Y23">
            <v>7.5</v>
          </cell>
          <cell r="Z23">
            <v>7.5</v>
          </cell>
          <cell r="AA23">
            <v>7.5</v>
          </cell>
          <cell r="AB23">
            <v>7.5</v>
          </cell>
          <cell r="AC23">
            <v>7.5</v>
          </cell>
          <cell r="AD23" t="str">
            <v>MI</v>
          </cell>
          <cell r="AE23" t="str">
            <v>HT</v>
          </cell>
          <cell r="AF23">
            <v>7.5</v>
          </cell>
          <cell r="AG23">
            <v>7.5</v>
          </cell>
          <cell r="AH23">
            <v>7.5</v>
          </cell>
          <cell r="AI23">
            <v>7.5</v>
          </cell>
          <cell r="AJ23">
            <v>7.5</v>
          </cell>
          <cell r="AK23">
            <v>7.5</v>
          </cell>
        </row>
        <row r="24">
          <cell r="C24" t="str">
            <v>sorter</v>
          </cell>
          <cell r="G24" t="str">
            <v>RT</v>
          </cell>
          <cell r="H24">
            <v>7.5</v>
          </cell>
          <cell r="I24">
            <v>7.5</v>
          </cell>
          <cell r="J24" t="str">
            <v>HT</v>
          </cell>
          <cell r="K24" t="str">
            <v>YI</v>
          </cell>
          <cell r="L24" t="str">
            <v>YI</v>
          </cell>
          <cell r="M24">
            <v>7.5</v>
          </cell>
          <cell r="N24">
            <v>7.5</v>
          </cell>
          <cell r="O24">
            <v>7.5</v>
          </cell>
          <cell r="P24">
            <v>7.5</v>
          </cell>
          <cell r="Q24" t="str">
            <v>HT</v>
          </cell>
          <cell r="R24">
            <v>7.5</v>
          </cell>
          <cell r="S24">
            <v>7.5</v>
          </cell>
          <cell r="T24">
            <v>7.5</v>
          </cell>
          <cell r="U24">
            <v>7.5</v>
          </cell>
          <cell r="V24">
            <v>7.5</v>
          </cell>
          <cell r="W24">
            <v>7.5</v>
          </cell>
          <cell r="X24" t="str">
            <v>HT</v>
          </cell>
          <cell r="Y24">
            <v>7.5</v>
          </cell>
          <cell r="Z24">
            <v>7.5</v>
          </cell>
          <cell r="AA24">
            <v>7.5</v>
          </cell>
          <cell r="AB24">
            <v>7.5</v>
          </cell>
          <cell r="AC24">
            <v>7.5</v>
          </cell>
          <cell r="AD24">
            <v>7.5</v>
          </cell>
          <cell r="AE24" t="str">
            <v>HT</v>
          </cell>
          <cell r="AF24">
            <v>7.5</v>
          </cell>
          <cell r="AG24">
            <v>7.5</v>
          </cell>
          <cell r="AH24">
            <v>7.5</v>
          </cell>
          <cell r="AI24">
            <v>7.5</v>
          </cell>
          <cell r="AJ24">
            <v>7.5</v>
          </cell>
          <cell r="AK24">
            <v>7.5</v>
          </cell>
        </row>
        <row r="25">
          <cell r="C25" t="str">
            <v xml:space="preserve">Adresleme </v>
          </cell>
          <cell r="G25" t="str">
            <v>RT</v>
          </cell>
          <cell r="H25">
            <v>7.5</v>
          </cell>
          <cell r="I25">
            <v>7.5</v>
          </cell>
          <cell r="J25">
            <v>7.5</v>
          </cell>
          <cell r="K25" t="str">
            <v>HT</v>
          </cell>
          <cell r="L25">
            <v>7.5</v>
          </cell>
          <cell r="M25">
            <v>7.5</v>
          </cell>
          <cell r="N25">
            <v>7.5</v>
          </cell>
          <cell r="O25">
            <v>7.5</v>
          </cell>
          <cell r="P25">
            <v>7.5</v>
          </cell>
          <cell r="Q25">
            <v>7.5</v>
          </cell>
          <cell r="R25" t="str">
            <v>HT</v>
          </cell>
          <cell r="S25">
            <v>7.5</v>
          </cell>
          <cell r="T25">
            <v>7.5</v>
          </cell>
          <cell r="U25">
            <v>7.5</v>
          </cell>
          <cell r="V25">
            <v>7.5</v>
          </cell>
          <cell r="W25">
            <v>7.5</v>
          </cell>
          <cell r="X25">
            <v>7.5</v>
          </cell>
          <cell r="Y25" t="str">
            <v>HT</v>
          </cell>
          <cell r="Z25">
            <v>7.5</v>
          </cell>
          <cell r="AA25">
            <v>7.5</v>
          </cell>
          <cell r="AB25">
            <v>7.5</v>
          </cell>
          <cell r="AC25">
            <v>7.5</v>
          </cell>
          <cell r="AD25" t="str">
            <v>YI</v>
          </cell>
          <cell r="AE25">
            <v>7.5</v>
          </cell>
          <cell r="AF25" t="str">
            <v>HT</v>
          </cell>
          <cell r="AG25" t="str">
            <v>MI</v>
          </cell>
          <cell r="AH25" t="str">
            <v>MI</v>
          </cell>
          <cell r="AI25">
            <v>7.5</v>
          </cell>
          <cell r="AJ25" t="str">
            <v>MI</v>
          </cell>
          <cell r="AK25" t="str">
            <v>YI</v>
          </cell>
        </row>
        <row r="26">
          <cell r="C26" t="str">
            <v>sorter</v>
          </cell>
          <cell r="G26" t="str">
            <v>RT</v>
          </cell>
          <cell r="H26">
            <v>7.5</v>
          </cell>
          <cell r="I26">
            <v>7.5</v>
          </cell>
          <cell r="J26">
            <v>7.5</v>
          </cell>
          <cell r="K26" t="str">
            <v>HT</v>
          </cell>
          <cell r="L26">
            <v>7.5</v>
          </cell>
          <cell r="M26">
            <v>7.5</v>
          </cell>
          <cell r="N26">
            <v>7.5</v>
          </cell>
          <cell r="O26">
            <v>7.5</v>
          </cell>
          <cell r="P26">
            <v>7.0833333333333339</v>
          </cell>
          <cell r="Q26">
            <v>4.75</v>
          </cell>
          <cell r="R26" t="str">
            <v>HT</v>
          </cell>
          <cell r="S26">
            <v>7.5</v>
          </cell>
          <cell r="T26">
            <v>7.5</v>
          </cell>
          <cell r="U26" t="str">
            <v>MI</v>
          </cell>
          <cell r="V26">
            <v>7.5</v>
          </cell>
          <cell r="W26">
            <v>4.916666666666667</v>
          </cell>
          <cell r="X26">
            <v>7.5</v>
          </cell>
          <cell r="Y26" t="str">
            <v>HT</v>
          </cell>
          <cell r="Z26">
            <v>7.5</v>
          </cell>
          <cell r="AA26">
            <v>7.5</v>
          </cell>
          <cell r="AB26">
            <v>7.5</v>
          </cell>
          <cell r="AC26">
            <v>7.5</v>
          </cell>
          <cell r="AD26">
            <v>7.5</v>
          </cell>
          <cell r="AE26">
            <v>7.5</v>
          </cell>
          <cell r="AF26" t="str">
            <v>HT</v>
          </cell>
          <cell r="AG26">
            <v>7.5</v>
          </cell>
          <cell r="AH26">
            <v>7.5</v>
          </cell>
          <cell r="AI26">
            <v>7.5</v>
          </cell>
          <cell r="AJ26">
            <v>7.5</v>
          </cell>
          <cell r="AK26">
            <v>7.0833333333333339</v>
          </cell>
        </row>
        <row r="27">
          <cell r="C27" t="str">
            <v xml:space="preserve">Adresleme </v>
          </cell>
          <cell r="G27" t="str">
            <v>RT</v>
          </cell>
          <cell r="H27">
            <v>7.5</v>
          </cell>
          <cell r="I27">
            <v>7.5</v>
          </cell>
          <cell r="J27" t="str">
            <v>HT</v>
          </cell>
          <cell r="K27">
            <v>7.5</v>
          </cell>
          <cell r="L27">
            <v>7.5</v>
          </cell>
          <cell r="M27">
            <v>7.5</v>
          </cell>
          <cell r="N27">
            <v>4.666666666666667</v>
          </cell>
          <cell r="O27">
            <v>7.5</v>
          </cell>
          <cell r="P27">
            <v>7.5</v>
          </cell>
          <cell r="Q27" t="str">
            <v>HT</v>
          </cell>
          <cell r="R27">
            <v>7.5</v>
          </cell>
          <cell r="S27">
            <v>7.5</v>
          </cell>
          <cell r="T27">
            <v>7.5</v>
          </cell>
          <cell r="U27">
            <v>7.5</v>
          </cell>
          <cell r="V27" t="str">
            <v>MI</v>
          </cell>
          <cell r="W27">
            <v>7.5</v>
          </cell>
          <cell r="X27" t="str">
            <v>HT</v>
          </cell>
          <cell r="Y27">
            <v>7.5</v>
          </cell>
          <cell r="Z27">
            <v>7.5</v>
          </cell>
          <cell r="AA27">
            <v>7.5</v>
          </cell>
          <cell r="AB27">
            <v>5.666666666666667</v>
          </cell>
          <cell r="AC27">
            <v>7.5</v>
          </cell>
          <cell r="AD27">
            <v>7.5</v>
          </cell>
          <cell r="AE27" t="str">
            <v>HT</v>
          </cell>
          <cell r="AF27">
            <v>7.5</v>
          </cell>
          <cell r="AG27">
            <v>7.5</v>
          </cell>
          <cell r="AH27">
            <v>7.5</v>
          </cell>
          <cell r="AI27">
            <v>7.5</v>
          </cell>
          <cell r="AJ27">
            <v>7.5</v>
          </cell>
          <cell r="AK27" t="str">
            <v>MI</v>
          </cell>
        </row>
        <row r="28">
          <cell r="C28" t="str">
            <v>sorter</v>
          </cell>
          <cell r="G28" t="str">
            <v>RT</v>
          </cell>
          <cell r="H28">
            <v>7.5</v>
          </cell>
          <cell r="I28">
            <v>7.5</v>
          </cell>
          <cell r="J28" t="str">
            <v>HT</v>
          </cell>
          <cell r="K28">
            <v>7.5</v>
          </cell>
          <cell r="L28">
            <v>7.5</v>
          </cell>
          <cell r="M28">
            <v>7.5</v>
          </cell>
          <cell r="N28">
            <v>5</v>
          </cell>
          <cell r="O28">
            <v>7.5</v>
          </cell>
          <cell r="P28">
            <v>7.5</v>
          </cell>
          <cell r="Q28" t="str">
            <v>HT</v>
          </cell>
          <cell r="R28">
            <v>7.5</v>
          </cell>
          <cell r="S28">
            <v>7.5</v>
          </cell>
          <cell r="T28">
            <v>7.5</v>
          </cell>
          <cell r="U28">
            <v>7.5</v>
          </cell>
          <cell r="V28">
            <v>7.5</v>
          </cell>
          <cell r="W28">
            <v>7.5</v>
          </cell>
          <cell r="X28" t="str">
            <v>HT</v>
          </cell>
          <cell r="Y28">
            <v>7.5</v>
          </cell>
          <cell r="Z28">
            <v>6.833333333333333</v>
          </cell>
          <cell r="AA28">
            <v>7.5</v>
          </cell>
          <cell r="AB28">
            <v>7.5</v>
          </cell>
          <cell r="AC28">
            <v>4.416666666666667</v>
          </cell>
          <cell r="AD28">
            <v>7.5</v>
          </cell>
          <cell r="AE28" t="str">
            <v>HT</v>
          </cell>
          <cell r="AF28">
            <v>7.5</v>
          </cell>
          <cell r="AG28">
            <v>7.5</v>
          </cell>
          <cell r="AH28">
            <v>7.5</v>
          </cell>
          <cell r="AI28">
            <v>7.5</v>
          </cell>
          <cell r="AJ28">
            <v>6.833333333333333</v>
          </cell>
          <cell r="AK28">
            <v>7.5</v>
          </cell>
        </row>
        <row r="29">
          <cell r="C29" t="str">
            <v>sorter</v>
          </cell>
          <cell r="G29" t="str">
            <v>RT</v>
          </cell>
          <cell r="H29">
            <v>7.5</v>
          </cell>
          <cell r="I29">
            <v>7.5</v>
          </cell>
          <cell r="J29">
            <v>7.5</v>
          </cell>
          <cell r="K29" t="str">
            <v>HT</v>
          </cell>
          <cell r="L29">
            <v>7.5</v>
          </cell>
          <cell r="M29">
            <v>7.5</v>
          </cell>
          <cell r="N29">
            <v>7.5</v>
          </cell>
          <cell r="O29">
            <v>7.5</v>
          </cell>
          <cell r="P29">
            <v>7.5</v>
          </cell>
          <cell r="Q29">
            <v>7.5</v>
          </cell>
          <cell r="R29" t="str">
            <v>HT</v>
          </cell>
          <cell r="S29">
            <v>7.5</v>
          </cell>
          <cell r="T29">
            <v>7.5</v>
          </cell>
          <cell r="U29">
            <v>7.5</v>
          </cell>
          <cell r="V29">
            <v>7.5</v>
          </cell>
          <cell r="W29">
            <v>7.5</v>
          </cell>
          <cell r="X29">
            <v>7.25</v>
          </cell>
          <cell r="Y29" t="str">
            <v>HT</v>
          </cell>
          <cell r="Z29">
            <v>7.5</v>
          </cell>
          <cell r="AA29">
            <v>7.1666666666666661</v>
          </cell>
          <cell r="AB29">
            <v>7.5</v>
          </cell>
          <cell r="AC29">
            <v>7.5</v>
          </cell>
          <cell r="AD29">
            <v>6</v>
          </cell>
          <cell r="AE29" t="str">
            <v>YI</v>
          </cell>
          <cell r="AF29" t="str">
            <v>HT</v>
          </cell>
          <cell r="AG29">
            <v>7.5</v>
          </cell>
          <cell r="AH29">
            <v>7.5</v>
          </cell>
          <cell r="AI29">
            <v>7.5</v>
          </cell>
          <cell r="AJ29">
            <v>4.75</v>
          </cell>
          <cell r="AK29">
            <v>7.5</v>
          </cell>
        </row>
        <row r="30">
          <cell r="C30" t="str">
            <v>toplama</v>
          </cell>
          <cell r="G30" t="str">
            <v>RT</v>
          </cell>
          <cell r="H30">
            <v>7.5</v>
          </cell>
          <cell r="I30">
            <v>7.5</v>
          </cell>
          <cell r="J30" t="str">
            <v>HT</v>
          </cell>
          <cell r="K30">
            <v>7.5</v>
          </cell>
          <cell r="L30">
            <v>7.5</v>
          </cell>
          <cell r="M30">
            <v>7.5</v>
          </cell>
          <cell r="N30">
            <v>7.5</v>
          </cell>
          <cell r="O30">
            <v>7.5</v>
          </cell>
          <cell r="P30">
            <v>7.5</v>
          </cell>
          <cell r="Q30" t="str">
            <v>HT</v>
          </cell>
          <cell r="R30">
            <v>7.5</v>
          </cell>
          <cell r="S30">
            <v>7.5</v>
          </cell>
          <cell r="T30">
            <v>7.5</v>
          </cell>
          <cell r="U30">
            <v>7.5</v>
          </cell>
          <cell r="V30">
            <v>7.5</v>
          </cell>
          <cell r="W30">
            <v>7.5</v>
          </cell>
          <cell r="X30" t="str">
            <v>HT</v>
          </cell>
          <cell r="Y30">
            <v>7.5</v>
          </cell>
          <cell r="Z30">
            <v>7.5</v>
          </cell>
          <cell r="AA30">
            <v>7.5</v>
          </cell>
          <cell r="AB30">
            <v>7.5</v>
          </cell>
          <cell r="AC30">
            <v>7.5</v>
          </cell>
          <cell r="AD30">
            <v>7.5</v>
          </cell>
          <cell r="AE30" t="str">
            <v>HT</v>
          </cell>
          <cell r="AF30">
            <v>7.5</v>
          </cell>
          <cell r="AG30">
            <v>7.5</v>
          </cell>
          <cell r="AH30">
            <v>7.5</v>
          </cell>
          <cell r="AI30">
            <v>7.5</v>
          </cell>
          <cell r="AJ30">
            <v>7.5</v>
          </cell>
          <cell r="AK30">
            <v>7.5</v>
          </cell>
        </row>
        <row r="31">
          <cell r="C31" t="str">
            <v xml:space="preserve">Adresleme </v>
          </cell>
          <cell r="G31" t="str">
            <v>RT</v>
          </cell>
          <cell r="H31">
            <v>7</v>
          </cell>
          <cell r="I31">
            <v>7.5</v>
          </cell>
          <cell r="J31" t="str">
            <v>HT</v>
          </cell>
          <cell r="K31">
            <v>7.5</v>
          </cell>
          <cell r="L31">
            <v>7.0833333333333339</v>
          </cell>
          <cell r="M31">
            <v>7.5</v>
          </cell>
          <cell r="N31">
            <v>7.5</v>
          </cell>
          <cell r="O31">
            <v>7.5</v>
          </cell>
          <cell r="P31">
            <v>7.5</v>
          </cell>
          <cell r="Q31" t="str">
            <v>HT</v>
          </cell>
          <cell r="R31">
            <v>7.5</v>
          </cell>
          <cell r="S31">
            <v>7.5</v>
          </cell>
          <cell r="T31">
            <v>7.5</v>
          </cell>
          <cell r="U31">
            <v>7.5</v>
          </cell>
          <cell r="V31">
            <v>7.5</v>
          </cell>
          <cell r="W31">
            <v>7.5</v>
          </cell>
          <cell r="X31" t="str">
            <v>HT</v>
          </cell>
          <cell r="Y31">
            <v>5.166666666666667</v>
          </cell>
          <cell r="Z31">
            <v>7.5</v>
          </cell>
          <cell r="AA31">
            <v>7.5</v>
          </cell>
          <cell r="AB31">
            <v>7.5</v>
          </cell>
          <cell r="AC31">
            <v>7.5</v>
          </cell>
          <cell r="AD31">
            <v>7.5</v>
          </cell>
          <cell r="AE31" t="str">
            <v>HT</v>
          </cell>
          <cell r="AF31">
            <v>7.5</v>
          </cell>
          <cell r="AG31">
            <v>7.5</v>
          </cell>
          <cell r="AH31">
            <v>7.5</v>
          </cell>
          <cell r="AI31">
            <v>7.5</v>
          </cell>
          <cell r="AJ31">
            <v>7.5</v>
          </cell>
          <cell r="AK31">
            <v>7.5</v>
          </cell>
        </row>
        <row r="32">
          <cell r="C32" t="str">
            <v xml:space="preserve">Adresleme </v>
          </cell>
          <cell r="G32" t="str">
            <v>RT</v>
          </cell>
          <cell r="H32">
            <v>7.5</v>
          </cell>
          <cell r="I32">
            <v>7.5</v>
          </cell>
          <cell r="J32">
            <v>7.5</v>
          </cell>
          <cell r="K32" t="str">
            <v>HT</v>
          </cell>
          <cell r="L32" t="str">
            <v>MI</v>
          </cell>
          <cell r="M32">
            <v>7.5</v>
          </cell>
          <cell r="N32">
            <v>7.5</v>
          </cell>
          <cell r="O32">
            <v>7.5</v>
          </cell>
          <cell r="P32">
            <v>7.5</v>
          </cell>
          <cell r="Q32" t="str">
            <v>MI</v>
          </cell>
          <cell r="R32" t="str">
            <v>HT</v>
          </cell>
          <cell r="S32">
            <v>7.5</v>
          </cell>
          <cell r="T32">
            <v>7.5</v>
          </cell>
          <cell r="U32">
            <v>7.5</v>
          </cell>
          <cell r="V32">
            <v>6</v>
          </cell>
          <cell r="W32">
            <v>7.5</v>
          </cell>
          <cell r="X32">
            <v>7.5</v>
          </cell>
          <cell r="Y32" t="str">
            <v>HT</v>
          </cell>
          <cell r="Z32">
            <v>7.5</v>
          </cell>
          <cell r="AA32">
            <v>7.1666666666666661</v>
          </cell>
          <cell r="AB32">
            <v>7.5</v>
          </cell>
          <cell r="AC32">
            <v>7.5</v>
          </cell>
          <cell r="AD32">
            <v>7.5</v>
          </cell>
          <cell r="AE32">
            <v>7.5</v>
          </cell>
          <cell r="AF32" t="str">
            <v>HT</v>
          </cell>
          <cell r="AG32">
            <v>7.5</v>
          </cell>
          <cell r="AH32">
            <v>7.5</v>
          </cell>
          <cell r="AI32">
            <v>7.5</v>
          </cell>
          <cell r="AJ32" t="str">
            <v>MI</v>
          </cell>
          <cell r="AK32">
            <v>7.5</v>
          </cell>
        </row>
        <row r="33">
          <cell r="C33" t="str">
            <v>Kargo</v>
          </cell>
          <cell r="G33" t="str">
            <v>RT</v>
          </cell>
          <cell r="H33">
            <v>7.5</v>
          </cell>
          <cell r="I33">
            <v>7.5</v>
          </cell>
          <cell r="J33">
            <v>7.5</v>
          </cell>
          <cell r="K33" t="str">
            <v>HT</v>
          </cell>
          <cell r="L33">
            <v>7.5</v>
          </cell>
          <cell r="M33">
            <v>7.5</v>
          </cell>
          <cell r="N33">
            <v>7.5</v>
          </cell>
          <cell r="O33">
            <v>7.5</v>
          </cell>
          <cell r="P33">
            <v>7.5</v>
          </cell>
          <cell r="Q33">
            <v>7.5</v>
          </cell>
          <cell r="R33" t="str">
            <v>HT</v>
          </cell>
          <cell r="S33">
            <v>7.5</v>
          </cell>
          <cell r="T33">
            <v>7.5</v>
          </cell>
          <cell r="U33">
            <v>7.5</v>
          </cell>
          <cell r="V33">
            <v>7.5</v>
          </cell>
          <cell r="W33">
            <v>7.5</v>
          </cell>
          <cell r="X33">
            <v>7.5</v>
          </cell>
          <cell r="Y33" t="str">
            <v>HT</v>
          </cell>
          <cell r="Z33">
            <v>7.5</v>
          </cell>
          <cell r="AA33">
            <v>7.5</v>
          </cell>
          <cell r="AB33">
            <v>7.5</v>
          </cell>
          <cell r="AC33">
            <v>7.5</v>
          </cell>
          <cell r="AD33">
            <v>7.5</v>
          </cell>
          <cell r="AE33">
            <v>7.5</v>
          </cell>
          <cell r="AF33" t="str">
            <v>HT</v>
          </cell>
          <cell r="AG33">
            <v>7.5</v>
          </cell>
          <cell r="AH33">
            <v>7.5</v>
          </cell>
          <cell r="AI33">
            <v>7.5</v>
          </cell>
          <cell r="AJ33">
            <v>7.5</v>
          </cell>
          <cell r="AK33">
            <v>7.5</v>
          </cell>
        </row>
        <row r="34">
          <cell r="C34" t="str">
            <v xml:space="preserve">Adresleme </v>
          </cell>
          <cell r="G34" t="str">
            <v>RT</v>
          </cell>
          <cell r="H34" t="str">
            <v>YI</v>
          </cell>
          <cell r="I34" t="str">
            <v>YI</v>
          </cell>
          <cell r="J34" t="str">
            <v>HT</v>
          </cell>
          <cell r="K34">
            <v>7.5</v>
          </cell>
          <cell r="L34">
            <v>7.5</v>
          </cell>
          <cell r="M34">
            <v>7.5</v>
          </cell>
          <cell r="N34">
            <v>4.583333333333333</v>
          </cell>
          <cell r="O34" t="str">
            <v>YI</v>
          </cell>
          <cell r="P34">
            <v>7.5</v>
          </cell>
          <cell r="Q34" t="str">
            <v>HT</v>
          </cell>
          <cell r="R34">
            <v>7.5</v>
          </cell>
          <cell r="S34">
            <v>7.5</v>
          </cell>
          <cell r="T34">
            <v>7.5</v>
          </cell>
          <cell r="U34">
            <v>7.5</v>
          </cell>
          <cell r="V34">
            <v>7.5</v>
          </cell>
          <cell r="W34" t="str">
            <v>YI</v>
          </cell>
          <cell r="X34" t="str">
            <v>HT</v>
          </cell>
          <cell r="Y34">
            <v>7.5</v>
          </cell>
          <cell r="Z34">
            <v>7.5</v>
          </cell>
          <cell r="AA34">
            <v>7.5</v>
          </cell>
          <cell r="AB34">
            <v>7.5</v>
          </cell>
          <cell r="AC34">
            <v>7.5</v>
          </cell>
          <cell r="AD34">
            <v>7.5</v>
          </cell>
          <cell r="AE34" t="str">
            <v>HT</v>
          </cell>
          <cell r="AF34">
            <v>7.5</v>
          </cell>
          <cell r="AG34">
            <v>7.5</v>
          </cell>
          <cell r="AH34">
            <v>7.5</v>
          </cell>
          <cell r="AI34" t="str">
            <v>YI</v>
          </cell>
          <cell r="AJ34">
            <v>7.5</v>
          </cell>
          <cell r="AK34">
            <v>7.5</v>
          </cell>
        </row>
        <row r="35">
          <cell r="C35" t="str">
            <v>toplama</v>
          </cell>
          <cell r="G35" t="str">
            <v>RT</v>
          </cell>
          <cell r="H35">
            <v>7.5</v>
          </cell>
          <cell r="I35">
            <v>7.5</v>
          </cell>
          <cell r="J35">
            <v>4.25</v>
          </cell>
          <cell r="K35" t="str">
            <v>HT</v>
          </cell>
          <cell r="L35" t="str">
            <v>MI</v>
          </cell>
          <cell r="M35" t="str">
            <v>MI</v>
          </cell>
          <cell r="N35">
            <v>7.5</v>
          </cell>
          <cell r="O35">
            <v>7.5</v>
          </cell>
          <cell r="P35">
            <v>7.5</v>
          </cell>
          <cell r="Q35">
            <v>7.5</v>
          </cell>
          <cell r="R35" t="str">
            <v>HT</v>
          </cell>
          <cell r="S35">
            <v>7.5</v>
          </cell>
          <cell r="T35">
            <v>7.5</v>
          </cell>
          <cell r="U35">
            <v>7.5</v>
          </cell>
          <cell r="V35">
            <v>7.5</v>
          </cell>
          <cell r="W35">
            <v>7.5</v>
          </cell>
          <cell r="X35">
            <v>7.5</v>
          </cell>
          <cell r="Y35" t="str">
            <v>HT</v>
          </cell>
          <cell r="Z35">
            <v>7.5</v>
          </cell>
          <cell r="AA35">
            <v>7.5</v>
          </cell>
          <cell r="AB35">
            <v>7.5</v>
          </cell>
          <cell r="AC35">
            <v>7.5</v>
          </cell>
          <cell r="AD35">
            <v>7.5</v>
          </cell>
          <cell r="AE35">
            <v>7.5</v>
          </cell>
          <cell r="AF35" t="str">
            <v>HT</v>
          </cell>
          <cell r="AG35">
            <v>7.5</v>
          </cell>
          <cell r="AH35">
            <v>7.5</v>
          </cell>
          <cell r="AI35">
            <v>7.5</v>
          </cell>
          <cell r="AJ35">
            <v>7.5</v>
          </cell>
          <cell r="AK35">
            <v>7.5</v>
          </cell>
        </row>
        <row r="36">
          <cell r="C36" t="str">
            <v>toplama</v>
          </cell>
          <cell r="G36" t="str">
            <v>RT</v>
          </cell>
          <cell r="H36">
            <v>7.5</v>
          </cell>
          <cell r="I36">
            <v>7.5</v>
          </cell>
          <cell r="J36">
            <v>7.5</v>
          </cell>
          <cell r="K36" t="str">
            <v>HT</v>
          </cell>
          <cell r="L36">
            <v>7.5</v>
          </cell>
          <cell r="M36">
            <v>7.5</v>
          </cell>
          <cell r="N36">
            <v>7.5</v>
          </cell>
          <cell r="O36">
            <v>7.5</v>
          </cell>
          <cell r="P36">
            <v>7.5</v>
          </cell>
          <cell r="Q36">
            <v>7.5</v>
          </cell>
          <cell r="R36" t="str">
            <v>HT</v>
          </cell>
          <cell r="S36">
            <v>7.5</v>
          </cell>
          <cell r="T36">
            <v>7.5</v>
          </cell>
          <cell r="U36">
            <v>7.5</v>
          </cell>
          <cell r="V36">
            <v>7.5</v>
          </cell>
          <cell r="W36">
            <v>7.5</v>
          </cell>
          <cell r="X36">
            <v>7.5</v>
          </cell>
          <cell r="Y36" t="str">
            <v>HT</v>
          </cell>
          <cell r="Z36">
            <v>7.5</v>
          </cell>
          <cell r="AA36">
            <v>7.5</v>
          </cell>
          <cell r="AB36" t="str">
            <v>MI</v>
          </cell>
          <cell r="AC36">
            <v>7.5</v>
          </cell>
          <cell r="AD36">
            <v>7.5</v>
          </cell>
          <cell r="AE36">
            <v>7.5</v>
          </cell>
          <cell r="AF36" t="str">
            <v>HT</v>
          </cell>
          <cell r="AG36">
            <v>7.5</v>
          </cell>
          <cell r="AH36">
            <v>7.5</v>
          </cell>
          <cell r="AI36">
            <v>7.5</v>
          </cell>
          <cell r="AJ36">
            <v>7.5</v>
          </cell>
          <cell r="AK36">
            <v>7.5</v>
          </cell>
        </row>
        <row r="37">
          <cell r="C37" t="str">
            <v>sorter</v>
          </cell>
          <cell r="G37" t="str">
            <v>RT</v>
          </cell>
          <cell r="H37">
            <v>7.5</v>
          </cell>
          <cell r="I37">
            <v>7.5</v>
          </cell>
          <cell r="J37">
            <v>7.5</v>
          </cell>
          <cell r="K37" t="str">
            <v>HT</v>
          </cell>
          <cell r="L37">
            <v>7.5</v>
          </cell>
          <cell r="M37">
            <v>7.5</v>
          </cell>
          <cell r="N37">
            <v>7.5</v>
          </cell>
          <cell r="O37">
            <v>7.5</v>
          </cell>
          <cell r="P37">
            <v>7.5</v>
          </cell>
          <cell r="Q37">
            <v>7.5</v>
          </cell>
          <cell r="R37" t="str">
            <v>HT</v>
          </cell>
          <cell r="S37">
            <v>7.5</v>
          </cell>
          <cell r="T37">
            <v>7.5</v>
          </cell>
          <cell r="U37">
            <v>7.5</v>
          </cell>
          <cell r="V37">
            <v>7.5</v>
          </cell>
          <cell r="W37">
            <v>7.5</v>
          </cell>
          <cell r="X37">
            <v>7.5</v>
          </cell>
          <cell r="Y37" t="str">
            <v>HT</v>
          </cell>
          <cell r="Z37">
            <v>7.5</v>
          </cell>
          <cell r="AA37">
            <v>7.5</v>
          </cell>
          <cell r="AB37">
            <v>7.5</v>
          </cell>
          <cell r="AC37">
            <v>7.5</v>
          </cell>
          <cell r="AD37">
            <v>4.583333333333333</v>
          </cell>
          <cell r="AE37">
            <v>7.5</v>
          </cell>
          <cell r="AF37" t="str">
            <v>HT</v>
          </cell>
          <cell r="AG37">
            <v>7.5</v>
          </cell>
          <cell r="AH37">
            <v>7.5</v>
          </cell>
          <cell r="AI37">
            <v>7.5</v>
          </cell>
          <cell r="AJ37">
            <v>7.5</v>
          </cell>
          <cell r="AK37">
            <v>7.5</v>
          </cell>
        </row>
        <row r="38">
          <cell r="C38" t="str">
            <v>toplama</v>
          </cell>
          <cell r="G38" t="str">
            <v>RT</v>
          </cell>
          <cell r="H38">
            <v>7.5</v>
          </cell>
          <cell r="I38">
            <v>7.5</v>
          </cell>
          <cell r="J38">
            <v>7.5</v>
          </cell>
          <cell r="K38" t="str">
            <v>HT</v>
          </cell>
          <cell r="L38">
            <v>7.5</v>
          </cell>
          <cell r="M38">
            <v>7.5</v>
          </cell>
          <cell r="N38">
            <v>7.5</v>
          </cell>
          <cell r="O38">
            <v>7.5</v>
          </cell>
          <cell r="P38">
            <v>7.5</v>
          </cell>
          <cell r="Q38">
            <v>7.5</v>
          </cell>
          <cell r="R38" t="str">
            <v>HT</v>
          </cell>
          <cell r="S38">
            <v>7.5</v>
          </cell>
          <cell r="T38">
            <v>7.5</v>
          </cell>
          <cell r="U38">
            <v>7.5</v>
          </cell>
          <cell r="V38">
            <v>7.5</v>
          </cell>
          <cell r="W38">
            <v>7.5</v>
          </cell>
          <cell r="X38">
            <v>7.5</v>
          </cell>
          <cell r="Y38" t="str">
            <v>HT</v>
          </cell>
          <cell r="Z38">
            <v>7.5</v>
          </cell>
          <cell r="AA38">
            <v>7.5</v>
          </cell>
          <cell r="AB38">
            <v>7.5</v>
          </cell>
          <cell r="AC38">
            <v>7.5</v>
          </cell>
          <cell r="AD38">
            <v>7.5</v>
          </cell>
          <cell r="AE38">
            <v>7.5</v>
          </cell>
          <cell r="AF38" t="str">
            <v>HT</v>
          </cell>
          <cell r="AG38">
            <v>7.5</v>
          </cell>
          <cell r="AH38">
            <v>7.5</v>
          </cell>
          <cell r="AI38">
            <v>7.5</v>
          </cell>
          <cell r="AJ38">
            <v>7.5</v>
          </cell>
          <cell r="AK38">
            <v>7.5</v>
          </cell>
        </row>
        <row r="39">
          <cell r="C39" t="str">
            <v>sorter</v>
          </cell>
          <cell r="G39" t="str">
            <v>RT</v>
          </cell>
          <cell r="H39">
            <v>7.5</v>
          </cell>
          <cell r="I39">
            <v>7.5</v>
          </cell>
          <cell r="J39">
            <v>7.25</v>
          </cell>
          <cell r="K39" t="str">
            <v>HT</v>
          </cell>
          <cell r="L39">
            <v>7.5</v>
          </cell>
          <cell r="M39">
            <v>7.5</v>
          </cell>
          <cell r="N39">
            <v>7.5</v>
          </cell>
          <cell r="O39">
            <v>7.5</v>
          </cell>
          <cell r="P39">
            <v>7.25</v>
          </cell>
          <cell r="Q39">
            <v>7.5</v>
          </cell>
          <cell r="R39" t="str">
            <v>HT</v>
          </cell>
          <cell r="S39" t="str">
            <v>YI</v>
          </cell>
          <cell r="T39">
            <v>7.5</v>
          </cell>
          <cell r="U39">
            <v>7.5</v>
          </cell>
          <cell r="V39">
            <v>7.5</v>
          </cell>
          <cell r="W39">
            <v>7.5</v>
          </cell>
          <cell r="X39">
            <v>7.5</v>
          </cell>
          <cell r="Y39" t="str">
            <v>HT</v>
          </cell>
          <cell r="Z39">
            <v>7.5</v>
          </cell>
          <cell r="AA39">
            <v>7.5</v>
          </cell>
          <cell r="AB39">
            <v>7.1666666666666661</v>
          </cell>
          <cell r="AC39">
            <v>7.5</v>
          </cell>
          <cell r="AD39">
            <v>7.5</v>
          </cell>
          <cell r="AE39">
            <v>7.5</v>
          </cell>
          <cell r="AF39" t="str">
            <v>HT</v>
          </cell>
          <cell r="AG39">
            <v>7.5</v>
          </cell>
          <cell r="AH39">
            <v>7.5</v>
          </cell>
          <cell r="AI39">
            <v>7.5</v>
          </cell>
          <cell r="AJ39">
            <v>7.5</v>
          </cell>
          <cell r="AK39">
            <v>7.5</v>
          </cell>
        </row>
        <row r="40">
          <cell r="C40" t="str">
            <v>toplama</v>
          </cell>
          <cell r="G40" t="str">
            <v>RT</v>
          </cell>
          <cell r="H40">
            <v>7.5</v>
          </cell>
          <cell r="I40">
            <v>7.5</v>
          </cell>
          <cell r="J40" t="str">
            <v>HT</v>
          </cell>
          <cell r="K40">
            <v>7.5</v>
          </cell>
          <cell r="L40">
            <v>7.5</v>
          </cell>
          <cell r="M40">
            <v>7.5</v>
          </cell>
          <cell r="N40">
            <v>7.5</v>
          </cell>
          <cell r="O40">
            <v>7.5</v>
          </cell>
          <cell r="P40">
            <v>7.5</v>
          </cell>
          <cell r="Q40" t="str">
            <v>HT</v>
          </cell>
          <cell r="R40">
            <v>7.5</v>
          </cell>
          <cell r="S40">
            <v>7.5</v>
          </cell>
          <cell r="T40">
            <v>7.5</v>
          </cell>
          <cell r="U40">
            <v>7.5</v>
          </cell>
          <cell r="V40">
            <v>7.5</v>
          </cell>
          <cell r="W40">
            <v>7.5</v>
          </cell>
          <cell r="X40" t="str">
            <v>HT</v>
          </cell>
          <cell r="Y40">
            <v>7.5</v>
          </cell>
          <cell r="Z40">
            <v>7.5</v>
          </cell>
          <cell r="AA40">
            <v>7.5</v>
          </cell>
          <cell r="AB40">
            <v>7.5</v>
          </cell>
          <cell r="AC40">
            <v>7.5</v>
          </cell>
          <cell r="AD40">
            <v>7.5</v>
          </cell>
          <cell r="AE40" t="str">
            <v>HT</v>
          </cell>
          <cell r="AF40">
            <v>7.5</v>
          </cell>
          <cell r="AG40">
            <v>7.5</v>
          </cell>
          <cell r="AH40">
            <v>5</v>
          </cell>
          <cell r="AI40">
            <v>7.5</v>
          </cell>
          <cell r="AJ40">
            <v>7.5</v>
          </cell>
          <cell r="AK40">
            <v>7.5</v>
          </cell>
        </row>
        <row r="41">
          <cell r="C41" t="str">
            <v>toplama</v>
          </cell>
          <cell r="G41" t="str">
            <v>RT</v>
          </cell>
          <cell r="H41" t="str">
            <v>MI</v>
          </cell>
          <cell r="I41" t="str">
            <v>MI</v>
          </cell>
          <cell r="J41" t="str">
            <v>MI</v>
          </cell>
          <cell r="K41" t="str">
            <v>HT</v>
          </cell>
          <cell r="L41">
            <v>7.5</v>
          </cell>
          <cell r="M41">
            <v>7.5</v>
          </cell>
          <cell r="N41">
            <v>7.5</v>
          </cell>
          <cell r="O41">
            <v>7.5</v>
          </cell>
          <cell r="P41">
            <v>7.5</v>
          </cell>
          <cell r="Q41">
            <v>7.5</v>
          </cell>
          <cell r="R41" t="str">
            <v>HT</v>
          </cell>
          <cell r="S41">
            <v>7.5</v>
          </cell>
          <cell r="T41">
            <v>7.5</v>
          </cell>
          <cell r="U41">
            <v>7.5</v>
          </cell>
          <cell r="V41">
            <v>7.5</v>
          </cell>
          <cell r="W41">
            <v>7.5</v>
          </cell>
          <cell r="X41">
            <v>7.5</v>
          </cell>
          <cell r="Y41" t="str">
            <v>HT</v>
          </cell>
          <cell r="Z41">
            <v>7.5</v>
          </cell>
          <cell r="AA41">
            <v>7.5</v>
          </cell>
          <cell r="AB41">
            <v>7.5</v>
          </cell>
          <cell r="AC41">
            <v>7.5</v>
          </cell>
          <cell r="AD41">
            <v>7.5</v>
          </cell>
          <cell r="AE41">
            <v>7.5</v>
          </cell>
          <cell r="AF41" t="str">
            <v>HT</v>
          </cell>
          <cell r="AG41">
            <v>7.5</v>
          </cell>
          <cell r="AH41">
            <v>7.5</v>
          </cell>
          <cell r="AI41">
            <v>7.5</v>
          </cell>
          <cell r="AJ41">
            <v>7.5</v>
          </cell>
          <cell r="AK41">
            <v>7.5</v>
          </cell>
        </row>
        <row r="42">
          <cell r="C42" t="str">
            <v>sorter</v>
          </cell>
          <cell r="G42" t="str">
            <v>RT</v>
          </cell>
          <cell r="H42">
            <v>7.5</v>
          </cell>
          <cell r="I42">
            <v>7.5</v>
          </cell>
          <cell r="J42" t="str">
            <v>HT</v>
          </cell>
          <cell r="K42">
            <v>7.5</v>
          </cell>
          <cell r="L42">
            <v>7.5</v>
          </cell>
          <cell r="M42">
            <v>7.5</v>
          </cell>
          <cell r="N42">
            <v>7.25</v>
          </cell>
          <cell r="O42">
            <v>7.5</v>
          </cell>
          <cell r="P42">
            <v>7.25</v>
          </cell>
          <cell r="Q42" t="str">
            <v>HT</v>
          </cell>
          <cell r="R42">
            <v>7.5</v>
          </cell>
          <cell r="S42">
            <v>7.5</v>
          </cell>
          <cell r="T42">
            <v>7.5</v>
          </cell>
          <cell r="U42">
            <v>7.5</v>
          </cell>
          <cell r="V42">
            <v>7.5</v>
          </cell>
          <cell r="W42">
            <v>7.5</v>
          </cell>
          <cell r="X42" t="str">
            <v>HT</v>
          </cell>
          <cell r="Y42">
            <v>7.5</v>
          </cell>
          <cell r="Z42">
            <v>7.5</v>
          </cell>
          <cell r="AA42">
            <v>7.5</v>
          </cell>
          <cell r="AB42">
            <v>7.1666666666666661</v>
          </cell>
          <cell r="AC42">
            <v>4.5</v>
          </cell>
          <cell r="AD42" t="str">
            <v>MI</v>
          </cell>
          <cell r="AE42" t="str">
            <v>HT</v>
          </cell>
          <cell r="AF42">
            <v>7.5</v>
          </cell>
          <cell r="AG42">
            <v>7.5</v>
          </cell>
          <cell r="AH42">
            <v>7.5</v>
          </cell>
          <cell r="AI42">
            <v>7.5</v>
          </cell>
          <cell r="AJ42">
            <v>7.5</v>
          </cell>
          <cell r="AK42">
            <v>7.5</v>
          </cell>
        </row>
        <row r="43">
          <cell r="C43" t="str">
            <v>Kargo</v>
          </cell>
          <cell r="G43" t="str">
            <v>RT</v>
          </cell>
          <cell r="H43">
            <v>7.5</v>
          </cell>
          <cell r="I43">
            <v>7.5</v>
          </cell>
          <cell r="J43" t="str">
            <v>MI</v>
          </cell>
          <cell r="K43" t="str">
            <v>HT</v>
          </cell>
          <cell r="L43">
            <v>7.5</v>
          </cell>
          <cell r="M43">
            <v>7.5</v>
          </cell>
          <cell r="N43">
            <v>7.5</v>
          </cell>
          <cell r="O43">
            <v>7.5</v>
          </cell>
          <cell r="P43">
            <v>7.5</v>
          </cell>
          <cell r="Q43">
            <v>7.5</v>
          </cell>
          <cell r="R43" t="str">
            <v>HT</v>
          </cell>
          <cell r="S43">
            <v>7.5</v>
          </cell>
          <cell r="T43">
            <v>7.5</v>
          </cell>
          <cell r="U43">
            <v>7.5</v>
          </cell>
          <cell r="V43">
            <v>7.5</v>
          </cell>
          <cell r="W43" t="str">
            <v>MI</v>
          </cell>
          <cell r="X43" t="str">
            <v>MI</v>
          </cell>
          <cell r="Y43" t="str">
            <v>HT</v>
          </cell>
          <cell r="Z43">
            <v>7.5</v>
          </cell>
          <cell r="AA43">
            <v>7.5</v>
          </cell>
          <cell r="AB43">
            <v>7.5</v>
          </cell>
          <cell r="AC43">
            <v>7.5</v>
          </cell>
          <cell r="AD43">
            <v>7.5</v>
          </cell>
          <cell r="AE43">
            <v>7.5</v>
          </cell>
          <cell r="AF43" t="str">
            <v>HT</v>
          </cell>
          <cell r="AG43">
            <v>7.5</v>
          </cell>
          <cell r="AH43">
            <v>7.5</v>
          </cell>
          <cell r="AI43">
            <v>7.5</v>
          </cell>
          <cell r="AJ43">
            <v>7.5</v>
          </cell>
          <cell r="AK43">
            <v>7.5</v>
          </cell>
        </row>
        <row r="44">
          <cell r="C44" t="str">
            <v>iade kabul</v>
          </cell>
          <cell r="G44" t="str">
            <v>RT</v>
          </cell>
          <cell r="H44">
            <v>7.5</v>
          </cell>
          <cell r="I44">
            <v>7.5</v>
          </cell>
          <cell r="J44" t="str">
            <v>YI</v>
          </cell>
          <cell r="K44" t="str">
            <v>HT</v>
          </cell>
          <cell r="L44">
            <v>7.5</v>
          </cell>
          <cell r="M44">
            <v>7.5</v>
          </cell>
          <cell r="N44">
            <v>7.5</v>
          </cell>
          <cell r="O44">
            <v>7.5</v>
          </cell>
          <cell r="P44">
            <v>7.5</v>
          </cell>
          <cell r="Q44">
            <v>7.5</v>
          </cell>
          <cell r="R44" t="str">
            <v>HT</v>
          </cell>
          <cell r="S44">
            <v>7.5</v>
          </cell>
          <cell r="T44">
            <v>7.5</v>
          </cell>
          <cell r="U44">
            <v>7.5</v>
          </cell>
          <cell r="V44">
            <v>7.5</v>
          </cell>
          <cell r="W44">
            <v>7.5</v>
          </cell>
          <cell r="X44">
            <v>7.5</v>
          </cell>
          <cell r="Y44" t="str">
            <v>HT</v>
          </cell>
          <cell r="Z44">
            <v>7.5</v>
          </cell>
          <cell r="AA44">
            <v>7.5</v>
          </cell>
          <cell r="AB44">
            <v>7.5</v>
          </cell>
          <cell r="AC44" t="str">
            <v>YI</v>
          </cell>
          <cell r="AD44">
            <v>7.5</v>
          </cell>
          <cell r="AE44" t="str">
            <v>YI</v>
          </cell>
          <cell r="AF44" t="str">
            <v>HT</v>
          </cell>
          <cell r="AG44">
            <v>7.5</v>
          </cell>
          <cell r="AH44">
            <v>7.5</v>
          </cell>
          <cell r="AI44">
            <v>7.5</v>
          </cell>
          <cell r="AJ44">
            <v>7.5</v>
          </cell>
          <cell r="AK44" t="str">
            <v>YI</v>
          </cell>
        </row>
        <row r="45">
          <cell r="C45" t="str">
            <v>toplama</v>
          </cell>
          <cell r="G45" t="str">
            <v>RT</v>
          </cell>
          <cell r="H45">
            <v>7.5</v>
          </cell>
          <cell r="I45">
            <v>7.5</v>
          </cell>
          <cell r="J45">
            <v>7.5</v>
          </cell>
          <cell r="K45" t="str">
            <v>HT</v>
          </cell>
          <cell r="L45">
            <v>7.5</v>
          </cell>
          <cell r="M45">
            <v>7.5</v>
          </cell>
          <cell r="N45">
            <v>7.5</v>
          </cell>
          <cell r="O45">
            <v>7.5</v>
          </cell>
          <cell r="P45">
            <v>7.5</v>
          </cell>
          <cell r="Q45" t="str">
            <v>MI</v>
          </cell>
          <cell r="R45" t="str">
            <v>HT</v>
          </cell>
          <cell r="S45">
            <v>6.25</v>
          </cell>
          <cell r="T45">
            <v>7.5</v>
          </cell>
          <cell r="U45">
            <v>7.5</v>
          </cell>
          <cell r="V45" t="str">
            <v>MI</v>
          </cell>
          <cell r="W45">
            <v>7.5</v>
          </cell>
          <cell r="X45">
            <v>7.5</v>
          </cell>
          <cell r="Y45" t="str">
            <v>HT</v>
          </cell>
          <cell r="Z45">
            <v>7.5</v>
          </cell>
          <cell r="AA45">
            <v>7.5</v>
          </cell>
          <cell r="AB45">
            <v>7.5</v>
          </cell>
          <cell r="AC45">
            <v>7.5</v>
          </cell>
          <cell r="AD45">
            <v>7.5</v>
          </cell>
          <cell r="AE45">
            <v>6.9166666666666679</v>
          </cell>
          <cell r="AF45" t="str">
            <v>HT</v>
          </cell>
          <cell r="AG45">
            <v>7.5</v>
          </cell>
          <cell r="AH45">
            <v>7.5</v>
          </cell>
          <cell r="AI45">
            <v>7.5</v>
          </cell>
          <cell r="AJ45">
            <v>7.5</v>
          </cell>
          <cell r="AK45" t="str">
            <v>MI</v>
          </cell>
        </row>
      </sheetData>
      <sheetData sheetId="2" refreshError="1">
        <row r="2">
          <cell r="A2" t="str">
            <v>sorter</v>
          </cell>
        </row>
        <row r="3">
          <cell r="A3" t="str">
            <v>toplama</v>
          </cell>
        </row>
        <row r="4">
          <cell r="A4" t="str">
            <v>vas</v>
          </cell>
        </row>
        <row r="5">
          <cell r="A5" t="str">
            <v>Kargo</v>
          </cell>
        </row>
        <row r="6">
          <cell r="A6" t="str">
            <v>tekli</v>
          </cell>
        </row>
        <row r="7">
          <cell r="A7" t="str">
            <v xml:space="preserve">Adresleme </v>
          </cell>
        </row>
        <row r="8">
          <cell r="A8" t="str">
            <v>adres denetim</v>
          </cell>
        </row>
        <row r="9">
          <cell r="A9" t="str">
            <v>Sipariş Takip TL</v>
          </cell>
        </row>
        <row r="10">
          <cell r="A10" t="str">
            <v>iade kabul</v>
          </cell>
        </row>
      </sheetData>
      <sheetData sheetId="3" refreshError="1"/>
      <sheetData sheetId="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ER ILTER" refreshedDate="46020.647023148151" createdVersion="7" refreshedVersion="7" minRefreshableVersion="3" recordCount="27" xr:uid="{9CAE7768-979B-4FCA-9829-6A091E0096F1}">
  <cacheSource type="worksheet">
    <worksheetSource ref="A1:E28" sheet="Taşıma Süre"/>
  </cacheSource>
  <cacheFields count="5">
    <cacheField name="Adresleme" numFmtId="0">
      <sharedItems/>
    </cacheField>
    <cacheField name="Tarih" numFmtId="0">
      <sharedItems containsNonDate="0" containsDate="1" containsString="0" containsBlank="1" minDate="2025-12-02T00:00:00" maxDate="2025-12-22T00:00:00"/>
    </cacheField>
    <cacheField name="Hücre Yapımı+Taşıma Yapan Personel Sayısı" numFmtId="0">
      <sharedItems containsString="0" containsBlank="1" containsNumber="1" minValue="4" maxValue="163"/>
    </cacheField>
    <cacheField name="Saat" numFmtId="0">
      <sharedItems containsString="0" containsBlank="1" containsNumber="1" minValue="30" maxValue="1222.5"/>
    </cacheField>
    <cacheField name="Ay" numFmtId="0">
      <sharedItems count="3">
        <s v="Ekim"/>
        <s v="Kasım"/>
        <s v="Aralı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s v="40.Hafta"/>
    <m/>
    <n v="11"/>
    <n v="82.5"/>
    <x v="0"/>
  </r>
  <r>
    <s v="41.Hafta"/>
    <m/>
    <n v="13"/>
    <n v="97.5"/>
    <x v="0"/>
  </r>
  <r>
    <s v="42.Hafta"/>
    <m/>
    <n v="23"/>
    <n v="172.5"/>
    <x v="0"/>
  </r>
  <r>
    <s v="43.Hafta"/>
    <m/>
    <n v="9"/>
    <n v="67.5"/>
    <x v="0"/>
  </r>
  <r>
    <s v="44.Hafta"/>
    <m/>
    <n v="52"/>
    <n v="390"/>
    <x v="0"/>
  </r>
  <r>
    <s v="45.Hafta"/>
    <m/>
    <n v="33"/>
    <n v="247.5"/>
    <x v="1"/>
  </r>
  <r>
    <s v="46.Hafta"/>
    <m/>
    <n v="148"/>
    <n v="1110"/>
    <x v="1"/>
  </r>
  <r>
    <s v="47.Hafta"/>
    <m/>
    <n v="163"/>
    <n v="1222.5"/>
    <x v="1"/>
  </r>
  <r>
    <s v="48.Hafta"/>
    <m/>
    <n v="106"/>
    <n v="795"/>
    <x v="1"/>
  </r>
  <r>
    <s v="49.Hafta"/>
    <d v="2025-12-02T00:00:00"/>
    <n v="8"/>
    <n v="60"/>
    <x v="2"/>
  </r>
  <r>
    <s v="49.Hafta"/>
    <d v="2025-12-03T00:00:00"/>
    <n v="4"/>
    <n v="30"/>
    <x v="2"/>
  </r>
  <r>
    <s v="49.Hafta"/>
    <d v="2025-12-04T00:00:00"/>
    <n v="13"/>
    <n v="97.5"/>
    <x v="2"/>
  </r>
  <r>
    <s v="49.Hafta"/>
    <d v="2025-12-05T00:00:00"/>
    <n v="7"/>
    <n v="52.5"/>
    <x v="2"/>
  </r>
  <r>
    <s v="50.Hafta"/>
    <d v="2025-12-08T00:00:00"/>
    <n v="41.5"/>
    <n v="311.25"/>
    <x v="2"/>
  </r>
  <r>
    <s v="50.Hafta"/>
    <d v="2025-12-09T00:00:00"/>
    <n v="41.5"/>
    <n v="311.25"/>
    <x v="2"/>
  </r>
  <r>
    <s v="50.Hafta"/>
    <d v="2025-12-10T00:00:00"/>
    <n v="41.5"/>
    <n v="311.25"/>
    <x v="2"/>
  </r>
  <r>
    <s v="50.Hafta"/>
    <d v="2025-12-11T00:00:00"/>
    <n v="41.5"/>
    <n v="311.25"/>
    <x v="2"/>
  </r>
  <r>
    <s v="50.Hafta"/>
    <d v="2025-12-12T00:00:00"/>
    <n v="41.5"/>
    <n v="311.25"/>
    <x v="2"/>
  </r>
  <r>
    <s v="50.Hafta"/>
    <d v="2025-12-13T00:00:00"/>
    <n v="41.5"/>
    <n v="311.25"/>
    <x v="2"/>
  </r>
  <r>
    <s v="50.Hafta"/>
    <d v="2025-12-14T00:00:00"/>
    <m/>
    <m/>
    <x v="2"/>
  </r>
  <r>
    <s v="51.Hafta"/>
    <d v="2025-12-15T00:00:00"/>
    <n v="116"/>
    <n v="870"/>
    <x v="2"/>
  </r>
  <r>
    <s v="51.Hafta"/>
    <d v="2025-12-16T00:00:00"/>
    <n v="115"/>
    <n v="862.5"/>
    <x v="2"/>
  </r>
  <r>
    <s v="51.Hafta"/>
    <d v="2025-12-17T00:00:00"/>
    <n v="79"/>
    <n v="592.5"/>
    <x v="2"/>
  </r>
  <r>
    <s v="51.Hafta"/>
    <d v="2025-12-18T00:00:00"/>
    <n v="30"/>
    <n v="225"/>
    <x v="2"/>
  </r>
  <r>
    <s v="51.Hafta"/>
    <d v="2025-12-19T00:00:00"/>
    <n v="19"/>
    <n v="142.5"/>
    <x v="2"/>
  </r>
  <r>
    <s v="51.Hafta"/>
    <d v="2025-12-20T00:00:00"/>
    <n v="12"/>
    <n v="90"/>
    <x v="2"/>
  </r>
  <r>
    <s v="51.Hafta"/>
    <d v="2025-12-21T00:00:00"/>
    <n v="28"/>
    <n v="21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805739-45BE-4F35-BA35-166F7E0BAAAC}" name="PivotTable10" cacheId="0" applyNumberFormats="0" applyBorderFormats="0" applyFontFormats="0" applyPatternFormats="0" applyAlignmentFormats="0" applyWidthHeightFormats="1" dataCaption="Değerler" updatedVersion="7" minRefreshableVersion="3" useAutoFormatting="1" itemPrintTitles="1" createdVersion="7" indent="0" outline="1" outlineData="1" multipleFieldFilters="0">
  <location ref="H2:I6" firstHeaderRow="1" firstDataRow="1" firstDataCol="1"/>
  <pivotFields count="5">
    <pivotField showAll="0"/>
    <pivotField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plam Saa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7B6E4-82E5-4AFC-BA87-4C8A035E0C57}">
  <dimension ref="A1:NC26"/>
  <sheetViews>
    <sheetView showGridLines="0" topLeftCell="JO1" zoomScaleNormal="100" workbookViewId="0">
      <selection activeCell="JT12" sqref="JT12:JT16"/>
    </sheetView>
  </sheetViews>
  <sheetFormatPr defaultColWidth="8.88671875" defaultRowHeight="14.4"/>
  <cols>
    <col min="1" max="1" width="12.44140625" style="8" bestFit="1" customWidth="1"/>
    <col min="2" max="2" width="23.6640625" style="8" bestFit="1" customWidth="1"/>
    <col min="3" max="3" width="11.44140625" style="8" customWidth="1"/>
    <col min="4" max="4" width="11.33203125" style="8" customWidth="1"/>
    <col min="5" max="5" width="12.33203125" style="8" customWidth="1"/>
    <col min="6" max="6" width="12" style="8" customWidth="1"/>
    <col min="7" max="7" width="11.44140625" style="8" customWidth="1"/>
    <col min="8" max="8" width="11.109375" style="8" customWidth="1"/>
    <col min="9" max="9" width="11" style="8" customWidth="1"/>
    <col min="10" max="10" width="11.44140625" style="8" customWidth="1"/>
    <col min="11" max="11" width="11.33203125" style="8" customWidth="1"/>
    <col min="12" max="12" width="12.33203125" style="8" customWidth="1"/>
    <col min="13" max="13" width="12" style="8" customWidth="1"/>
    <col min="14" max="14" width="11.44140625" style="8" customWidth="1"/>
    <col min="15" max="15" width="11.88671875" style="8" customWidth="1"/>
    <col min="16" max="16" width="11.5546875" style="8" customWidth="1"/>
    <col min="17" max="18" width="12" style="8" customWidth="1"/>
    <col min="19" max="19" width="13.109375" style="8" customWidth="1"/>
    <col min="20" max="20" width="12.6640625" style="8" customWidth="1"/>
    <col min="21" max="21" width="12.109375" style="8" customWidth="1"/>
    <col min="22" max="22" width="11.88671875" style="8" customWidth="1"/>
    <col min="23" max="23" width="11.5546875" style="8" customWidth="1"/>
    <col min="24" max="25" width="12" style="8" customWidth="1"/>
    <col min="26" max="26" width="13.109375" style="8" customWidth="1"/>
    <col min="27" max="27" width="12.6640625" style="8" customWidth="1"/>
    <col min="28" max="28" width="12.109375" style="8" customWidth="1"/>
    <col min="29" max="29" width="11.88671875" style="8" customWidth="1"/>
    <col min="30" max="30" width="11.5546875" style="8" customWidth="1"/>
    <col min="31" max="32" width="12" style="8" customWidth="1"/>
    <col min="33" max="33" width="13.109375" style="8" customWidth="1"/>
    <col min="34" max="34" width="12.6640625" style="8" customWidth="1"/>
    <col min="35" max="35" width="12.109375" style="8" customWidth="1"/>
    <col min="36" max="36" width="11.88671875" style="8" customWidth="1"/>
    <col min="37" max="37" width="11.5546875" style="8" customWidth="1"/>
    <col min="38" max="39" width="12" style="8" customWidth="1"/>
    <col min="40" max="40" width="13.109375" style="8" customWidth="1"/>
    <col min="41" max="41" width="12.6640625" style="8" customWidth="1"/>
    <col min="42" max="42" width="12.109375" style="8" customWidth="1"/>
    <col min="43" max="43" width="11.88671875" style="8" customWidth="1"/>
    <col min="44" max="44" width="11.5546875" style="8" customWidth="1"/>
    <col min="45" max="46" width="12" style="8" customWidth="1"/>
    <col min="47" max="47" width="13.109375" style="8" customWidth="1"/>
    <col min="48" max="48" width="12.6640625" style="8" customWidth="1"/>
    <col min="49" max="49" width="12.109375" style="8" customWidth="1"/>
    <col min="50" max="50" width="11.88671875" style="8" customWidth="1"/>
    <col min="51" max="51" width="11.5546875" style="8" customWidth="1"/>
    <col min="52" max="53" width="12" style="8" customWidth="1"/>
    <col min="54" max="54" width="13.109375" style="8" customWidth="1"/>
    <col min="55" max="55" width="12.6640625" style="8" customWidth="1"/>
    <col min="56" max="56" width="12.109375" style="8" customWidth="1"/>
    <col min="57" max="57" width="11.88671875" style="8" customWidth="1"/>
    <col min="58" max="58" width="11.5546875" style="8" customWidth="1"/>
    <col min="59" max="60" width="12" style="8" customWidth="1"/>
    <col min="61" max="61" width="13.109375" style="8" customWidth="1"/>
    <col min="62" max="62" width="12.6640625" style="8" customWidth="1"/>
    <col min="63" max="63" width="12.109375" style="8" customWidth="1"/>
    <col min="64" max="64" width="13" style="8" customWidth="1"/>
    <col min="65" max="65" width="12.6640625" style="8" customWidth="1"/>
    <col min="66" max="67" width="13.109375" style="8" customWidth="1"/>
    <col min="68" max="68" width="14.21875" style="8" customWidth="1"/>
    <col min="69" max="69" width="13.77734375" style="8" customWidth="1"/>
    <col min="70" max="70" width="13.21875" style="8" customWidth="1"/>
    <col min="71" max="71" width="13" style="8" customWidth="1"/>
    <col min="72" max="72" width="12.6640625" style="8" customWidth="1"/>
    <col min="73" max="74" width="13.109375" style="8" customWidth="1"/>
    <col min="75" max="75" width="14.21875" style="8" customWidth="1"/>
    <col min="76" max="76" width="13.77734375" style="8" customWidth="1"/>
    <col min="77" max="77" width="13.21875" style="8" customWidth="1"/>
    <col min="78" max="78" width="13" style="8" customWidth="1"/>
    <col min="79" max="79" width="12.6640625" style="8" customWidth="1"/>
    <col min="80" max="81" width="13.109375" style="8" customWidth="1"/>
    <col min="82" max="82" width="14.21875" style="8" customWidth="1"/>
    <col min="83" max="83" width="13.77734375" style="8" customWidth="1"/>
    <col min="84" max="84" width="13.21875" style="8" customWidth="1"/>
    <col min="85" max="85" width="13" style="8" customWidth="1"/>
    <col min="86" max="86" width="12.6640625" style="8" customWidth="1"/>
    <col min="87" max="88" width="13.109375" style="8" customWidth="1"/>
    <col min="89" max="89" width="14.21875" style="8" customWidth="1"/>
    <col min="90" max="90" width="13.77734375" style="8" customWidth="1"/>
    <col min="91" max="91" width="13.21875" style="8" customWidth="1"/>
    <col min="92" max="92" width="13" style="8" customWidth="1"/>
    <col min="93" max="93" width="12.6640625" style="8" customWidth="1"/>
    <col min="94" max="95" width="13.109375" style="8" customWidth="1"/>
    <col min="96" max="96" width="14.21875" style="8" customWidth="1"/>
    <col min="97" max="97" width="13.77734375" style="8" customWidth="1"/>
    <col min="98" max="98" width="13.21875" style="8" customWidth="1"/>
    <col min="99" max="99" width="13" style="8" customWidth="1"/>
    <col min="100" max="100" width="12.6640625" style="8" customWidth="1"/>
    <col min="101" max="102" width="13.109375" style="8" customWidth="1"/>
    <col min="103" max="103" width="14.21875" style="8" customWidth="1"/>
    <col min="104" max="104" width="13.77734375" style="8" customWidth="1"/>
    <col min="105" max="105" width="13.21875" style="8" customWidth="1"/>
    <col min="106" max="106" width="13" style="8" customWidth="1"/>
    <col min="107" max="107" width="12.6640625" style="8" customWidth="1"/>
    <col min="108" max="109" width="13.109375" style="8" customWidth="1"/>
    <col min="110" max="110" width="14.21875" style="8" customWidth="1"/>
    <col min="111" max="111" width="13.77734375" style="8" customWidth="1"/>
    <col min="112" max="112" width="13.21875" style="8" customWidth="1"/>
    <col min="113" max="113" width="13" style="8" customWidth="1"/>
    <col min="114" max="114" width="12.6640625" style="8" customWidth="1"/>
    <col min="115" max="116" width="13.109375" style="8" customWidth="1"/>
    <col min="117" max="117" width="14.21875" style="8" customWidth="1"/>
    <col min="118" max="118" width="13.77734375" style="8" customWidth="1"/>
    <col min="119" max="119" width="13.21875" style="8" customWidth="1"/>
    <col min="120" max="120" width="13" style="8" customWidth="1"/>
    <col min="121" max="121" width="12.6640625" style="8" customWidth="1"/>
    <col min="122" max="123" width="13.109375" style="8" customWidth="1"/>
    <col min="124" max="124" width="14.21875" style="8" customWidth="1"/>
    <col min="125" max="125" width="13.77734375" style="8" customWidth="1"/>
    <col min="126" max="126" width="13.21875" style="8" customWidth="1"/>
    <col min="127" max="127" width="13" style="8" customWidth="1"/>
    <col min="128" max="128" width="12.6640625" style="8" customWidth="1"/>
    <col min="129" max="130" width="13.109375" style="8" customWidth="1"/>
    <col min="131" max="131" width="14.21875" style="8" customWidth="1"/>
    <col min="132" max="132" width="13.77734375" style="8" customWidth="1"/>
    <col min="133" max="133" width="13.21875" style="8" customWidth="1"/>
    <col min="134" max="134" width="13" style="8" customWidth="1"/>
    <col min="135" max="135" width="12.6640625" style="8" customWidth="1"/>
    <col min="136" max="137" width="13.109375" style="8" customWidth="1"/>
    <col min="138" max="138" width="14.21875" style="8" customWidth="1"/>
    <col min="139" max="139" width="13.77734375" style="8" customWidth="1"/>
    <col min="140" max="140" width="13.21875" style="8" customWidth="1"/>
    <col min="141" max="141" width="13" style="8" customWidth="1"/>
    <col min="142" max="142" width="12.6640625" style="8" customWidth="1"/>
    <col min="143" max="144" width="13.109375" style="8" customWidth="1"/>
    <col min="145" max="145" width="14.21875" style="8" customWidth="1"/>
    <col min="146" max="146" width="13.77734375" style="8" customWidth="1"/>
    <col min="147" max="147" width="13.21875" style="8" customWidth="1"/>
    <col min="148" max="148" width="13" style="8" customWidth="1"/>
    <col min="149" max="149" width="12.6640625" style="8" customWidth="1"/>
    <col min="150" max="151" width="13.109375" style="8" customWidth="1"/>
    <col min="152" max="152" width="14.21875" style="8" customWidth="1"/>
    <col min="153" max="153" width="13.77734375" style="8" customWidth="1"/>
    <col min="154" max="154" width="13.21875" style="8" customWidth="1"/>
    <col min="155" max="155" width="13" style="8" customWidth="1"/>
    <col min="156" max="156" width="12.6640625" style="8" customWidth="1"/>
    <col min="157" max="158" width="13.109375" style="8" customWidth="1"/>
    <col min="159" max="159" width="14.21875" style="8" customWidth="1"/>
    <col min="160" max="160" width="13.77734375" style="8" customWidth="1"/>
    <col min="161" max="161" width="13.21875" style="8" customWidth="1"/>
    <col min="162" max="162" width="13" style="8" customWidth="1"/>
    <col min="163" max="163" width="12.6640625" style="8" customWidth="1"/>
    <col min="164" max="165" width="13.109375" style="8" customWidth="1"/>
    <col min="166" max="166" width="14.21875" style="8" customWidth="1"/>
    <col min="167" max="167" width="13.77734375" style="8" customWidth="1"/>
    <col min="168" max="168" width="13.21875" style="8" customWidth="1"/>
    <col min="169" max="169" width="13" style="8" customWidth="1"/>
    <col min="170" max="170" width="12.6640625" style="8" customWidth="1"/>
    <col min="171" max="172" width="13.109375" style="8" customWidth="1"/>
    <col min="173" max="173" width="14.21875" style="8" customWidth="1"/>
    <col min="174" max="174" width="13.77734375" style="8" customWidth="1"/>
    <col min="175" max="175" width="13.21875" style="8" customWidth="1"/>
    <col min="176" max="176" width="13" style="8" customWidth="1"/>
    <col min="177" max="177" width="12.6640625" style="8" customWidth="1"/>
    <col min="178" max="179" width="13.109375" style="8" customWidth="1"/>
    <col min="180" max="180" width="14.21875" style="8" customWidth="1"/>
    <col min="181" max="181" width="13.77734375" style="8" customWidth="1"/>
    <col min="182" max="182" width="13.21875" style="8" customWidth="1"/>
    <col min="183" max="183" width="13" style="8" customWidth="1"/>
    <col min="184" max="184" width="12.6640625" style="8" customWidth="1"/>
    <col min="185" max="186" width="13.109375" style="8" customWidth="1"/>
    <col min="187" max="187" width="14.21875" style="8" customWidth="1"/>
    <col min="188" max="188" width="13.77734375" style="8" customWidth="1"/>
    <col min="189" max="189" width="13.21875" style="8" customWidth="1"/>
    <col min="190" max="190" width="13" style="8" customWidth="1"/>
    <col min="191" max="191" width="12.6640625" style="8" customWidth="1"/>
    <col min="192" max="193" width="13.109375" style="8" customWidth="1"/>
    <col min="194" max="194" width="14.21875" style="8" customWidth="1"/>
    <col min="195" max="195" width="13.77734375" style="8" customWidth="1"/>
    <col min="196" max="196" width="13.21875" style="8" customWidth="1"/>
    <col min="197" max="197" width="13" style="8" customWidth="1"/>
    <col min="198" max="198" width="12.6640625" style="8" customWidth="1"/>
    <col min="199" max="200" width="13.109375" style="8" customWidth="1"/>
    <col min="201" max="201" width="14.21875" style="8" customWidth="1"/>
    <col min="202" max="202" width="13.77734375" style="8" customWidth="1"/>
    <col min="203" max="203" width="13.21875" style="8" customWidth="1"/>
    <col min="204" max="204" width="13" style="8" customWidth="1"/>
    <col min="205" max="205" width="12.6640625" style="8" customWidth="1"/>
    <col min="206" max="207" width="13.109375" style="8" customWidth="1"/>
    <col min="208" max="208" width="14.21875" style="8" customWidth="1"/>
    <col min="209" max="209" width="13.77734375" style="8" customWidth="1"/>
    <col min="210" max="210" width="13.21875" style="8" customWidth="1"/>
    <col min="211" max="211" width="13" style="8" customWidth="1"/>
    <col min="212" max="212" width="12.6640625" style="8" customWidth="1"/>
    <col min="213" max="214" width="13.109375" style="8" customWidth="1"/>
    <col min="215" max="215" width="14.21875" style="8" customWidth="1"/>
    <col min="216" max="216" width="13.77734375" style="8" customWidth="1"/>
    <col min="217" max="217" width="13.21875" style="8" customWidth="1"/>
    <col min="218" max="218" width="13" style="8" customWidth="1"/>
    <col min="219" max="219" width="12.6640625" style="8" customWidth="1"/>
    <col min="220" max="221" width="13.109375" style="8" customWidth="1"/>
    <col min="222" max="222" width="14.21875" style="8" customWidth="1"/>
    <col min="223" max="223" width="13.77734375" style="8" customWidth="1"/>
    <col min="224" max="224" width="13.21875" style="8" customWidth="1"/>
    <col min="225" max="225" width="13" style="8" customWidth="1"/>
    <col min="226" max="226" width="12.6640625" style="8" customWidth="1"/>
    <col min="227" max="228" width="13.109375" style="8" customWidth="1"/>
    <col min="229" max="229" width="14.21875" style="8" customWidth="1"/>
    <col min="230" max="230" width="13.77734375" style="8" customWidth="1"/>
    <col min="231" max="231" width="13.21875" style="8" customWidth="1"/>
    <col min="232" max="232" width="13" style="8" customWidth="1"/>
    <col min="233" max="233" width="12.6640625" style="8" customWidth="1"/>
    <col min="234" max="235" width="13.109375" style="8" customWidth="1"/>
    <col min="236" max="236" width="14.21875" style="8" customWidth="1"/>
    <col min="237" max="237" width="13.77734375" style="8" customWidth="1"/>
    <col min="238" max="238" width="13.21875" style="8" customWidth="1"/>
    <col min="239" max="239" width="13" style="8" customWidth="1"/>
    <col min="240" max="240" width="12.6640625" style="8" customWidth="1"/>
    <col min="241" max="242" width="13.109375" style="8" customWidth="1"/>
    <col min="243" max="243" width="14.21875" style="8" customWidth="1"/>
    <col min="244" max="244" width="13.77734375" style="8" customWidth="1"/>
    <col min="245" max="245" width="13.21875" style="8" customWidth="1"/>
    <col min="246" max="246" width="13" style="8" customWidth="1"/>
    <col min="247" max="247" width="12.6640625" style="8" customWidth="1"/>
    <col min="248" max="249" width="13.109375" style="8" customWidth="1"/>
    <col min="250" max="250" width="14.21875" style="8" customWidth="1"/>
    <col min="251" max="251" width="13.77734375" style="8" customWidth="1"/>
    <col min="252" max="252" width="13.21875" style="8" customWidth="1"/>
    <col min="253" max="253" width="13" style="8" customWidth="1"/>
    <col min="254" max="254" width="12.6640625" style="8" customWidth="1"/>
    <col min="255" max="256" width="13.109375" style="8" customWidth="1"/>
    <col min="257" max="257" width="14.21875" style="8" customWidth="1"/>
    <col min="258" max="258" width="13.77734375" style="8" customWidth="1"/>
    <col min="259" max="259" width="13.21875" style="8" customWidth="1"/>
    <col min="260" max="260" width="13" style="8" customWidth="1"/>
    <col min="261" max="261" width="12.6640625" style="8" customWidth="1"/>
    <col min="262" max="263" width="13.109375" style="8" customWidth="1"/>
    <col min="264" max="264" width="14.21875" style="8" customWidth="1"/>
    <col min="265" max="265" width="13.77734375" style="8" customWidth="1"/>
    <col min="266" max="266" width="13.21875" style="8" customWidth="1"/>
    <col min="267" max="267" width="13" style="8" customWidth="1"/>
    <col min="268" max="268" width="12.6640625" style="8" customWidth="1"/>
    <col min="269" max="270" width="13.109375" style="8" customWidth="1"/>
    <col min="271" max="271" width="14.21875" style="8" customWidth="1"/>
    <col min="272" max="272" width="13.77734375" style="8" customWidth="1"/>
    <col min="273" max="273" width="13.21875" style="8" customWidth="1"/>
    <col min="274" max="274" width="13" style="8" customWidth="1"/>
    <col min="275" max="275" width="12.6640625" style="8" customWidth="1"/>
    <col min="276" max="277" width="13.109375" style="8" customWidth="1"/>
    <col min="278" max="278" width="14.21875" style="8" customWidth="1"/>
    <col min="279" max="279" width="13.77734375" style="8" customWidth="1"/>
    <col min="280" max="280" width="13.21875" style="8" customWidth="1"/>
    <col min="281" max="281" width="13" style="8" customWidth="1"/>
    <col min="282" max="282" width="12.6640625" style="8" customWidth="1"/>
    <col min="283" max="284" width="13.109375" style="8" customWidth="1"/>
    <col min="285" max="285" width="14.21875" style="8" customWidth="1"/>
    <col min="286" max="286" width="13.77734375" style="8" customWidth="1"/>
    <col min="287" max="287" width="13.21875" style="8" customWidth="1"/>
    <col min="288" max="288" width="13" style="8" customWidth="1"/>
    <col min="289" max="289" width="12.6640625" style="8" customWidth="1"/>
    <col min="290" max="291" width="13.109375" style="8" customWidth="1"/>
    <col min="292" max="292" width="14.21875" style="8" customWidth="1"/>
    <col min="293" max="293" width="13.77734375" style="8" customWidth="1"/>
    <col min="294" max="294" width="13.21875" style="8" customWidth="1"/>
    <col min="295" max="295" width="13" style="8" customWidth="1"/>
    <col min="296" max="296" width="12.6640625" style="8" customWidth="1"/>
    <col min="297" max="298" width="13.109375" style="8" customWidth="1"/>
    <col min="299" max="299" width="14.21875" style="8" customWidth="1"/>
    <col min="300" max="300" width="13.77734375" style="8" customWidth="1"/>
    <col min="301" max="301" width="13.21875" style="8" customWidth="1"/>
    <col min="302" max="302" width="13" style="8" customWidth="1"/>
    <col min="303" max="303" width="12.6640625" style="8" customWidth="1"/>
    <col min="304" max="305" width="13.109375" style="8" customWidth="1"/>
    <col min="306" max="306" width="14.21875" style="8" customWidth="1"/>
    <col min="307" max="307" width="13.77734375" style="8" customWidth="1"/>
    <col min="308" max="308" width="13.21875" style="8" customWidth="1"/>
    <col min="309" max="309" width="13" style="8" customWidth="1"/>
    <col min="310" max="310" width="12.6640625" style="8" customWidth="1"/>
    <col min="311" max="312" width="13.109375" style="8" customWidth="1"/>
    <col min="313" max="313" width="14.21875" style="8" customWidth="1"/>
    <col min="314" max="314" width="13.77734375" style="8" customWidth="1"/>
    <col min="315" max="315" width="13.21875" style="8" customWidth="1"/>
    <col min="316" max="316" width="13" style="8" customWidth="1"/>
    <col min="317" max="317" width="12.6640625" style="8" customWidth="1"/>
    <col min="318" max="319" width="13.109375" style="8" customWidth="1"/>
    <col min="320" max="320" width="14.21875" style="8" customWidth="1"/>
    <col min="321" max="321" width="13.77734375" style="8" customWidth="1"/>
    <col min="322" max="322" width="13.21875" style="8" customWidth="1"/>
    <col min="323" max="323" width="13" style="8" customWidth="1"/>
    <col min="324" max="324" width="12.6640625" style="8" customWidth="1"/>
    <col min="325" max="326" width="13.109375" style="8" customWidth="1"/>
    <col min="327" max="327" width="14.21875" style="8" customWidth="1"/>
    <col min="328" max="328" width="13.77734375" style="8" customWidth="1"/>
    <col min="329" max="329" width="13.21875" style="8" customWidth="1"/>
    <col min="330" max="330" width="13" style="8" customWidth="1"/>
    <col min="331" max="331" width="12.6640625" style="8" customWidth="1"/>
    <col min="332" max="333" width="13.109375" style="8" customWidth="1"/>
    <col min="334" max="334" width="14.21875" style="8" customWidth="1"/>
    <col min="335" max="335" width="13.77734375" style="8" customWidth="1"/>
    <col min="336" max="336" width="13.21875" style="8" customWidth="1"/>
    <col min="337" max="337" width="13" style="8" customWidth="1"/>
    <col min="338" max="338" width="12.6640625" style="8" customWidth="1"/>
    <col min="339" max="340" width="13.109375" style="8" customWidth="1"/>
    <col min="341" max="341" width="14.21875" style="8" customWidth="1"/>
    <col min="342" max="342" width="13.77734375" style="8" customWidth="1"/>
    <col min="343" max="343" width="13.21875" style="8" customWidth="1"/>
    <col min="344" max="344" width="13" style="8" customWidth="1"/>
    <col min="345" max="345" width="12.6640625" style="8" customWidth="1"/>
    <col min="346" max="347" width="13.109375" style="8" customWidth="1"/>
    <col min="348" max="348" width="14.21875" style="8" customWidth="1"/>
    <col min="349" max="349" width="13.77734375" style="8" customWidth="1"/>
    <col min="350" max="350" width="13.21875" style="8" customWidth="1"/>
    <col min="351" max="351" width="13" style="8" bestFit="1" customWidth="1"/>
    <col min="352" max="352" width="12.6640625" style="8" bestFit="1" customWidth="1"/>
    <col min="353" max="354" width="13.109375" style="8" bestFit="1" customWidth="1"/>
    <col min="355" max="355" width="14.21875" style="8" bestFit="1" customWidth="1"/>
    <col min="356" max="356" width="13.77734375" style="8" bestFit="1" customWidth="1"/>
    <col min="357" max="357" width="13.21875" style="8" bestFit="1" customWidth="1"/>
    <col min="358" max="358" width="13" style="8" bestFit="1" customWidth="1"/>
    <col min="359" max="359" width="12.6640625" style="8" bestFit="1" customWidth="1"/>
    <col min="360" max="361" width="13.109375" style="8" bestFit="1" customWidth="1"/>
    <col min="362" max="362" width="14.21875" style="8" bestFit="1" customWidth="1"/>
    <col min="363" max="363" width="13.77734375" style="8" bestFit="1" customWidth="1"/>
    <col min="364" max="364" width="13.21875" style="8" bestFit="1" customWidth="1"/>
    <col min="365" max="365" width="11.88671875" style="8" bestFit="1" customWidth="1"/>
    <col min="366" max="366" width="11.5546875" style="8" bestFit="1" customWidth="1"/>
    <col min="367" max="367" width="12" style="8" bestFit="1" customWidth="1"/>
    <col min="368" max="16384" width="8.88671875" style="8"/>
  </cols>
  <sheetData>
    <row r="1" spans="1:367">
      <c r="A1" s="10" t="s">
        <v>57</v>
      </c>
      <c r="B1" s="10" t="s">
        <v>56</v>
      </c>
      <c r="C1" s="11">
        <v>45658</v>
      </c>
      <c r="D1" s="11">
        <v>45659</v>
      </c>
      <c r="E1" s="11">
        <v>45660</v>
      </c>
      <c r="F1" s="11">
        <v>45661</v>
      </c>
      <c r="G1" s="11">
        <v>45662</v>
      </c>
      <c r="H1" s="11">
        <v>45663</v>
      </c>
      <c r="I1" s="11">
        <v>45664</v>
      </c>
      <c r="J1" s="11">
        <v>45665</v>
      </c>
      <c r="K1" s="11">
        <v>45666</v>
      </c>
      <c r="L1" s="11">
        <v>45667</v>
      </c>
      <c r="M1" s="11">
        <v>45668</v>
      </c>
      <c r="N1" s="11">
        <v>45669</v>
      </c>
      <c r="O1" s="11">
        <v>45670</v>
      </c>
      <c r="P1" s="11">
        <v>45671</v>
      </c>
      <c r="Q1" s="11">
        <v>45672</v>
      </c>
      <c r="R1" s="11">
        <v>45673</v>
      </c>
      <c r="S1" s="11">
        <v>45674</v>
      </c>
      <c r="T1" s="11">
        <v>45675</v>
      </c>
      <c r="U1" s="11">
        <v>45676</v>
      </c>
      <c r="V1" s="11">
        <v>45677</v>
      </c>
      <c r="W1" s="11">
        <v>45678</v>
      </c>
      <c r="X1" s="11">
        <v>45679</v>
      </c>
      <c r="Y1" s="11">
        <v>45680</v>
      </c>
      <c r="Z1" s="11">
        <v>45681</v>
      </c>
      <c r="AA1" s="11">
        <v>45682</v>
      </c>
      <c r="AB1" s="11">
        <v>45683</v>
      </c>
      <c r="AC1" s="11">
        <v>45684</v>
      </c>
      <c r="AD1" s="11">
        <v>45685</v>
      </c>
      <c r="AE1" s="11">
        <v>45686</v>
      </c>
      <c r="AF1" s="11">
        <v>45687</v>
      </c>
      <c r="AG1" s="11">
        <v>45688</v>
      </c>
      <c r="AH1" s="11">
        <v>45689</v>
      </c>
      <c r="AI1" s="11">
        <v>45690</v>
      </c>
      <c r="AJ1" s="11">
        <v>45691</v>
      </c>
      <c r="AK1" s="11">
        <v>45692</v>
      </c>
      <c r="AL1" s="11">
        <v>45693</v>
      </c>
      <c r="AM1" s="11">
        <v>45694</v>
      </c>
      <c r="AN1" s="11">
        <v>45695</v>
      </c>
      <c r="AO1" s="11">
        <v>45696</v>
      </c>
      <c r="AP1" s="11">
        <v>45697</v>
      </c>
      <c r="AQ1" s="11">
        <v>45698</v>
      </c>
      <c r="AR1" s="11">
        <v>45699</v>
      </c>
      <c r="AS1" s="11">
        <v>45700</v>
      </c>
      <c r="AT1" s="11">
        <v>45701</v>
      </c>
      <c r="AU1" s="11">
        <v>45702</v>
      </c>
      <c r="AV1" s="11">
        <v>45703</v>
      </c>
      <c r="AW1" s="11">
        <v>45704</v>
      </c>
      <c r="AX1" s="11">
        <v>45705</v>
      </c>
      <c r="AY1" s="11">
        <v>45706</v>
      </c>
      <c r="AZ1" s="11">
        <v>45707</v>
      </c>
      <c r="BA1" s="11">
        <v>45708</v>
      </c>
      <c r="BB1" s="11">
        <v>45709</v>
      </c>
      <c r="BC1" s="11">
        <v>45710</v>
      </c>
      <c r="BD1" s="11">
        <v>45711</v>
      </c>
      <c r="BE1" s="11">
        <v>45712</v>
      </c>
      <c r="BF1" s="11">
        <v>45713</v>
      </c>
      <c r="BG1" s="11">
        <v>45714</v>
      </c>
      <c r="BH1" s="11">
        <v>45715</v>
      </c>
      <c r="BI1" s="11">
        <v>45716</v>
      </c>
      <c r="BJ1" s="11">
        <v>45717</v>
      </c>
      <c r="BK1" s="11">
        <v>45718</v>
      </c>
      <c r="BL1" s="11">
        <v>45719</v>
      </c>
      <c r="BM1" s="11">
        <v>45720</v>
      </c>
      <c r="BN1" s="11">
        <v>45721</v>
      </c>
      <c r="BO1" s="11">
        <v>45722</v>
      </c>
      <c r="BP1" s="11">
        <v>45723</v>
      </c>
      <c r="BQ1" s="11">
        <v>45724</v>
      </c>
      <c r="BR1" s="11">
        <v>45725</v>
      </c>
      <c r="BS1" s="11">
        <v>45726</v>
      </c>
      <c r="BT1" s="11">
        <v>45727</v>
      </c>
      <c r="BU1" s="11">
        <v>45728</v>
      </c>
      <c r="BV1" s="11">
        <v>45729</v>
      </c>
      <c r="BW1" s="11">
        <v>45730</v>
      </c>
      <c r="BX1" s="11">
        <v>45731</v>
      </c>
      <c r="BY1" s="11">
        <v>45732</v>
      </c>
      <c r="BZ1" s="11">
        <v>45733</v>
      </c>
      <c r="CA1" s="11">
        <v>45734</v>
      </c>
      <c r="CB1" s="11">
        <v>45735</v>
      </c>
      <c r="CC1" s="11">
        <v>45736</v>
      </c>
      <c r="CD1" s="11">
        <v>45737</v>
      </c>
      <c r="CE1" s="11">
        <v>45738</v>
      </c>
      <c r="CF1" s="11">
        <v>45739</v>
      </c>
      <c r="CG1" s="11">
        <v>45740</v>
      </c>
      <c r="CH1" s="11">
        <v>45741</v>
      </c>
      <c r="CI1" s="11">
        <v>45742</v>
      </c>
      <c r="CJ1" s="11">
        <v>45743</v>
      </c>
      <c r="CK1" s="11">
        <v>45744</v>
      </c>
      <c r="CL1" s="11">
        <v>45745</v>
      </c>
      <c r="CM1" s="11">
        <v>45746</v>
      </c>
      <c r="CN1" s="11">
        <v>45747</v>
      </c>
      <c r="CO1" s="11">
        <v>45748</v>
      </c>
      <c r="CP1" s="11">
        <v>45749</v>
      </c>
      <c r="CQ1" s="11">
        <v>45750</v>
      </c>
      <c r="CR1" s="11">
        <v>45751</v>
      </c>
      <c r="CS1" s="11">
        <v>45752</v>
      </c>
      <c r="CT1" s="11">
        <v>45753</v>
      </c>
      <c r="CU1" s="11">
        <v>45754</v>
      </c>
      <c r="CV1" s="11">
        <v>45755</v>
      </c>
      <c r="CW1" s="11">
        <v>45756</v>
      </c>
      <c r="CX1" s="11">
        <v>45757</v>
      </c>
      <c r="CY1" s="11">
        <v>45758</v>
      </c>
      <c r="CZ1" s="11">
        <v>45759</v>
      </c>
      <c r="DA1" s="11">
        <v>45760</v>
      </c>
      <c r="DB1" s="11">
        <v>45761</v>
      </c>
      <c r="DC1" s="11">
        <v>45762</v>
      </c>
      <c r="DD1" s="11">
        <v>45763</v>
      </c>
      <c r="DE1" s="11">
        <v>45764</v>
      </c>
      <c r="DF1" s="11">
        <v>45765</v>
      </c>
      <c r="DG1" s="11">
        <v>45766</v>
      </c>
      <c r="DH1" s="11">
        <v>45767</v>
      </c>
      <c r="DI1" s="11">
        <v>45768</v>
      </c>
      <c r="DJ1" s="11">
        <v>45769</v>
      </c>
      <c r="DK1" s="11">
        <v>45770</v>
      </c>
      <c r="DL1" s="11">
        <v>45771</v>
      </c>
      <c r="DM1" s="11">
        <v>45772</v>
      </c>
      <c r="DN1" s="11">
        <v>45773</v>
      </c>
      <c r="DO1" s="11">
        <v>45774</v>
      </c>
      <c r="DP1" s="11">
        <v>45775</v>
      </c>
      <c r="DQ1" s="11">
        <v>45776</v>
      </c>
      <c r="DR1" s="11">
        <v>45777</v>
      </c>
      <c r="DS1" s="11">
        <v>45778</v>
      </c>
      <c r="DT1" s="11">
        <v>45779</v>
      </c>
      <c r="DU1" s="11">
        <v>45780</v>
      </c>
      <c r="DV1" s="11">
        <v>45781</v>
      </c>
      <c r="DW1" s="11">
        <v>45782</v>
      </c>
      <c r="DX1" s="11">
        <v>45783</v>
      </c>
      <c r="DY1" s="11">
        <v>45784</v>
      </c>
      <c r="DZ1" s="11">
        <v>45785</v>
      </c>
      <c r="EA1" s="11">
        <v>45786</v>
      </c>
      <c r="EB1" s="11">
        <v>45787</v>
      </c>
      <c r="EC1" s="11">
        <v>45788</v>
      </c>
      <c r="ED1" s="11">
        <v>45789</v>
      </c>
      <c r="EE1" s="11">
        <v>45790</v>
      </c>
      <c r="EF1" s="11">
        <v>45791</v>
      </c>
      <c r="EG1" s="11">
        <v>45792</v>
      </c>
      <c r="EH1" s="11">
        <v>45793</v>
      </c>
      <c r="EI1" s="11">
        <v>45794</v>
      </c>
      <c r="EJ1" s="11">
        <v>45795</v>
      </c>
      <c r="EK1" s="11">
        <v>45796</v>
      </c>
      <c r="EL1" s="11">
        <v>45797</v>
      </c>
      <c r="EM1" s="11">
        <v>45798</v>
      </c>
      <c r="EN1" s="11">
        <v>45799</v>
      </c>
      <c r="EO1" s="11">
        <v>45800</v>
      </c>
      <c r="EP1" s="11">
        <v>45801</v>
      </c>
      <c r="EQ1" s="11">
        <v>45802</v>
      </c>
      <c r="ER1" s="11">
        <v>45803</v>
      </c>
      <c r="ES1" s="11">
        <v>45804</v>
      </c>
      <c r="ET1" s="11">
        <v>45805</v>
      </c>
      <c r="EU1" s="11">
        <v>45806</v>
      </c>
      <c r="EV1" s="11">
        <v>45807</v>
      </c>
      <c r="EW1" s="11">
        <v>45808</v>
      </c>
      <c r="EX1" s="11">
        <v>45809</v>
      </c>
      <c r="EY1" s="11">
        <v>45810</v>
      </c>
      <c r="EZ1" s="11">
        <v>45811</v>
      </c>
      <c r="FA1" s="11">
        <v>45812</v>
      </c>
      <c r="FB1" s="11">
        <v>45813</v>
      </c>
      <c r="FC1" s="11">
        <v>45814</v>
      </c>
      <c r="FD1" s="11">
        <v>45815</v>
      </c>
      <c r="FE1" s="11">
        <v>45816</v>
      </c>
      <c r="FF1" s="11">
        <v>45817</v>
      </c>
      <c r="FG1" s="11">
        <v>45818</v>
      </c>
      <c r="FH1" s="11">
        <v>45819</v>
      </c>
      <c r="FI1" s="11">
        <v>45820</v>
      </c>
      <c r="FJ1" s="11">
        <v>45821</v>
      </c>
      <c r="FK1" s="11">
        <v>45822</v>
      </c>
      <c r="FL1" s="11">
        <v>45823</v>
      </c>
      <c r="FM1" s="11">
        <v>45824</v>
      </c>
      <c r="FN1" s="11">
        <v>45825</v>
      </c>
      <c r="FO1" s="11">
        <v>45826</v>
      </c>
      <c r="FP1" s="11">
        <v>45827</v>
      </c>
      <c r="FQ1" s="11">
        <v>45828</v>
      </c>
      <c r="FR1" s="11">
        <v>45829</v>
      </c>
      <c r="FS1" s="11">
        <v>45830</v>
      </c>
      <c r="FT1" s="11">
        <v>45831</v>
      </c>
      <c r="FU1" s="11">
        <v>45832</v>
      </c>
      <c r="FV1" s="11">
        <v>45833</v>
      </c>
      <c r="FW1" s="11">
        <v>45834</v>
      </c>
      <c r="FX1" s="11">
        <v>45835</v>
      </c>
      <c r="FY1" s="11">
        <v>45836</v>
      </c>
      <c r="FZ1" s="11">
        <v>45837</v>
      </c>
      <c r="GA1" s="11">
        <v>45838</v>
      </c>
      <c r="GB1" s="11">
        <v>45839</v>
      </c>
      <c r="GC1" s="11">
        <v>45840</v>
      </c>
      <c r="GD1" s="11">
        <v>45841</v>
      </c>
      <c r="GE1" s="11">
        <v>45842</v>
      </c>
      <c r="GF1" s="11">
        <v>45843</v>
      </c>
      <c r="GG1" s="11">
        <v>45844</v>
      </c>
      <c r="GH1" s="11">
        <v>45845</v>
      </c>
      <c r="GI1" s="11">
        <v>45846</v>
      </c>
      <c r="GJ1" s="11">
        <v>45847</v>
      </c>
      <c r="GK1" s="11">
        <v>45848</v>
      </c>
      <c r="GL1" s="11">
        <v>45849</v>
      </c>
      <c r="GM1" s="11">
        <v>45850</v>
      </c>
      <c r="GN1" s="11">
        <v>45851</v>
      </c>
      <c r="GO1" s="11">
        <v>45852</v>
      </c>
      <c r="GP1" s="11">
        <v>45853</v>
      </c>
      <c r="GQ1" s="11">
        <v>45854</v>
      </c>
      <c r="GR1" s="11">
        <v>45855</v>
      </c>
      <c r="GS1" s="11">
        <v>45856</v>
      </c>
      <c r="GT1" s="11">
        <v>45857</v>
      </c>
      <c r="GU1" s="11">
        <v>45858</v>
      </c>
      <c r="GV1" s="11">
        <v>45859</v>
      </c>
      <c r="GW1" s="11">
        <v>45860</v>
      </c>
      <c r="GX1" s="11">
        <v>45861</v>
      </c>
      <c r="GY1" s="11">
        <v>45862</v>
      </c>
      <c r="GZ1" s="11">
        <v>45863</v>
      </c>
      <c r="HA1" s="11">
        <v>45864</v>
      </c>
      <c r="HB1" s="11">
        <v>45865</v>
      </c>
      <c r="HC1" s="11">
        <v>45866</v>
      </c>
      <c r="HD1" s="11">
        <v>45867</v>
      </c>
      <c r="HE1" s="11">
        <v>45868</v>
      </c>
      <c r="HF1" s="11">
        <v>45869</v>
      </c>
      <c r="HG1" s="11">
        <v>45870</v>
      </c>
      <c r="HH1" s="11">
        <v>45871</v>
      </c>
      <c r="HI1" s="11">
        <v>45872</v>
      </c>
      <c r="HJ1" s="11">
        <v>45873</v>
      </c>
      <c r="HK1" s="11">
        <v>45874</v>
      </c>
      <c r="HL1" s="11">
        <v>45875</v>
      </c>
      <c r="HM1" s="11">
        <v>45876</v>
      </c>
      <c r="HN1" s="11">
        <v>45877</v>
      </c>
      <c r="HO1" s="11">
        <v>45878</v>
      </c>
      <c r="HP1" s="11">
        <v>45879</v>
      </c>
      <c r="HQ1" s="11">
        <v>45880</v>
      </c>
      <c r="HR1" s="11">
        <v>45881</v>
      </c>
      <c r="HS1" s="11">
        <v>45882</v>
      </c>
      <c r="HT1" s="11">
        <v>45883</v>
      </c>
      <c r="HU1" s="11">
        <v>45884</v>
      </c>
      <c r="HV1" s="11">
        <v>45885</v>
      </c>
      <c r="HW1" s="11">
        <v>45886</v>
      </c>
      <c r="HX1" s="11">
        <v>45887</v>
      </c>
      <c r="HY1" s="11">
        <v>45888</v>
      </c>
      <c r="HZ1" s="11">
        <v>45889</v>
      </c>
      <c r="IA1" s="11">
        <v>45890</v>
      </c>
      <c r="IB1" s="11">
        <v>45891</v>
      </c>
      <c r="IC1" s="11">
        <v>45892</v>
      </c>
      <c r="ID1" s="11">
        <v>45893</v>
      </c>
      <c r="IE1" s="11">
        <v>45894</v>
      </c>
      <c r="IF1" s="11">
        <v>45895</v>
      </c>
      <c r="IG1" s="11">
        <v>45896</v>
      </c>
      <c r="IH1" s="11">
        <v>45897</v>
      </c>
      <c r="II1" s="11">
        <v>45898</v>
      </c>
      <c r="IJ1" s="11">
        <v>45899</v>
      </c>
      <c r="IK1" s="11">
        <v>45900</v>
      </c>
      <c r="IL1" s="11">
        <v>45901</v>
      </c>
      <c r="IM1" s="11">
        <v>45902</v>
      </c>
      <c r="IN1" s="11">
        <v>45903</v>
      </c>
      <c r="IO1" s="11">
        <v>45904</v>
      </c>
      <c r="IP1" s="11">
        <v>45905</v>
      </c>
      <c r="IQ1" s="11">
        <v>45906</v>
      </c>
      <c r="IR1" s="11">
        <v>45907</v>
      </c>
      <c r="IS1" s="11">
        <v>45908</v>
      </c>
      <c r="IT1" s="11">
        <v>45909</v>
      </c>
      <c r="IU1" s="11">
        <v>45910</v>
      </c>
      <c r="IV1" s="11">
        <v>45911</v>
      </c>
      <c r="IW1" s="11">
        <v>45912</v>
      </c>
      <c r="IX1" s="11">
        <v>45913</v>
      </c>
      <c r="IY1" s="11">
        <v>45914</v>
      </c>
      <c r="IZ1" s="11">
        <v>45915</v>
      </c>
      <c r="JA1" s="11">
        <v>45916</v>
      </c>
      <c r="JB1" s="11">
        <v>45917</v>
      </c>
      <c r="JC1" s="11">
        <v>45918</v>
      </c>
      <c r="JD1" s="11">
        <v>45919</v>
      </c>
      <c r="JE1" s="11">
        <v>45920</v>
      </c>
      <c r="JF1" s="11">
        <v>45921</v>
      </c>
      <c r="JG1" s="11">
        <v>45922</v>
      </c>
      <c r="JH1" s="11">
        <v>45923</v>
      </c>
      <c r="JI1" s="11">
        <v>45924</v>
      </c>
      <c r="JJ1" s="11">
        <v>45925</v>
      </c>
      <c r="JK1" s="11">
        <v>45926</v>
      </c>
      <c r="JL1" s="11">
        <v>45927</v>
      </c>
      <c r="JM1" s="11">
        <v>45928</v>
      </c>
      <c r="JN1" s="11">
        <v>45929</v>
      </c>
      <c r="JO1" s="11">
        <v>45930</v>
      </c>
      <c r="JP1" s="11">
        <v>45931</v>
      </c>
      <c r="JQ1" s="11">
        <v>45932</v>
      </c>
      <c r="JR1" s="11">
        <v>45933</v>
      </c>
      <c r="JS1" s="11">
        <v>45934</v>
      </c>
      <c r="JT1" s="11">
        <v>45935</v>
      </c>
      <c r="JU1" s="11">
        <v>45936</v>
      </c>
      <c r="JV1" s="11">
        <v>45937</v>
      </c>
      <c r="JW1" s="11">
        <v>45938</v>
      </c>
      <c r="JX1" s="11">
        <v>45939</v>
      </c>
      <c r="JY1" s="11">
        <v>45940</v>
      </c>
      <c r="JZ1" s="11">
        <v>45941</v>
      </c>
      <c r="KA1" s="11">
        <v>45942</v>
      </c>
      <c r="KB1" s="11">
        <v>45943</v>
      </c>
      <c r="KC1" s="11">
        <v>45944</v>
      </c>
      <c r="KD1" s="11">
        <v>45945</v>
      </c>
      <c r="KE1" s="11">
        <v>45946</v>
      </c>
      <c r="KF1" s="11">
        <v>45947</v>
      </c>
      <c r="KG1" s="11">
        <v>45948</v>
      </c>
      <c r="KH1" s="11">
        <v>45949</v>
      </c>
      <c r="KI1" s="11">
        <v>45950</v>
      </c>
      <c r="KJ1" s="11">
        <v>45951</v>
      </c>
      <c r="KK1" s="11">
        <v>45952</v>
      </c>
      <c r="KL1" s="11">
        <v>45953</v>
      </c>
      <c r="KM1" s="11">
        <v>45954</v>
      </c>
      <c r="KN1" s="11">
        <v>45955</v>
      </c>
      <c r="KO1" s="11">
        <v>45956</v>
      </c>
      <c r="KP1" s="11">
        <v>45957</v>
      </c>
      <c r="KQ1" s="11">
        <v>45958</v>
      </c>
      <c r="KR1" s="11">
        <v>45959</v>
      </c>
      <c r="KS1" s="11">
        <v>45960</v>
      </c>
      <c r="KT1" s="11">
        <v>45961</v>
      </c>
      <c r="KU1" s="11">
        <v>45962</v>
      </c>
      <c r="KV1" s="11">
        <v>45963</v>
      </c>
      <c r="KW1" s="11">
        <v>45964</v>
      </c>
      <c r="KX1" s="11">
        <v>45965</v>
      </c>
      <c r="KY1" s="11">
        <v>45966</v>
      </c>
      <c r="KZ1" s="11">
        <v>45967</v>
      </c>
      <c r="LA1" s="11">
        <v>45968</v>
      </c>
      <c r="LB1" s="11">
        <v>45969</v>
      </c>
      <c r="LC1" s="11">
        <v>45970</v>
      </c>
      <c r="LD1" s="11">
        <v>45971</v>
      </c>
      <c r="LE1" s="11">
        <v>45972</v>
      </c>
      <c r="LF1" s="11">
        <v>45973</v>
      </c>
      <c r="LG1" s="11">
        <v>45974</v>
      </c>
      <c r="LH1" s="11">
        <v>45975</v>
      </c>
      <c r="LI1" s="11">
        <v>45976</v>
      </c>
      <c r="LJ1" s="11">
        <v>45977</v>
      </c>
      <c r="LK1" s="11">
        <v>45978</v>
      </c>
      <c r="LL1" s="11">
        <v>45979</v>
      </c>
      <c r="LM1" s="11">
        <v>45980</v>
      </c>
      <c r="LN1" s="11">
        <v>45981</v>
      </c>
      <c r="LO1" s="11">
        <v>45982</v>
      </c>
      <c r="LP1" s="11">
        <v>45983</v>
      </c>
      <c r="LQ1" s="11">
        <v>45984</v>
      </c>
      <c r="LR1" s="11">
        <v>45985</v>
      </c>
      <c r="LS1" s="11">
        <v>45986</v>
      </c>
      <c r="LT1" s="11">
        <v>45987</v>
      </c>
      <c r="LU1" s="11">
        <v>45988</v>
      </c>
      <c r="LV1" s="11">
        <v>45989</v>
      </c>
      <c r="LW1" s="11">
        <v>45990</v>
      </c>
      <c r="LX1" s="11">
        <v>45991</v>
      </c>
      <c r="LY1" s="11">
        <v>45992</v>
      </c>
      <c r="LZ1" s="11">
        <v>45993</v>
      </c>
      <c r="MA1" s="11">
        <v>45994</v>
      </c>
      <c r="MB1" s="11">
        <v>45995</v>
      </c>
      <c r="MC1" s="11">
        <v>45996</v>
      </c>
      <c r="MD1" s="11">
        <v>45997</v>
      </c>
      <c r="ME1" s="11">
        <v>45998</v>
      </c>
      <c r="MF1" s="11">
        <v>45999</v>
      </c>
      <c r="MG1" s="11">
        <v>46000</v>
      </c>
      <c r="MH1" s="11">
        <v>46001</v>
      </c>
      <c r="MI1" s="11">
        <v>46002</v>
      </c>
      <c r="MJ1" s="11">
        <v>46003</v>
      </c>
      <c r="MK1" s="11">
        <v>46004</v>
      </c>
      <c r="ML1" s="11">
        <v>46005</v>
      </c>
      <c r="MM1" s="11">
        <v>46006</v>
      </c>
      <c r="MN1" s="11">
        <v>46007</v>
      </c>
      <c r="MO1" s="11">
        <v>46008</v>
      </c>
      <c r="MP1" s="11">
        <v>46009</v>
      </c>
      <c r="MQ1" s="11">
        <v>46010</v>
      </c>
      <c r="MR1" s="11">
        <v>46011</v>
      </c>
      <c r="MS1" s="11">
        <v>46012</v>
      </c>
      <c r="MT1" s="11">
        <v>46013</v>
      </c>
      <c r="MU1" s="11">
        <v>46014</v>
      </c>
      <c r="MV1" s="11">
        <v>46015</v>
      </c>
      <c r="MW1" s="11">
        <v>46016</v>
      </c>
      <c r="MX1" s="11">
        <v>46017</v>
      </c>
      <c r="MY1" s="11">
        <v>46018</v>
      </c>
      <c r="MZ1" s="11">
        <v>46019</v>
      </c>
      <c r="NA1" s="11">
        <v>46020</v>
      </c>
      <c r="NB1" s="11">
        <v>46021</v>
      </c>
      <c r="NC1" s="11">
        <v>46022</v>
      </c>
    </row>
    <row r="2" spans="1:367">
      <c r="B2" s="12" t="s">
        <v>10</v>
      </c>
      <c r="C2" s="8" t="s">
        <v>54</v>
      </c>
      <c r="D2" s="8" t="s">
        <v>54</v>
      </c>
      <c r="E2" s="8" t="s">
        <v>54</v>
      </c>
      <c r="F2" s="8" t="s">
        <v>54</v>
      </c>
      <c r="G2" s="8" t="s">
        <v>54</v>
      </c>
      <c r="H2" s="8" t="s">
        <v>425</v>
      </c>
      <c r="I2" s="8" t="s">
        <v>425</v>
      </c>
      <c r="J2" s="8" t="s">
        <v>425</v>
      </c>
      <c r="K2" s="8" t="s">
        <v>425</v>
      </c>
      <c r="L2" s="8" t="s">
        <v>425</v>
      </c>
      <c r="M2" s="8" t="s">
        <v>425</v>
      </c>
      <c r="N2" s="8" t="s">
        <v>425</v>
      </c>
      <c r="O2" s="8" t="s">
        <v>2</v>
      </c>
      <c r="P2" s="8" t="s">
        <v>2</v>
      </c>
      <c r="Q2" s="8" t="s">
        <v>2</v>
      </c>
      <c r="R2" s="8" t="s">
        <v>2</v>
      </c>
      <c r="S2" s="8" t="s">
        <v>2</v>
      </c>
      <c r="T2" s="8" t="s">
        <v>2</v>
      </c>
      <c r="U2" s="8" t="s">
        <v>2</v>
      </c>
      <c r="V2" s="8" t="s">
        <v>3</v>
      </c>
      <c r="W2" s="8" t="s">
        <v>3</v>
      </c>
      <c r="X2" s="8" t="s">
        <v>3</v>
      </c>
      <c r="Y2" s="8" t="s">
        <v>3</v>
      </c>
      <c r="Z2" s="8" t="s">
        <v>3</v>
      </c>
      <c r="AA2" s="8" t="s">
        <v>3</v>
      </c>
      <c r="AB2" s="8" t="s">
        <v>3</v>
      </c>
      <c r="AC2" s="8" t="s">
        <v>4</v>
      </c>
      <c r="AD2" s="8" t="s">
        <v>4</v>
      </c>
      <c r="AE2" s="8" t="s">
        <v>4</v>
      </c>
      <c r="AF2" s="8" t="s">
        <v>4</v>
      </c>
      <c r="AG2" s="8" t="s">
        <v>4</v>
      </c>
      <c r="AH2" s="8" t="s">
        <v>4</v>
      </c>
      <c r="AI2" s="8" t="s">
        <v>4</v>
      </c>
      <c r="AJ2" s="8" t="s">
        <v>5</v>
      </c>
      <c r="AK2" s="8" t="s">
        <v>5</v>
      </c>
      <c r="AL2" s="8" t="s">
        <v>5</v>
      </c>
      <c r="AM2" s="8" t="s">
        <v>5</v>
      </c>
      <c r="AN2" s="8" t="s">
        <v>5</v>
      </c>
      <c r="AO2" s="8" t="s">
        <v>5</v>
      </c>
      <c r="AP2" s="8" t="s">
        <v>5</v>
      </c>
      <c r="AQ2" s="8" t="s">
        <v>6</v>
      </c>
      <c r="AR2" s="8" t="s">
        <v>6</v>
      </c>
      <c r="AS2" s="8" t="s">
        <v>6</v>
      </c>
      <c r="AT2" s="8" t="s">
        <v>6</v>
      </c>
      <c r="AU2" s="8" t="s">
        <v>6</v>
      </c>
      <c r="AV2" s="8" t="s">
        <v>6</v>
      </c>
      <c r="AW2" s="8" t="s">
        <v>6</v>
      </c>
      <c r="AX2" s="8" t="s">
        <v>7</v>
      </c>
      <c r="AY2" s="8" t="s">
        <v>7</v>
      </c>
      <c r="AZ2" s="8" t="s">
        <v>7</v>
      </c>
      <c r="BA2" s="8" t="s">
        <v>7</v>
      </c>
      <c r="BB2" s="8" t="s">
        <v>7</v>
      </c>
      <c r="BC2" s="8" t="s">
        <v>7</v>
      </c>
      <c r="BD2" s="8" t="s">
        <v>7</v>
      </c>
      <c r="BE2" s="8" t="s">
        <v>8</v>
      </c>
      <c r="BF2" s="8" t="s">
        <v>8</v>
      </c>
      <c r="BG2" s="8" t="s">
        <v>8</v>
      </c>
      <c r="BH2" s="8" t="s">
        <v>8</v>
      </c>
      <c r="BI2" s="8" t="s">
        <v>8</v>
      </c>
      <c r="BJ2" s="8" t="s">
        <v>8</v>
      </c>
      <c r="BK2" s="8" t="s">
        <v>8</v>
      </c>
      <c r="BL2" s="8" t="s">
        <v>11</v>
      </c>
      <c r="BM2" s="8" t="s">
        <v>11</v>
      </c>
      <c r="BN2" s="8" t="s">
        <v>11</v>
      </c>
      <c r="BO2" s="8" t="s">
        <v>11</v>
      </c>
      <c r="BP2" s="8" t="s">
        <v>11</v>
      </c>
      <c r="BQ2" s="8" t="s">
        <v>11</v>
      </c>
      <c r="BR2" s="8" t="s">
        <v>11</v>
      </c>
      <c r="BS2" s="8" t="s">
        <v>12</v>
      </c>
      <c r="BT2" s="8" t="s">
        <v>12</v>
      </c>
      <c r="BU2" s="8" t="s">
        <v>12</v>
      </c>
      <c r="BV2" s="8" t="s">
        <v>12</v>
      </c>
      <c r="BW2" s="8" t="s">
        <v>12</v>
      </c>
      <c r="BX2" s="8" t="s">
        <v>12</v>
      </c>
      <c r="BY2" s="8" t="s">
        <v>12</v>
      </c>
      <c r="BZ2" s="8" t="s">
        <v>13</v>
      </c>
      <c r="CA2" s="8" t="s">
        <v>13</v>
      </c>
      <c r="CB2" s="8" t="s">
        <v>13</v>
      </c>
      <c r="CC2" s="8" t="s">
        <v>13</v>
      </c>
      <c r="CD2" s="8" t="s">
        <v>13</v>
      </c>
      <c r="CE2" s="8" t="s">
        <v>13</v>
      </c>
      <c r="CF2" s="8" t="s">
        <v>13</v>
      </c>
      <c r="CG2" s="8" t="s">
        <v>14</v>
      </c>
      <c r="CH2" s="8" t="s">
        <v>14</v>
      </c>
      <c r="CI2" s="8" t="s">
        <v>14</v>
      </c>
      <c r="CJ2" s="8" t="s">
        <v>14</v>
      </c>
      <c r="CK2" s="8" t="s">
        <v>14</v>
      </c>
      <c r="CL2" s="8" t="s">
        <v>14</v>
      </c>
      <c r="CM2" s="8" t="s">
        <v>14</v>
      </c>
      <c r="CN2" s="8" t="s">
        <v>15</v>
      </c>
      <c r="CO2" s="8" t="s">
        <v>15</v>
      </c>
      <c r="CP2" s="8" t="s">
        <v>15</v>
      </c>
      <c r="CQ2" s="8" t="s">
        <v>15</v>
      </c>
      <c r="CR2" s="8" t="s">
        <v>15</v>
      </c>
      <c r="CS2" s="8" t="s">
        <v>15</v>
      </c>
      <c r="CT2" s="8" t="s">
        <v>15</v>
      </c>
      <c r="CU2" s="8" t="s">
        <v>16</v>
      </c>
      <c r="CV2" s="8" t="s">
        <v>16</v>
      </c>
      <c r="CW2" s="8" t="s">
        <v>16</v>
      </c>
      <c r="CX2" s="8" t="s">
        <v>16</v>
      </c>
      <c r="CY2" s="8" t="s">
        <v>16</v>
      </c>
      <c r="CZ2" s="8" t="s">
        <v>16</v>
      </c>
      <c r="DA2" s="8" t="s">
        <v>16</v>
      </c>
      <c r="DB2" s="8" t="s">
        <v>17</v>
      </c>
      <c r="DC2" s="8" t="s">
        <v>17</v>
      </c>
      <c r="DD2" s="8" t="s">
        <v>17</v>
      </c>
      <c r="DE2" s="8" t="s">
        <v>17</v>
      </c>
      <c r="DF2" s="8" t="s">
        <v>17</v>
      </c>
      <c r="DG2" s="8" t="s">
        <v>17</v>
      </c>
      <c r="DH2" s="8" t="s">
        <v>17</v>
      </c>
      <c r="DI2" s="8" t="s">
        <v>18</v>
      </c>
      <c r="DJ2" s="8" t="s">
        <v>18</v>
      </c>
      <c r="DK2" s="8" t="s">
        <v>18</v>
      </c>
      <c r="DL2" s="8" t="s">
        <v>18</v>
      </c>
      <c r="DM2" s="8" t="s">
        <v>18</v>
      </c>
      <c r="DN2" s="8" t="s">
        <v>18</v>
      </c>
      <c r="DO2" s="8" t="s">
        <v>18</v>
      </c>
      <c r="DP2" s="8" t="s">
        <v>19</v>
      </c>
      <c r="DQ2" s="8" t="s">
        <v>19</v>
      </c>
      <c r="DR2" s="8" t="s">
        <v>19</v>
      </c>
      <c r="DS2" s="8" t="s">
        <v>19</v>
      </c>
      <c r="DT2" s="8" t="s">
        <v>19</v>
      </c>
      <c r="DU2" s="8" t="s">
        <v>19</v>
      </c>
      <c r="DV2" s="8" t="s">
        <v>19</v>
      </c>
      <c r="DW2" s="8" t="s">
        <v>20</v>
      </c>
      <c r="DX2" s="8" t="s">
        <v>20</v>
      </c>
      <c r="DY2" s="8" t="s">
        <v>20</v>
      </c>
      <c r="DZ2" s="8" t="s">
        <v>20</v>
      </c>
      <c r="EA2" s="8" t="s">
        <v>20</v>
      </c>
      <c r="EB2" s="8" t="s">
        <v>20</v>
      </c>
      <c r="EC2" s="8" t="s">
        <v>20</v>
      </c>
      <c r="ED2" s="8" t="s">
        <v>21</v>
      </c>
      <c r="EE2" s="8" t="s">
        <v>21</v>
      </c>
      <c r="EF2" s="8" t="s">
        <v>21</v>
      </c>
      <c r="EG2" s="8" t="s">
        <v>21</v>
      </c>
      <c r="EH2" s="8" t="s">
        <v>21</v>
      </c>
      <c r="EI2" s="8" t="s">
        <v>21</v>
      </c>
      <c r="EJ2" s="8" t="s">
        <v>21</v>
      </c>
      <c r="EK2" s="8" t="s">
        <v>22</v>
      </c>
      <c r="EL2" s="8" t="s">
        <v>22</v>
      </c>
      <c r="EM2" s="8" t="s">
        <v>22</v>
      </c>
      <c r="EN2" s="8" t="s">
        <v>22</v>
      </c>
      <c r="EO2" s="8" t="s">
        <v>22</v>
      </c>
      <c r="EP2" s="8" t="s">
        <v>22</v>
      </c>
      <c r="EQ2" s="8" t="s">
        <v>22</v>
      </c>
      <c r="ER2" s="8" t="s">
        <v>23</v>
      </c>
      <c r="ES2" s="8" t="s">
        <v>23</v>
      </c>
      <c r="ET2" s="8" t="s">
        <v>23</v>
      </c>
      <c r="EU2" s="8" t="s">
        <v>23</v>
      </c>
      <c r="EV2" s="8" t="s">
        <v>23</v>
      </c>
      <c r="EW2" s="8" t="s">
        <v>23</v>
      </c>
      <c r="EX2" s="8" t="s">
        <v>23</v>
      </c>
      <c r="EY2" s="8" t="s">
        <v>24</v>
      </c>
      <c r="EZ2" s="8" t="s">
        <v>24</v>
      </c>
      <c r="FA2" s="8" t="s">
        <v>24</v>
      </c>
      <c r="FB2" s="8" t="s">
        <v>24</v>
      </c>
      <c r="FC2" s="8" t="s">
        <v>24</v>
      </c>
      <c r="FD2" s="8" t="s">
        <v>24</v>
      </c>
      <c r="FE2" s="8" t="s">
        <v>24</v>
      </c>
      <c r="FF2" s="8" t="s">
        <v>25</v>
      </c>
      <c r="FG2" s="8" t="s">
        <v>25</v>
      </c>
      <c r="FH2" s="8" t="s">
        <v>25</v>
      </c>
      <c r="FI2" s="8" t="s">
        <v>25</v>
      </c>
      <c r="FJ2" s="8" t="s">
        <v>25</v>
      </c>
      <c r="FK2" s="8" t="s">
        <v>25</v>
      </c>
      <c r="FL2" s="8" t="s">
        <v>25</v>
      </c>
      <c r="FM2" s="8" t="s">
        <v>26</v>
      </c>
      <c r="FN2" s="8" t="s">
        <v>26</v>
      </c>
      <c r="FO2" s="8" t="s">
        <v>26</v>
      </c>
      <c r="FP2" s="8" t="s">
        <v>26</v>
      </c>
      <c r="FQ2" s="8" t="s">
        <v>26</v>
      </c>
      <c r="FR2" s="8" t="s">
        <v>26</v>
      </c>
      <c r="FS2" s="8" t="s">
        <v>26</v>
      </c>
      <c r="FT2" s="8" t="s">
        <v>27</v>
      </c>
      <c r="FU2" s="8" t="s">
        <v>27</v>
      </c>
      <c r="FV2" s="8" t="s">
        <v>27</v>
      </c>
      <c r="FW2" s="8" t="s">
        <v>27</v>
      </c>
      <c r="FX2" s="8" t="s">
        <v>27</v>
      </c>
      <c r="FY2" s="8" t="s">
        <v>27</v>
      </c>
      <c r="FZ2" s="8" t="s">
        <v>27</v>
      </c>
      <c r="GA2" s="8" t="s">
        <v>28</v>
      </c>
      <c r="GB2" s="8" t="s">
        <v>28</v>
      </c>
      <c r="GC2" s="8" t="s">
        <v>28</v>
      </c>
      <c r="GD2" s="8" t="s">
        <v>28</v>
      </c>
      <c r="GE2" s="8" t="s">
        <v>28</v>
      </c>
      <c r="GF2" s="8" t="s">
        <v>28</v>
      </c>
      <c r="GG2" s="8" t="s">
        <v>28</v>
      </c>
      <c r="GH2" s="8" t="s">
        <v>29</v>
      </c>
      <c r="GI2" s="8" t="s">
        <v>29</v>
      </c>
      <c r="GJ2" s="8" t="s">
        <v>29</v>
      </c>
      <c r="GK2" s="8" t="s">
        <v>29</v>
      </c>
      <c r="GL2" s="8" t="s">
        <v>29</v>
      </c>
      <c r="GM2" s="8" t="s">
        <v>29</v>
      </c>
      <c r="GN2" s="8" t="s">
        <v>29</v>
      </c>
      <c r="GO2" s="8" t="s">
        <v>30</v>
      </c>
      <c r="GP2" s="8" t="s">
        <v>30</v>
      </c>
      <c r="GQ2" s="8" t="s">
        <v>30</v>
      </c>
      <c r="GR2" s="8" t="s">
        <v>30</v>
      </c>
      <c r="GS2" s="8" t="s">
        <v>30</v>
      </c>
      <c r="GT2" s="8" t="s">
        <v>30</v>
      </c>
      <c r="GU2" s="8" t="s">
        <v>30</v>
      </c>
      <c r="GV2" s="8" t="s">
        <v>31</v>
      </c>
      <c r="GW2" s="8" t="s">
        <v>31</v>
      </c>
      <c r="GX2" s="8" t="s">
        <v>31</v>
      </c>
      <c r="GY2" s="8" t="s">
        <v>31</v>
      </c>
      <c r="GZ2" s="8" t="s">
        <v>31</v>
      </c>
      <c r="HA2" s="8" t="s">
        <v>31</v>
      </c>
      <c r="HB2" s="8" t="s">
        <v>31</v>
      </c>
      <c r="HC2" s="8" t="s">
        <v>32</v>
      </c>
      <c r="HD2" s="8" t="s">
        <v>32</v>
      </c>
      <c r="HE2" s="8" t="s">
        <v>32</v>
      </c>
      <c r="HF2" s="8" t="s">
        <v>32</v>
      </c>
      <c r="HG2" s="8" t="s">
        <v>32</v>
      </c>
      <c r="HH2" s="8" t="s">
        <v>32</v>
      </c>
      <c r="HI2" s="8" t="s">
        <v>32</v>
      </c>
      <c r="HJ2" s="8" t="s">
        <v>33</v>
      </c>
      <c r="HK2" s="8" t="s">
        <v>33</v>
      </c>
      <c r="HL2" s="8" t="s">
        <v>33</v>
      </c>
      <c r="HM2" s="8" t="s">
        <v>33</v>
      </c>
      <c r="HN2" s="8" t="s">
        <v>33</v>
      </c>
      <c r="HO2" s="8" t="s">
        <v>33</v>
      </c>
      <c r="HP2" s="8" t="s">
        <v>33</v>
      </c>
      <c r="HQ2" s="8" t="s">
        <v>34</v>
      </c>
      <c r="HR2" s="8" t="s">
        <v>34</v>
      </c>
      <c r="HS2" s="8" t="s">
        <v>34</v>
      </c>
      <c r="HT2" s="8" t="s">
        <v>34</v>
      </c>
      <c r="HU2" s="8" t="s">
        <v>34</v>
      </c>
      <c r="HV2" s="8" t="s">
        <v>34</v>
      </c>
      <c r="HW2" s="8" t="s">
        <v>34</v>
      </c>
      <c r="HX2" s="8" t="s">
        <v>35</v>
      </c>
      <c r="HY2" s="8" t="s">
        <v>35</v>
      </c>
      <c r="HZ2" s="8" t="s">
        <v>35</v>
      </c>
      <c r="IA2" s="8" t="s">
        <v>35</v>
      </c>
      <c r="IB2" s="8" t="s">
        <v>35</v>
      </c>
      <c r="IC2" s="8" t="s">
        <v>35</v>
      </c>
      <c r="ID2" s="8" t="s">
        <v>35</v>
      </c>
      <c r="IE2" s="8" t="s">
        <v>36</v>
      </c>
      <c r="IF2" s="8" t="s">
        <v>36</v>
      </c>
      <c r="IG2" s="8" t="s">
        <v>36</v>
      </c>
      <c r="IH2" s="8" t="s">
        <v>36</v>
      </c>
      <c r="II2" s="8" t="s">
        <v>36</v>
      </c>
      <c r="IJ2" s="8" t="s">
        <v>36</v>
      </c>
      <c r="IK2" s="8" t="s">
        <v>36</v>
      </c>
      <c r="IL2" s="8" t="s">
        <v>37</v>
      </c>
      <c r="IM2" s="8" t="s">
        <v>37</v>
      </c>
      <c r="IN2" s="8" t="s">
        <v>37</v>
      </c>
      <c r="IO2" s="8" t="s">
        <v>37</v>
      </c>
      <c r="IP2" s="8" t="s">
        <v>37</v>
      </c>
      <c r="IQ2" s="8" t="s">
        <v>37</v>
      </c>
      <c r="IR2" s="8" t="s">
        <v>37</v>
      </c>
      <c r="IS2" s="8" t="s">
        <v>38</v>
      </c>
      <c r="IT2" s="8" t="s">
        <v>38</v>
      </c>
      <c r="IU2" s="8" t="s">
        <v>38</v>
      </c>
      <c r="IV2" s="8" t="s">
        <v>38</v>
      </c>
      <c r="IW2" s="8" t="s">
        <v>38</v>
      </c>
      <c r="IX2" s="8" t="s">
        <v>38</v>
      </c>
      <c r="IY2" s="8" t="s">
        <v>38</v>
      </c>
      <c r="IZ2" s="8" t="s">
        <v>39</v>
      </c>
      <c r="JA2" s="8" t="s">
        <v>39</v>
      </c>
      <c r="JB2" s="8" t="s">
        <v>39</v>
      </c>
      <c r="JC2" s="8" t="s">
        <v>39</v>
      </c>
      <c r="JD2" s="8" t="s">
        <v>39</v>
      </c>
      <c r="JE2" s="8" t="s">
        <v>39</v>
      </c>
      <c r="JF2" s="8" t="s">
        <v>39</v>
      </c>
      <c r="JG2" s="8" t="s">
        <v>40</v>
      </c>
      <c r="JH2" s="8" t="s">
        <v>40</v>
      </c>
      <c r="JI2" s="8" t="s">
        <v>40</v>
      </c>
      <c r="JJ2" s="8" t="s">
        <v>40</v>
      </c>
      <c r="JK2" s="8" t="s">
        <v>40</v>
      </c>
      <c r="JL2" s="8" t="s">
        <v>40</v>
      </c>
      <c r="JM2" s="8" t="s">
        <v>40</v>
      </c>
      <c r="JN2" s="8" t="s">
        <v>41</v>
      </c>
      <c r="JO2" s="8" t="s">
        <v>41</v>
      </c>
      <c r="JP2" s="8" t="s">
        <v>41</v>
      </c>
      <c r="JQ2" s="8" t="s">
        <v>41</v>
      </c>
      <c r="JR2" s="8" t="s">
        <v>41</v>
      </c>
      <c r="JS2" s="8" t="s">
        <v>41</v>
      </c>
      <c r="JT2" s="8" t="s">
        <v>41</v>
      </c>
      <c r="JU2" s="8" t="s">
        <v>42</v>
      </c>
      <c r="JV2" s="8" t="s">
        <v>42</v>
      </c>
      <c r="JW2" s="8" t="s">
        <v>42</v>
      </c>
      <c r="JX2" s="8" t="s">
        <v>42</v>
      </c>
      <c r="JY2" s="8" t="s">
        <v>42</v>
      </c>
      <c r="JZ2" s="8" t="s">
        <v>42</v>
      </c>
      <c r="KA2" s="8" t="s">
        <v>42</v>
      </c>
      <c r="KB2" s="8" t="s">
        <v>43</v>
      </c>
      <c r="KC2" s="8" t="s">
        <v>43</v>
      </c>
      <c r="KD2" s="8" t="s">
        <v>43</v>
      </c>
      <c r="KE2" s="8" t="s">
        <v>43</v>
      </c>
      <c r="KF2" s="8" t="s">
        <v>43</v>
      </c>
      <c r="KG2" s="8" t="s">
        <v>43</v>
      </c>
      <c r="KH2" s="8" t="s">
        <v>43</v>
      </c>
      <c r="KI2" s="8" t="s">
        <v>44</v>
      </c>
      <c r="KJ2" s="8" t="s">
        <v>44</v>
      </c>
      <c r="KK2" s="8" t="s">
        <v>44</v>
      </c>
      <c r="KL2" s="8" t="s">
        <v>44</v>
      </c>
      <c r="KM2" s="8" t="s">
        <v>44</v>
      </c>
      <c r="KN2" s="8" t="s">
        <v>44</v>
      </c>
      <c r="KO2" s="8" t="s">
        <v>44</v>
      </c>
      <c r="KP2" s="8" t="s">
        <v>45</v>
      </c>
      <c r="KQ2" s="8" t="s">
        <v>45</v>
      </c>
      <c r="KR2" s="8" t="s">
        <v>45</v>
      </c>
      <c r="KS2" s="8" t="s">
        <v>45</v>
      </c>
      <c r="KT2" s="8" t="s">
        <v>45</v>
      </c>
      <c r="KU2" s="8" t="s">
        <v>45</v>
      </c>
      <c r="KV2" s="8" t="s">
        <v>45</v>
      </c>
      <c r="KW2" s="8" t="s">
        <v>46</v>
      </c>
      <c r="KX2" s="8" t="s">
        <v>46</v>
      </c>
      <c r="KY2" s="8" t="s">
        <v>46</v>
      </c>
      <c r="KZ2" s="8" t="s">
        <v>46</v>
      </c>
      <c r="LA2" s="8" t="s">
        <v>46</v>
      </c>
      <c r="LB2" s="8" t="s">
        <v>46</v>
      </c>
      <c r="LC2" s="8" t="s">
        <v>46</v>
      </c>
      <c r="LD2" s="8" t="s">
        <v>47</v>
      </c>
      <c r="LE2" s="8" t="s">
        <v>47</v>
      </c>
      <c r="LF2" s="8" t="s">
        <v>47</v>
      </c>
      <c r="LG2" s="8" t="s">
        <v>47</v>
      </c>
      <c r="LH2" s="8" t="s">
        <v>47</v>
      </c>
      <c r="LI2" s="8" t="s">
        <v>47</v>
      </c>
      <c r="LJ2" s="8" t="s">
        <v>47</v>
      </c>
      <c r="LK2" s="8" t="s">
        <v>48</v>
      </c>
      <c r="LL2" s="8" t="s">
        <v>48</v>
      </c>
      <c r="LM2" s="8" t="s">
        <v>48</v>
      </c>
      <c r="LN2" s="8" t="s">
        <v>48</v>
      </c>
      <c r="LO2" s="8" t="s">
        <v>48</v>
      </c>
      <c r="LP2" s="8" t="s">
        <v>48</v>
      </c>
      <c r="LQ2" s="8" t="s">
        <v>48</v>
      </c>
      <c r="LR2" s="8" t="s">
        <v>49</v>
      </c>
      <c r="LS2" s="8" t="s">
        <v>49</v>
      </c>
      <c r="LT2" s="8" t="s">
        <v>49</v>
      </c>
      <c r="LU2" s="8" t="s">
        <v>49</v>
      </c>
      <c r="LV2" s="8" t="s">
        <v>49</v>
      </c>
      <c r="LW2" s="8" t="s">
        <v>49</v>
      </c>
      <c r="LX2" s="8" t="s">
        <v>49</v>
      </c>
      <c r="LY2" s="8" t="s">
        <v>50</v>
      </c>
      <c r="LZ2" s="8" t="s">
        <v>50</v>
      </c>
      <c r="MA2" s="8" t="s">
        <v>50</v>
      </c>
      <c r="MB2" s="8" t="s">
        <v>50</v>
      </c>
      <c r="MC2" s="8" t="s">
        <v>50</v>
      </c>
      <c r="MD2" s="8" t="s">
        <v>50</v>
      </c>
      <c r="ME2" s="8" t="s">
        <v>50</v>
      </c>
      <c r="MF2" s="8" t="s">
        <v>51</v>
      </c>
      <c r="MG2" s="8" t="s">
        <v>51</v>
      </c>
      <c r="MH2" s="8" t="s">
        <v>51</v>
      </c>
      <c r="MI2" s="8" t="s">
        <v>51</v>
      </c>
      <c r="MJ2" s="8" t="s">
        <v>51</v>
      </c>
      <c r="MK2" s="8" t="s">
        <v>51</v>
      </c>
      <c r="ML2" s="8" t="s">
        <v>51</v>
      </c>
      <c r="MM2" s="8" t="s">
        <v>52</v>
      </c>
      <c r="MN2" s="8" t="s">
        <v>52</v>
      </c>
      <c r="MO2" s="8" t="s">
        <v>52</v>
      </c>
      <c r="MP2" s="8" t="s">
        <v>52</v>
      </c>
      <c r="MQ2" s="8" t="s">
        <v>52</v>
      </c>
      <c r="MR2" s="8" t="s">
        <v>52</v>
      </c>
      <c r="MS2" s="8" t="s">
        <v>52</v>
      </c>
      <c r="MT2" s="8" t="s">
        <v>53</v>
      </c>
      <c r="MU2" s="8" t="s">
        <v>53</v>
      </c>
      <c r="MV2" s="8" t="s">
        <v>53</v>
      </c>
      <c r="MW2" s="8" t="s">
        <v>53</v>
      </c>
      <c r="MX2" s="8" t="s">
        <v>53</v>
      </c>
      <c r="MY2" s="8" t="s">
        <v>53</v>
      </c>
      <c r="MZ2" s="8" t="s">
        <v>53</v>
      </c>
      <c r="NA2" s="8" t="s">
        <v>54</v>
      </c>
      <c r="NB2" s="8" t="s">
        <v>54</v>
      </c>
      <c r="NC2" s="8" t="s">
        <v>54</v>
      </c>
    </row>
    <row r="3" spans="1:367">
      <c r="A3" s="13">
        <f>SUM(C3:NC3)</f>
        <v>1270430.2361956516</v>
      </c>
      <c r="B3" s="14" t="s">
        <v>427</v>
      </c>
      <c r="C3" s="7"/>
      <c r="D3" s="7">
        <v>3669.9166666666665</v>
      </c>
      <c r="E3" s="7">
        <v>3620.0833333333335</v>
      </c>
      <c r="F3" s="7">
        <v>2201.5833333333335</v>
      </c>
      <c r="G3" s="7">
        <v>1794.4166666666667</v>
      </c>
      <c r="H3" s="7">
        <v>3518.666666666667</v>
      </c>
      <c r="I3" s="7">
        <v>3217.166666666667</v>
      </c>
      <c r="J3" s="7">
        <v>3283.3333333333335</v>
      </c>
      <c r="K3" s="7">
        <v>3279.083333333333</v>
      </c>
      <c r="L3" s="7">
        <v>3231.583333333333</v>
      </c>
      <c r="M3" s="7">
        <v>1865.0833333333333</v>
      </c>
      <c r="N3" s="7">
        <v>1768.4166666666665</v>
      </c>
      <c r="O3" s="7">
        <v>3075.8333333333335</v>
      </c>
      <c r="P3" s="7">
        <v>3198.5</v>
      </c>
      <c r="Q3" s="7">
        <v>3620.333333333333</v>
      </c>
      <c r="R3" s="7">
        <v>3810.916666666667</v>
      </c>
      <c r="S3" s="7">
        <v>3510.0833333333335</v>
      </c>
      <c r="T3" s="7">
        <v>2065.25</v>
      </c>
      <c r="U3" s="7">
        <v>1723.9999999999998</v>
      </c>
      <c r="V3" s="7">
        <v>3434</v>
      </c>
      <c r="W3" s="7">
        <v>3562.666666666667</v>
      </c>
      <c r="X3" s="7">
        <v>3435.166666666667</v>
      </c>
      <c r="Y3" s="7">
        <v>2864.2499999999995</v>
      </c>
      <c r="Z3" s="7">
        <v>3009.25</v>
      </c>
      <c r="AA3" s="7">
        <v>2037.4166666666665</v>
      </c>
      <c r="AB3" s="7">
        <v>1803.4166666666665</v>
      </c>
      <c r="AC3" s="7">
        <v>2864.1666666666665</v>
      </c>
      <c r="AD3" s="7">
        <v>2774.916666666667</v>
      </c>
      <c r="AE3" s="7">
        <v>2926.5833333333335</v>
      </c>
      <c r="AF3" s="7">
        <v>2960.25</v>
      </c>
      <c r="AG3" s="7">
        <v>2597.833333333333</v>
      </c>
      <c r="AH3" s="7">
        <v>1822.4166666666665</v>
      </c>
      <c r="AI3" s="7">
        <v>1723.1666666666667</v>
      </c>
      <c r="AJ3" s="7">
        <v>2523.916666666667</v>
      </c>
      <c r="AK3" s="7">
        <v>2724.0000000000005</v>
      </c>
      <c r="AL3" s="7">
        <v>3169.4166666666674</v>
      </c>
      <c r="AM3" s="7">
        <v>3054.1666666666665</v>
      </c>
      <c r="AN3" s="7">
        <v>3181.3333333333335</v>
      </c>
      <c r="AO3" s="7">
        <v>1844.416666666667</v>
      </c>
      <c r="AP3" s="7">
        <v>1584.25</v>
      </c>
      <c r="AQ3" s="7">
        <v>2897.416666666667</v>
      </c>
      <c r="AR3" s="7">
        <v>3475.6666666666665</v>
      </c>
      <c r="AS3" s="7">
        <v>3254.1666666666665</v>
      </c>
      <c r="AT3" s="7">
        <v>3074.8333333333335</v>
      </c>
      <c r="AU3" s="7">
        <v>2520.6666666666665</v>
      </c>
      <c r="AV3" s="7">
        <v>1339.5833333333333</v>
      </c>
      <c r="AW3" s="7">
        <v>1546.5833333333335</v>
      </c>
      <c r="AX3" s="7">
        <v>3002.166666666667</v>
      </c>
      <c r="AY3" s="7">
        <v>3199.0833333333335</v>
      </c>
      <c r="AZ3" s="7">
        <v>3094.0833333333335</v>
      </c>
      <c r="BA3" s="7">
        <v>2965.0833333333335</v>
      </c>
      <c r="BB3" s="7">
        <v>2536.75</v>
      </c>
      <c r="BC3" s="7">
        <v>859.75</v>
      </c>
      <c r="BD3" s="7">
        <v>1098.5833333333335</v>
      </c>
      <c r="BE3" s="7">
        <v>3240.8333333333335</v>
      </c>
      <c r="BF3" s="7">
        <v>3005.9166666666665</v>
      </c>
      <c r="BG3" s="7">
        <v>3129.25</v>
      </c>
      <c r="BH3" s="7">
        <v>2782</v>
      </c>
      <c r="BI3" s="7">
        <v>2570.5</v>
      </c>
      <c r="BJ3" s="7">
        <v>1391.0833333333333</v>
      </c>
      <c r="BK3" s="7">
        <v>732</v>
      </c>
      <c r="BL3" s="7">
        <v>2847.666666666667</v>
      </c>
      <c r="BM3" s="7">
        <v>2798.916666666667</v>
      </c>
      <c r="BN3" s="7">
        <v>2778.0833333333335</v>
      </c>
      <c r="BO3" s="7">
        <v>2822.0000000000005</v>
      </c>
      <c r="BP3" s="7">
        <v>3137.916666666667</v>
      </c>
      <c r="BQ3" s="7">
        <v>2661.5033333333336</v>
      </c>
      <c r="BR3" s="7">
        <v>1503.3333333333333</v>
      </c>
      <c r="BS3" s="7">
        <v>4413.1666666666661</v>
      </c>
      <c r="BT3" s="7">
        <v>3918.5</v>
      </c>
      <c r="BU3" s="7">
        <v>3807.666666666667</v>
      </c>
      <c r="BV3" s="7">
        <v>3990.583333333333</v>
      </c>
      <c r="BW3" s="7">
        <v>3888.5833333333335</v>
      </c>
      <c r="BX3" s="7">
        <v>2560</v>
      </c>
      <c r="BY3" s="7">
        <v>1412.0833333333333</v>
      </c>
      <c r="BZ3" s="7">
        <v>4755.083333333333</v>
      </c>
      <c r="CA3" s="7">
        <v>5274.333333333333</v>
      </c>
      <c r="CB3" s="7">
        <v>5029.25</v>
      </c>
      <c r="CC3" s="7">
        <v>5199.333333333333</v>
      </c>
      <c r="CD3" s="7">
        <v>5182.5</v>
      </c>
      <c r="CE3" s="7">
        <v>4447.833333333333</v>
      </c>
      <c r="CF3" s="7">
        <v>4378</v>
      </c>
      <c r="CG3" s="7">
        <v>5223.666666666667</v>
      </c>
      <c r="CH3" s="7">
        <v>5286.0833333333339</v>
      </c>
      <c r="CI3" s="7">
        <v>4191.4166666666661</v>
      </c>
      <c r="CJ3" s="7">
        <v>3247.5833333333339</v>
      </c>
      <c r="CK3" s="7">
        <v>3195.9166666666665</v>
      </c>
      <c r="CL3" s="7">
        <v>869.75</v>
      </c>
      <c r="CM3" s="7"/>
      <c r="CN3" s="7"/>
      <c r="CO3" s="7"/>
      <c r="CP3" s="7">
        <v>2833.083333333333</v>
      </c>
      <c r="CQ3" s="7">
        <v>3679.4166666666665</v>
      </c>
      <c r="CR3" s="7">
        <v>3130.25</v>
      </c>
      <c r="CS3" s="7">
        <v>2021.8333333333333</v>
      </c>
      <c r="CT3" s="7">
        <v>1779.9166666666665</v>
      </c>
      <c r="CU3" s="7">
        <v>2980.333333333333</v>
      </c>
      <c r="CV3" s="7">
        <v>2928.9166666666665</v>
      </c>
      <c r="CW3" s="7">
        <v>2959.333333333333</v>
      </c>
      <c r="CX3" s="7">
        <v>3026.4166666666665</v>
      </c>
      <c r="CY3" s="7">
        <v>3527.5</v>
      </c>
      <c r="CZ3" s="7">
        <v>2005.75</v>
      </c>
      <c r="DA3" s="7">
        <v>1482.75</v>
      </c>
      <c r="DB3" s="7">
        <v>3593.083333333333</v>
      </c>
      <c r="DC3" s="7">
        <v>3937.333333333333</v>
      </c>
      <c r="DD3" s="7">
        <v>3643.083333333333</v>
      </c>
      <c r="DE3" s="7">
        <v>3648.25</v>
      </c>
      <c r="DF3" s="7">
        <v>3584.6666666666665</v>
      </c>
      <c r="DG3" s="7">
        <v>1907.5000000000002</v>
      </c>
      <c r="DH3" s="7">
        <v>1915.8333333333335</v>
      </c>
      <c r="DI3" s="7">
        <v>3663.5</v>
      </c>
      <c r="DJ3" s="7">
        <v>3372.3333333333335</v>
      </c>
      <c r="DK3" s="8">
        <v>655.59999999999991</v>
      </c>
      <c r="DL3" s="7"/>
      <c r="DM3" s="7">
        <v>4370.166666666667</v>
      </c>
      <c r="DN3" s="7">
        <v>4107</v>
      </c>
      <c r="DO3" s="7">
        <v>2919.166666666667</v>
      </c>
      <c r="DP3" s="7">
        <v>3076.25</v>
      </c>
      <c r="DQ3" s="7">
        <v>3169.416666666667</v>
      </c>
      <c r="DR3" s="7">
        <v>3581.0833333333335</v>
      </c>
      <c r="DS3" s="7"/>
      <c r="DT3" s="7">
        <v>4170.333333333333</v>
      </c>
      <c r="DU3" s="7">
        <v>2668.5</v>
      </c>
      <c r="DV3" s="7">
        <v>1284.25</v>
      </c>
      <c r="DW3" s="7">
        <v>4269</v>
      </c>
      <c r="DX3" s="7">
        <v>4087.5</v>
      </c>
      <c r="DY3" s="7">
        <v>4287.7499999999991</v>
      </c>
      <c r="DZ3" s="7">
        <v>4165.4166666666661</v>
      </c>
      <c r="EA3" s="7">
        <v>4188.25</v>
      </c>
      <c r="EB3" s="7">
        <v>2556</v>
      </c>
      <c r="EC3" s="7">
        <v>1339.8333333333335</v>
      </c>
      <c r="ED3" s="7">
        <v>5161.916666666667</v>
      </c>
      <c r="EE3" s="7">
        <v>4563.1666666666661</v>
      </c>
      <c r="EF3" s="7">
        <v>4493.833333333333</v>
      </c>
      <c r="EG3" s="7">
        <v>4282</v>
      </c>
      <c r="EH3" s="7">
        <v>4279.5000000000009</v>
      </c>
      <c r="EI3" s="7">
        <v>2679.5833333333335</v>
      </c>
      <c r="EJ3" s="7">
        <v>1418.7499999999998</v>
      </c>
      <c r="EK3" s="7">
        <v>5278.6666666666661</v>
      </c>
      <c r="EL3" s="7">
        <v>4829.083333333333</v>
      </c>
      <c r="EM3" s="7">
        <v>5236.7499999999991</v>
      </c>
      <c r="EN3" s="7">
        <v>4849</v>
      </c>
      <c r="EO3" s="7">
        <v>4411.75</v>
      </c>
      <c r="EP3" s="7">
        <v>3887.8333333333335</v>
      </c>
      <c r="EQ3" s="7">
        <v>1557.5833333333335</v>
      </c>
      <c r="ER3" s="7">
        <v>5328.1666666666661</v>
      </c>
      <c r="ES3" s="7">
        <v>5470.8333333333339</v>
      </c>
      <c r="ET3" s="7">
        <v>5428.8333333333339</v>
      </c>
      <c r="EU3" s="7">
        <v>5474.833333333333</v>
      </c>
      <c r="EV3" s="7">
        <v>5395.0833333333339</v>
      </c>
      <c r="EW3" s="7">
        <v>5636.6666666666661</v>
      </c>
      <c r="EX3" s="7">
        <v>4580.1666666666661</v>
      </c>
      <c r="EY3" s="7">
        <v>4415.9166666666661</v>
      </c>
      <c r="EZ3" s="7">
        <v>3913.5</v>
      </c>
      <c r="FA3" s="7">
        <v>3266.666666666667</v>
      </c>
      <c r="FB3" s="7">
        <v>1706.0833333333335</v>
      </c>
      <c r="FC3" s="7"/>
      <c r="FD3" s="7"/>
      <c r="FE3" s="7"/>
      <c r="FF3" s="7"/>
      <c r="FG3" s="7">
        <v>4655.5</v>
      </c>
      <c r="FH3" s="7">
        <v>4979.8333333333339</v>
      </c>
      <c r="FI3" s="7">
        <v>5029.6666666666661</v>
      </c>
      <c r="FJ3" s="7">
        <v>5177.5</v>
      </c>
      <c r="FK3" s="7">
        <v>5372.2500000000009</v>
      </c>
      <c r="FL3" s="7">
        <v>4733.75</v>
      </c>
      <c r="FM3" s="7">
        <v>4652.916666666667</v>
      </c>
      <c r="FN3" s="7">
        <v>4748.583333333333</v>
      </c>
      <c r="FO3" s="7">
        <v>5172.333333333333</v>
      </c>
      <c r="FP3" s="7">
        <v>5093.416666666667</v>
      </c>
      <c r="FQ3" s="7">
        <v>4387.833333333333</v>
      </c>
      <c r="FR3" s="7">
        <v>3351.1666666666665</v>
      </c>
      <c r="FS3" s="7">
        <v>1318.25</v>
      </c>
      <c r="FT3" s="7">
        <v>4802.0000000000009</v>
      </c>
      <c r="FU3" s="7">
        <v>4359.75</v>
      </c>
      <c r="FV3" s="7">
        <v>4567.833333333333</v>
      </c>
      <c r="FW3" s="7">
        <v>4381.9166666666661</v>
      </c>
      <c r="FX3" s="7">
        <v>4780.916666666667</v>
      </c>
      <c r="FY3" s="7">
        <v>3636.4166666666665</v>
      </c>
      <c r="FZ3" s="7">
        <v>1367</v>
      </c>
      <c r="GA3" s="7">
        <v>4963.75</v>
      </c>
      <c r="GB3" s="7">
        <v>4697</v>
      </c>
      <c r="GC3" s="7">
        <v>3897.75</v>
      </c>
      <c r="GD3" s="7">
        <v>4251.8333333333339</v>
      </c>
      <c r="GE3" s="7">
        <v>3489.9166666666665</v>
      </c>
      <c r="GF3" s="7">
        <v>2660.5000000000005</v>
      </c>
      <c r="GG3" s="7">
        <v>1201.9166666666665</v>
      </c>
      <c r="GH3" s="7">
        <v>3648.083333333333</v>
      </c>
      <c r="GI3" s="7">
        <v>4254.75</v>
      </c>
      <c r="GJ3" s="7">
        <v>4472.25</v>
      </c>
      <c r="GK3" s="7">
        <v>4013.5833333333326</v>
      </c>
      <c r="GL3" s="7">
        <v>3698.3333333333335</v>
      </c>
      <c r="GM3" s="7">
        <v>2746</v>
      </c>
      <c r="GN3" s="7">
        <v>1256.3333333333333</v>
      </c>
      <c r="GO3" s="7">
        <v>3721.6666666666665</v>
      </c>
      <c r="GP3" s="7"/>
      <c r="GQ3" s="7">
        <v>4767.0833333333339</v>
      </c>
      <c r="GR3" s="7">
        <v>4556</v>
      </c>
      <c r="GS3" s="7">
        <v>4551.9166666666661</v>
      </c>
      <c r="GT3" s="7">
        <v>4144.5</v>
      </c>
      <c r="GU3" s="7">
        <v>2730.666666666667</v>
      </c>
      <c r="GV3" s="7">
        <v>3066.5</v>
      </c>
      <c r="GW3" s="7">
        <v>2940.3333333333335</v>
      </c>
      <c r="GX3" s="7">
        <v>3117</v>
      </c>
      <c r="GY3" s="7">
        <v>3046.166666666667</v>
      </c>
      <c r="GZ3" s="7">
        <v>3098.5</v>
      </c>
      <c r="HA3" s="7">
        <v>1730.5</v>
      </c>
      <c r="HB3" s="7">
        <v>1391.3333333333335</v>
      </c>
      <c r="HC3" s="7">
        <v>3228.2500000000005</v>
      </c>
      <c r="HD3" s="7">
        <v>3247.6666666666665</v>
      </c>
      <c r="HE3" s="7">
        <v>3242.333333333333</v>
      </c>
      <c r="HF3" s="7">
        <v>3184.4166666666665</v>
      </c>
      <c r="HG3" s="7">
        <v>3127.5</v>
      </c>
      <c r="HH3" s="7">
        <v>1757.8333333333333</v>
      </c>
      <c r="HI3" s="7">
        <v>1328.25</v>
      </c>
      <c r="HJ3" s="7">
        <v>3176.0833333333335</v>
      </c>
      <c r="HK3" s="7">
        <v>2885.5833333333335</v>
      </c>
      <c r="HL3" s="7">
        <v>2913.25</v>
      </c>
      <c r="HM3" s="7">
        <v>2887.1666666666665</v>
      </c>
      <c r="HN3" s="7">
        <v>2859.666666666667</v>
      </c>
      <c r="HO3" s="7">
        <v>1607.583333333333</v>
      </c>
      <c r="HP3" s="7">
        <v>1219.8333333333335</v>
      </c>
      <c r="HQ3" s="7">
        <v>3020.583333333333</v>
      </c>
      <c r="HR3" s="7">
        <v>3041.7499999999995</v>
      </c>
      <c r="HS3" s="7">
        <v>2961.4166666666665</v>
      </c>
      <c r="HT3" s="7">
        <v>2970.4166666666665</v>
      </c>
      <c r="HU3" s="7">
        <v>2662.333333333333</v>
      </c>
      <c r="HV3" s="7">
        <v>1569.416666666667</v>
      </c>
      <c r="HW3" s="7">
        <v>1219.5</v>
      </c>
      <c r="HX3" s="7">
        <v>2870.8333333333335</v>
      </c>
      <c r="HY3" s="7">
        <v>2926.0833333333335</v>
      </c>
      <c r="HZ3" s="7">
        <v>2680.6666666666665</v>
      </c>
      <c r="IA3" s="7">
        <v>3094.9166666666665</v>
      </c>
      <c r="IB3" s="7">
        <v>2821.416666666667</v>
      </c>
      <c r="IC3" s="7">
        <v>2777.9166666666665</v>
      </c>
      <c r="ID3" s="7">
        <v>2702.916666666667</v>
      </c>
      <c r="IE3" s="7">
        <v>3163.5</v>
      </c>
      <c r="IF3" s="7">
        <v>3104.583333333333</v>
      </c>
      <c r="IG3" s="7">
        <v>3674.25</v>
      </c>
      <c r="IH3" s="7">
        <v>3660.666666666667</v>
      </c>
      <c r="II3" s="7">
        <v>3556.1666666666665</v>
      </c>
      <c r="IJ3" s="7">
        <v>2953.0833333333335</v>
      </c>
      <c r="IK3" s="7">
        <v>2785.5</v>
      </c>
      <c r="IL3" s="7">
        <v>3153.333333333333</v>
      </c>
      <c r="IM3" s="7">
        <v>3228.083333333333</v>
      </c>
      <c r="IN3" s="7">
        <v>3229.25</v>
      </c>
      <c r="IO3" s="7">
        <v>3113.416666666667</v>
      </c>
      <c r="IP3" s="7">
        <v>3085.9166666666665</v>
      </c>
      <c r="IQ3" s="7">
        <v>2788.7500000000005</v>
      </c>
      <c r="IR3" s="7">
        <v>2723</v>
      </c>
      <c r="IS3" s="7">
        <v>3588.9166666666665</v>
      </c>
      <c r="IT3" s="7">
        <v>4019</v>
      </c>
      <c r="IU3" s="7">
        <v>4636</v>
      </c>
      <c r="IV3" s="7">
        <v>5028.3333333333339</v>
      </c>
      <c r="IW3" s="7">
        <v>4383.1666666666661</v>
      </c>
      <c r="IX3" s="7">
        <v>2933.583333333333</v>
      </c>
      <c r="IY3" s="7">
        <v>1883.3333333333333</v>
      </c>
      <c r="IZ3" s="7">
        <v>3980.666666666667</v>
      </c>
      <c r="JA3" s="7">
        <v>4040</v>
      </c>
      <c r="JB3" s="7">
        <v>3851.4166666666661</v>
      </c>
      <c r="JC3" s="7">
        <v>3562.8333333333335</v>
      </c>
      <c r="JD3" s="7">
        <v>3515.666666666667</v>
      </c>
      <c r="JE3" s="7">
        <v>1894.5</v>
      </c>
      <c r="JF3" s="7">
        <v>1812.0833333333335</v>
      </c>
      <c r="JG3" s="7">
        <v>3681.5833333333335</v>
      </c>
      <c r="JH3" s="7">
        <v>4170.5</v>
      </c>
      <c r="JI3" s="7">
        <v>4376.0833333333339</v>
      </c>
      <c r="JJ3" s="7">
        <v>4421.5</v>
      </c>
      <c r="JK3" s="7">
        <v>3969.0833333333335</v>
      </c>
      <c r="JL3" s="7">
        <v>1929.8333333333333</v>
      </c>
      <c r="JM3" s="7">
        <v>1846.5833333333333</v>
      </c>
      <c r="JN3" s="7">
        <v>4461.333333333333</v>
      </c>
      <c r="JO3" s="7">
        <v>4649.416666666667</v>
      </c>
      <c r="JP3" s="7">
        <v>4449.583333333333</v>
      </c>
      <c r="JQ3" s="7">
        <v>4199.666666666667</v>
      </c>
      <c r="JR3" s="7">
        <v>3876.0833333333335</v>
      </c>
      <c r="JS3" s="7">
        <v>1967.5</v>
      </c>
      <c r="JT3" s="7">
        <v>1850.9166666666667</v>
      </c>
      <c r="JU3" s="7">
        <v>3892.5833333333335</v>
      </c>
      <c r="JV3" s="7">
        <v>3933.6833333333334</v>
      </c>
      <c r="JW3" s="7">
        <v>4912.416666666667</v>
      </c>
      <c r="JX3" s="7">
        <v>5089.3333333333339</v>
      </c>
      <c r="JY3" s="7">
        <v>4887.5</v>
      </c>
      <c r="JZ3" s="7">
        <v>3191.583333333333</v>
      </c>
      <c r="KA3" s="7">
        <v>1811.4166666666665</v>
      </c>
      <c r="KB3" s="7">
        <v>5508.25</v>
      </c>
      <c r="KC3" s="7">
        <v>5620.166666666667</v>
      </c>
      <c r="KD3" s="7">
        <v>6043.75</v>
      </c>
      <c r="KE3" s="7">
        <v>6085.9166666666679</v>
      </c>
      <c r="KF3" s="7">
        <v>5746.0000000000009</v>
      </c>
      <c r="KG3" s="7">
        <v>5513.75</v>
      </c>
      <c r="KH3" s="7">
        <v>3893.9999999999995</v>
      </c>
      <c r="KI3" s="7">
        <v>5589.25</v>
      </c>
      <c r="KJ3" s="7">
        <v>5799.25</v>
      </c>
      <c r="KK3" s="7">
        <v>6031.166666666667</v>
      </c>
      <c r="KL3" s="7">
        <v>5954.5</v>
      </c>
      <c r="KM3" s="7">
        <v>5734.8333333333339</v>
      </c>
      <c r="KN3" s="7">
        <v>3728.1666666666665</v>
      </c>
      <c r="KO3" s="7">
        <v>2947.5000000000005</v>
      </c>
      <c r="KP3" s="7">
        <v>6445.6666666666661</v>
      </c>
      <c r="KQ3" s="7">
        <v>6124.3333333333339</v>
      </c>
      <c r="KR3" s="7">
        <v>6044.25</v>
      </c>
      <c r="KS3" s="7">
        <v>5837.4166666666661</v>
      </c>
      <c r="KT3" s="7">
        <v>6378.75</v>
      </c>
      <c r="KU3" s="7">
        <v>3486.666666666667</v>
      </c>
      <c r="KV3" s="7">
        <v>2225.5</v>
      </c>
      <c r="KW3" s="7">
        <v>6425.416666666667</v>
      </c>
      <c r="KX3" s="7">
        <v>6592.8333333333339</v>
      </c>
      <c r="KY3" s="7">
        <v>5842.166666666667</v>
      </c>
      <c r="KZ3" s="7">
        <v>4790.25</v>
      </c>
      <c r="LA3" s="7">
        <v>4658.25</v>
      </c>
      <c r="LB3" s="7">
        <v>2626</v>
      </c>
      <c r="LC3" s="7">
        <v>2390.166666666667</v>
      </c>
      <c r="LD3" s="7">
        <v>4880.666666666667</v>
      </c>
      <c r="LE3" s="7">
        <v>4930</v>
      </c>
      <c r="LF3" s="7">
        <v>4868.4999999999991</v>
      </c>
      <c r="LG3" s="7">
        <v>5041.25</v>
      </c>
      <c r="LH3" s="7">
        <v>4971.5833333333339</v>
      </c>
      <c r="LI3" s="7">
        <v>2696.4166666666665</v>
      </c>
      <c r="LJ3" s="7">
        <v>2383.75</v>
      </c>
      <c r="LK3" s="7">
        <v>5505.583333333333</v>
      </c>
      <c r="LL3" s="7">
        <v>5401.3333333333339</v>
      </c>
      <c r="LM3" s="7">
        <v>4922.333333333333</v>
      </c>
      <c r="LN3" s="7">
        <v>4853.916666666667</v>
      </c>
      <c r="LO3" s="7">
        <v>4865.5</v>
      </c>
      <c r="LP3" s="7">
        <v>2653.0833333333335</v>
      </c>
      <c r="LQ3" s="7">
        <v>2377.583333333333</v>
      </c>
      <c r="LR3" s="7">
        <v>4677.25</v>
      </c>
      <c r="LS3" s="7">
        <v>4656.916666666667</v>
      </c>
      <c r="LT3" s="7">
        <v>4679.1666666666661</v>
      </c>
      <c r="LU3" s="7">
        <v>5295.4999999999991</v>
      </c>
      <c r="LV3" s="7">
        <v>5260.5</v>
      </c>
      <c r="LW3" s="7">
        <v>3251.6666666666665</v>
      </c>
      <c r="LX3" s="7">
        <v>2178.75</v>
      </c>
      <c r="LY3" s="7">
        <v>5887.3159243956434</v>
      </c>
      <c r="LZ3" s="7">
        <v>5808.7308711941378</v>
      </c>
      <c r="MA3" s="7">
        <v>5423.7943280503068</v>
      </c>
      <c r="MB3" s="7">
        <v>5682.3435042663386</v>
      </c>
      <c r="MC3" s="7">
        <v>5216.9251806381817</v>
      </c>
      <c r="MD3" s="7">
        <v>3190.3406746375035</v>
      </c>
      <c r="ME3" s="7">
        <v>2172.3464288332425</v>
      </c>
      <c r="MF3" s="7">
        <v>5276.3753323873279</v>
      </c>
      <c r="MG3" s="7">
        <v>5706.982492014753</v>
      </c>
      <c r="MH3" s="7">
        <v>5757.4742612704713</v>
      </c>
      <c r="MI3" s="7">
        <v>5269.0217710411434</v>
      </c>
      <c r="MJ3" s="7">
        <v>4838.8238257033281</v>
      </c>
      <c r="MK3" s="7">
        <v>2867.3889332414319</v>
      </c>
      <c r="ML3" s="7">
        <v>2114.666666666667</v>
      </c>
      <c r="MM3" s="7">
        <v>4165.2852777778171</v>
      </c>
      <c r="MN3" s="7">
        <v>4292.785025561303</v>
      </c>
      <c r="MO3" s="7">
        <v>4377.3292720684358</v>
      </c>
      <c r="MP3" s="7">
        <v>4455.9586538834446</v>
      </c>
      <c r="MQ3" s="7">
        <v>4184.9290674999938</v>
      </c>
      <c r="MR3" s="7">
        <v>4078.5569480193503</v>
      </c>
      <c r="MS3" s="7">
        <v>4097.3250898343158</v>
      </c>
      <c r="MT3" s="7">
        <v>4216.0833333333339</v>
      </c>
      <c r="MU3" s="7">
        <v>3954.2499999999995</v>
      </c>
      <c r="MV3" s="7">
        <v>3949.416666666667</v>
      </c>
      <c r="MW3" s="7">
        <v>3969.7500000000005</v>
      </c>
      <c r="MX3" s="7">
        <v>3950.0833333333335</v>
      </c>
      <c r="MY3" s="7">
        <v>2278.25</v>
      </c>
      <c r="MZ3" s="7">
        <v>2164.75</v>
      </c>
      <c r="NA3" s="7">
        <v>3826.2499999999995</v>
      </c>
      <c r="NB3" s="7">
        <v>3730.1666666666665</v>
      </c>
      <c r="NC3" s="7">
        <v>2574.5833333333335</v>
      </c>
    </row>
    <row r="4" spans="1:367">
      <c r="A4" s="15">
        <f>SUM(C4:NC4)</f>
        <v>46561483</v>
      </c>
      <c r="B4" s="16" t="s">
        <v>423</v>
      </c>
      <c r="C4" s="7"/>
      <c r="D4" s="2">
        <v>112272</v>
      </c>
      <c r="E4" s="2">
        <v>100571</v>
      </c>
      <c r="F4" s="2">
        <v>64283</v>
      </c>
      <c r="G4" s="2">
        <v>53705</v>
      </c>
      <c r="H4" s="2">
        <v>78875</v>
      </c>
      <c r="I4" s="2">
        <v>85934</v>
      </c>
      <c r="J4" s="2">
        <v>98481</v>
      </c>
      <c r="K4" s="2">
        <v>109676</v>
      </c>
      <c r="L4" s="2">
        <v>97587</v>
      </c>
      <c r="M4" s="2">
        <v>62782</v>
      </c>
      <c r="N4" s="2">
        <v>65347</v>
      </c>
      <c r="O4" s="7">
        <v>83397</v>
      </c>
      <c r="P4" s="7">
        <v>76464</v>
      </c>
      <c r="Q4" s="7">
        <v>95772</v>
      </c>
      <c r="R4" s="7">
        <v>163666</v>
      </c>
      <c r="S4" s="7">
        <v>136593</v>
      </c>
      <c r="T4" s="7">
        <v>71777</v>
      </c>
      <c r="U4" s="7">
        <v>73898</v>
      </c>
      <c r="V4" s="7">
        <v>84392</v>
      </c>
      <c r="W4" s="7">
        <v>115558</v>
      </c>
      <c r="X4" s="7">
        <v>94829</v>
      </c>
      <c r="Y4" s="7">
        <v>91123</v>
      </c>
      <c r="Z4" s="7">
        <v>84949</v>
      </c>
      <c r="AA4" s="7">
        <v>66709</v>
      </c>
      <c r="AB4" s="7">
        <v>68922</v>
      </c>
      <c r="AC4" s="7">
        <v>63112</v>
      </c>
      <c r="AD4" s="7">
        <v>76940</v>
      </c>
      <c r="AE4" s="7">
        <v>89449</v>
      </c>
      <c r="AF4" s="7">
        <v>111380</v>
      </c>
      <c r="AG4" s="7">
        <v>80937</v>
      </c>
      <c r="AH4" s="7">
        <v>68663</v>
      </c>
      <c r="AI4" s="7">
        <v>68499</v>
      </c>
      <c r="AJ4" s="7">
        <v>65276</v>
      </c>
      <c r="AK4" s="7">
        <v>95962</v>
      </c>
      <c r="AL4" s="7">
        <v>102488</v>
      </c>
      <c r="AM4" s="7">
        <v>122309</v>
      </c>
      <c r="AN4" s="7">
        <v>136825</v>
      </c>
      <c r="AO4" s="7">
        <v>91682</v>
      </c>
      <c r="AP4" s="7">
        <v>77478</v>
      </c>
      <c r="AQ4" s="7">
        <v>121851</v>
      </c>
      <c r="AR4" s="7">
        <v>146953</v>
      </c>
      <c r="AS4" s="7">
        <v>128380</v>
      </c>
      <c r="AT4" s="7">
        <v>118994</v>
      </c>
      <c r="AU4" s="7">
        <v>86037</v>
      </c>
      <c r="AV4" s="7">
        <v>47577</v>
      </c>
      <c r="AW4" s="7">
        <v>62152</v>
      </c>
      <c r="AX4" s="7">
        <v>87656</v>
      </c>
      <c r="AY4" s="7">
        <v>124963</v>
      </c>
      <c r="AZ4" s="7">
        <v>134000</v>
      </c>
      <c r="BA4" s="7">
        <v>121443</v>
      </c>
      <c r="BB4" s="7">
        <v>83957</v>
      </c>
      <c r="BC4" s="7">
        <v>35647</v>
      </c>
      <c r="BD4" s="7">
        <v>46036</v>
      </c>
      <c r="BE4" s="7">
        <v>137132</v>
      </c>
      <c r="BF4" s="7">
        <v>121965</v>
      </c>
      <c r="BG4" s="7">
        <v>125239</v>
      </c>
      <c r="BH4" s="7">
        <v>113913</v>
      </c>
      <c r="BI4" s="7">
        <v>86359</v>
      </c>
      <c r="BJ4" s="7">
        <v>65051</v>
      </c>
      <c r="BK4" s="7">
        <v>24869</v>
      </c>
      <c r="BL4" s="7">
        <v>118917</v>
      </c>
      <c r="BM4" s="7">
        <v>112453</v>
      </c>
      <c r="BN4" s="7">
        <v>126662</v>
      </c>
      <c r="BO4" s="7">
        <v>149701</v>
      </c>
      <c r="BP4" s="7">
        <v>127933</v>
      </c>
      <c r="BQ4" s="7">
        <v>116549</v>
      </c>
      <c r="BR4" s="7">
        <v>65109</v>
      </c>
      <c r="BS4" s="7">
        <v>183552</v>
      </c>
      <c r="BT4" s="7">
        <v>170370</v>
      </c>
      <c r="BU4" s="7">
        <v>165829</v>
      </c>
      <c r="BV4" s="7">
        <v>157981</v>
      </c>
      <c r="BW4" s="7">
        <v>153950</v>
      </c>
      <c r="BX4" s="7">
        <v>118516</v>
      </c>
      <c r="BY4" s="7">
        <v>66734</v>
      </c>
      <c r="BZ4" s="7">
        <v>195308</v>
      </c>
      <c r="CA4" s="7">
        <v>207982</v>
      </c>
      <c r="CB4" s="7">
        <v>148771</v>
      </c>
      <c r="CC4" s="7">
        <v>234873</v>
      </c>
      <c r="CD4" s="7">
        <v>206330</v>
      </c>
      <c r="CE4" s="7">
        <v>185973</v>
      </c>
      <c r="CF4" s="7">
        <v>200735</v>
      </c>
      <c r="CG4" s="8">
        <v>229540</v>
      </c>
      <c r="CH4" s="8">
        <v>223857</v>
      </c>
      <c r="CI4" s="8">
        <v>188537</v>
      </c>
      <c r="CJ4" s="8">
        <v>125341</v>
      </c>
      <c r="CK4" s="8">
        <v>95520</v>
      </c>
      <c r="CL4" s="8">
        <v>34156</v>
      </c>
      <c r="CP4" s="8">
        <v>151135</v>
      </c>
      <c r="CQ4" s="8">
        <v>181697</v>
      </c>
      <c r="CR4" s="8">
        <v>124201</v>
      </c>
      <c r="CS4" s="8">
        <v>99036</v>
      </c>
      <c r="CT4" s="8">
        <v>70587</v>
      </c>
      <c r="CU4" s="7">
        <v>101993</v>
      </c>
      <c r="CV4" s="7">
        <v>119643</v>
      </c>
      <c r="CW4" s="7">
        <v>120660</v>
      </c>
      <c r="CX4" s="7">
        <v>115500</v>
      </c>
      <c r="CY4" s="7">
        <v>117091</v>
      </c>
      <c r="CZ4" s="7">
        <v>100997</v>
      </c>
      <c r="DA4" s="7">
        <v>66893</v>
      </c>
      <c r="DB4" s="7">
        <v>146527</v>
      </c>
      <c r="DC4" s="7">
        <v>146149</v>
      </c>
      <c r="DD4" s="7">
        <v>159848</v>
      </c>
      <c r="DE4" s="7">
        <v>173715</v>
      </c>
      <c r="DF4" s="7">
        <v>155339</v>
      </c>
      <c r="DG4" s="7">
        <v>82863</v>
      </c>
      <c r="DH4" s="7">
        <v>83020</v>
      </c>
      <c r="DI4" s="7">
        <v>117436</v>
      </c>
      <c r="DJ4" s="7">
        <v>129319</v>
      </c>
      <c r="DK4" s="7">
        <v>33313</v>
      </c>
      <c r="DL4" s="7"/>
      <c r="DM4" s="7">
        <v>124585</v>
      </c>
      <c r="DN4" s="7">
        <v>159769</v>
      </c>
      <c r="DO4" s="7">
        <v>137155</v>
      </c>
      <c r="DP4" s="7">
        <v>118043</v>
      </c>
      <c r="DQ4" s="7">
        <v>118024</v>
      </c>
      <c r="DR4" s="7">
        <v>113793</v>
      </c>
      <c r="DS4" s="7"/>
      <c r="DT4" s="7">
        <v>160525</v>
      </c>
      <c r="DU4" s="7">
        <v>123501</v>
      </c>
      <c r="DV4" s="7">
        <v>74789</v>
      </c>
      <c r="DW4" s="7">
        <v>168460</v>
      </c>
      <c r="DX4" s="7">
        <v>165984</v>
      </c>
      <c r="DY4" s="7">
        <v>179698</v>
      </c>
      <c r="DZ4" s="7">
        <v>168583</v>
      </c>
      <c r="EA4" s="7">
        <v>171544</v>
      </c>
      <c r="EB4" s="7">
        <v>117670</v>
      </c>
      <c r="EC4" s="7">
        <v>69342</v>
      </c>
      <c r="ED4" s="7">
        <v>200496</v>
      </c>
      <c r="EE4" s="7">
        <v>153713</v>
      </c>
      <c r="EF4" s="7">
        <v>167963</v>
      </c>
      <c r="EG4" s="7">
        <v>184208</v>
      </c>
      <c r="EH4" s="7">
        <v>154502</v>
      </c>
      <c r="EI4" s="7">
        <v>115669</v>
      </c>
      <c r="EJ4" s="7">
        <v>68451</v>
      </c>
      <c r="EK4" s="7">
        <v>161698</v>
      </c>
      <c r="EL4" s="7">
        <v>194175</v>
      </c>
      <c r="EM4" s="7">
        <v>184357</v>
      </c>
      <c r="EN4" s="7">
        <v>202925</v>
      </c>
      <c r="EO4" s="7">
        <v>176237</v>
      </c>
      <c r="EP4" s="7">
        <v>122700</v>
      </c>
      <c r="EQ4" s="7">
        <v>67145</v>
      </c>
      <c r="ER4" s="7">
        <v>183290</v>
      </c>
      <c r="ES4" s="7">
        <v>211448</v>
      </c>
      <c r="ET4" s="7">
        <v>213572</v>
      </c>
      <c r="EU4" s="7">
        <v>213646</v>
      </c>
      <c r="EV4" s="7">
        <v>206946</v>
      </c>
      <c r="EW4" s="7">
        <v>237238</v>
      </c>
      <c r="EX4" s="7">
        <v>187680</v>
      </c>
      <c r="EY4" s="7">
        <v>206743</v>
      </c>
      <c r="EZ4" s="7">
        <v>162268</v>
      </c>
      <c r="FA4" s="7">
        <v>85896</v>
      </c>
      <c r="FB4" s="7">
        <v>43934</v>
      </c>
      <c r="FC4" s="7"/>
      <c r="FD4" s="7"/>
      <c r="FE4" s="7"/>
      <c r="FF4" s="7"/>
      <c r="FG4" s="7">
        <v>115252</v>
      </c>
      <c r="FH4" s="7">
        <v>190850</v>
      </c>
      <c r="FI4" s="7">
        <v>190826</v>
      </c>
      <c r="FJ4" s="7">
        <v>186095</v>
      </c>
      <c r="FK4" s="7">
        <v>205995</v>
      </c>
      <c r="FL4" s="7">
        <v>192365</v>
      </c>
      <c r="FM4" s="7">
        <v>189360</v>
      </c>
      <c r="FN4" s="7">
        <v>187350</v>
      </c>
      <c r="FO4" s="7">
        <v>176527</v>
      </c>
      <c r="FP4" s="7">
        <v>214254</v>
      </c>
      <c r="FQ4" s="7">
        <v>158649</v>
      </c>
      <c r="FR4" s="7">
        <v>141784</v>
      </c>
      <c r="FS4" s="7">
        <v>56689</v>
      </c>
      <c r="FT4" s="7">
        <v>137509</v>
      </c>
      <c r="FU4" s="7">
        <v>131670</v>
      </c>
      <c r="FV4" s="7">
        <v>170743</v>
      </c>
      <c r="FW4" s="7">
        <v>156646</v>
      </c>
      <c r="FX4" s="7">
        <v>184067</v>
      </c>
      <c r="FY4" s="7">
        <v>134937</v>
      </c>
      <c r="FZ4" s="7">
        <v>67947</v>
      </c>
      <c r="GA4" s="7">
        <v>176223</v>
      </c>
      <c r="GB4" s="7">
        <v>191012</v>
      </c>
      <c r="GC4" s="7">
        <v>136109</v>
      </c>
      <c r="GD4" s="7">
        <v>163120</v>
      </c>
      <c r="GE4" s="7">
        <v>127130</v>
      </c>
      <c r="GF4" s="7">
        <v>77220</v>
      </c>
      <c r="GG4" s="7">
        <v>49123</v>
      </c>
      <c r="GH4" s="7">
        <v>91732</v>
      </c>
      <c r="GI4" s="7">
        <v>140810</v>
      </c>
      <c r="GJ4" s="7">
        <v>167834</v>
      </c>
      <c r="GK4" s="7">
        <v>147667</v>
      </c>
      <c r="GL4" s="7">
        <v>129191</v>
      </c>
      <c r="GM4" s="7">
        <v>111857</v>
      </c>
      <c r="GN4" s="7">
        <v>55959</v>
      </c>
      <c r="GO4" s="7">
        <v>95558</v>
      </c>
      <c r="GP4" s="7"/>
      <c r="GQ4" s="7">
        <v>168204</v>
      </c>
      <c r="GR4" s="7">
        <v>144463</v>
      </c>
      <c r="GS4" s="7">
        <v>176674</v>
      </c>
      <c r="GT4" s="7">
        <v>187456</v>
      </c>
      <c r="GU4" s="7">
        <v>160892</v>
      </c>
      <c r="GV4" s="7">
        <v>114555</v>
      </c>
      <c r="GW4" s="7">
        <v>106171</v>
      </c>
      <c r="GX4" s="7">
        <v>130055</v>
      </c>
      <c r="GY4" s="7">
        <v>111382</v>
      </c>
      <c r="GZ4" s="7">
        <v>115143</v>
      </c>
      <c r="HA4" s="7">
        <v>72124</v>
      </c>
      <c r="HB4" s="7">
        <v>61822</v>
      </c>
      <c r="HC4" s="7">
        <v>122307</v>
      </c>
      <c r="HD4" s="7">
        <v>96343</v>
      </c>
      <c r="HE4" s="7">
        <v>130204</v>
      </c>
      <c r="HF4" s="7">
        <v>114530</v>
      </c>
      <c r="HG4" s="7">
        <v>138060</v>
      </c>
      <c r="HH4" s="7">
        <v>65557</v>
      </c>
      <c r="HI4" s="7">
        <v>65632</v>
      </c>
      <c r="HJ4" s="7">
        <v>128110</v>
      </c>
      <c r="HK4" s="7">
        <v>112558</v>
      </c>
      <c r="HL4" s="7">
        <v>107462</v>
      </c>
      <c r="HM4" s="7">
        <v>95038</v>
      </c>
      <c r="HN4" s="7">
        <v>107357</v>
      </c>
      <c r="HO4" s="7">
        <v>61082</v>
      </c>
      <c r="HP4" s="7">
        <v>64124</v>
      </c>
      <c r="HQ4" s="7">
        <v>126492</v>
      </c>
      <c r="HR4" s="7">
        <v>113416</v>
      </c>
      <c r="HS4" s="7">
        <v>129851</v>
      </c>
      <c r="HT4" s="7">
        <v>109390</v>
      </c>
      <c r="HU4" s="7">
        <v>101029</v>
      </c>
      <c r="HV4" s="7">
        <v>59960</v>
      </c>
      <c r="HW4" s="7">
        <v>55064</v>
      </c>
      <c r="HX4" s="7">
        <v>105397</v>
      </c>
      <c r="HY4" s="7">
        <v>82477</v>
      </c>
      <c r="HZ4" s="7">
        <v>98667</v>
      </c>
      <c r="IA4" s="7">
        <v>135820</v>
      </c>
      <c r="IB4" s="7">
        <v>117300</v>
      </c>
      <c r="IC4" s="7">
        <v>123319</v>
      </c>
      <c r="ID4" s="7">
        <v>107847</v>
      </c>
      <c r="IE4" s="7">
        <v>126452</v>
      </c>
      <c r="IF4" s="7">
        <v>108806</v>
      </c>
      <c r="IG4" s="7">
        <v>147516</v>
      </c>
      <c r="IH4" s="7">
        <v>140935</v>
      </c>
      <c r="II4" s="7">
        <v>140064</v>
      </c>
      <c r="IJ4" s="7">
        <v>124289</v>
      </c>
      <c r="IK4" s="7">
        <v>108403</v>
      </c>
      <c r="IL4" s="7">
        <v>132554</v>
      </c>
      <c r="IM4" s="7">
        <v>134458</v>
      </c>
      <c r="IN4" s="7">
        <v>126790</v>
      </c>
      <c r="IO4" s="7">
        <v>121637</v>
      </c>
      <c r="IP4" s="7">
        <v>101770</v>
      </c>
      <c r="IQ4" s="7">
        <v>145749</v>
      </c>
      <c r="IR4" s="7">
        <v>99087</v>
      </c>
      <c r="IS4" s="7">
        <v>120281</v>
      </c>
      <c r="IT4" s="7">
        <v>143028</v>
      </c>
      <c r="IU4" s="7">
        <v>165327</v>
      </c>
      <c r="IV4" s="7">
        <v>171410</v>
      </c>
      <c r="IW4" s="7">
        <v>177632</v>
      </c>
      <c r="IX4" s="7">
        <v>116155</v>
      </c>
      <c r="IY4" s="7">
        <v>57650</v>
      </c>
      <c r="IZ4" s="7">
        <v>146853</v>
      </c>
      <c r="JA4" s="7">
        <v>143001</v>
      </c>
      <c r="JB4" s="7">
        <v>181505</v>
      </c>
      <c r="JC4" s="7">
        <v>151021</v>
      </c>
      <c r="JD4" s="7">
        <v>112709</v>
      </c>
      <c r="JE4" s="7">
        <v>83419</v>
      </c>
      <c r="JF4" s="7">
        <v>74482</v>
      </c>
      <c r="JG4" s="7">
        <v>133599</v>
      </c>
      <c r="JH4" s="7">
        <v>173594</v>
      </c>
      <c r="JI4" s="7">
        <v>162614</v>
      </c>
      <c r="JJ4" s="7">
        <v>183167</v>
      </c>
      <c r="JK4" s="7">
        <v>180234</v>
      </c>
      <c r="JL4" s="7">
        <v>84488</v>
      </c>
      <c r="JM4" s="7">
        <v>67238</v>
      </c>
      <c r="JN4" s="7">
        <v>145944</v>
      </c>
      <c r="JO4" s="7">
        <v>189656</v>
      </c>
      <c r="JP4" s="7">
        <v>162989</v>
      </c>
      <c r="JQ4" s="7">
        <v>168481</v>
      </c>
      <c r="JR4" s="7">
        <v>137762</v>
      </c>
      <c r="JS4" s="7">
        <v>84001</v>
      </c>
      <c r="JT4" s="7">
        <v>72512</v>
      </c>
      <c r="JU4" s="7">
        <v>149075</v>
      </c>
      <c r="JV4" s="7">
        <v>164266</v>
      </c>
      <c r="JW4" s="7">
        <v>173891</v>
      </c>
      <c r="JX4" s="7">
        <v>187607</v>
      </c>
      <c r="JY4" s="7">
        <v>179760</v>
      </c>
      <c r="JZ4" s="7">
        <v>103215</v>
      </c>
      <c r="KA4" s="7">
        <v>76354</v>
      </c>
      <c r="KB4" s="7">
        <v>181138</v>
      </c>
      <c r="KC4" s="7">
        <v>171842</v>
      </c>
      <c r="KD4" s="7">
        <v>203447</v>
      </c>
      <c r="KE4" s="7">
        <v>213845</v>
      </c>
      <c r="KF4" s="7">
        <v>214373</v>
      </c>
      <c r="KG4" s="7">
        <v>216578</v>
      </c>
      <c r="KH4" s="7">
        <v>153818</v>
      </c>
      <c r="KI4" s="7">
        <v>199107</v>
      </c>
      <c r="KJ4" s="7">
        <v>215894</v>
      </c>
      <c r="KK4" s="7">
        <v>203954</v>
      </c>
      <c r="KL4" s="7">
        <v>212985</v>
      </c>
      <c r="KM4" s="7">
        <v>197455</v>
      </c>
      <c r="KN4" s="7">
        <v>145735</v>
      </c>
      <c r="KO4" s="7">
        <v>112433</v>
      </c>
      <c r="KP4" s="7">
        <v>196571</v>
      </c>
      <c r="KQ4" s="7">
        <v>202583</v>
      </c>
      <c r="KR4" s="7">
        <v>211064</v>
      </c>
      <c r="KS4" s="7">
        <v>174986</v>
      </c>
      <c r="KT4" s="7">
        <v>156181</v>
      </c>
      <c r="KU4" s="7">
        <v>99474</v>
      </c>
      <c r="KV4" s="7">
        <v>84537</v>
      </c>
      <c r="KW4" s="7">
        <v>158534</v>
      </c>
      <c r="KX4" s="7">
        <v>194645</v>
      </c>
      <c r="KY4" s="7">
        <v>188010</v>
      </c>
      <c r="KZ4" s="7">
        <v>167672</v>
      </c>
      <c r="LA4" s="7">
        <v>86129</v>
      </c>
      <c r="LB4" s="7">
        <v>99585</v>
      </c>
      <c r="LC4" s="7">
        <v>89670</v>
      </c>
      <c r="LD4" s="7">
        <v>115079</v>
      </c>
      <c r="LE4" s="7">
        <v>117252</v>
      </c>
      <c r="LF4" s="7">
        <v>130169</v>
      </c>
      <c r="LG4" s="7">
        <v>159640</v>
      </c>
      <c r="LH4" s="7">
        <v>141938</v>
      </c>
      <c r="LI4" s="7">
        <v>97736</v>
      </c>
      <c r="LJ4" s="7">
        <v>97473</v>
      </c>
      <c r="LK4" s="7">
        <v>161106</v>
      </c>
      <c r="LL4" s="7">
        <v>176181</v>
      </c>
      <c r="LM4" s="7">
        <v>169266</v>
      </c>
      <c r="LN4" s="7">
        <v>139131</v>
      </c>
      <c r="LO4" s="7">
        <v>159346</v>
      </c>
      <c r="LP4" s="7">
        <v>81720</v>
      </c>
      <c r="LQ4" s="7">
        <v>75000</v>
      </c>
      <c r="LR4" s="7">
        <v>111431</v>
      </c>
      <c r="LS4" s="7">
        <v>145629</v>
      </c>
      <c r="LT4" s="7">
        <v>159338</v>
      </c>
      <c r="LU4" s="7">
        <v>187738</v>
      </c>
      <c r="LV4" s="7">
        <v>143780</v>
      </c>
      <c r="LW4" s="7">
        <v>87582</v>
      </c>
      <c r="LX4" s="7">
        <v>82023</v>
      </c>
      <c r="LY4" s="7">
        <v>173818</v>
      </c>
      <c r="LZ4" s="7">
        <v>167365</v>
      </c>
      <c r="MA4" s="7">
        <v>175196</v>
      </c>
      <c r="MB4" s="7">
        <v>196679</v>
      </c>
      <c r="MC4" s="7">
        <v>188590</v>
      </c>
      <c r="MD4" s="7">
        <v>103167</v>
      </c>
      <c r="ME4" s="7">
        <v>79031</v>
      </c>
      <c r="MF4" s="7">
        <v>162076</v>
      </c>
      <c r="MG4" s="7">
        <v>188867</v>
      </c>
      <c r="MH4" s="7">
        <v>196941</v>
      </c>
      <c r="MI4" s="7">
        <v>200233</v>
      </c>
      <c r="MJ4" s="7">
        <v>196835</v>
      </c>
      <c r="MK4" s="7">
        <v>111542</v>
      </c>
      <c r="ML4" s="7">
        <v>84103</v>
      </c>
      <c r="MM4" s="7">
        <v>127258</v>
      </c>
      <c r="MN4" s="7">
        <v>130803</v>
      </c>
      <c r="MO4" s="7">
        <v>137569</v>
      </c>
      <c r="MP4" s="7">
        <v>135661</v>
      </c>
      <c r="MQ4" s="7">
        <v>162736</v>
      </c>
      <c r="MR4" s="7">
        <v>156219</v>
      </c>
      <c r="MS4" s="7">
        <v>150429</v>
      </c>
      <c r="MT4" s="7">
        <v>148489</v>
      </c>
      <c r="MU4" s="7">
        <v>129343</v>
      </c>
      <c r="MV4" s="7">
        <v>139498</v>
      </c>
      <c r="MW4" s="7">
        <v>142075</v>
      </c>
      <c r="MX4" s="7">
        <v>135716</v>
      </c>
      <c r="MY4" s="7">
        <v>99661</v>
      </c>
      <c r="MZ4" s="7">
        <v>101167</v>
      </c>
      <c r="NA4" s="7">
        <v>136048</v>
      </c>
      <c r="NB4" s="7">
        <v>148075</v>
      </c>
      <c r="NC4" s="7">
        <v>113424</v>
      </c>
    </row>
    <row r="5" spans="1:367">
      <c r="A5" s="220">
        <f>+A4/A3</f>
        <v>36.650169110765198</v>
      </c>
      <c r="B5" s="18" t="s">
        <v>424</v>
      </c>
      <c r="C5" s="7"/>
      <c r="D5" s="7">
        <f t="shared" ref="D5:N5" si="0">+D4/D3</f>
        <v>30.592520266127753</v>
      </c>
      <c r="E5" s="7">
        <f t="shared" si="0"/>
        <v>27.781404663796874</v>
      </c>
      <c r="F5" s="7">
        <f t="shared" si="0"/>
        <v>29.198531360006054</v>
      </c>
      <c r="G5" s="7">
        <f t="shared" si="0"/>
        <v>29.928946268518086</v>
      </c>
      <c r="H5" s="7">
        <f t="shared" si="0"/>
        <v>22.416161424782114</v>
      </c>
      <c r="I5" s="7">
        <f t="shared" si="0"/>
        <v>26.71108117909133</v>
      </c>
      <c r="J5" s="7">
        <f t="shared" si="0"/>
        <v>29.994213197969543</v>
      </c>
      <c r="K5" s="7">
        <f t="shared" si="0"/>
        <v>33.447152405397851</v>
      </c>
      <c r="L5" s="7">
        <f t="shared" si="0"/>
        <v>30.197890610897655</v>
      </c>
      <c r="M5" s="7">
        <f t="shared" si="0"/>
        <v>33.661766677092174</v>
      </c>
      <c r="N5" s="7">
        <f t="shared" si="0"/>
        <v>36.952264266528445</v>
      </c>
      <c r="O5" s="20">
        <f>+O4/O3</f>
        <v>27.113627743159036</v>
      </c>
      <c r="P5" s="20">
        <f t="shared" ref="P5:CA5" si="1">+P4/P3</f>
        <v>23.906206034078473</v>
      </c>
      <c r="Q5" s="20">
        <f t="shared" si="1"/>
        <v>26.453917687137466</v>
      </c>
      <c r="R5" s="20">
        <f t="shared" si="1"/>
        <v>42.946622641096845</v>
      </c>
      <c r="S5" s="20">
        <f t="shared" si="1"/>
        <v>38.914460720305783</v>
      </c>
      <c r="T5" s="20">
        <f t="shared" si="1"/>
        <v>34.754630190049632</v>
      </c>
      <c r="U5" s="20">
        <f t="shared" si="1"/>
        <v>42.864269141531331</v>
      </c>
      <c r="V5" s="20">
        <f t="shared" si="1"/>
        <v>24.575422248107163</v>
      </c>
      <c r="W5" s="20">
        <f t="shared" si="1"/>
        <v>32.435815868263468</v>
      </c>
      <c r="X5" s="20">
        <f t="shared" si="1"/>
        <v>27.605356363107077</v>
      </c>
      <c r="Y5" s="20">
        <f t="shared" si="1"/>
        <v>31.813912891681944</v>
      </c>
      <c r="Z5" s="20">
        <f t="shared" si="1"/>
        <v>28.229293013209272</v>
      </c>
      <c r="AA5" s="20">
        <f t="shared" si="1"/>
        <v>32.74195263609964</v>
      </c>
      <c r="AB5" s="20">
        <f t="shared" si="1"/>
        <v>38.217457603622755</v>
      </c>
      <c r="AC5" s="20">
        <f t="shared" si="1"/>
        <v>22.035030549898167</v>
      </c>
      <c r="AD5" s="20">
        <f t="shared" si="1"/>
        <v>27.726958767530554</v>
      </c>
      <c r="AE5" s="20">
        <f t="shared" si="1"/>
        <v>30.564309917708361</v>
      </c>
      <c r="AF5" s="20">
        <f t="shared" si="1"/>
        <v>37.625200574275823</v>
      </c>
      <c r="AG5" s="20">
        <f t="shared" si="1"/>
        <v>31.155578366587545</v>
      </c>
      <c r="AH5" s="20">
        <f t="shared" si="1"/>
        <v>37.676894233847001</v>
      </c>
      <c r="AI5" s="20">
        <f t="shared" si="1"/>
        <v>39.751813521617173</v>
      </c>
      <c r="AJ5" s="20">
        <f t="shared" si="1"/>
        <v>25.862977515105488</v>
      </c>
      <c r="AK5" s="20">
        <f t="shared" si="1"/>
        <v>35.228340675477234</v>
      </c>
      <c r="AL5" s="20">
        <f t="shared" si="1"/>
        <v>32.336549838298311</v>
      </c>
      <c r="AM5" s="20">
        <f t="shared" si="1"/>
        <v>40.046603001364261</v>
      </c>
      <c r="AN5" s="20">
        <f t="shared" si="1"/>
        <v>43.008696563285831</v>
      </c>
      <c r="AO5" s="20">
        <f t="shared" si="1"/>
        <v>49.707857046039841</v>
      </c>
      <c r="AP5" s="20">
        <f t="shared" si="1"/>
        <v>48.905160170427649</v>
      </c>
      <c r="AQ5" s="20">
        <f t="shared" si="1"/>
        <v>42.055049037936087</v>
      </c>
      <c r="AR5" s="20">
        <f t="shared" si="1"/>
        <v>42.280521722451333</v>
      </c>
      <c r="AS5" s="20">
        <f t="shared" si="1"/>
        <v>39.450960307298338</v>
      </c>
      <c r="AT5" s="20">
        <f t="shared" si="1"/>
        <v>38.699333297197676</v>
      </c>
      <c r="AU5" s="20">
        <f t="shared" si="1"/>
        <v>34.132636868553298</v>
      </c>
      <c r="AV5" s="20">
        <f t="shared" si="1"/>
        <v>35.516267496111979</v>
      </c>
      <c r="AW5" s="20">
        <f t="shared" si="1"/>
        <v>40.18664798749932</v>
      </c>
      <c r="AX5" s="20">
        <f t="shared" si="1"/>
        <v>29.197579525897961</v>
      </c>
      <c r="AY5" s="20">
        <f t="shared" si="1"/>
        <v>39.0621271718461</v>
      </c>
      <c r="AZ5" s="20">
        <f t="shared" si="1"/>
        <v>43.308465081203373</v>
      </c>
      <c r="BA5" s="20">
        <f t="shared" si="1"/>
        <v>40.957702144402909</v>
      </c>
      <c r="BB5" s="20">
        <f t="shared" si="1"/>
        <v>33.096284616142704</v>
      </c>
      <c r="BC5" s="20">
        <f t="shared" si="1"/>
        <v>41.462052922361153</v>
      </c>
      <c r="BD5" s="20">
        <f t="shared" si="1"/>
        <v>41.904877493741935</v>
      </c>
      <c r="BE5" s="20">
        <f t="shared" si="1"/>
        <v>42.313808176909227</v>
      </c>
      <c r="BF5" s="20">
        <f t="shared" si="1"/>
        <v>40.574977128441134</v>
      </c>
      <c r="BG5" s="20">
        <f t="shared" si="1"/>
        <v>40.022050011983701</v>
      </c>
      <c r="BH5" s="20">
        <f t="shared" si="1"/>
        <v>40.946441409058231</v>
      </c>
      <c r="BI5" s="20">
        <f t="shared" si="1"/>
        <v>33.596187512157165</v>
      </c>
      <c r="BJ5" s="20">
        <f t="shared" si="1"/>
        <v>46.762834721140599</v>
      </c>
      <c r="BK5" s="20">
        <f t="shared" si="1"/>
        <v>33.974043715846996</v>
      </c>
      <c r="BL5" s="20">
        <f t="shared" si="1"/>
        <v>41.759452183073854</v>
      </c>
      <c r="BM5" s="20">
        <f t="shared" si="1"/>
        <v>40.177330514782504</v>
      </c>
      <c r="BN5" s="20">
        <f t="shared" si="1"/>
        <v>45.593304736478984</v>
      </c>
      <c r="BO5" s="20">
        <f t="shared" si="1"/>
        <v>53.047838412473418</v>
      </c>
      <c r="BP5" s="20">
        <f t="shared" si="1"/>
        <v>40.770043818881952</v>
      </c>
      <c r="BQ5" s="20">
        <f t="shared" si="1"/>
        <v>43.790664674475948</v>
      </c>
      <c r="BR5" s="20">
        <f t="shared" si="1"/>
        <v>43.309756097560978</v>
      </c>
      <c r="BS5" s="20">
        <f t="shared" si="1"/>
        <v>41.591903017485564</v>
      </c>
      <c r="BT5" s="20">
        <f t="shared" si="1"/>
        <v>43.478371825953808</v>
      </c>
      <c r="BU5" s="20">
        <f t="shared" si="1"/>
        <v>43.551343780092793</v>
      </c>
      <c r="BV5" s="20">
        <f t="shared" si="1"/>
        <v>39.588447804205735</v>
      </c>
      <c r="BW5" s="20">
        <f t="shared" si="1"/>
        <v>39.590253519919422</v>
      </c>
      <c r="BX5" s="20">
        <f t="shared" si="1"/>
        <v>46.295312500000001</v>
      </c>
      <c r="BY5" s="20">
        <f t="shared" si="1"/>
        <v>47.259250516376518</v>
      </c>
      <c r="BZ5" s="20">
        <f t="shared" si="1"/>
        <v>41.073517814268946</v>
      </c>
      <c r="CA5" s="20">
        <f t="shared" si="1"/>
        <v>39.432850913227583</v>
      </c>
      <c r="CB5" s="20">
        <f t="shared" ref="CB5:EJ5" si="2">+CB4/CB3</f>
        <v>29.581150270915145</v>
      </c>
      <c r="CC5" s="20">
        <f t="shared" si="2"/>
        <v>45.173676112322099</v>
      </c>
      <c r="CD5" s="20">
        <f t="shared" si="2"/>
        <v>39.812831644958997</v>
      </c>
      <c r="CE5" s="20">
        <f t="shared" si="2"/>
        <v>41.812043316970815</v>
      </c>
      <c r="CF5" s="20">
        <f t="shared" si="2"/>
        <v>45.850845134764732</v>
      </c>
      <c r="CG5" s="20">
        <f t="shared" si="2"/>
        <v>43.9423138280901</v>
      </c>
      <c r="CH5" s="20">
        <f t="shared" si="2"/>
        <v>42.348367568930996</v>
      </c>
      <c r="CI5" s="20">
        <f t="shared" si="2"/>
        <v>44.981688768713845</v>
      </c>
      <c r="CJ5" s="20">
        <f t="shared" si="2"/>
        <v>38.595160503964479</v>
      </c>
      <c r="CK5" s="20">
        <f t="shared" si="2"/>
        <v>29.888138510077965</v>
      </c>
      <c r="CL5" s="20">
        <f t="shared" si="2"/>
        <v>39.271054900833576</v>
      </c>
      <c r="CM5" s="20"/>
      <c r="CN5" s="20"/>
      <c r="CO5" s="20"/>
      <c r="CP5" s="20">
        <f t="shared" si="2"/>
        <v>53.346471747507138</v>
      </c>
      <c r="CQ5" s="20">
        <f t="shared" si="2"/>
        <v>49.382012547278784</v>
      </c>
      <c r="CR5" s="20">
        <f t="shared" si="2"/>
        <v>39.677661528631901</v>
      </c>
      <c r="CS5" s="20">
        <f t="shared" si="2"/>
        <v>48.983266012694749</v>
      </c>
      <c r="CT5" s="20">
        <f t="shared" si="2"/>
        <v>39.657474600870827</v>
      </c>
      <c r="CU5" s="20">
        <f t="shared" si="2"/>
        <v>34.222010960742651</v>
      </c>
      <c r="CV5" s="20">
        <f t="shared" si="2"/>
        <v>40.848891797308447</v>
      </c>
      <c r="CW5" s="20">
        <f t="shared" si="2"/>
        <v>40.772696553277768</v>
      </c>
      <c r="CX5" s="20">
        <f t="shared" si="2"/>
        <v>38.163945259795689</v>
      </c>
      <c r="CY5" s="20">
        <f t="shared" si="2"/>
        <v>33.193763288447911</v>
      </c>
      <c r="CZ5" s="20">
        <f t="shared" si="2"/>
        <v>50.35373301757447</v>
      </c>
      <c r="DA5" s="20">
        <f t="shared" si="2"/>
        <v>45.114146012476816</v>
      </c>
      <c r="DB5" s="20">
        <f t="shared" si="2"/>
        <v>40.780295475102633</v>
      </c>
      <c r="DC5" s="20">
        <f t="shared" si="2"/>
        <v>37.11877751439215</v>
      </c>
      <c r="DD5" s="20">
        <f t="shared" si="2"/>
        <v>43.877118740993211</v>
      </c>
      <c r="DE5" s="20">
        <f t="shared" si="2"/>
        <v>47.615980264510384</v>
      </c>
      <c r="DF5" s="20">
        <f t="shared" si="2"/>
        <v>43.33429421610564</v>
      </c>
      <c r="DG5" s="20">
        <f t="shared" si="2"/>
        <v>43.440629095674964</v>
      </c>
      <c r="DH5" s="20">
        <f t="shared" si="2"/>
        <v>43.333623314484555</v>
      </c>
      <c r="DI5" s="20">
        <f t="shared" si="2"/>
        <v>32.055684454756381</v>
      </c>
      <c r="DJ5" s="20">
        <f t="shared" si="2"/>
        <v>38.347039636255808</v>
      </c>
      <c r="DK5" s="20">
        <f t="shared" si="2"/>
        <v>50.812995729103122</v>
      </c>
      <c r="DL5" s="20"/>
      <c r="DM5" s="20">
        <f t="shared" si="2"/>
        <v>28.508066053926239</v>
      </c>
      <c r="DN5" s="20">
        <f t="shared" si="2"/>
        <v>38.901631361090821</v>
      </c>
      <c r="DO5" s="20">
        <f t="shared" si="2"/>
        <v>46.984299172138165</v>
      </c>
      <c r="DP5" s="20">
        <f t="shared" si="2"/>
        <v>38.372368955709064</v>
      </c>
      <c r="DQ5" s="20">
        <f t="shared" si="2"/>
        <v>37.238398233113344</v>
      </c>
      <c r="DR5" s="20">
        <f t="shared" si="2"/>
        <v>31.776138505573265</v>
      </c>
      <c r="DS5" s="20"/>
      <c r="DT5" s="20">
        <f t="shared" si="2"/>
        <v>38.492126928303094</v>
      </c>
      <c r="DU5" s="20">
        <f t="shared" si="2"/>
        <v>46.281056773468244</v>
      </c>
      <c r="DV5" s="20">
        <f t="shared" si="2"/>
        <v>58.235546038543895</v>
      </c>
      <c r="DW5" s="20">
        <f t="shared" si="2"/>
        <v>39.461232138674163</v>
      </c>
      <c r="DX5" s="20">
        <f t="shared" si="2"/>
        <v>40.607706422018346</v>
      </c>
      <c r="DY5" s="20">
        <f t="shared" si="2"/>
        <v>41.909626260859433</v>
      </c>
      <c r="DZ5" s="20">
        <f t="shared" si="2"/>
        <v>40.472061618485554</v>
      </c>
      <c r="EA5" s="20">
        <f t="shared" si="2"/>
        <v>40.958395511251716</v>
      </c>
      <c r="EB5" s="20">
        <f t="shared" si="2"/>
        <v>46.03677621283255</v>
      </c>
      <c r="EC5" s="20">
        <f t="shared" si="2"/>
        <v>51.754198283368574</v>
      </c>
      <c r="ED5" s="20">
        <f t="shared" si="2"/>
        <v>38.841386435916888</v>
      </c>
      <c r="EE5" s="20">
        <f t="shared" si="2"/>
        <v>33.685598451367838</v>
      </c>
      <c r="EF5" s="20">
        <f t="shared" si="2"/>
        <v>37.37633052701851</v>
      </c>
      <c r="EG5" s="20">
        <f t="shared" si="2"/>
        <v>43.019149929939282</v>
      </c>
      <c r="EH5" s="20">
        <f t="shared" si="2"/>
        <v>36.102815749503442</v>
      </c>
      <c r="EI5" s="20">
        <f t="shared" si="2"/>
        <v>43.166785880889442</v>
      </c>
      <c r="EJ5" s="20">
        <f t="shared" si="2"/>
        <v>48.247400881057274</v>
      </c>
      <c r="EK5" s="20">
        <f>+EK4/EK3</f>
        <v>30.632356655721146</v>
      </c>
      <c r="EL5" s="20">
        <f t="shared" ref="EL5:FB5" si="3">+EL4/EL3</f>
        <v>40.209494555557477</v>
      </c>
      <c r="EM5" s="20">
        <f t="shared" si="3"/>
        <v>35.204468420298852</v>
      </c>
      <c r="EN5" s="20">
        <f t="shared" si="3"/>
        <v>41.848834811301302</v>
      </c>
      <c r="EO5" s="20">
        <f t="shared" si="3"/>
        <v>39.947186490621633</v>
      </c>
      <c r="EP5" s="20">
        <f t="shared" si="3"/>
        <v>31.559994855746559</v>
      </c>
      <c r="EQ5" s="20">
        <f t="shared" si="3"/>
        <v>43.108447916109355</v>
      </c>
      <c r="ER5" s="20">
        <f t="shared" si="3"/>
        <v>34.400200193937884</v>
      </c>
      <c r="ES5" s="20">
        <f t="shared" si="3"/>
        <v>38.650053313023605</v>
      </c>
      <c r="ET5" s="20">
        <f t="shared" si="3"/>
        <v>39.340312528781503</v>
      </c>
      <c r="EU5" s="20">
        <f t="shared" si="3"/>
        <v>39.023288380163784</v>
      </c>
      <c r="EV5" s="20">
        <f t="shared" si="3"/>
        <v>38.358258290727662</v>
      </c>
      <c r="EW5" s="20">
        <f t="shared" si="3"/>
        <v>42.088350088704914</v>
      </c>
      <c r="EX5" s="20">
        <f t="shared" si="3"/>
        <v>40.976674793493693</v>
      </c>
      <c r="EY5" s="20">
        <f t="shared" si="3"/>
        <v>46.81768602215471</v>
      </c>
      <c r="EZ5" s="20">
        <f t="shared" si="3"/>
        <v>41.463651462884883</v>
      </c>
      <c r="FA5" s="20">
        <f t="shared" si="3"/>
        <v>26.294693877551019</v>
      </c>
      <c r="FB5" s="20">
        <f t="shared" si="3"/>
        <v>25.751379866165191</v>
      </c>
      <c r="FF5" s="20"/>
      <c r="FG5" s="20">
        <f t="shared" ref="FG5:HR5" si="4">+FG4/FG3</f>
        <v>24.756094941467083</v>
      </c>
      <c r="FH5" s="20">
        <f t="shared" si="4"/>
        <v>38.32457578901569</v>
      </c>
      <c r="FI5" s="20">
        <f t="shared" si="4"/>
        <v>37.940088806415275</v>
      </c>
      <c r="FJ5" s="20">
        <f t="shared" si="4"/>
        <v>35.943022694350553</v>
      </c>
      <c r="FK5" s="20">
        <f t="shared" si="4"/>
        <v>38.344269160966071</v>
      </c>
      <c r="FL5" s="20">
        <f t="shared" si="4"/>
        <v>40.636915764457356</v>
      </c>
      <c r="FM5" s="20">
        <f t="shared" si="4"/>
        <v>40.697053819288975</v>
      </c>
      <c r="FN5" s="20">
        <f t="shared" si="4"/>
        <v>39.453872207500488</v>
      </c>
      <c r="FO5" s="20">
        <f t="shared" si="4"/>
        <v>34.12908423019914</v>
      </c>
      <c r="FP5" s="20">
        <f t="shared" si="4"/>
        <v>42.064887681811484</v>
      </c>
      <c r="FQ5" s="20">
        <f t="shared" si="4"/>
        <v>36.156569301477575</v>
      </c>
      <c r="FR5" s="20">
        <f t="shared" si="4"/>
        <v>42.308847664992292</v>
      </c>
      <c r="FS5" s="20">
        <f t="shared" si="4"/>
        <v>43.003223971173902</v>
      </c>
      <c r="FT5" s="20">
        <f t="shared" si="4"/>
        <v>28.635776759683459</v>
      </c>
      <c r="FU5" s="20">
        <f t="shared" si="4"/>
        <v>30.201273008773438</v>
      </c>
      <c r="FV5" s="20">
        <f t="shared" si="4"/>
        <v>37.379428613128034</v>
      </c>
      <c r="FW5" s="20">
        <f t="shared" si="4"/>
        <v>35.748283665823557</v>
      </c>
      <c r="FX5" s="20">
        <f t="shared" si="4"/>
        <v>38.500357323386375</v>
      </c>
      <c r="FY5" s="20">
        <f t="shared" si="4"/>
        <v>37.107133854297963</v>
      </c>
      <c r="FZ5" s="20">
        <f t="shared" si="4"/>
        <v>49.705193855157276</v>
      </c>
      <c r="GA5" s="20">
        <f t="shared" si="4"/>
        <v>35.50198942331906</v>
      </c>
      <c r="GB5" s="20">
        <f t="shared" si="4"/>
        <v>40.666808601234834</v>
      </c>
      <c r="GC5" s="20">
        <f t="shared" si="4"/>
        <v>34.919889679943559</v>
      </c>
      <c r="GD5" s="20">
        <f t="shared" si="4"/>
        <v>38.364627023636857</v>
      </c>
      <c r="GE5" s="20">
        <f t="shared" si="4"/>
        <v>36.427803911268178</v>
      </c>
      <c r="GF5" s="20">
        <f t="shared" si="4"/>
        <v>29.024619432437508</v>
      </c>
      <c r="GG5" s="20">
        <f t="shared" si="4"/>
        <v>40.87055397628788</v>
      </c>
      <c r="GH5" s="20">
        <f t="shared" si="4"/>
        <v>25.145258925920007</v>
      </c>
      <c r="GI5" s="20">
        <f t="shared" si="4"/>
        <v>33.094776426347025</v>
      </c>
      <c r="GJ5" s="20">
        <f t="shared" si="4"/>
        <v>37.527866286544807</v>
      </c>
      <c r="GK5" s="20">
        <f t="shared" si="4"/>
        <v>36.791811141332566</v>
      </c>
      <c r="GL5" s="20">
        <f t="shared" si="4"/>
        <v>34.93222172149617</v>
      </c>
      <c r="GM5" s="20">
        <f t="shared" si="4"/>
        <v>40.734522942461766</v>
      </c>
      <c r="GN5" s="20">
        <f t="shared" si="4"/>
        <v>44.541522950384717</v>
      </c>
      <c r="GO5" s="20">
        <f t="shared" si="4"/>
        <v>25.676130765785938</v>
      </c>
      <c r="GP5" s="20"/>
      <c r="GQ5" s="20">
        <f t="shared" si="4"/>
        <v>35.28446814089677</v>
      </c>
      <c r="GR5" s="20">
        <f t="shared" si="4"/>
        <v>31.708296751536434</v>
      </c>
      <c r="GS5" s="20">
        <f t="shared" si="4"/>
        <v>38.813100708492762</v>
      </c>
      <c r="GT5" s="20">
        <f t="shared" si="4"/>
        <v>45.230063940161664</v>
      </c>
      <c r="GU5" s="20">
        <f t="shared" si="4"/>
        <v>58.920410156249993</v>
      </c>
      <c r="GV5" s="20">
        <f t="shared" si="4"/>
        <v>37.356921571824557</v>
      </c>
      <c r="GW5" s="20">
        <f t="shared" si="4"/>
        <v>36.108491100782224</v>
      </c>
      <c r="GX5" s="20">
        <f t="shared" si="4"/>
        <v>41.724414501122872</v>
      </c>
      <c r="GY5" s="20">
        <f t="shared" si="4"/>
        <v>36.564644088198278</v>
      </c>
      <c r="GZ5" s="20">
        <f t="shared" si="4"/>
        <v>37.160884298854285</v>
      </c>
      <c r="HA5" s="20">
        <f t="shared" si="4"/>
        <v>41.678127708754694</v>
      </c>
      <c r="HB5" s="20">
        <f t="shared" si="4"/>
        <v>44.433636799233348</v>
      </c>
      <c r="HC5" s="20">
        <f t="shared" si="4"/>
        <v>37.886470998218847</v>
      </c>
      <c r="HD5" s="20">
        <f t="shared" si="4"/>
        <v>29.665298162783539</v>
      </c>
      <c r="HE5" s="20">
        <f t="shared" si="4"/>
        <v>40.157499742983454</v>
      </c>
      <c r="HF5" s="20">
        <f t="shared" si="4"/>
        <v>35.965770810980558</v>
      </c>
      <c r="HG5" s="20">
        <f t="shared" si="4"/>
        <v>44.143884892086334</v>
      </c>
      <c r="HH5" s="20">
        <f t="shared" si="4"/>
        <v>37.294206883473976</v>
      </c>
      <c r="HI5" s="20">
        <f t="shared" si="4"/>
        <v>49.412384716732539</v>
      </c>
      <c r="HJ5" s="20">
        <f t="shared" si="4"/>
        <v>40.335843413008682</v>
      </c>
      <c r="HK5" s="20">
        <f t="shared" si="4"/>
        <v>39.007017645190167</v>
      </c>
      <c r="HL5" s="20">
        <f t="shared" si="4"/>
        <v>36.887325152321289</v>
      </c>
      <c r="HM5" s="20">
        <f t="shared" si="4"/>
        <v>32.917393061248056</v>
      </c>
      <c r="HN5" s="20">
        <f t="shared" si="4"/>
        <v>37.541788087189644</v>
      </c>
      <c r="HO5" s="20">
        <f t="shared" si="4"/>
        <v>37.996164014307197</v>
      </c>
      <c r="HP5" s="20">
        <f t="shared" si="4"/>
        <v>52.567837136220788</v>
      </c>
      <c r="HQ5" s="20">
        <f t="shared" si="4"/>
        <v>41.876679449333743</v>
      </c>
      <c r="HR5" s="20">
        <f t="shared" si="4"/>
        <v>37.286430508753192</v>
      </c>
      <c r="HS5" s="20">
        <f t="shared" ref="HS5:KD5" si="5">+HS4/HS3</f>
        <v>43.847595463882719</v>
      </c>
      <c r="HT5" s="20">
        <f t="shared" si="5"/>
        <v>36.826483377752844</v>
      </c>
      <c r="HU5" s="20">
        <f t="shared" si="5"/>
        <v>37.947539752097164</v>
      </c>
      <c r="HV5" s="20">
        <f t="shared" si="5"/>
        <v>38.205277969521575</v>
      </c>
      <c r="HW5" s="20">
        <f t="shared" si="5"/>
        <v>45.152931529315296</v>
      </c>
      <c r="HX5" s="20">
        <f t="shared" si="5"/>
        <v>36.713033381712627</v>
      </c>
      <c r="HY5" s="20">
        <f t="shared" si="5"/>
        <v>28.186825392304844</v>
      </c>
      <c r="HZ5" s="20">
        <f t="shared" si="5"/>
        <v>36.806888833623482</v>
      </c>
      <c r="IA5" s="20">
        <f t="shared" si="5"/>
        <v>43.884864966746548</v>
      </c>
      <c r="IB5" s="20">
        <f t="shared" si="5"/>
        <v>41.574858965649639</v>
      </c>
      <c r="IC5" s="20">
        <f t="shared" si="5"/>
        <v>44.392620368981554</v>
      </c>
      <c r="ID5" s="20">
        <f t="shared" si="5"/>
        <v>39.90023123169415</v>
      </c>
      <c r="IE5" s="20">
        <f t="shared" si="5"/>
        <v>39.972182709024814</v>
      </c>
      <c r="IF5" s="20">
        <f t="shared" si="5"/>
        <v>35.046893034492015</v>
      </c>
      <c r="IG5" s="20">
        <f t="shared" si="5"/>
        <v>40.148601755460298</v>
      </c>
      <c r="IH5" s="20">
        <f t="shared" si="5"/>
        <v>38.499817883809868</v>
      </c>
      <c r="II5" s="20">
        <f t="shared" si="5"/>
        <v>39.386230491634251</v>
      </c>
      <c r="IJ5" s="20">
        <f t="shared" si="5"/>
        <v>42.087874255721417</v>
      </c>
      <c r="IK5" s="20">
        <f t="shared" si="5"/>
        <v>38.916891042900737</v>
      </c>
      <c r="IL5" s="20">
        <f t="shared" si="5"/>
        <v>42.036152219873152</v>
      </c>
      <c r="IM5" s="20">
        <f t="shared" si="5"/>
        <v>41.652580220461061</v>
      </c>
      <c r="IN5" s="20">
        <f t="shared" si="5"/>
        <v>39.262986761631957</v>
      </c>
      <c r="IO5" s="20">
        <f t="shared" si="5"/>
        <v>39.068654479269824</v>
      </c>
      <c r="IP5" s="20">
        <f t="shared" si="5"/>
        <v>32.978855553455212</v>
      </c>
      <c r="IQ5" s="20">
        <f t="shared" si="5"/>
        <v>52.263200358583589</v>
      </c>
      <c r="IR5" s="20">
        <f t="shared" si="5"/>
        <v>36.388909291222916</v>
      </c>
      <c r="IS5" s="20">
        <f t="shared" si="5"/>
        <v>33.514570320663154</v>
      </c>
      <c r="IT5" s="20">
        <f t="shared" si="5"/>
        <v>35.587957203284397</v>
      </c>
      <c r="IU5" s="20">
        <f t="shared" si="5"/>
        <v>35.661561691113029</v>
      </c>
      <c r="IV5" s="20">
        <f t="shared" si="5"/>
        <v>34.088829963539936</v>
      </c>
      <c r="IW5" s="20">
        <f t="shared" si="5"/>
        <v>40.525951557093428</v>
      </c>
      <c r="IX5" s="20">
        <f t="shared" si="5"/>
        <v>39.594920887424372</v>
      </c>
      <c r="IY5" s="20">
        <f t="shared" si="5"/>
        <v>30.610619469026549</v>
      </c>
      <c r="IZ5" s="20">
        <f t="shared" si="5"/>
        <v>36.891559202813596</v>
      </c>
      <c r="JA5" s="20">
        <f t="shared" si="5"/>
        <v>35.396287128712871</v>
      </c>
      <c r="JB5" s="20">
        <f t="shared" si="5"/>
        <v>47.126814808403843</v>
      </c>
      <c r="JC5" s="20">
        <f t="shared" si="5"/>
        <v>42.387893530429899</v>
      </c>
      <c r="JD5" s="20">
        <f t="shared" si="5"/>
        <v>32.059068929553426</v>
      </c>
      <c r="JE5" s="20">
        <f t="shared" si="5"/>
        <v>44.032198469253103</v>
      </c>
      <c r="JF5" s="20">
        <f t="shared" si="5"/>
        <v>41.102966199126236</v>
      </c>
      <c r="JG5" s="20">
        <f t="shared" si="5"/>
        <v>36.288462844337808</v>
      </c>
      <c r="JH5" s="20">
        <f t="shared" si="5"/>
        <v>41.624265675578471</v>
      </c>
      <c r="JI5" s="20">
        <f t="shared" si="5"/>
        <v>37.159712833012776</v>
      </c>
      <c r="JJ5" s="20">
        <f t="shared" si="5"/>
        <v>41.426438991292549</v>
      </c>
      <c r="JK5" s="20">
        <f t="shared" si="5"/>
        <v>45.409477419219378</v>
      </c>
      <c r="JL5" s="20">
        <f t="shared" si="5"/>
        <v>43.779946454788842</v>
      </c>
      <c r="JM5" s="20">
        <f t="shared" si="5"/>
        <v>36.412112459948553</v>
      </c>
      <c r="JN5" s="20">
        <f t="shared" si="5"/>
        <v>32.71309025702331</v>
      </c>
      <c r="JO5" s="20">
        <f t="shared" si="5"/>
        <v>40.791353754055166</v>
      </c>
      <c r="JP5" s="20">
        <f t="shared" si="5"/>
        <v>36.63017136435996</v>
      </c>
      <c r="JQ5" s="20">
        <f t="shared" si="5"/>
        <v>40.117707754583691</v>
      </c>
      <c r="JR5" s="20">
        <f t="shared" si="5"/>
        <v>35.541547524348033</v>
      </c>
      <c r="JS5" s="20">
        <f t="shared" si="5"/>
        <v>42.694282083862767</v>
      </c>
      <c r="JT5" s="20">
        <f t="shared" si="5"/>
        <v>39.17626401332673</v>
      </c>
      <c r="JU5" s="20">
        <f t="shared" si="5"/>
        <v>38.297189098927447</v>
      </c>
      <c r="JV5" s="20">
        <f t="shared" si="5"/>
        <v>41.758826545095566</v>
      </c>
      <c r="JW5" s="20">
        <f t="shared" si="5"/>
        <v>35.398259512459923</v>
      </c>
      <c r="JX5" s="20">
        <f t="shared" si="5"/>
        <v>36.862784909614874</v>
      </c>
      <c r="JY5" s="20">
        <f t="shared" si="5"/>
        <v>36.779539641943735</v>
      </c>
      <c r="JZ5" s="20">
        <f t="shared" si="5"/>
        <v>32.339747774093318</v>
      </c>
      <c r="KA5" s="20">
        <f t="shared" si="5"/>
        <v>42.151538850807384</v>
      </c>
      <c r="KB5" s="20">
        <f t="shared" si="5"/>
        <v>32.884854536377254</v>
      </c>
      <c r="KC5" s="20">
        <f t="shared" si="5"/>
        <v>30.575961566976066</v>
      </c>
      <c r="KD5" s="20">
        <f t="shared" si="5"/>
        <v>33.662378490175804</v>
      </c>
      <c r="KE5" s="20">
        <f t="shared" ref="KE5:MP5" si="6">+KE4/KE3</f>
        <v>35.137681258643582</v>
      </c>
      <c r="KF5" s="20">
        <f t="shared" si="6"/>
        <v>37.308214410024355</v>
      </c>
      <c r="KG5" s="20">
        <f t="shared" si="6"/>
        <v>39.279619133983225</v>
      </c>
      <c r="KH5" s="20">
        <f t="shared" si="6"/>
        <v>39.501284026707758</v>
      </c>
      <c r="KI5" s="20">
        <f t="shared" si="6"/>
        <v>35.623205260097507</v>
      </c>
      <c r="KJ5" s="20">
        <f t="shared" si="6"/>
        <v>37.227917403112471</v>
      </c>
      <c r="KK5" s="20">
        <f t="shared" si="6"/>
        <v>33.816674496366097</v>
      </c>
      <c r="KL5" s="20">
        <f t="shared" si="6"/>
        <v>35.768746326307834</v>
      </c>
      <c r="KM5" s="20">
        <f t="shared" si="6"/>
        <v>34.430817518672434</v>
      </c>
      <c r="KN5" s="20">
        <f t="shared" si="6"/>
        <v>39.090258840359425</v>
      </c>
      <c r="KO5" s="20">
        <f t="shared" si="6"/>
        <v>38.145207803223066</v>
      </c>
      <c r="KP5" s="20">
        <f t="shared" si="6"/>
        <v>30.496612711382326</v>
      </c>
      <c r="KQ5" s="20">
        <f t="shared" si="6"/>
        <v>33.078375877646543</v>
      </c>
      <c r="KR5" s="20">
        <f t="shared" si="6"/>
        <v>34.919799809736524</v>
      </c>
      <c r="KS5" s="20">
        <f t="shared" si="6"/>
        <v>29.976616368542025</v>
      </c>
      <c r="KT5" s="20">
        <f t="shared" si="6"/>
        <v>24.484577699392513</v>
      </c>
      <c r="KU5" s="20">
        <f t="shared" si="6"/>
        <v>28.52982791586998</v>
      </c>
      <c r="KV5" s="20">
        <f t="shared" si="6"/>
        <v>37.985621208717141</v>
      </c>
      <c r="KW5" s="20">
        <f t="shared" si="6"/>
        <v>24.672952467414564</v>
      </c>
      <c r="KX5" s="20">
        <f t="shared" si="6"/>
        <v>29.523725257223749</v>
      </c>
      <c r="KY5" s="20">
        <f t="shared" si="6"/>
        <v>32.181553647334034</v>
      </c>
      <c r="KZ5" s="20">
        <f t="shared" si="6"/>
        <v>35.002766035175618</v>
      </c>
      <c r="LA5" s="20">
        <f t="shared" si="6"/>
        <v>18.489561530617721</v>
      </c>
      <c r="LB5" s="20">
        <f t="shared" si="6"/>
        <v>37.922696115765426</v>
      </c>
      <c r="LC5" s="20">
        <f t="shared" si="6"/>
        <v>37.516212258559371</v>
      </c>
      <c r="LD5" s="20">
        <f t="shared" si="6"/>
        <v>23.578541182898508</v>
      </c>
      <c r="LE5" s="20">
        <f t="shared" si="6"/>
        <v>23.783367139959431</v>
      </c>
      <c r="LF5" s="20">
        <f t="shared" si="6"/>
        <v>26.736982643524705</v>
      </c>
      <c r="LG5" s="20">
        <f t="shared" si="6"/>
        <v>31.666749318125465</v>
      </c>
      <c r="LH5" s="20">
        <f t="shared" si="6"/>
        <v>28.54985836168893</v>
      </c>
      <c r="LI5" s="20">
        <f t="shared" si="6"/>
        <v>36.246623605402235</v>
      </c>
      <c r="LJ5" s="20">
        <f t="shared" si="6"/>
        <v>40.890613529103305</v>
      </c>
      <c r="LK5" s="20">
        <f t="shared" si="6"/>
        <v>29.262294337566413</v>
      </c>
      <c r="LL5" s="20">
        <f t="shared" si="6"/>
        <v>32.618057269809917</v>
      </c>
      <c r="LM5" s="20">
        <f t="shared" si="6"/>
        <v>34.387350172682332</v>
      </c>
      <c r="LN5" s="20">
        <f t="shared" si="6"/>
        <v>28.663656497330333</v>
      </c>
      <c r="LO5" s="20">
        <f t="shared" si="6"/>
        <v>32.750179837632309</v>
      </c>
      <c r="LP5" s="20">
        <f t="shared" si="6"/>
        <v>30.801897163677481</v>
      </c>
      <c r="LQ5" s="20">
        <f t="shared" si="6"/>
        <v>31.544635659458137</v>
      </c>
      <c r="LR5" s="20">
        <f t="shared" si="6"/>
        <v>23.824041904965526</v>
      </c>
      <c r="LS5" s="20">
        <f t="shared" si="6"/>
        <v>31.271549487321725</v>
      </c>
      <c r="LT5" s="20">
        <f t="shared" si="6"/>
        <v>34.052644701691904</v>
      </c>
      <c r="LU5" s="20">
        <f t="shared" si="6"/>
        <v>35.452365215749225</v>
      </c>
      <c r="LV5" s="20">
        <f t="shared" si="6"/>
        <v>27.332002661343978</v>
      </c>
      <c r="LW5" s="20">
        <f t="shared" si="6"/>
        <v>26.934495130702206</v>
      </c>
      <c r="LX5" s="20">
        <f t="shared" si="6"/>
        <v>37.646815834767644</v>
      </c>
      <c r="LY5" s="20">
        <f t="shared" si="6"/>
        <v>29.524150263406003</v>
      </c>
      <c r="LZ5" s="20">
        <f t="shared" si="6"/>
        <v>28.812662130720081</v>
      </c>
      <c r="MA5" s="20">
        <f t="shared" si="6"/>
        <v>32.301372324156283</v>
      </c>
      <c r="MB5" s="20">
        <f t="shared" si="6"/>
        <v>34.612303858844889</v>
      </c>
      <c r="MC5" s="20">
        <f t="shared" si="6"/>
        <v>36.149646289719257</v>
      </c>
      <c r="MD5" s="20">
        <f t="shared" si="6"/>
        <v>32.337298903579367</v>
      </c>
      <c r="ME5" s="20">
        <f t="shared" si="6"/>
        <v>36.380477326743502</v>
      </c>
      <c r="MF5" s="20">
        <f t="shared" si="6"/>
        <v>30.717299242369805</v>
      </c>
      <c r="MG5" s="20">
        <f t="shared" si="6"/>
        <v>33.094021273810448</v>
      </c>
      <c r="MH5" s="20">
        <f t="shared" si="6"/>
        <v>34.206145101644289</v>
      </c>
      <c r="MI5" s="20">
        <f t="shared" si="6"/>
        <v>38.001930662061874</v>
      </c>
      <c r="MJ5" s="20">
        <f t="shared" si="6"/>
        <v>40.678273706604692</v>
      </c>
      <c r="MK5" s="20">
        <f t="shared" si="6"/>
        <v>38.900198960420639</v>
      </c>
      <c r="ML5" s="20">
        <f t="shared" si="6"/>
        <v>39.771279949558632</v>
      </c>
      <c r="MM5" s="20">
        <f t="shared" si="6"/>
        <v>30.552049022652355</v>
      </c>
      <c r="MN5" s="20">
        <f t="shared" si="6"/>
        <v>30.470428689332483</v>
      </c>
      <c r="MO5" s="20">
        <f t="shared" si="6"/>
        <v>31.427610638711219</v>
      </c>
      <c r="MP5" s="20">
        <f t="shared" si="6"/>
        <v>30.444851610498922</v>
      </c>
      <c r="MQ5" s="20">
        <f t="shared" ref="MQ5:NC5" si="7">+MQ4/MQ3</f>
        <v>38.886202699061691</v>
      </c>
      <c r="MR5" s="20">
        <f t="shared" si="7"/>
        <v>38.302517775524471</v>
      </c>
      <c r="MS5" s="20">
        <f t="shared" si="7"/>
        <v>36.713952811121203</v>
      </c>
      <c r="MT5" s="20">
        <f t="shared" si="7"/>
        <v>35.21965489296938</v>
      </c>
      <c r="MU5" s="20">
        <f t="shared" si="7"/>
        <v>32.709869128153258</v>
      </c>
      <c r="MV5" s="20">
        <f t="shared" si="7"/>
        <v>35.321165572974913</v>
      </c>
      <c r="MW5" s="20">
        <f t="shared" si="7"/>
        <v>35.789407393412681</v>
      </c>
      <c r="MX5" s="20">
        <f t="shared" si="7"/>
        <v>34.357756165481739</v>
      </c>
      <c r="MY5" s="20">
        <f t="shared" si="7"/>
        <v>43.744540765938766</v>
      </c>
      <c r="MZ5" s="20">
        <f t="shared" si="7"/>
        <v>46.733802979558838</v>
      </c>
      <c r="NA5" s="20">
        <f t="shared" si="7"/>
        <v>35.55648480888599</v>
      </c>
      <c r="NB5" s="20">
        <f t="shared" si="7"/>
        <v>39.696617666770926</v>
      </c>
      <c r="NC5" s="20">
        <f t="shared" si="7"/>
        <v>44.055284026541507</v>
      </c>
    </row>
    <row r="6" spans="1:367">
      <c r="HJ6" s="20"/>
      <c r="HX6" s="20"/>
      <c r="HY6" s="20"/>
      <c r="HZ6" s="20"/>
      <c r="IA6" s="20"/>
      <c r="IB6" s="20"/>
      <c r="IC6" s="20"/>
      <c r="ID6" s="20"/>
      <c r="IE6" s="20"/>
      <c r="MM6" s="20"/>
      <c r="MT6" s="20"/>
    </row>
    <row r="7" spans="1:367">
      <c r="A7" s="10" t="s">
        <v>57</v>
      </c>
      <c r="B7" s="10" t="s">
        <v>56</v>
      </c>
      <c r="C7" s="11">
        <v>46023</v>
      </c>
      <c r="D7" s="11">
        <f>+C7+1</f>
        <v>46024</v>
      </c>
      <c r="E7" s="11">
        <f t="shared" ref="E7:BP7" si="8">+D7+1</f>
        <v>46025</v>
      </c>
      <c r="F7" s="11">
        <f t="shared" si="8"/>
        <v>46026</v>
      </c>
      <c r="G7" s="11">
        <f t="shared" si="8"/>
        <v>46027</v>
      </c>
      <c r="H7" s="11">
        <f t="shared" si="8"/>
        <v>46028</v>
      </c>
      <c r="I7" s="11">
        <f t="shared" si="8"/>
        <v>46029</v>
      </c>
      <c r="J7" s="11">
        <f t="shared" si="8"/>
        <v>46030</v>
      </c>
      <c r="K7" s="11">
        <f t="shared" si="8"/>
        <v>46031</v>
      </c>
      <c r="L7" s="11">
        <f t="shared" si="8"/>
        <v>46032</v>
      </c>
      <c r="M7" s="11">
        <f t="shared" si="8"/>
        <v>46033</v>
      </c>
      <c r="N7" s="11">
        <f t="shared" si="8"/>
        <v>46034</v>
      </c>
      <c r="O7" s="11">
        <f t="shared" si="8"/>
        <v>46035</v>
      </c>
      <c r="P7" s="11">
        <f t="shared" si="8"/>
        <v>46036</v>
      </c>
      <c r="Q7" s="11">
        <f t="shared" si="8"/>
        <v>46037</v>
      </c>
      <c r="R7" s="11">
        <f t="shared" si="8"/>
        <v>46038</v>
      </c>
      <c r="S7" s="11">
        <f t="shared" si="8"/>
        <v>46039</v>
      </c>
      <c r="T7" s="11">
        <f t="shared" si="8"/>
        <v>46040</v>
      </c>
      <c r="U7" s="11">
        <f t="shared" si="8"/>
        <v>46041</v>
      </c>
      <c r="V7" s="11">
        <f t="shared" si="8"/>
        <v>46042</v>
      </c>
      <c r="W7" s="11">
        <f t="shared" si="8"/>
        <v>46043</v>
      </c>
      <c r="X7" s="11">
        <f t="shared" si="8"/>
        <v>46044</v>
      </c>
      <c r="Y7" s="11">
        <f t="shared" si="8"/>
        <v>46045</v>
      </c>
      <c r="Z7" s="11">
        <f t="shared" si="8"/>
        <v>46046</v>
      </c>
      <c r="AA7" s="11">
        <f t="shared" si="8"/>
        <v>46047</v>
      </c>
      <c r="AB7" s="11">
        <f t="shared" si="8"/>
        <v>46048</v>
      </c>
      <c r="AC7" s="11">
        <f t="shared" si="8"/>
        <v>46049</v>
      </c>
      <c r="AD7" s="11">
        <f t="shared" si="8"/>
        <v>46050</v>
      </c>
      <c r="AE7" s="11">
        <f t="shared" si="8"/>
        <v>46051</v>
      </c>
      <c r="AF7" s="11">
        <f t="shared" si="8"/>
        <v>46052</v>
      </c>
      <c r="AG7" s="11">
        <f t="shared" si="8"/>
        <v>46053</v>
      </c>
      <c r="AH7" s="11">
        <f t="shared" si="8"/>
        <v>46054</v>
      </c>
      <c r="AI7" s="11">
        <f t="shared" si="8"/>
        <v>46055</v>
      </c>
      <c r="AJ7" s="11">
        <f t="shared" si="8"/>
        <v>46056</v>
      </c>
      <c r="AK7" s="11">
        <f t="shared" si="8"/>
        <v>46057</v>
      </c>
      <c r="AL7" s="11">
        <f t="shared" si="8"/>
        <v>46058</v>
      </c>
      <c r="AM7" s="11">
        <f t="shared" si="8"/>
        <v>46059</v>
      </c>
      <c r="AN7" s="11">
        <f t="shared" si="8"/>
        <v>46060</v>
      </c>
      <c r="AO7" s="11">
        <f t="shared" si="8"/>
        <v>46061</v>
      </c>
      <c r="AP7" s="11">
        <f t="shared" si="8"/>
        <v>46062</v>
      </c>
      <c r="AQ7" s="11">
        <f t="shared" si="8"/>
        <v>46063</v>
      </c>
      <c r="AR7" s="11">
        <f t="shared" si="8"/>
        <v>46064</v>
      </c>
      <c r="AS7" s="11">
        <f t="shared" si="8"/>
        <v>46065</v>
      </c>
      <c r="AT7" s="11">
        <f t="shared" si="8"/>
        <v>46066</v>
      </c>
      <c r="AU7" s="11">
        <f t="shared" si="8"/>
        <v>46067</v>
      </c>
      <c r="AV7" s="11">
        <f t="shared" si="8"/>
        <v>46068</v>
      </c>
      <c r="AW7" s="11">
        <f t="shared" si="8"/>
        <v>46069</v>
      </c>
      <c r="AX7" s="11">
        <f t="shared" si="8"/>
        <v>46070</v>
      </c>
      <c r="AY7" s="11">
        <f t="shared" si="8"/>
        <v>46071</v>
      </c>
      <c r="AZ7" s="11">
        <f t="shared" si="8"/>
        <v>46072</v>
      </c>
      <c r="BA7" s="11">
        <f t="shared" si="8"/>
        <v>46073</v>
      </c>
      <c r="BB7" s="11">
        <f t="shared" si="8"/>
        <v>46074</v>
      </c>
      <c r="BC7" s="11">
        <f t="shared" si="8"/>
        <v>46075</v>
      </c>
      <c r="BD7" s="11">
        <f t="shared" si="8"/>
        <v>46076</v>
      </c>
      <c r="BE7" s="11">
        <f t="shared" si="8"/>
        <v>46077</v>
      </c>
      <c r="BF7" s="11">
        <f t="shared" si="8"/>
        <v>46078</v>
      </c>
      <c r="BG7" s="11">
        <f t="shared" si="8"/>
        <v>46079</v>
      </c>
      <c r="BH7" s="11">
        <f t="shared" si="8"/>
        <v>46080</v>
      </c>
      <c r="BI7" s="11">
        <f t="shared" si="8"/>
        <v>46081</v>
      </c>
      <c r="BJ7" s="11">
        <f t="shared" si="8"/>
        <v>46082</v>
      </c>
      <c r="BK7" s="11">
        <f t="shared" si="8"/>
        <v>46083</v>
      </c>
      <c r="BL7" s="11">
        <f t="shared" si="8"/>
        <v>46084</v>
      </c>
      <c r="BM7" s="11">
        <f t="shared" si="8"/>
        <v>46085</v>
      </c>
      <c r="BN7" s="11">
        <f t="shared" si="8"/>
        <v>46086</v>
      </c>
      <c r="BO7" s="11">
        <f t="shared" si="8"/>
        <v>46087</v>
      </c>
      <c r="BP7" s="11">
        <f t="shared" si="8"/>
        <v>46088</v>
      </c>
      <c r="BQ7" s="11">
        <f t="shared" ref="BQ7:EB7" si="9">+BP7+1</f>
        <v>46089</v>
      </c>
      <c r="BR7" s="11">
        <f t="shared" si="9"/>
        <v>46090</v>
      </c>
      <c r="BS7" s="11">
        <f t="shared" si="9"/>
        <v>46091</v>
      </c>
      <c r="BT7" s="11">
        <f t="shared" si="9"/>
        <v>46092</v>
      </c>
      <c r="BU7" s="11">
        <f t="shared" si="9"/>
        <v>46093</v>
      </c>
      <c r="BV7" s="11">
        <f t="shared" si="9"/>
        <v>46094</v>
      </c>
      <c r="BW7" s="11">
        <f t="shared" si="9"/>
        <v>46095</v>
      </c>
      <c r="BX7" s="11">
        <f t="shared" si="9"/>
        <v>46096</v>
      </c>
      <c r="BY7" s="11">
        <f t="shared" si="9"/>
        <v>46097</v>
      </c>
      <c r="BZ7" s="11">
        <f t="shared" si="9"/>
        <v>46098</v>
      </c>
      <c r="CA7" s="11">
        <f t="shared" si="9"/>
        <v>46099</v>
      </c>
      <c r="CB7" s="11">
        <f t="shared" si="9"/>
        <v>46100</v>
      </c>
      <c r="CC7" s="11">
        <f t="shared" si="9"/>
        <v>46101</v>
      </c>
      <c r="CD7" s="11">
        <f t="shared" si="9"/>
        <v>46102</v>
      </c>
      <c r="CE7" s="11">
        <f t="shared" si="9"/>
        <v>46103</v>
      </c>
      <c r="CF7" s="11">
        <f t="shared" si="9"/>
        <v>46104</v>
      </c>
      <c r="CG7" s="11">
        <f t="shared" si="9"/>
        <v>46105</v>
      </c>
      <c r="CH7" s="11">
        <f t="shared" si="9"/>
        <v>46106</v>
      </c>
      <c r="CI7" s="11">
        <f t="shared" si="9"/>
        <v>46107</v>
      </c>
      <c r="CJ7" s="11">
        <f t="shared" si="9"/>
        <v>46108</v>
      </c>
      <c r="CK7" s="11">
        <f t="shared" si="9"/>
        <v>46109</v>
      </c>
      <c r="CL7" s="11">
        <f t="shared" si="9"/>
        <v>46110</v>
      </c>
      <c r="CM7" s="11">
        <f t="shared" si="9"/>
        <v>46111</v>
      </c>
      <c r="CN7" s="11">
        <f t="shared" si="9"/>
        <v>46112</v>
      </c>
      <c r="CO7" s="11">
        <f t="shared" si="9"/>
        <v>46113</v>
      </c>
      <c r="CP7" s="11">
        <f t="shared" si="9"/>
        <v>46114</v>
      </c>
      <c r="CQ7" s="11">
        <f t="shared" si="9"/>
        <v>46115</v>
      </c>
      <c r="CR7" s="11">
        <f t="shared" si="9"/>
        <v>46116</v>
      </c>
      <c r="CS7" s="11">
        <f t="shared" si="9"/>
        <v>46117</v>
      </c>
      <c r="CT7" s="11">
        <f t="shared" si="9"/>
        <v>46118</v>
      </c>
      <c r="CU7" s="11">
        <f t="shared" si="9"/>
        <v>46119</v>
      </c>
      <c r="CV7" s="11">
        <f t="shared" si="9"/>
        <v>46120</v>
      </c>
      <c r="CW7" s="11">
        <f t="shared" si="9"/>
        <v>46121</v>
      </c>
      <c r="CX7" s="11">
        <f t="shared" si="9"/>
        <v>46122</v>
      </c>
      <c r="CY7" s="11">
        <f t="shared" si="9"/>
        <v>46123</v>
      </c>
      <c r="CZ7" s="11">
        <f t="shared" si="9"/>
        <v>46124</v>
      </c>
      <c r="DA7" s="11">
        <f t="shared" si="9"/>
        <v>46125</v>
      </c>
      <c r="DB7" s="11">
        <f t="shared" si="9"/>
        <v>46126</v>
      </c>
      <c r="DC7" s="11">
        <f t="shared" si="9"/>
        <v>46127</v>
      </c>
      <c r="DD7" s="11">
        <f t="shared" si="9"/>
        <v>46128</v>
      </c>
      <c r="DE7" s="11">
        <f t="shared" si="9"/>
        <v>46129</v>
      </c>
      <c r="DF7" s="11">
        <f t="shared" si="9"/>
        <v>46130</v>
      </c>
      <c r="DG7" s="11">
        <f t="shared" si="9"/>
        <v>46131</v>
      </c>
      <c r="DH7" s="11">
        <f t="shared" si="9"/>
        <v>46132</v>
      </c>
      <c r="DI7" s="11">
        <f t="shared" si="9"/>
        <v>46133</v>
      </c>
      <c r="DJ7" s="11">
        <f t="shared" si="9"/>
        <v>46134</v>
      </c>
      <c r="DK7" s="11">
        <f t="shared" si="9"/>
        <v>46135</v>
      </c>
      <c r="DL7" s="11">
        <f t="shared" si="9"/>
        <v>46136</v>
      </c>
      <c r="DM7" s="11">
        <f t="shared" si="9"/>
        <v>46137</v>
      </c>
      <c r="DN7" s="11">
        <f t="shared" si="9"/>
        <v>46138</v>
      </c>
      <c r="DO7" s="11">
        <f t="shared" si="9"/>
        <v>46139</v>
      </c>
      <c r="DP7" s="11">
        <f t="shared" si="9"/>
        <v>46140</v>
      </c>
      <c r="DQ7" s="11">
        <f t="shared" si="9"/>
        <v>46141</v>
      </c>
      <c r="DR7" s="11">
        <f t="shared" si="9"/>
        <v>46142</v>
      </c>
      <c r="DS7" s="11">
        <f t="shared" si="9"/>
        <v>46143</v>
      </c>
      <c r="DT7" s="11">
        <f t="shared" si="9"/>
        <v>46144</v>
      </c>
      <c r="DU7" s="11">
        <f t="shared" si="9"/>
        <v>46145</v>
      </c>
      <c r="DV7" s="11">
        <f t="shared" si="9"/>
        <v>46146</v>
      </c>
      <c r="DW7" s="11">
        <f t="shared" si="9"/>
        <v>46147</v>
      </c>
      <c r="DX7" s="11">
        <f t="shared" si="9"/>
        <v>46148</v>
      </c>
      <c r="DY7" s="11">
        <f t="shared" si="9"/>
        <v>46149</v>
      </c>
      <c r="DZ7" s="11">
        <f t="shared" si="9"/>
        <v>46150</v>
      </c>
      <c r="EA7" s="11">
        <f t="shared" si="9"/>
        <v>46151</v>
      </c>
      <c r="EB7" s="11">
        <f t="shared" si="9"/>
        <v>46152</v>
      </c>
      <c r="EC7" s="11">
        <f t="shared" ref="EC7:GN7" si="10">+EB7+1</f>
        <v>46153</v>
      </c>
      <c r="ED7" s="11">
        <f t="shared" si="10"/>
        <v>46154</v>
      </c>
      <c r="EE7" s="11">
        <f t="shared" si="10"/>
        <v>46155</v>
      </c>
      <c r="EF7" s="11">
        <f t="shared" si="10"/>
        <v>46156</v>
      </c>
      <c r="EG7" s="11">
        <f t="shared" si="10"/>
        <v>46157</v>
      </c>
      <c r="EH7" s="11">
        <f t="shared" si="10"/>
        <v>46158</v>
      </c>
      <c r="EI7" s="11">
        <f t="shared" si="10"/>
        <v>46159</v>
      </c>
      <c r="EJ7" s="11">
        <f t="shared" si="10"/>
        <v>46160</v>
      </c>
      <c r="EK7" s="11">
        <f t="shared" si="10"/>
        <v>46161</v>
      </c>
      <c r="EL7" s="11">
        <f t="shared" si="10"/>
        <v>46162</v>
      </c>
      <c r="EM7" s="11">
        <f t="shared" si="10"/>
        <v>46163</v>
      </c>
      <c r="EN7" s="11">
        <f t="shared" si="10"/>
        <v>46164</v>
      </c>
      <c r="EO7" s="11">
        <f t="shared" si="10"/>
        <v>46165</v>
      </c>
      <c r="EP7" s="11">
        <f t="shared" si="10"/>
        <v>46166</v>
      </c>
      <c r="EQ7" s="11">
        <f t="shared" si="10"/>
        <v>46167</v>
      </c>
      <c r="ER7" s="11">
        <f t="shared" si="10"/>
        <v>46168</v>
      </c>
      <c r="ES7" s="11">
        <f t="shared" si="10"/>
        <v>46169</v>
      </c>
      <c r="ET7" s="11">
        <f t="shared" si="10"/>
        <v>46170</v>
      </c>
      <c r="EU7" s="11">
        <f t="shared" si="10"/>
        <v>46171</v>
      </c>
      <c r="EV7" s="11">
        <f t="shared" si="10"/>
        <v>46172</v>
      </c>
      <c r="EW7" s="11">
        <f t="shared" si="10"/>
        <v>46173</v>
      </c>
      <c r="EX7" s="11">
        <f t="shared" si="10"/>
        <v>46174</v>
      </c>
      <c r="EY7" s="11">
        <f t="shared" si="10"/>
        <v>46175</v>
      </c>
      <c r="EZ7" s="11">
        <f t="shared" si="10"/>
        <v>46176</v>
      </c>
      <c r="FA7" s="11">
        <f t="shared" si="10"/>
        <v>46177</v>
      </c>
      <c r="FB7" s="11">
        <f t="shared" si="10"/>
        <v>46178</v>
      </c>
      <c r="FC7" s="11">
        <f t="shared" si="10"/>
        <v>46179</v>
      </c>
      <c r="FD7" s="11">
        <f t="shared" si="10"/>
        <v>46180</v>
      </c>
      <c r="FE7" s="11">
        <f t="shared" si="10"/>
        <v>46181</v>
      </c>
      <c r="FF7" s="11">
        <f t="shared" si="10"/>
        <v>46182</v>
      </c>
      <c r="FG7" s="11">
        <f t="shared" si="10"/>
        <v>46183</v>
      </c>
      <c r="FH7" s="11">
        <f t="shared" si="10"/>
        <v>46184</v>
      </c>
      <c r="FI7" s="11">
        <f t="shared" si="10"/>
        <v>46185</v>
      </c>
      <c r="FJ7" s="11">
        <f t="shared" si="10"/>
        <v>46186</v>
      </c>
      <c r="FK7" s="11">
        <f t="shared" si="10"/>
        <v>46187</v>
      </c>
      <c r="FL7" s="11">
        <f t="shared" si="10"/>
        <v>46188</v>
      </c>
      <c r="FM7" s="11">
        <f t="shared" si="10"/>
        <v>46189</v>
      </c>
      <c r="FN7" s="11">
        <f t="shared" si="10"/>
        <v>46190</v>
      </c>
      <c r="FO7" s="11">
        <f t="shared" si="10"/>
        <v>46191</v>
      </c>
      <c r="FP7" s="11">
        <f t="shared" si="10"/>
        <v>46192</v>
      </c>
      <c r="FQ7" s="11">
        <f t="shared" si="10"/>
        <v>46193</v>
      </c>
      <c r="FR7" s="11">
        <f t="shared" si="10"/>
        <v>46194</v>
      </c>
      <c r="FS7" s="11">
        <f t="shared" si="10"/>
        <v>46195</v>
      </c>
      <c r="FT7" s="11">
        <f t="shared" si="10"/>
        <v>46196</v>
      </c>
      <c r="FU7" s="11">
        <f t="shared" si="10"/>
        <v>46197</v>
      </c>
      <c r="FV7" s="11">
        <f t="shared" si="10"/>
        <v>46198</v>
      </c>
      <c r="FW7" s="11">
        <f t="shared" si="10"/>
        <v>46199</v>
      </c>
      <c r="FX7" s="11">
        <f t="shared" si="10"/>
        <v>46200</v>
      </c>
      <c r="FY7" s="11">
        <f t="shared" si="10"/>
        <v>46201</v>
      </c>
      <c r="FZ7" s="11">
        <f t="shared" si="10"/>
        <v>46202</v>
      </c>
      <c r="GA7" s="11">
        <f t="shared" si="10"/>
        <v>46203</v>
      </c>
      <c r="GB7" s="11">
        <f t="shared" si="10"/>
        <v>46204</v>
      </c>
      <c r="GC7" s="11">
        <f t="shared" si="10"/>
        <v>46205</v>
      </c>
      <c r="GD7" s="11">
        <f t="shared" si="10"/>
        <v>46206</v>
      </c>
      <c r="GE7" s="11">
        <f t="shared" si="10"/>
        <v>46207</v>
      </c>
      <c r="GF7" s="11">
        <f t="shared" si="10"/>
        <v>46208</v>
      </c>
      <c r="GG7" s="11">
        <f t="shared" si="10"/>
        <v>46209</v>
      </c>
      <c r="GH7" s="11">
        <f t="shared" si="10"/>
        <v>46210</v>
      </c>
      <c r="GI7" s="11">
        <f t="shared" si="10"/>
        <v>46211</v>
      </c>
      <c r="GJ7" s="11">
        <f t="shared" si="10"/>
        <v>46212</v>
      </c>
      <c r="GK7" s="11">
        <f t="shared" si="10"/>
        <v>46213</v>
      </c>
      <c r="GL7" s="11">
        <f t="shared" si="10"/>
        <v>46214</v>
      </c>
      <c r="GM7" s="11">
        <f t="shared" si="10"/>
        <v>46215</v>
      </c>
      <c r="GN7" s="11">
        <f t="shared" si="10"/>
        <v>46216</v>
      </c>
      <c r="GO7" s="11">
        <f t="shared" ref="GO7:IZ7" si="11">+GN7+1</f>
        <v>46217</v>
      </c>
      <c r="GP7" s="11">
        <f t="shared" si="11"/>
        <v>46218</v>
      </c>
      <c r="GQ7" s="11">
        <f t="shared" si="11"/>
        <v>46219</v>
      </c>
      <c r="GR7" s="11">
        <f t="shared" si="11"/>
        <v>46220</v>
      </c>
      <c r="GS7" s="11">
        <f t="shared" si="11"/>
        <v>46221</v>
      </c>
      <c r="GT7" s="11">
        <f t="shared" si="11"/>
        <v>46222</v>
      </c>
      <c r="GU7" s="11">
        <f t="shared" si="11"/>
        <v>46223</v>
      </c>
      <c r="GV7" s="11">
        <f t="shared" si="11"/>
        <v>46224</v>
      </c>
      <c r="GW7" s="11">
        <f t="shared" si="11"/>
        <v>46225</v>
      </c>
      <c r="GX7" s="11">
        <f t="shared" si="11"/>
        <v>46226</v>
      </c>
      <c r="GY7" s="11">
        <f t="shared" si="11"/>
        <v>46227</v>
      </c>
      <c r="GZ7" s="11">
        <f t="shared" si="11"/>
        <v>46228</v>
      </c>
      <c r="HA7" s="11">
        <f t="shared" si="11"/>
        <v>46229</v>
      </c>
      <c r="HB7" s="11">
        <f t="shared" si="11"/>
        <v>46230</v>
      </c>
      <c r="HC7" s="11">
        <f t="shared" si="11"/>
        <v>46231</v>
      </c>
      <c r="HD7" s="11">
        <f t="shared" si="11"/>
        <v>46232</v>
      </c>
      <c r="HE7" s="11">
        <f t="shared" si="11"/>
        <v>46233</v>
      </c>
      <c r="HF7" s="11">
        <f t="shared" si="11"/>
        <v>46234</v>
      </c>
      <c r="HG7" s="11">
        <f t="shared" si="11"/>
        <v>46235</v>
      </c>
      <c r="HH7" s="11">
        <f t="shared" si="11"/>
        <v>46236</v>
      </c>
      <c r="HI7" s="11">
        <f t="shared" si="11"/>
        <v>46237</v>
      </c>
      <c r="HJ7" s="11">
        <f t="shared" si="11"/>
        <v>46238</v>
      </c>
      <c r="HK7" s="11">
        <f t="shared" si="11"/>
        <v>46239</v>
      </c>
      <c r="HL7" s="11">
        <f t="shared" si="11"/>
        <v>46240</v>
      </c>
      <c r="HM7" s="11">
        <f t="shared" si="11"/>
        <v>46241</v>
      </c>
      <c r="HN7" s="11">
        <f t="shared" si="11"/>
        <v>46242</v>
      </c>
      <c r="HO7" s="11">
        <f t="shared" si="11"/>
        <v>46243</v>
      </c>
      <c r="HP7" s="11">
        <f t="shared" si="11"/>
        <v>46244</v>
      </c>
      <c r="HQ7" s="11">
        <f t="shared" si="11"/>
        <v>46245</v>
      </c>
      <c r="HR7" s="11">
        <f t="shared" si="11"/>
        <v>46246</v>
      </c>
      <c r="HS7" s="11">
        <f t="shared" si="11"/>
        <v>46247</v>
      </c>
      <c r="HT7" s="11">
        <f t="shared" si="11"/>
        <v>46248</v>
      </c>
      <c r="HU7" s="11">
        <f t="shared" si="11"/>
        <v>46249</v>
      </c>
      <c r="HV7" s="11">
        <f t="shared" si="11"/>
        <v>46250</v>
      </c>
      <c r="HW7" s="11">
        <f t="shared" si="11"/>
        <v>46251</v>
      </c>
      <c r="HX7" s="11">
        <f t="shared" si="11"/>
        <v>46252</v>
      </c>
      <c r="HY7" s="11">
        <f t="shared" si="11"/>
        <v>46253</v>
      </c>
      <c r="HZ7" s="11">
        <f t="shared" si="11"/>
        <v>46254</v>
      </c>
      <c r="IA7" s="11">
        <f t="shared" si="11"/>
        <v>46255</v>
      </c>
      <c r="IB7" s="11">
        <f t="shared" si="11"/>
        <v>46256</v>
      </c>
      <c r="IC7" s="11">
        <f t="shared" si="11"/>
        <v>46257</v>
      </c>
      <c r="ID7" s="11">
        <f t="shared" si="11"/>
        <v>46258</v>
      </c>
      <c r="IE7" s="11">
        <f t="shared" si="11"/>
        <v>46259</v>
      </c>
      <c r="IF7" s="11">
        <f t="shared" si="11"/>
        <v>46260</v>
      </c>
      <c r="IG7" s="11">
        <f t="shared" si="11"/>
        <v>46261</v>
      </c>
      <c r="IH7" s="11">
        <f t="shared" si="11"/>
        <v>46262</v>
      </c>
      <c r="II7" s="11">
        <f t="shared" si="11"/>
        <v>46263</v>
      </c>
      <c r="IJ7" s="11">
        <f t="shared" si="11"/>
        <v>46264</v>
      </c>
      <c r="IK7" s="11">
        <f t="shared" si="11"/>
        <v>46265</v>
      </c>
      <c r="IL7" s="11">
        <f t="shared" si="11"/>
        <v>46266</v>
      </c>
      <c r="IM7" s="11">
        <f t="shared" si="11"/>
        <v>46267</v>
      </c>
      <c r="IN7" s="11">
        <f t="shared" si="11"/>
        <v>46268</v>
      </c>
      <c r="IO7" s="11">
        <f t="shared" si="11"/>
        <v>46269</v>
      </c>
      <c r="IP7" s="11">
        <f t="shared" si="11"/>
        <v>46270</v>
      </c>
      <c r="IQ7" s="11">
        <f t="shared" si="11"/>
        <v>46271</v>
      </c>
      <c r="IR7" s="11">
        <f t="shared" si="11"/>
        <v>46272</v>
      </c>
      <c r="IS7" s="11">
        <f t="shared" si="11"/>
        <v>46273</v>
      </c>
      <c r="IT7" s="11">
        <f t="shared" si="11"/>
        <v>46274</v>
      </c>
      <c r="IU7" s="11">
        <f t="shared" si="11"/>
        <v>46275</v>
      </c>
      <c r="IV7" s="11">
        <f t="shared" si="11"/>
        <v>46276</v>
      </c>
      <c r="IW7" s="11">
        <f t="shared" si="11"/>
        <v>46277</v>
      </c>
      <c r="IX7" s="11">
        <f t="shared" si="11"/>
        <v>46278</v>
      </c>
      <c r="IY7" s="11">
        <f t="shared" si="11"/>
        <v>46279</v>
      </c>
      <c r="IZ7" s="11">
        <f t="shared" si="11"/>
        <v>46280</v>
      </c>
      <c r="JA7" s="11">
        <f t="shared" ref="JA7:LL7" si="12">+IZ7+1</f>
        <v>46281</v>
      </c>
      <c r="JB7" s="11">
        <f t="shared" si="12"/>
        <v>46282</v>
      </c>
      <c r="JC7" s="11">
        <f t="shared" si="12"/>
        <v>46283</v>
      </c>
      <c r="JD7" s="11">
        <f t="shared" si="12"/>
        <v>46284</v>
      </c>
      <c r="JE7" s="11">
        <f t="shared" si="12"/>
        <v>46285</v>
      </c>
      <c r="JF7" s="11">
        <f t="shared" si="12"/>
        <v>46286</v>
      </c>
      <c r="JG7" s="11">
        <f t="shared" si="12"/>
        <v>46287</v>
      </c>
      <c r="JH7" s="11">
        <f t="shared" si="12"/>
        <v>46288</v>
      </c>
      <c r="JI7" s="11">
        <f t="shared" si="12"/>
        <v>46289</v>
      </c>
      <c r="JJ7" s="11">
        <f t="shared" si="12"/>
        <v>46290</v>
      </c>
      <c r="JK7" s="11">
        <f t="shared" si="12"/>
        <v>46291</v>
      </c>
      <c r="JL7" s="11">
        <f t="shared" si="12"/>
        <v>46292</v>
      </c>
      <c r="JM7" s="11">
        <f t="shared" si="12"/>
        <v>46293</v>
      </c>
      <c r="JN7" s="11">
        <f t="shared" si="12"/>
        <v>46294</v>
      </c>
      <c r="JO7" s="11">
        <f t="shared" si="12"/>
        <v>46295</v>
      </c>
      <c r="JP7" s="11">
        <f t="shared" si="12"/>
        <v>46296</v>
      </c>
      <c r="JQ7" s="11">
        <f t="shared" si="12"/>
        <v>46297</v>
      </c>
      <c r="JR7" s="11">
        <f t="shared" si="12"/>
        <v>46298</v>
      </c>
      <c r="JS7" s="11">
        <f t="shared" si="12"/>
        <v>46299</v>
      </c>
      <c r="JT7" s="11">
        <f t="shared" si="12"/>
        <v>46300</v>
      </c>
      <c r="JU7" s="11">
        <f t="shared" si="12"/>
        <v>46301</v>
      </c>
      <c r="JV7" s="11">
        <f t="shared" si="12"/>
        <v>46302</v>
      </c>
      <c r="JW7" s="11">
        <f t="shared" si="12"/>
        <v>46303</v>
      </c>
      <c r="JX7" s="11">
        <f t="shared" si="12"/>
        <v>46304</v>
      </c>
      <c r="JY7" s="11">
        <f t="shared" si="12"/>
        <v>46305</v>
      </c>
      <c r="JZ7" s="11">
        <f t="shared" si="12"/>
        <v>46306</v>
      </c>
      <c r="KA7" s="11">
        <f t="shared" si="12"/>
        <v>46307</v>
      </c>
      <c r="KB7" s="11">
        <f t="shared" si="12"/>
        <v>46308</v>
      </c>
      <c r="KC7" s="11">
        <f t="shared" si="12"/>
        <v>46309</v>
      </c>
      <c r="KD7" s="11">
        <f t="shared" si="12"/>
        <v>46310</v>
      </c>
      <c r="KE7" s="11">
        <f t="shared" si="12"/>
        <v>46311</v>
      </c>
      <c r="KF7" s="11">
        <f t="shared" si="12"/>
        <v>46312</v>
      </c>
      <c r="KG7" s="11">
        <f t="shared" si="12"/>
        <v>46313</v>
      </c>
      <c r="KH7" s="11">
        <f t="shared" si="12"/>
        <v>46314</v>
      </c>
      <c r="KI7" s="11">
        <f t="shared" si="12"/>
        <v>46315</v>
      </c>
      <c r="KJ7" s="11">
        <f t="shared" si="12"/>
        <v>46316</v>
      </c>
      <c r="KK7" s="11">
        <f t="shared" si="12"/>
        <v>46317</v>
      </c>
      <c r="KL7" s="11">
        <f t="shared" si="12"/>
        <v>46318</v>
      </c>
      <c r="KM7" s="11">
        <f t="shared" si="12"/>
        <v>46319</v>
      </c>
      <c r="KN7" s="11">
        <f t="shared" si="12"/>
        <v>46320</v>
      </c>
      <c r="KO7" s="11">
        <f t="shared" si="12"/>
        <v>46321</v>
      </c>
      <c r="KP7" s="11">
        <f t="shared" si="12"/>
        <v>46322</v>
      </c>
      <c r="KQ7" s="11">
        <f t="shared" si="12"/>
        <v>46323</v>
      </c>
      <c r="KR7" s="11">
        <f t="shared" si="12"/>
        <v>46324</v>
      </c>
      <c r="KS7" s="11">
        <f t="shared" si="12"/>
        <v>46325</v>
      </c>
      <c r="KT7" s="11">
        <f t="shared" si="12"/>
        <v>46326</v>
      </c>
      <c r="KU7" s="11">
        <f t="shared" si="12"/>
        <v>46327</v>
      </c>
      <c r="KV7" s="11">
        <f t="shared" si="12"/>
        <v>46328</v>
      </c>
      <c r="KW7" s="11">
        <f t="shared" si="12"/>
        <v>46329</v>
      </c>
      <c r="KX7" s="11">
        <f t="shared" si="12"/>
        <v>46330</v>
      </c>
      <c r="KY7" s="11">
        <f t="shared" si="12"/>
        <v>46331</v>
      </c>
      <c r="KZ7" s="11">
        <f t="shared" si="12"/>
        <v>46332</v>
      </c>
      <c r="LA7" s="11">
        <f t="shared" si="12"/>
        <v>46333</v>
      </c>
      <c r="LB7" s="11">
        <f t="shared" si="12"/>
        <v>46334</v>
      </c>
      <c r="LC7" s="11">
        <f t="shared" si="12"/>
        <v>46335</v>
      </c>
      <c r="LD7" s="11">
        <f t="shared" si="12"/>
        <v>46336</v>
      </c>
      <c r="LE7" s="11">
        <f t="shared" si="12"/>
        <v>46337</v>
      </c>
      <c r="LF7" s="11">
        <f t="shared" si="12"/>
        <v>46338</v>
      </c>
      <c r="LG7" s="11">
        <f t="shared" si="12"/>
        <v>46339</v>
      </c>
      <c r="LH7" s="11">
        <f t="shared" si="12"/>
        <v>46340</v>
      </c>
      <c r="LI7" s="11">
        <f t="shared" si="12"/>
        <v>46341</v>
      </c>
      <c r="LJ7" s="11">
        <f t="shared" si="12"/>
        <v>46342</v>
      </c>
      <c r="LK7" s="11">
        <f t="shared" si="12"/>
        <v>46343</v>
      </c>
      <c r="LL7" s="11">
        <f t="shared" si="12"/>
        <v>46344</v>
      </c>
      <c r="LM7" s="11">
        <f t="shared" ref="LM7:NC7" si="13">+LL7+1</f>
        <v>46345</v>
      </c>
      <c r="LN7" s="11">
        <f t="shared" si="13"/>
        <v>46346</v>
      </c>
      <c r="LO7" s="11">
        <f t="shared" si="13"/>
        <v>46347</v>
      </c>
      <c r="LP7" s="11">
        <f t="shared" si="13"/>
        <v>46348</v>
      </c>
      <c r="LQ7" s="11">
        <f t="shared" si="13"/>
        <v>46349</v>
      </c>
      <c r="LR7" s="11">
        <f t="shared" si="13"/>
        <v>46350</v>
      </c>
      <c r="LS7" s="11">
        <f t="shared" si="13"/>
        <v>46351</v>
      </c>
      <c r="LT7" s="11">
        <f t="shared" si="13"/>
        <v>46352</v>
      </c>
      <c r="LU7" s="11">
        <f t="shared" si="13"/>
        <v>46353</v>
      </c>
      <c r="LV7" s="11">
        <f t="shared" si="13"/>
        <v>46354</v>
      </c>
      <c r="LW7" s="11">
        <f t="shared" si="13"/>
        <v>46355</v>
      </c>
      <c r="LX7" s="11">
        <f t="shared" si="13"/>
        <v>46356</v>
      </c>
      <c r="LY7" s="11">
        <f t="shared" si="13"/>
        <v>46357</v>
      </c>
      <c r="LZ7" s="11">
        <f t="shared" si="13"/>
        <v>46358</v>
      </c>
      <c r="MA7" s="11">
        <f t="shared" si="13"/>
        <v>46359</v>
      </c>
      <c r="MB7" s="11">
        <f t="shared" si="13"/>
        <v>46360</v>
      </c>
      <c r="MC7" s="11">
        <f t="shared" si="13"/>
        <v>46361</v>
      </c>
      <c r="MD7" s="11">
        <f t="shared" si="13"/>
        <v>46362</v>
      </c>
      <c r="ME7" s="11">
        <f t="shared" si="13"/>
        <v>46363</v>
      </c>
      <c r="MF7" s="11">
        <f t="shared" si="13"/>
        <v>46364</v>
      </c>
      <c r="MG7" s="11">
        <f t="shared" si="13"/>
        <v>46365</v>
      </c>
      <c r="MH7" s="11">
        <f t="shared" si="13"/>
        <v>46366</v>
      </c>
      <c r="MI7" s="11">
        <f t="shared" si="13"/>
        <v>46367</v>
      </c>
      <c r="MJ7" s="11">
        <f t="shared" si="13"/>
        <v>46368</v>
      </c>
      <c r="MK7" s="11">
        <f t="shared" si="13"/>
        <v>46369</v>
      </c>
      <c r="ML7" s="11">
        <f t="shared" si="13"/>
        <v>46370</v>
      </c>
      <c r="MM7" s="11">
        <f t="shared" si="13"/>
        <v>46371</v>
      </c>
      <c r="MN7" s="11">
        <f t="shared" si="13"/>
        <v>46372</v>
      </c>
      <c r="MO7" s="11">
        <f t="shared" si="13"/>
        <v>46373</v>
      </c>
      <c r="MP7" s="11">
        <f t="shared" si="13"/>
        <v>46374</v>
      </c>
      <c r="MQ7" s="11">
        <f t="shared" si="13"/>
        <v>46375</v>
      </c>
      <c r="MR7" s="11">
        <f t="shared" si="13"/>
        <v>46376</v>
      </c>
      <c r="MS7" s="11">
        <f t="shared" si="13"/>
        <v>46377</v>
      </c>
      <c r="MT7" s="11">
        <f t="shared" si="13"/>
        <v>46378</v>
      </c>
      <c r="MU7" s="11">
        <f t="shared" si="13"/>
        <v>46379</v>
      </c>
      <c r="MV7" s="11">
        <f t="shared" si="13"/>
        <v>46380</v>
      </c>
      <c r="MW7" s="11">
        <f t="shared" si="13"/>
        <v>46381</v>
      </c>
      <c r="MX7" s="11">
        <f t="shared" si="13"/>
        <v>46382</v>
      </c>
      <c r="MY7" s="11">
        <f t="shared" si="13"/>
        <v>46383</v>
      </c>
      <c r="MZ7" s="11">
        <f t="shared" si="13"/>
        <v>46384</v>
      </c>
      <c r="NA7" s="11">
        <f t="shared" si="13"/>
        <v>46385</v>
      </c>
      <c r="NB7" s="11">
        <f t="shared" si="13"/>
        <v>46386</v>
      </c>
      <c r="NC7" s="11">
        <f t="shared" si="13"/>
        <v>46387</v>
      </c>
    </row>
    <row r="8" spans="1:367">
      <c r="A8" s="12"/>
      <c r="B8" s="12" t="s">
        <v>10</v>
      </c>
      <c r="C8" s="8" t="s">
        <v>54</v>
      </c>
      <c r="D8" s="8" t="s">
        <v>54</v>
      </c>
      <c r="E8" s="8" t="s">
        <v>54</v>
      </c>
      <c r="F8" s="8" t="s">
        <v>54</v>
      </c>
      <c r="G8" s="8" t="s">
        <v>425</v>
      </c>
      <c r="H8" s="8" t="s">
        <v>425</v>
      </c>
      <c r="I8" s="8" t="s">
        <v>425</v>
      </c>
      <c r="J8" s="8" t="s">
        <v>425</v>
      </c>
      <c r="K8" s="8" t="s">
        <v>425</v>
      </c>
      <c r="L8" s="8" t="s">
        <v>425</v>
      </c>
      <c r="M8" s="8" t="s">
        <v>425</v>
      </c>
      <c r="N8" s="8" t="s">
        <v>2</v>
      </c>
      <c r="O8" s="8" t="s">
        <v>2</v>
      </c>
      <c r="P8" s="8" t="s">
        <v>2</v>
      </c>
      <c r="Q8" s="8" t="s">
        <v>2</v>
      </c>
      <c r="R8" s="8" t="s">
        <v>2</v>
      </c>
      <c r="S8" s="8" t="s">
        <v>2</v>
      </c>
      <c r="T8" s="8" t="s">
        <v>2</v>
      </c>
      <c r="U8" s="8" t="s">
        <v>3</v>
      </c>
      <c r="V8" s="8" t="s">
        <v>3</v>
      </c>
      <c r="W8" s="8" t="s">
        <v>3</v>
      </c>
      <c r="X8" s="8" t="s">
        <v>3</v>
      </c>
      <c r="Y8" s="8" t="s">
        <v>3</v>
      </c>
      <c r="Z8" s="8" t="s">
        <v>3</v>
      </c>
      <c r="AA8" s="8" t="s">
        <v>3</v>
      </c>
      <c r="AB8" s="8" t="s">
        <v>4</v>
      </c>
      <c r="AC8" s="8" t="s">
        <v>4</v>
      </c>
      <c r="AD8" s="8" t="s">
        <v>4</v>
      </c>
      <c r="AE8" s="8" t="s">
        <v>4</v>
      </c>
      <c r="AF8" s="8" t="s">
        <v>4</v>
      </c>
      <c r="AG8" s="8" t="s">
        <v>4</v>
      </c>
      <c r="AH8" s="8" t="s">
        <v>4</v>
      </c>
      <c r="AI8" s="8" t="s">
        <v>5</v>
      </c>
      <c r="AJ8" s="8" t="s">
        <v>5</v>
      </c>
      <c r="AK8" s="8" t="s">
        <v>5</v>
      </c>
      <c r="AL8" s="8" t="s">
        <v>5</v>
      </c>
      <c r="AM8" s="8" t="s">
        <v>5</v>
      </c>
      <c r="AN8" s="8" t="s">
        <v>5</v>
      </c>
      <c r="AO8" s="8" t="s">
        <v>5</v>
      </c>
      <c r="AP8" s="8" t="s">
        <v>6</v>
      </c>
      <c r="AQ8" s="8" t="s">
        <v>6</v>
      </c>
      <c r="AR8" s="8" t="s">
        <v>6</v>
      </c>
      <c r="AS8" s="8" t="s">
        <v>6</v>
      </c>
      <c r="AT8" s="8" t="s">
        <v>6</v>
      </c>
      <c r="AU8" s="8" t="s">
        <v>6</v>
      </c>
      <c r="AV8" s="8" t="s">
        <v>6</v>
      </c>
      <c r="AW8" s="8" t="s">
        <v>7</v>
      </c>
      <c r="AX8" s="8" t="s">
        <v>7</v>
      </c>
      <c r="AY8" s="8" t="s">
        <v>7</v>
      </c>
      <c r="AZ8" s="8" t="s">
        <v>7</v>
      </c>
      <c r="BA8" s="8" t="s">
        <v>7</v>
      </c>
      <c r="BB8" s="8" t="s">
        <v>7</v>
      </c>
      <c r="BC8" s="8" t="s">
        <v>7</v>
      </c>
      <c r="BD8" s="8" t="s">
        <v>8</v>
      </c>
      <c r="BE8" s="8" t="s">
        <v>8</v>
      </c>
      <c r="BF8" s="8" t="s">
        <v>8</v>
      </c>
      <c r="BG8" s="8" t="s">
        <v>8</v>
      </c>
      <c r="BH8" s="8" t="s">
        <v>8</v>
      </c>
      <c r="BI8" s="8" t="s">
        <v>8</v>
      </c>
      <c r="BJ8" s="8" t="s">
        <v>8</v>
      </c>
      <c r="BK8" s="8" t="s">
        <v>11</v>
      </c>
      <c r="BL8" s="8" t="s">
        <v>11</v>
      </c>
      <c r="BM8" s="8" t="s">
        <v>11</v>
      </c>
      <c r="BN8" s="8" t="s">
        <v>11</v>
      </c>
      <c r="BO8" s="8" t="s">
        <v>11</v>
      </c>
      <c r="BP8" s="8" t="s">
        <v>11</v>
      </c>
      <c r="BQ8" s="8" t="s">
        <v>11</v>
      </c>
      <c r="BR8" s="8" t="s">
        <v>12</v>
      </c>
      <c r="BS8" s="8" t="s">
        <v>12</v>
      </c>
      <c r="BT8" s="8" t="s">
        <v>12</v>
      </c>
      <c r="BU8" s="8" t="s">
        <v>12</v>
      </c>
      <c r="BV8" s="8" t="s">
        <v>12</v>
      </c>
      <c r="BW8" s="8" t="s">
        <v>12</v>
      </c>
      <c r="BX8" s="8" t="s">
        <v>12</v>
      </c>
      <c r="BY8" s="8" t="s">
        <v>13</v>
      </c>
      <c r="BZ8" s="8" t="s">
        <v>13</v>
      </c>
      <c r="CA8" s="8" t="s">
        <v>13</v>
      </c>
      <c r="CB8" s="8" t="s">
        <v>13</v>
      </c>
      <c r="CC8" s="8" t="s">
        <v>13</v>
      </c>
      <c r="CD8" s="8" t="s">
        <v>13</v>
      </c>
      <c r="CE8" s="8" t="s">
        <v>13</v>
      </c>
      <c r="CF8" s="8" t="s">
        <v>14</v>
      </c>
      <c r="CG8" s="8" t="s">
        <v>14</v>
      </c>
      <c r="CH8" s="8" t="s">
        <v>14</v>
      </c>
      <c r="CI8" s="8" t="s">
        <v>14</v>
      </c>
      <c r="CJ8" s="8" t="s">
        <v>14</v>
      </c>
      <c r="CK8" s="8" t="s">
        <v>14</v>
      </c>
      <c r="CL8" s="8" t="s">
        <v>14</v>
      </c>
      <c r="CM8" s="8" t="s">
        <v>15</v>
      </c>
      <c r="CN8" s="8" t="s">
        <v>15</v>
      </c>
      <c r="CO8" s="8" t="s">
        <v>15</v>
      </c>
      <c r="CP8" s="8" t="s">
        <v>15</v>
      </c>
      <c r="CQ8" s="8" t="s">
        <v>15</v>
      </c>
      <c r="CR8" s="8" t="s">
        <v>15</v>
      </c>
      <c r="CS8" s="8" t="s">
        <v>15</v>
      </c>
      <c r="CT8" s="8" t="s">
        <v>16</v>
      </c>
      <c r="CU8" s="8" t="s">
        <v>16</v>
      </c>
      <c r="CV8" s="8" t="s">
        <v>16</v>
      </c>
      <c r="CW8" s="8" t="s">
        <v>16</v>
      </c>
      <c r="CX8" s="8" t="s">
        <v>16</v>
      </c>
      <c r="CY8" s="8" t="s">
        <v>16</v>
      </c>
      <c r="CZ8" s="8" t="s">
        <v>16</v>
      </c>
      <c r="DA8" s="8" t="s">
        <v>17</v>
      </c>
      <c r="DB8" s="8" t="s">
        <v>17</v>
      </c>
      <c r="DC8" s="8" t="s">
        <v>17</v>
      </c>
      <c r="DD8" s="8" t="s">
        <v>17</v>
      </c>
      <c r="DE8" s="8" t="s">
        <v>17</v>
      </c>
      <c r="DF8" s="8" t="s">
        <v>17</v>
      </c>
      <c r="DG8" s="8" t="s">
        <v>17</v>
      </c>
      <c r="DH8" s="8" t="s">
        <v>18</v>
      </c>
      <c r="DI8" s="8" t="s">
        <v>18</v>
      </c>
      <c r="DJ8" s="8" t="s">
        <v>18</v>
      </c>
      <c r="DK8" s="8" t="s">
        <v>18</v>
      </c>
      <c r="DL8" s="8" t="s">
        <v>18</v>
      </c>
      <c r="DM8" s="8" t="s">
        <v>18</v>
      </c>
      <c r="DN8" s="8" t="s">
        <v>18</v>
      </c>
      <c r="DO8" s="8" t="s">
        <v>19</v>
      </c>
      <c r="DP8" s="8" t="s">
        <v>19</v>
      </c>
      <c r="DQ8" s="8" t="s">
        <v>19</v>
      </c>
      <c r="DR8" s="8" t="s">
        <v>19</v>
      </c>
      <c r="DS8" s="8" t="s">
        <v>19</v>
      </c>
      <c r="DT8" s="8" t="s">
        <v>19</v>
      </c>
      <c r="DU8" s="8" t="s">
        <v>19</v>
      </c>
      <c r="DV8" s="8" t="s">
        <v>20</v>
      </c>
      <c r="DW8" s="8" t="s">
        <v>20</v>
      </c>
      <c r="DX8" s="8" t="s">
        <v>20</v>
      </c>
      <c r="DY8" s="8" t="s">
        <v>20</v>
      </c>
      <c r="DZ8" s="8" t="s">
        <v>20</v>
      </c>
      <c r="EA8" s="8" t="s">
        <v>20</v>
      </c>
      <c r="EB8" s="8" t="s">
        <v>20</v>
      </c>
      <c r="EC8" s="8" t="s">
        <v>21</v>
      </c>
      <c r="ED8" s="8" t="s">
        <v>21</v>
      </c>
      <c r="EE8" s="8" t="s">
        <v>21</v>
      </c>
      <c r="EF8" s="8" t="s">
        <v>21</v>
      </c>
      <c r="EG8" s="8" t="s">
        <v>21</v>
      </c>
      <c r="EH8" s="8" t="s">
        <v>21</v>
      </c>
      <c r="EI8" s="8" t="s">
        <v>21</v>
      </c>
      <c r="EJ8" s="8" t="s">
        <v>22</v>
      </c>
      <c r="EK8" s="8" t="s">
        <v>22</v>
      </c>
      <c r="EL8" s="8" t="s">
        <v>22</v>
      </c>
      <c r="EM8" s="8" t="s">
        <v>22</v>
      </c>
      <c r="EN8" s="8" t="s">
        <v>22</v>
      </c>
      <c r="EO8" s="8" t="s">
        <v>22</v>
      </c>
      <c r="EP8" s="8" t="s">
        <v>22</v>
      </c>
      <c r="EQ8" s="8" t="s">
        <v>23</v>
      </c>
      <c r="ER8" s="8" t="s">
        <v>23</v>
      </c>
      <c r="ES8" s="8" t="s">
        <v>23</v>
      </c>
      <c r="ET8" s="8" t="s">
        <v>23</v>
      </c>
      <c r="EU8" s="8" t="s">
        <v>23</v>
      </c>
      <c r="EV8" s="8" t="s">
        <v>23</v>
      </c>
      <c r="EW8" s="8" t="s">
        <v>23</v>
      </c>
      <c r="EX8" s="8" t="s">
        <v>24</v>
      </c>
      <c r="EY8" s="8" t="s">
        <v>24</v>
      </c>
      <c r="EZ8" s="8" t="s">
        <v>24</v>
      </c>
      <c r="FA8" s="8" t="s">
        <v>24</v>
      </c>
      <c r="FB8" s="8" t="s">
        <v>24</v>
      </c>
      <c r="FC8" s="8" t="s">
        <v>24</v>
      </c>
      <c r="FD8" s="8" t="s">
        <v>24</v>
      </c>
      <c r="FE8" s="8" t="s">
        <v>25</v>
      </c>
      <c r="FF8" s="8" t="s">
        <v>25</v>
      </c>
      <c r="FG8" s="8" t="s">
        <v>25</v>
      </c>
      <c r="FH8" s="8" t="s">
        <v>25</v>
      </c>
      <c r="FI8" s="8" t="s">
        <v>25</v>
      </c>
      <c r="FJ8" s="8" t="s">
        <v>25</v>
      </c>
      <c r="FK8" s="8" t="s">
        <v>25</v>
      </c>
      <c r="FL8" s="8" t="s">
        <v>26</v>
      </c>
      <c r="FM8" s="8" t="s">
        <v>26</v>
      </c>
      <c r="FN8" s="8" t="s">
        <v>26</v>
      </c>
      <c r="FO8" s="8" t="s">
        <v>26</v>
      </c>
      <c r="FP8" s="8" t="s">
        <v>26</v>
      </c>
      <c r="FQ8" s="8" t="s">
        <v>26</v>
      </c>
      <c r="FR8" s="8" t="s">
        <v>26</v>
      </c>
      <c r="FS8" s="8" t="s">
        <v>27</v>
      </c>
      <c r="FT8" s="8" t="s">
        <v>27</v>
      </c>
      <c r="FU8" s="8" t="s">
        <v>27</v>
      </c>
      <c r="FV8" s="8" t="s">
        <v>27</v>
      </c>
      <c r="FW8" s="8" t="s">
        <v>27</v>
      </c>
      <c r="FX8" s="8" t="s">
        <v>27</v>
      </c>
      <c r="FY8" s="8" t="s">
        <v>27</v>
      </c>
      <c r="FZ8" s="8" t="s">
        <v>28</v>
      </c>
      <c r="GA8" s="8" t="s">
        <v>28</v>
      </c>
      <c r="GB8" s="8" t="s">
        <v>28</v>
      </c>
      <c r="GC8" s="8" t="s">
        <v>28</v>
      </c>
      <c r="GD8" s="8" t="s">
        <v>28</v>
      </c>
      <c r="GE8" s="8" t="s">
        <v>28</v>
      </c>
      <c r="GF8" s="8" t="s">
        <v>28</v>
      </c>
      <c r="GG8" s="8" t="s">
        <v>29</v>
      </c>
      <c r="GH8" s="8" t="s">
        <v>29</v>
      </c>
      <c r="GI8" s="8" t="s">
        <v>29</v>
      </c>
      <c r="GJ8" s="8" t="s">
        <v>29</v>
      </c>
      <c r="GK8" s="8" t="s">
        <v>29</v>
      </c>
      <c r="GL8" s="8" t="s">
        <v>29</v>
      </c>
      <c r="GM8" s="8" t="s">
        <v>29</v>
      </c>
      <c r="GN8" s="8" t="s">
        <v>30</v>
      </c>
      <c r="GO8" s="8" t="s">
        <v>30</v>
      </c>
      <c r="GP8" s="8" t="s">
        <v>30</v>
      </c>
      <c r="GQ8" s="8" t="s">
        <v>30</v>
      </c>
      <c r="GR8" s="8" t="s">
        <v>30</v>
      </c>
      <c r="GS8" s="8" t="s">
        <v>30</v>
      </c>
      <c r="GT8" s="8" t="s">
        <v>30</v>
      </c>
      <c r="GU8" s="8" t="s">
        <v>31</v>
      </c>
      <c r="GV8" s="8" t="s">
        <v>31</v>
      </c>
      <c r="GW8" s="8" t="s">
        <v>31</v>
      </c>
      <c r="GX8" s="8" t="s">
        <v>31</v>
      </c>
      <c r="GY8" s="8" t="s">
        <v>31</v>
      </c>
      <c r="GZ8" s="8" t="s">
        <v>31</v>
      </c>
      <c r="HA8" s="8" t="s">
        <v>31</v>
      </c>
      <c r="HB8" s="8" t="s">
        <v>32</v>
      </c>
      <c r="HC8" s="8" t="s">
        <v>32</v>
      </c>
      <c r="HD8" s="8" t="s">
        <v>32</v>
      </c>
      <c r="HE8" s="8" t="s">
        <v>32</v>
      </c>
      <c r="HF8" s="8" t="s">
        <v>32</v>
      </c>
      <c r="HG8" s="8" t="s">
        <v>32</v>
      </c>
      <c r="HH8" s="8" t="s">
        <v>32</v>
      </c>
      <c r="HI8" s="8" t="s">
        <v>33</v>
      </c>
      <c r="HJ8" s="8" t="s">
        <v>33</v>
      </c>
      <c r="HK8" s="8" t="s">
        <v>33</v>
      </c>
      <c r="HL8" s="8" t="s">
        <v>33</v>
      </c>
      <c r="HM8" s="8" t="s">
        <v>33</v>
      </c>
      <c r="HN8" s="8" t="s">
        <v>33</v>
      </c>
      <c r="HO8" s="8" t="s">
        <v>33</v>
      </c>
      <c r="HP8" s="8" t="s">
        <v>34</v>
      </c>
      <c r="HQ8" s="8" t="s">
        <v>34</v>
      </c>
      <c r="HR8" s="8" t="s">
        <v>34</v>
      </c>
      <c r="HS8" s="8" t="s">
        <v>34</v>
      </c>
      <c r="HT8" s="8" t="s">
        <v>34</v>
      </c>
      <c r="HU8" s="8" t="s">
        <v>34</v>
      </c>
      <c r="HV8" s="8" t="s">
        <v>34</v>
      </c>
      <c r="HW8" s="8" t="s">
        <v>35</v>
      </c>
      <c r="HX8" s="8" t="s">
        <v>35</v>
      </c>
      <c r="HY8" s="8" t="s">
        <v>35</v>
      </c>
      <c r="HZ8" s="8" t="s">
        <v>35</v>
      </c>
      <c r="IA8" s="8" t="s">
        <v>35</v>
      </c>
      <c r="IB8" s="8" t="s">
        <v>35</v>
      </c>
      <c r="IC8" s="8" t="s">
        <v>35</v>
      </c>
      <c r="ID8" s="8" t="s">
        <v>36</v>
      </c>
      <c r="IE8" s="8" t="s">
        <v>36</v>
      </c>
      <c r="IF8" s="8" t="s">
        <v>36</v>
      </c>
      <c r="IG8" s="8" t="s">
        <v>36</v>
      </c>
      <c r="IH8" s="8" t="s">
        <v>36</v>
      </c>
      <c r="II8" s="8" t="s">
        <v>36</v>
      </c>
      <c r="IJ8" s="8" t="s">
        <v>36</v>
      </c>
      <c r="IK8" s="8" t="s">
        <v>37</v>
      </c>
      <c r="IL8" s="8" t="s">
        <v>37</v>
      </c>
      <c r="IM8" s="8" t="s">
        <v>37</v>
      </c>
      <c r="IN8" s="8" t="s">
        <v>37</v>
      </c>
      <c r="IO8" s="8" t="s">
        <v>37</v>
      </c>
      <c r="IP8" s="8" t="s">
        <v>37</v>
      </c>
      <c r="IQ8" s="8" t="s">
        <v>37</v>
      </c>
      <c r="IR8" s="8" t="s">
        <v>38</v>
      </c>
      <c r="IS8" s="8" t="s">
        <v>38</v>
      </c>
      <c r="IT8" s="8" t="s">
        <v>38</v>
      </c>
      <c r="IU8" s="8" t="s">
        <v>38</v>
      </c>
      <c r="IV8" s="8" t="s">
        <v>38</v>
      </c>
      <c r="IW8" s="8" t="s">
        <v>38</v>
      </c>
      <c r="IX8" s="8" t="s">
        <v>38</v>
      </c>
      <c r="IY8" s="8" t="s">
        <v>39</v>
      </c>
      <c r="IZ8" s="8" t="s">
        <v>39</v>
      </c>
      <c r="JA8" s="8" t="s">
        <v>39</v>
      </c>
      <c r="JB8" s="8" t="s">
        <v>39</v>
      </c>
      <c r="JC8" s="8" t="s">
        <v>39</v>
      </c>
      <c r="JD8" s="8" t="s">
        <v>39</v>
      </c>
      <c r="JE8" s="8" t="s">
        <v>39</v>
      </c>
      <c r="JF8" s="8" t="s">
        <v>40</v>
      </c>
      <c r="JG8" s="8" t="s">
        <v>40</v>
      </c>
      <c r="JH8" s="8" t="s">
        <v>40</v>
      </c>
      <c r="JI8" s="8" t="s">
        <v>40</v>
      </c>
      <c r="JJ8" s="8" t="s">
        <v>40</v>
      </c>
      <c r="JK8" s="8" t="s">
        <v>40</v>
      </c>
      <c r="JL8" s="8" t="s">
        <v>40</v>
      </c>
      <c r="JM8" s="8" t="s">
        <v>41</v>
      </c>
      <c r="JN8" s="8" t="s">
        <v>41</v>
      </c>
      <c r="JO8" s="8" t="s">
        <v>41</v>
      </c>
      <c r="JP8" s="8" t="s">
        <v>41</v>
      </c>
      <c r="JQ8" s="8" t="s">
        <v>41</v>
      </c>
      <c r="JR8" s="8" t="s">
        <v>41</v>
      </c>
      <c r="JS8" s="8" t="s">
        <v>41</v>
      </c>
      <c r="JT8" s="8" t="s">
        <v>42</v>
      </c>
      <c r="JU8" s="8" t="s">
        <v>42</v>
      </c>
      <c r="JV8" s="8" t="s">
        <v>42</v>
      </c>
      <c r="JW8" s="8" t="s">
        <v>42</v>
      </c>
      <c r="JX8" s="8" t="s">
        <v>42</v>
      </c>
      <c r="JY8" s="8" t="s">
        <v>42</v>
      </c>
      <c r="JZ8" s="8" t="s">
        <v>42</v>
      </c>
      <c r="KB8" s="20"/>
      <c r="KI8" s="20"/>
      <c r="KU8" s="36"/>
      <c r="LE8" s="20"/>
      <c r="LF8" s="20"/>
      <c r="LK8" s="20"/>
      <c r="LR8" s="20"/>
      <c r="LY8" s="20"/>
      <c r="LZ8" s="1"/>
      <c r="MA8" s="1"/>
      <c r="MB8" s="1"/>
      <c r="MC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34"/>
      <c r="MQ8" s="1"/>
      <c r="MR8" s="1"/>
      <c r="MS8" s="1"/>
      <c r="MT8" s="20"/>
    </row>
    <row r="9" spans="1:367">
      <c r="A9" s="13">
        <f>+SUM(C9:NC9)</f>
        <v>1114121.5169945168</v>
      </c>
      <c r="B9" s="14" t="s">
        <v>427</v>
      </c>
      <c r="C9" s="7"/>
      <c r="D9" s="7">
        <v>3894.9166666666661</v>
      </c>
      <c r="E9" s="7">
        <v>3848.5000000000005</v>
      </c>
      <c r="F9" s="7"/>
      <c r="G9" s="7">
        <v>3985.1666666666661</v>
      </c>
      <c r="H9" s="7">
        <v>4219.833333333333</v>
      </c>
      <c r="I9" s="7">
        <v>4204.0833333333339</v>
      </c>
      <c r="J9" s="7">
        <v>4224.8333333333339</v>
      </c>
      <c r="K9" s="7">
        <v>3975.0000000000005</v>
      </c>
      <c r="L9" s="7">
        <v>3399.4166666666665</v>
      </c>
      <c r="M9" s="7"/>
      <c r="N9" s="7">
        <v>3994.0449072273768</v>
      </c>
      <c r="O9" s="7">
        <v>4176.8138009764589</v>
      </c>
      <c r="P9" s="7">
        <v>3613.8607737948714</v>
      </c>
      <c r="Q9" s="7">
        <v>4025.0435387274529</v>
      </c>
      <c r="R9" s="7">
        <v>4074.187793347859</v>
      </c>
      <c r="S9" s="7">
        <v>4038.1995137763943</v>
      </c>
      <c r="U9" s="7">
        <v>3709.6666666666665</v>
      </c>
      <c r="V9" s="7">
        <v>4002.25</v>
      </c>
      <c r="W9" s="7">
        <v>4010.416666666667</v>
      </c>
      <c r="X9" s="7">
        <v>4018.3333333333326</v>
      </c>
      <c r="Y9" s="7">
        <v>4020.7500000000005</v>
      </c>
      <c r="Z9" s="7">
        <v>3871.4166666666674</v>
      </c>
      <c r="AB9" s="7">
        <v>3907.666666666667</v>
      </c>
      <c r="AC9" s="7">
        <v>3993.833333333333</v>
      </c>
      <c r="AD9" s="7">
        <v>4189.625</v>
      </c>
      <c r="AE9" s="7">
        <v>3994.7916666666665</v>
      </c>
      <c r="AF9" s="7">
        <v>3845.458333333333</v>
      </c>
      <c r="AG9" s="7">
        <v>3867.6666666666661</v>
      </c>
      <c r="AI9" s="7">
        <v>4194.25</v>
      </c>
      <c r="AJ9" s="7">
        <v>4099</v>
      </c>
      <c r="AK9" s="7">
        <v>4026.0833333333335</v>
      </c>
      <c r="AL9" s="7">
        <v>4044.2499999999995</v>
      </c>
      <c r="AM9" s="7">
        <v>4067.333333333333</v>
      </c>
      <c r="AN9" s="7">
        <v>3770.3333333333335</v>
      </c>
      <c r="AP9" s="7">
        <v>4069.4166666666665</v>
      </c>
      <c r="AQ9" s="7">
        <v>4067.6666666666661</v>
      </c>
      <c r="AR9" s="7">
        <v>4065.75</v>
      </c>
      <c r="AS9" s="7">
        <v>3993.666666666667</v>
      </c>
      <c r="AT9" s="7">
        <v>4095.6666666666665</v>
      </c>
      <c r="AU9" s="7">
        <v>3879.3333333333335</v>
      </c>
      <c r="AW9" s="7">
        <v>4073.4166666666665</v>
      </c>
      <c r="AX9" s="7">
        <v>4139.5833333333339</v>
      </c>
      <c r="AY9" s="7">
        <v>4062.3333333333335</v>
      </c>
      <c r="AZ9" s="7">
        <v>3993.6666666666665</v>
      </c>
      <c r="BA9" s="7">
        <v>3934.25</v>
      </c>
      <c r="BB9" s="7">
        <v>4040.333333333333</v>
      </c>
      <c r="BD9" s="7">
        <v>3987.4999999999995</v>
      </c>
      <c r="BE9" s="7">
        <v>4035.916666666667</v>
      </c>
      <c r="BF9" s="7">
        <v>4126.833333333333</v>
      </c>
      <c r="BG9" s="7">
        <v>4117.25</v>
      </c>
      <c r="BH9" s="7">
        <v>4422.9166666666661</v>
      </c>
      <c r="BI9" s="7">
        <v>4088.833333333333</v>
      </c>
      <c r="BK9" s="7">
        <v>5709.916666666667</v>
      </c>
      <c r="BL9" s="7">
        <v>5618.75</v>
      </c>
      <c r="BM9" s="7">
        <v>4850.333333333333</v>
      </c>
      <c r="BN9" s="7">
        <v>4671.75</v>
      </c>
      <c r="BO9" s="7">
        <v>4645.75</v>
      </c>
      <c r="BP9" s="7">
        <v>5114.25</v>
      </c>
      <c r="BR9" s="7">
        <v>5787.25</v>
      </c>
      <c r="BS9" s="7">
        <v>5950.0833333333339</v>
      </c>
      <c r="BT9" s="7">
        <v>6018.833333333333</v>
      </c>
      <c r="BU9" s="7">
        <v>5827.5</v>
      </c>
      <c r="BV9" s="7">
        <v>5880</v>
      </c>
      <c r="BW9" s="7">
        <v>5520.416666666667</v>
      </c>
      <c r="BX9" s="7">
        <v>4250.25</v>
      </c>
      <c r="BY9" s="7">
        <v>5287.166666666667</v>
      </c>
      <c r="BZ9" s="7">
        <v>4290.6666666666661</v>
      </c>
      <c r="CA9" s="7">
        <v>4149.416666666667</v>
      </c>
      <c r="CB9" s="7">
        <v>1315</v>
      </c>
      <c r="CF9" s="7">
        <v>4476.916666666667</v>
      </c>
      <c r="CG9" s="7">
        <v>4569.2500000000009</v>
      </c>
      <c r="CH9" s="7">
        <v>4595</v>
      </c>
      <c r="CI9" s="7">
        <v>4358.75</v>
      </c>
      <c r="CJ9" s="7">
        <v>4002.3333333333335</v>
      </c>
      <c r="CK9" s="7">
        <v>3928.9166666666661</v>
      </c>
      <c r="CM9" s="7">
        <v>4098.75</v>
      </c>
      <c r="CN9" s="7">
        <v>4021.0833333333335</v>
      </c>
      <c r="CO9" s="7">
        <v>3995.6666666666665</v>
      </c>
      <c r="CP9" s="7">
        <v>4143.75</v>
      </c>
      <c r="CQ9" s="7">
        <v>4136.5833333333339</v>
      </c>
      <c r="CR9" s="7">
        <v>3467.666666666667</v>
      </c>
      <c r="CT9" s="7">
        <v>4392.75</v>
      </c>
      <c r="CU9" s="7">
        <v>4303.3333333333339</v>
      </c>
      <c r="CV9" s="7">
        <v>4470.25</v>
      </c>
      <c r="CW9" s="7">
        <v>4571.083333333333</v>
      </c>
      <c r="CX9" s="7">
        <v>4292.333333333333</v>
      </c>
      <c r="CY9" s="7">
        <v>3895.916666666667</v>
      </c>
      <c r="DA9" s="7">
        <v>4031.583333333333</v>
      </c>
      <c r="DB9" s="7">
        <v>4157</v>
      </c>
      <c r="DC9" s="7">
        <v>3984.25</v>
      </c>
      <c r="DD9" s="7">
        <v>3986.25</v>
      </c>
      <c r="DE9" s="7">
        <v>4091.916666666667</v>
      </c>
      <c r="DF9" s="7">
        <v>3992</v>
      </c>
      <c r="DG9" s="7">
        <v>3433.666666666667</v>
      </c>
      <c r="DH9" s="7">
        <v>3939.5833333333335</v>
      </c>
      <c r="DI9" s="7">
        <v>4202.416666666667</v>
      </c>
      <c r="DJ9" s="7">
        <v>4359.25</v>
      </c>
      <c r="DK9" s="46">
        <v>3953.75</v>
      </c>
      <c r="DL9" s="46">
        <v>3878.9166666666665</v>
      </c>
      <c r="DM9" s="7">
        <v>3654.0833333333335</v>
      </c>
      <c r="DO9" s="7">
        <v>3771.75</v>
      </c>
      <c r="DP9" s="7">
        <v>3999.083333333333</v>
      </c>
      <c r="DQ9" s="7">
        <v>3949.416666666667</v>
      </c>
      <c r="DR9" s="7">
        <v>3895.916666666667</v>
      </c>
      <c r="DS9" s="7"/>
      <c r="DT9" s="7">
        <v>3838.4166666666665</v>
      </c>
      <c r="DU9" s="7">
        <v>3527.3333333333335</v>
      </c>
      <c r="DV9" s="7">
        <v>3744</v>
      </c>
      <c r="DW9" s="7">
        <v>4384.083333333333</v>
      </c>
      <c r="DX9" s="7">
        <v>4321.9166666666661</v>
      </c>
      <c r="DY9" s="7">
        <v>4123.416666666667</v>
      </c>
      <c r="DZ9" s="7">
        <v>4279.9999999999991</v>
      </c>
      <c r="EA9" s="7">
        <v>3688.9166666666665</v>
      </c>
      <c r="EC9" s="7">
        <v>4982.833333333333</v>
      </c>
      <c r="ED9" s="7">
        <v>4993.25</v>
      </c>
      <c r="EE9" s="7">
        <v>5049.1666666666661</v>
      </c>
      <c r="EF9" s="7">
        <v>5281.666666666667</v>
      </c>
      <c r="EG9" s="7">
        <v>5230.083333333333</v>
      </c>
      <c r="EH9" s="7">
        <v>5227.4166666666661</v>
      </c>
      <c r="EI9" s="7">
        <v>5229.1666666666661</v>
      </c>
      <c r="EJ9" s="7">
        <v>5407.333333333333</v>
      </c>
      <c r="EK9" s="7">
        <v>5060.75</v>
      </c>
      <c r="EL9" s="7">
        <v>5457.3333333333339</v>
      </c>
      <c r="EM9" s="7">
        <v>5177.083333333333</v>
      </c>
      <c r="EN9" s="7">
        <v>4890.25</v>
      </c>
      <c r="EO9" s="7">
        <v>4760</v>
      </c>
      <c r="EP9" s="7"/>
      <c r="EQ9" s="7">
        <v>4302</v>
      </c>
      <c r="ER9" s="7">
        <v>1374.25</v>
      </c>
      <c r="ES9" s="7"/>
      <c r="ET9" s="7"/>
      <c r="EU9" s="7"/>
      <c r="EV9" s="7">
        <v>4147.333333333333</v>
      </c>
      <c r="EW9" s="7"/>
      <c r="EX9" s="7">
        <v>4264.1666666666661</v>
      </c>
      <c r="EY9" s="7">
        <v>4715.333333333333</v>
      </c>
      <c r="EZ9" s="7">
        <v>4665.3333333333339</v>
      </c>
      <c r="FA9" s="7">
        <v>4471.5</v>
      </c>
      <c r="FB9" s="7">
        <v>4616.25</v>
      </c>
      <c r="FC9" s="7">
        <v>4117.916666666667</v>
      </c>
      <c r="FE9" s="7">
        <v>4377.9166666666661</v>
      </c>
      <c r="FF9" s="7">
        <v>4546.25</v>
      </c>
      <c r="FG9" s="7">
        <v>4577.666666666667</v>
      </c>
      <c r="FH9" s="7">
        <v>4719.333333333333</v>
      </c>
      <c r="FI9" s="7">
        <v>5170.4916666666668</v>
      </c>
      <c r="FJ9" s="7">
        <v>4566.0833333333339</v>
      </c>
      <c r="FK9" s="7">
        <v>3474.583333333333</v>
      </c>
      <c r="FL9" s="7">
        <v>4445.583333333333</v>
      </c>
      <c r="FM9" s="7">
        <v>4607.166666666667</v>
      </c>
      <c r="FN9" s="7">
        <v>4292.9166666666661</v>
      </c>
      <c r="FO9" s="7">
        <v>4036.4166666666665</v>
      </c>
      <c r="FP9" s="7">
        <v>4083.1666666666665</v>
      </c>
      <c r="FQ9" s="7">
        <v>3508.333333333333</v>
      </c>
      <c r="FS9" s="7">
        <v>4200.666666666667</v>
      </c>
      <c r="FT9" s="7">
        <v>4464</v>
      </c>
      <c r="FU9" s="7">
        <v>4374.416666666667</v>
      </c>
      <c r="FV9" s="7">
        <v>4474.5000000000009</v>
      </c>
      <c r="FW9" s="7">
        <v>4376.5</v>
      </c>
      <c r="FX9" s="7">
        <v>4115.2499999999991</v>
      </c>
      <c r="FY9" s="7">
        <v>3194.916666666667</v>
      </c>
      <c r="FZ9" s="7">
        <v>4242.25</v>
      </c>
      <c r="GA9" s="7">
        <v>4267.666666666667</v>
      </c>
      <c r="GB9" s="7">
        <v>4361.6666666666661</v>
      </c>
      <c r="GC9" s="7">
        <v>4539</v>
      </c>
      <c r="GD9" s="7">
        <v>4403.5833333333339</v>
      </c>
      <c r="GE9" s="7">
        <v>4091.0833333333339</v>
      </c>
      <c r="GG9" s="7">
        <v>4140.416666666667</v>
      </c>
      <c r="GH9" s="7">
        <v>4631.3333333333339</v>
      </c>
      <c r="GI9" s="7">
        <v>4707.9166666666661</v>
      </c>
      <c r="GJ9" s="7">
        <v>4668.166666666667</v>
      </c>
      <c r="GK9" s="7">
        <v>4529.583333333333</v>
      </c>
      <c r="GL9" s="7">
        <v>4054.833333333333</v>
      </c>
      <c r="GM9" s="7">
        <v>3522.9166666666661</v>
      </c>
      <c r="GN9" s="7">
        <v>3992.333333333333</v>
      </c>
      <c r="GO9" s="7">
        <v>3854.5</v>
      </c>
      <c r="GP9" s="7">
        <v>3695.6666666666661</v>
      </c>
      <c r="GQ9" s="7">
        <v>3932.3333333333335</v>
      </c>
      <c r="GR9" s="7">
        <v>3982.3333333333335</v>
      </c>
      <c r="GS9" s="7">
        <v>3536.833333333333</v>
      </c>
      <c r="GU9" s="7">
        <v>4075.5</v>
      </c>
      <c r="GV9" s="7">
        <v>4075.583333333333</v>
      </c>
      <c r="GW9" s="7">
        <v>4074.8333333333335</v>
      </c>
      <c r="GX9" s="7">
        <v>4095.4166666666665</v>
      </c>
      <c r="GY9" s="7">
        <v>4170.333333333333</v>
      </c>
      <c r="GZ9" s="7">
        <v>3876.916666666667</v>
      </c>
      <c r="HA9" s="7">
        <v>3248.833333333333</v>
      </c>
      <c r="HB9" s="7">
        <v>3986.333333333333</v>
      </c>
      <c r="HC9" s="7">
        <v>4195.5</v>
      </c>
      <c r="HD9" s="7">
        <v>4133.6666666666661</v>
      </c>
      <c r="HE9" s="7">
        <v>4335.8333333333339</v>
      </c>
      <c r="HF9" s="7">
        <v>4404</v>
      </c>
      <c r="HG9" s="7">
        <v>4249.6666666666661</v>
      </c>
      <c r="HI9" s="7">
        <v>4163.1666666666661</v>
      </c>
      <c r="HJ9" s="7">
        <v>4161.583333333333</v>
      </c>
      <c r="HK9" s="7">
        <v>4247.083333333333</v>
      </c>
      <c r="HL9" s="7">
        <v>4324.583333333333</v>
      </c>
      <c r="HM9" s="7">
        <v>4201.583333333333</v>
      </c>
      <c r="HN9" s="7">
        <v>4041</v>
      </c>
      <c r="HO9" s="7">
        <v>3121.5</v>
      </c>
      <c r="HP9" s="7">
        <v>4342</v>
      </c>
      <c r="HQ9" s="7">
        <v>4616.9166666666661</v>
      </c>
      <c r="HR9" s="7">
        <v>4954.6666666666661</v>
      </c>
      <c r="HS9" s="7">
        <v>5170</v>
      </c>
      <c r="HT9" s="7">
        <v>5472.25</v>
      </c>
      <c r="HU9" s="7">
        <v>5061.166666666667</v>
      </c>
      <c r="HV9" s="20"/>
      <c r="HW9" s="7">
        <v>5473.0833333333339</v>
      </c>
      <c r="HX9" s="7">
        <v>5154</v>
      </c>
      <c r="HY9" s="7">
        <v>5262.1666666666661</v>
      </c>
      <c r="HZ9" s="7">
        <v>5225.5</v>
      </c>
      <c r="IA9" s="7">
        <v>5147.75</v>
      </c>
      <c r="IB9" s="7">
        <v>4747</v>
      </c>
      <c r="IC9" s="7">
        <v>3675</v>
      </c>
      <c r="ID9" s="7">
        <v>4432.583333333333</v>
      </c>
      <c r="IE9" s="7">
        <v>4648</v>
      </c>
      <c r="IF9" s="7">
        <v>4772.25</v>
      </c>
      <c r="IG9" s="7">
        <v>4871.2499999999991</v>
      </c>
      <c r="IH9" s="7">
        <v>4537.666666666667</v>
      </c>
      <c r="II9" s="7">
        <v>4252.4166666666661</v>
      </c>
      <c r="IK9" s="7">
        <v>4458.5</v>
      </c>
      <c r="IL9" s="7">
        <v>4659.75</v>
      </c>
      <c r="IM9" s="7">
        <v>4909.416666666667</v>
      </c>
      <c r="IN9" s="7">
        <v>5583</v>
      </c>
      <c r="IO9" s="7">
        <v>5203.166666666667</v>
      </c>
      <c r="IP9" s="7">
        <v>4913.166666666667</v>
      </c>
      <c r="IQ9" s="7">
        <v>3596.5</v>
      </c>
      <c r="IR9" s="7">
        <v>5348.083333333333</v>
      </c>
      <c r="IS9" s="7">
        <v>5503.416666666667</v>
      </c>
      <c r="IT9" s="7">
        <v>5608.4999999999991</v>
      </c>
      <c r="IU9" s="7">
        <v>5374.4166666666661</v>
      </c>
      <c r="IV9" s="7">
        <v>5515.583333333333</v>
      </c>
      <c r="IW9" s="7">
        <v>4944.3333333333339</v>
      </c>
      <c r="IY9" s="7">
        <v>5840.6666666666661</v>
      </c>
      <c r="IZ9" s="7">
        <v>5829.916666666667</v>
      </c>
      <c r="JA9" s="7">
        <v>5765.3333333333339</v>
      </c>
      <c r="JB9" s="7">
        <v>6059.6666666666661</v>
      </c>
      <c r="JC9" s="7">
        <v>5897.8333333333339</v>
      </c>
      <c r="JD9" s="7">
        <v>5750.0833333333339</v>
      </c>
      <c r="JF9" s="7">
        <v>5767.0833333333339</v>
      </c>
      <c r="JG9" s="7">
        <v>5695.9166666666661</v>
      </c>
      <c r="JH9" s="7">
        <v>6156.4166666666661</v>
      </c>
      <c r="JI9" s="7">
        <v>6094.5</v>
      </c>
      <c r="JJ9" s="7">
        <v>6185.25</v>
      </c>
      <c r="JK9" s="7">
        <v>5946</v>
      </c>
      <c r="JM9" s="7">
        <v>6249.9166666666679</v>
      </c>
      <c r="JN9" s="7">
        <v>6313.0000000000009</v>
      </c>
      <c r="JO9" s="7">
        <v>6446.5000000000009</v>
      </c>
      <c r="JP9" s="7">
        <v>6467.833333333333</v>
      </c>
      <c r="JQ9" s="7">
        <v>6340.083333333333</v>
      </c>
      <c r="JR9" s="7">
        <v>5774.6666666666661</v>
      </c>
      <c r="JT9" s="47">
        <v>6522.333333333333</v>
      </c>
      <c r="JU9" s="47">
        <v>6602.3333333333339</v>
      </c>
      <c r="JV9" s="47">
        <v>6567.333333333333</v>
      </c>
      <c r="JW9" s="7">
        <v>6539.25</v>
      </c>
      <c r="JX9" s="7">
        <v>6319.75</v>
      </c>
      <c r="JY9" s="7">
        <v>5894.5</v>
      </c>
      <c r="KU9" s="36"/>
      <c r="LE9" s="20"/>
      <c r="LF9" s="20"/>
      <c r="LY9" s="20"/>
      <c r="LZ9" s="62"/>
      <c r="MA9" s="62"/>
      <c r="MB9" s="62"/>
      <c r="MC9" s="62"/>
      <c r="MF9"/>
      <c r="MG9"/>
      <c r="MH9"/>
      <c r="MI9"/>
      <c r="MJ9"/>
      <c r="MK9"/>
      <c r="ML9"/>
      <c r="MM9" s="62"/>
      <c r="MN9" s="62"/>
      <c r="MO9" s="62"/>
      <c r="MP9" s="34"/>
      <c r="MQ9" s="62"/>
      <c r="MR9" s="62"/>
      <c r="MS9" s="62"/>
    </row>
    <row r="10" spans="1:367">
      <c r="A10" s="15">
        <f>+SUM(C10:NC10)</f>
        <v>39691639</v>
      </c>
      <c r="B10" s="16" t="s">
        <v>423</v>
      </c>
      <c r="C10" s="7"/>
      <c r="D10" s="7">
        <v>164483</v>
      </c>
      <c r="E10" s="7">
        <v>162693</v>
      </c>
      <c r="F10" s="7"/>
      <c r="G10" s="7">
        <v>134660</v>
      </c>
      <c r="H10" s="7">
        <v>147684</v>
      </c>
      <c r="I10" s="7">
        <v>173938</v>
      </c>
      <c r="J10" s="7">
        <v>182336</v>
      </c>
      <c r="K10" s="7">
        <v>143853</v>
      </c>
      <c r="L10" s="7">
        <v>129090</v>
      </c>
      <c r="M10" s="7"/>
      <c r="N10" s="8">
        <v>146301</v>
      </c>
      <c r="O10" s="8">
        <v>137664</v>
      </c>
      <c r="P10" s="8">
        <v>167516</v>
      </c>
      <c r="Q10" s="8">
        <v>150454</v>
      </c>
      <c r="R10" s="8">
        <v>116979</v>
      </c>
      <c r="S10" s="8">
        <v>109338</v>
      </c>
      <c r="U10" s="7">
        <v>128127</v>
      </c>
      <c r="V10" s="7">
        <v>131650</v>
      </c>
      <c r="W10" s="7">
        <v>137273</v>
      </c>
      <c r="X10" s="7">
        <v>132714</v>
      </c>
      <c r="Y10" s="7">
        <v>168501</v>
      </c>
      <c r="Z10" s="7">
        <v>140943</v>
      </c>
      <c r="AB10" s="7">
        <v>137982</v>
      </c>
      <c r="AC10" s="7">
        <v>144881</v>
      </c>
      <c r="AD10" s="7">
        <v>179820</v>
      </c>
      <c r="AE10" s="7">
        <v>160514</v>
      </c>
      <c r="AF10" s="7">
        <v>102208</v>
      </c>
      <c r="AG10" s="7">
        <v>97072</v>
      </c>
      <c r="AI10" s="7">
        <v>123248</v>
      </c>
      <c r="AJ10" s="7">
        <v>142502</v>
      </c>
      <c r="AK10" s="7">
        <v>118768</v>
      </c>
      <c r="AL10" s="7">
        <v>153940</v>
      </c>
      <c r="AM10" s="7">
        <v>137928</v>
      </c>
      <c r="AN10" s="7">
        <v>77314</v>
      </c>
      <c r="AP10" s="7">
        <v>131983</v>
      </c>
      <c r="AQ10" s="7">
        <v>136092</v>
      </c>
      <c r="AR10" s="7">
        <v>144175</v>
      </c>
      <c r="AS10" s="7">
        <v>112178</v>
      </c>
      <c r="AT10" s="7">
        <v>102963</v>
      </c>
      <c r="AU10" s="7">
        <v>98509</v>
      </c>
      <c r="AW10" s="7">
        <v>124046</v>
      </c>
      <c r="AX10" s="7">
        <v>126422</v>
      </c>
      <c r="AY10" s="7">
        <v>142892</v>
      </c>
      <c r="AZ10" s="7">
        <v>130156</v>
      </c>
      <c r="BA10" s="7">
        <v>138303</v>
      </c>
      <c r="BB10" s="7">
        <v>135570</v>
      </c>
      <c r="BD10" s="7">
        <v>139111</v>
      </c>
      <c r="BE10" s="7">
        <v>154719</v>
      </c>
      <c r="BF10" s="7">
        <v>170958</v>
      </c>
      <c r="BG10" s="7">
        <v>171665</v>
      </c>
      <c r="BH10" s="7">
        <v>165417</v>
      </c>
      <c r="BI10" s="7">
        <v>143140</v>
      </c>
      <c r="BK10" s="7">
        <v>170506</v>
      </c>
      <c r="BL10" s="7">
        <v>200581</v>
      </c>
      <c r="BM10" s="7">
        <v>187064</v>
      </c>
      <c r="BN10" s="7">
        <v>171305</v>
      </c>
      <c r="BO10" s="7">
        <v>161416</v>
      </c>
      <c r="BP10" s="7">
        <v>188394</v>
      </c>
      <c r="BR10" s="7">
        <v>204914</v>
      </c>
      <c r="BS10" s="7">
        <v>225421</v>
      </c>
      <c r="BT10" s="7">
        <v>227633</v>
      </c>
      <c r="BU10" s="7">
        <v>240083</v>
      </c>
      <c r="BV10" s="7">
        <v>236877</v>
      </c>
      <c r="BW10" s="7">
        <v>226868</v>
      </c>
      <c r="BX10" s="7">
        <v>161107</v>
      </c>
      <c r="BY10" s="7">
        <v>196826</v>
      </c>
      <c r="BZ10" s="7">
        <v>183886</v>
      </c>
      <c r="CA10" s="7">
        <v>129772</v>
      </c>
      <c r="CB10" s="7">
        <v>23290</v>
      </c>
      <c r="CF10" s="7">
        <v>140064</v>
      </c>
      <c r="CG10" s="7">
        <v>194351</v>
      </c>
      <c r="CH10" s="7">
        <v>197964</v>
      </c>
      <c r="CI10" s="7">
        <v>178113</v>
      </c>
      <c r="CJ10" s="7">
        <v>152426</v>
      </c>
      <c r="CK10" s="7">
        <v>146438</v>
      </c>
      <c r="CM10" s="7">
        <v>137391</v>
      </c>
      <c r="CN10" s="7">
        <v>150863</v>
      </c>
      <c r="CO10" s="7">
        <v>166578</v>
      </c>
      <c r="CP10" s="7">
        <v>157347</v>
      </c>
      <c r="CQ10" s="7">
        <v>156080</v>
      </c>
      <c r="CR10" s="7">
        <v>126619</v>
      </c>
      <c r="CT10" s="7">
        <v>141815</v>
      </c>
      <c r="CU10" s="7">
        <v>142688</v>
      </c>
      <c r="CV10" s="7">
        <v>173757</v>
      </c>
      <c r="CW10" s="7">
        <v>180019</v>
      </c>
      <c r="CX10" s="7">
        <v>159246</v>
      </c>
      <c r="CY10" s="7">
        <v>156817</v>
      </c>
      <c r="DA10" s="7">
        <v>134647</v>
      </c>
      <c r="DB10" s="7">
        <v>144859</v>
      </c>
      <c r="DC10" s="7">
        <v>158487</v>
      </c>
      <c r="DD10" s="7">
        <v>159831</v>
      </c>
      <c r="DE10" s="7">
        <v>159905</v>
      </c>
      <c r="DF10" s="7">
        <v>165381</v>
      </c>
      <c r="DG10" s="7">
        <v>162633</v>
      </c>
      <c r="DH10" s="7">
        <v>139615</v>
      </c>
      <c r="DI10" s="7">
        <v>172042</v>
      </c>
      <c r="DJ10" s="7">
        <v>185298</v>
      </c>
      <c r="DK10" s="7">
        <v>190087</v>
      </c>
      <c r="DL10" s="19">
        <v>143120</v>
      </c>
      <c r="DM10" s="7">
        <v>109755</v>
      </c>
      <c r="DO10" s="7">
        <v>140579</v>
      </c>
      <c r="DP10" s="7">
        <v>152369</v>
      </c>
      <c r="DQ10" s="7">
        <v>162660</v>
      </c>
      <c r="DR10" s="7">
        <v>163354</v>
      </c>
      <c r="DS10" s="7"/>
      <c r="DT10" s="7">
        <v>157855</v>
      </c>
      <c r="DU10" s="7">
        <v>161947</v>
      </c>
      <c r="DV10" s="7">
        <v>146189</v>
      </c>
      <c r="DW10" s="7">
        <v>165619</v>
      </c>
      <c r="DX10" s="7">
        <v>180758</v>
      </c>
      <c r="DY10" s="7">
        <v>185689</v>
      </c>
      <c r="DZ10" s="7">
        <v>156073</v>
      </c>
      <c r="EA10" s="7">
        <v>173745</v>
      </c>
      <c r="EC10" s="7">
        <v>186558</v>
      </c>
      <c r="ED10" s="7">
        <v>198380</v>
      </c>
      <c r="EE10" s="7">
        <v>206610</v>
      </c>
      <c r="EF10" s="7">
        <v>214239</v>
      </c>
      <c r="EG10" s="7">
        <v>189470</v>
      </c>
      <c r="EH10" s="7">
        <v>215173</v>
      </c>
      <c r="EI10" s="7">
        <v>227177</v>
      </c>
      <c r="EJ10" s="7">
        <v>213725</v>
      </c>
      <c r="EK10" s="7">
        <v>213273</v>
      </c>
      <c r="EL10" s="7">
        <v>208345</v>
      </c>
      <c r="EM10" s="7">
        <v>220286</v>
      </c>
      <c r="EN10" s="7">
        <v>222436</v>
      </c>
      <c r="EO10" s="7">
        <v>227296</v>
      </c>
      <c r="EP10" s="7"/>
      <c r="EQ10" s="7">
        <v>161649</v>
      </c>
      <c r="ER10" s="7">
        <v>50260</v>
      </c>
      <c r="ES10" s="7"/>
      <c r="ET10" s="7"/>
      <c r="EU10" s="7"/>
      <c r="EV10" s="7">
        <v>151872</v>
      </c>
      <c r="EW10" s="7"/>
      <c r="EX10" s="7">
        <v>166644</v>
      </c>
      <c r="EY10" s="7">
        <v>189569</v>
      </c>
      <c r="EZ10" s="7">
        <v>189106</v>
      </c>
      <c r="FA10" s="7">
        <v>181150</v>
      </c>
      <c r="FB10" s="7">
        <v>183620</v>
      </c>
      <c r="FC10" s="7">
        <v>172881</v>
      </c>
      <c r="FE10" s="7">
        <v>169602</v>
      </c>
      <c r="FF10" s="7">
        <v>174047</v>
      </c>
      <c r="FG10" s="7">
        <v>188469</v>
      </c>
      <c r="FH10" s="7">
        <v>194652</v>
      </c>
      <c r="FI10" s="7">
        <v>181625</v>
      </c>
      <c r="FJ10" s="7">
        <v>193580</v>
      </c>
      <c r="FK10" s="7">
        <v>160524</v>
      </c>
      <c r="FL10" s="7">
        <v>160778</v>
      </c>
      <c r="FM10" s="7">
        <v>167775</v>
      </c>
      <c r="FN10" s="7">
        <v>175553</v>
      </c>
      <c r="FO10" s="7">
        <v>173585</v>
      </c>
      <c r="FP10" s="7">
        <v>169932</v>
      </c>
      <c r="FQ10" s="7">
        <v>156860</v>
      </c>
      <c r="FS10" s="7">
        <v>148356</v>
      </c>
      <c r="FT10" s="7">
        <v>179655</v>
      </c>
      <c r="FU10" s="7">
        <v>163397</v>
      </c>
      <c r="FV10" s="7">
        <v>170350</v>
      </c>
      <c r="FW10" s="7">
        <v>155389</v>
      </c>
      <c r="FX10" s="7">
        <v>169485</v>
      </c>
      <c r="FY10" s="7">
        <v>150959</v>
      </c>
      <c r="FZ10" s="7">
        <v>161920</v>
      </c>
      <c r="GA10" s="7">
        <v>189186</v>
      </c>
      <c r="GB10" s="7">
        <v>174062</v>
      </c>
      <c r="GC10" s="7">
        <v>154137</v>
      </c>
      <c r="GD10" s="7">
        <v>138736</v>
      </c>
      <c r="GE10" s="7">
        <v>146611</v>
      </c>
      <c r="GG10" s="7">
        <v>148002</v>
      </c>
      <c r="GH10" s="7">
        <v>164947</v>
      </c>
      <c r="GI10" s="7">
        <v>124543</v>
      </c>
      <c r="GJ10" s="7">
        <v>132064</v>
      </c>
      <c r="GK10" s="7">
        <v>175907</v>
      </c>
      <c r="GL10" s="7">
        <v>143468</v>
      </c>
      <c r="GM10" s="7">
        <v>128818</v>
      </c>
      <c r="GN10" s="7">
        <v>150969</v>
      </c>
      <c r="GO10" s="7">
        <v>132618</v>
      </c>
      <c r="GP10" s="7">
        <v>142055</v>
      </c>
      <c r="GQ10" s="7">
        <v>143815</v>
      </c>
      <c r="GR10" s="7">
        <v>144625</v>
      </c>
      <c r="GS10" s="7">
        <v>131045</v>
      </c>
      <c r="GU10" s="7">
        <v>131888</v>
      </c>
      <c r="GV10" s="7">
        <v>133648</v>
      </c>
      <c r="GW10" s="7">
        <v>147108</v>
      </c>
      <c r="GX10" s="7">
        <v>155842</v>
      </c>
      <c r="GY10" s="7">
        <v>140157</v>
      </c>
      <c r="GZ10" s="7">
        <v>144687</v>
      </c>
      <c r="HA10" s="7">
        <v>118866</v>
      </c>
      <c r="HB10" s="7">
        <v>136140</v>
      </c>
      <c r="HC10" s="7">
        <v>129830</v>
      </c>
      <c r="HD10" s="7">
        <v>146201</v>
      </c>
      <c r="HE10" s="7">
        <v>136909</v>
      </c>
      <c r="HF10" s="7">
        <v>139121</v>
      </c>
      <c r="HG10" s="7">
        <v>131146</v>
      </c>
      <c r="HI10" s="7">
        <v>134306</v>
      </c>
      <c r="HJ10" s="7">
        <v>124051</v>
      </c>
      <c r="HK10" s="7">
        <v>149622</v>
      </c>
      <c r="HL10" s="7">
        <v>155809</v>
      </c>
      <c r="HM10" s="7">
        <v>146082</v>
      </c>
      <c r="HN10" s="7">
        <v>149623</v>
      </c>
      <c r="HO10" s="7">
        <v>120912</v>
      </c>
      <c r="HP10" s="7">
        <v>134438</v>
      </c>
      <c r="HQ10" s="7">
        <v>145103</v>
      </c>
      <c r="HR10" s="7">
        <v>149963</v>
      </c>
      <c r="HS10" s="7">
        <v>178642</v>
      </c>
      <c r="HT10" s="7">
        <v>167111</v>
      </c>
      <c r="HU10" s="7">
        <v>159734</v>
      </c>
      <c r="HW10" s="7">
        <v>197899</v>
      </c>
      <c r="HX10" s="7">
        <v>185783</v>
      </c>
      <c r="HY10" s="7">
        <v>173162</v>
      </c>
      <c r="HZ10" s="7">
        <v>141167</v>
      </c>
      <c r="IA10" s="7">
        <v>184301</v>
      </c>
      <c r="IB10" s="7">
        <v>173854</v>
      </c>
      <c r="IC10" s="7">
        <v>147005</v>
      </c>
      <c r="ID10" s="7">
        <v>131016</v>
      </c>
      <c r="IE10" s="7">
        <v>154550</v>
      </c>
      <c r="IF10" s="7">
        <v>143398</v>
      </c>
      <c r="IG10" s="7">
        <v>126968</v>
      </c>
      <c r="IH10" s="7">
        <v>162136</v>
      </c>
      <c r="II10" s="7">
        <v>151488</v>
      </c>
      <c r="IK10" s="7">
        <v>119742</v>
      </c>
      <c r="IL10" s="7">
        <v>149154</v>
      </c>
      <c r="IM10" s="7">
        <v>181767</v>
      </c>
      <c r="IN10" s="7">
        <v>122468</v>
      </c>
      <c r="IO10" s="7">
        <v>126423</v>
      </c>
      <c r="IP10" s="7">
        <v>136542</v>
      </c>
      <c r="IQ10" s="7">
        <v>123563</v>
      </c>
      <c r="IR10" s="7">
        <v>168735</v>
      </c>
      <c r="IS10" s="7">
        <v>170068</v>
      </c>
      <c r="IT10" s="7">
        <v>163215</v>
      </c>
      <c r="IU10" s="7">
        <v>175868</v>
      </c>
      <c r="IV10" s="7">
        <v>180183</v>
      </c>
      <c r="IW10" s="7">
        <v>180638</v>
      </c>
      <c r="IY10" s="7">
        <v>177337</v>
      </c>
      <c r="IZ10" s="7">
        <v>184428</v>
      </c>
      <c r="JA10" s="7">
        <v>206432</v>
      </c>
      <c r="JB10" s="7">
        <v>173620</v>
      </c>
      <c r="JC10" s="7">
        <v>197019</v>
      </c>
      <c r="JD10" s="7">
        <v>204336</v>
      </c>
      <c r="JF10" s="7">
        <v>231763</v>
      </c>
      <c r="JG10" s="7">
        <v>161496</v>
      </c>
      <c r="JH10" s="7">
        <v>187278</v>
      </c>
      <c r="JI10" s="7">
        <v>185131</v>
      </c>
      <c r="JJ10" s="7">
        <v>177559</v>
      </c>
      <c r="JK10" s="7">
        <v>209947</v>
      </c>
      <c r="JM10" s="7">
        <v>190901</v>
      </c>
      <c r="JN10" s="7">
        <v>187295</v>
      </c>
      <c r="JO10" s="7">
        <v>188441</v>
      </c>
      <c r="JP10" s="7">
        <v>188648</v>
      </c>
      <c r="JQ10" s="7">
        <v>169036</v>
      </c>
      <c r="JR10" s="7">
        <v>245071</v>
      </c>
      <c r="JT10" s="7">
        <v>194267</v>
      </c>
      <c r="JU10" s="7">
        <v>201650</v>
      </c>
      <c r="JV10" s="7">
        <v>185079</v>
      </c>
      <c r="JW10" s="7">
        <v>185179</v>
      </c>
      <c r="JX10" s="7">
        <v>198266</v>
      </c>
      <c r="JY10" s="7">
        <v>143919</v>
      </c>
      <c r="KB10" s="20"/>
      <c r="LE10" s="20"/>
      <c r="LY10" s="2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V10" s="7"/>
    </row>
    <row r="11" spans="1:367">
      <c r="A11" s="220">
        <f>+A10/A9</f>
        <v>35.625951383717279</v>
      </c>
      <c r="B11" s="18" t="s">
        <v>424</v>
      </c>
      <c r="C11" s="7" t="str">
        <f>+IFERROR(C10/C9,"")</f>
        <v/>
      </c>
      <c r="D11" s="7">
        <f t="shared" ref="D11:E11" si="14">+IFERROR(D10/D9,"")</f>
        <v>42.230171805130624</v>
      </c>
      <c r="E11" s="7">
        <f t="shared" si="14"/>
        <v>42.274392620501487</v>
      </c>
      <c r="F11" s="7"/>
      <c r="G11" s="7">
        <f t="shared" ref="G11:BO11" si="15">+IFERROR(G10/G9,"")</f>
        <v>33.790305717034009</v>
      </c>
      <c r="H11" s="7">
        <f t="shared" si="15"/>
        <v>34.99759074213042</v>
      </c>
      <c r="I11" s="7">
        <f t="shared" si="15"/>
        <v>41.373585204860348</v>
      </c>
      <c r="J11" s="7">
        <f t="shared" si="15"/>
        <v>43.158152195352869</v>
      </c>
      <c r="K11" s="7">
        <f t="shared" si="15"/>
        <v>36.189433962264147</v>
      </c>
      <c r="L11" s="7">
        <f t="shared" si="15"/>
        <v>37.974162233716569</v>
      </c>
      <c r="M11" s="7"/>
      <c r="N11" s="7">
        <f t="shared" si="15"/>
        <v>36.629783439656059</v>
      </c>
      <c r="O11" s="7">
        <f t="shared" si="15"/>
        <v>32.95909431438308</v>
      </c>
      <c r="P11" s="7">
        <f t="shared" si="15"/>
        <v>46.353750320074859</v>
      </c>
      <c r="Q11" s="7">
        <f t="shared" si="15"/>
        <v>37.379471439846121</v>
      </c>
      <c r="R11" s="7">
        <f t="shared" si="15"/>
        <v>28.712225830875486</v>
      </c>
      <c r="S11" s="7">
        <f t="shared" si="15"/>
        <v>27.075928177147102</v>
      </c>
      <c r="T11" s="7" t="str">
        <f t="shared" si="15"/>
        <v/>
      </c>
      <c r="U11" s="7">
        <f t="shared" si="15"/>
        <v>34.53868272081948</v>
      </c>
      <c r="V11" s="7">
        <f t="shared" si="15"/>
        <v>32.893997126616277</v>
      </c>
      <c r="W11" s="7">
        <f t="shared" si="15"/>
        <v>34.229111688311683</v>
      </c>
      <c r="X11" s="7">
        <f t="shared" si="15"/>
        <v>33.027125673994199</v>
      </c>
      <c r="Y11" s="7">
        <f t="shared" si="15"/>
        <v>41.907853012497661</v>
      </c>
      <c r="Z11" s="7">
        <f t="shared" si="15"/>
        <v>36.406052909141778</v>
      </c>
      <c r="AA11" s="7" t="str">
        <f t="shared" si="15"/>
        <v/>
      </c>
      <c r="AB11" s="7">
        <f t="shared" si="15"/>
        <v>35.310586027467366</v>
      </c>
      <c r="AC11" s="7">
        <f t="shared" si="15"/>
        <v>36.276175770980267</v>
      </c>
      <c r="AD11" s="7">
        <f t="shared" si="15"/>
        <v>42.92030909687621</v>
      </c>
      <c r="AE11" s="7">
        <f t="shared" si="15"/>
        <v>40.180818774445896</v>
      </c>
      <c r="AF11" s="7">
        <f t="shared" si="15"/>
        <v>26.578886348614709</v>
      </c>
      <c r="AG11" s="7">
        <f t="shared" si="15"/>
        <v>25.098336637076621</v>
      </c>
      <c r="AH11" s="7" t="str">
        <f t="shared" si="15"/>
        <v/>
      </c>
      <c r="AI11" s="7">
        <f t="shared" si="15"/>
        <v>29.384991357215235</v>
      </c>
      <c r="AJ11" s="7">
        <f t="shared" si="15"/>
        <v>34.765064649914613</v>
      </c>
      <c r="AK11" s="7">
        <f t="shared" si="15"/>
        <v>29.499637778651707</v>
      </c>
      <c r="AL11" s="7">
        <f t="shared" si="15"/>
        <v>38.063917908141192</v>
      </c>
      <c r="AM11" s="7">
        <f t="shared" si="15"/>
        <v>33.911162104573023</v>
      </c>
      <c r="AN11" s="7">
        <f t="shared" si="15"/>
        <v>20.505879232605427</v>
      </c>
      <c r="AO11" s="7" t="str">
        <f t="shared" si="15"/>
        <v/>
      </c>
      <c r="AP11" s="7">
        <f t="shared" si="15"/>
        <v>32.432903978866754</v>
      </c>
      <c r="AQ11" s="7">
        <f t="shared" si="15"/>
        <v>33.457018765877251</v>
      </c>
      <c r="AR11" s="7">
        <f t="shared" si="15"/>
        <v>35.460862079567114</v>
      </c>
      <c r="AS11" s="7">
        <f t="shared" si="15"/>
        <v>28.088974209164508</v>
      </c>
      <c r="AT11" s="7">
        <f t="shared" si="15"/>
        <v>25.139497029380646</v>
      </c>
      <c r="AU11" s="7">
        <f t="shared" si="15"/>
        <v>25.393280632411066</v>
      </c>
      <c r="AV11" s="7" t="str">
        <f t="shared" si="15"/>
        <v/>
      </c>
      <c r="AW11" s="7">
        <f t="shared" si="15"/>
        <v>30.452568482641517</v>
      </c>
      <c r="AX11" s="7">
        <f t="shared" si="15"/>
        <v>30.539788626069448</v>
      </c>
      <c r="AY11" s="7">
        <f t="shared" si="15"/>
        <v>35.174858455731517</v>
      </c>
      <c r="AZ11" s="7">
        <f t="shared" si="15"/>
        <v>32.590601786161422</v>
      </c>
      <c r="BA11" s="7">
        <f t="shared" si="15"/>
        <v>35.153587087754971</v>
      </c>
      <c r="BB11" s="7">
        <f t="shared" si="15"/>
        <v>33.554162197838465</v>
      </c>
      <c r="BC11" s="7" t="str">
        <f t="shared" si="15"/>
        <v/>
      </c>
      <c r="BD11" s="7">
        <f t="shared" si="15"/>
        <v>34.886771159874613</v>
      </c>
      <c r="BE11" s="7">
        <f t="shared" si="15"/>
        <v>38.335528896780986</v>
      </c>
      <c r="BF11" s="7">
        <f t="shared" si="15"/>
        <v>41.425952102096041</v>
      </c>
      <c r="BG11" s="7">
        <f t="shared" si="15"/>
        <v>41.694091930293276</v>
      </c>
      <c r="BH11" s="7">
        <f t="shared" si="15"/>
        <v>37.399981158737639</v>
      </c>
      <c r="BI11" s="7">
        <f t="shared" si="15"/>
        <v>35.007540863326952</v>
      </c>
      <c r="BJ11" s="7" t="str">
        <f t="shared" si="15"/>
        <v/>
      </c>
      <c r="BK11" s="7">
        <f t="shared" si="15"/>
        <v>29.861381514616383</v>
      </c>
      <c r="BL11" s="7">
        <f t="shared" si="15"/>
        <v>35.698509454949942</v>
      </c>
      <c r="BM11" s="7">
        <f t="shared" si="15"/>
        <v>38.567246237372004</v>
      </c>
      <c r="BN11" s="7">
        <f t="shared" si="15"/>
        <v>36.668272060790926</v>
      </c>
      <c r="BO11" s="7">
        <f t="shared" si="15"/>
        <v>34.744874347521929</v>
      </c>
      <c r="BP11" s="7">
        <f t="shared" ref="BP11:EB11" si="16">+IFERROR(BP10/BP9,"")</f>
        <v>36.83707288458718</v>
      </c>
      <c r="BQ11" s="7" t="str">
        <f t="shared" si="16"/>
        <v/>
      </c>
      <c r="BR11" s="7">
        <f t="shared" si="16"/>
        <v>35.407836191628149</v>
      </c>
      <c r="BS11" s="7">
        <f t="shared" si="16"/>
        <v>37.885351745773868</v>
      </c>
      <c r="BT11" s="7">
        <f t="shared" si="16"/>
        <v>37.820120178329134</v>
      </c>
      <c r="BU11" s="7">
        <f t="shared" si="16"/>
        <v>41.198283998283998</v>
      </c>
      <c r="BV11" s="7">
        <f t="shared" si="16"/>
        <v>40.285204081632656</v>
      </c>
      <c r="BW11" s="7">
        <f t="shared" si="16"/>
        <v>41.096173296097817</v>
      </c>
      <c r="BX11" s="7">
        <f t="shared" si="16"/>
        <v>37.905299688253635</v>
      </c>
      <c r="BY11" s="7">
        <f t="shared" si="16"/>
        <v>37.227122277212118</v>
      </c>
      <c r="BZ11" s="7">
        <f t="shared" si="16"/>
        <v>42.857209446861411</v>
      </c>
      <c r="CA11" s="7">
        <f t="shared" si="16"/>
        <v>31.274757496033576</v>
      </c>
      <c r="CB11" s="7">
        <f t="shared" si="16"/>
        <v>17.711026615969583</v>
      </c>
      <c r="CC11" s="7" t="str">
        <f t="shared" si="16"/>
        <v/>
      </c>
      <c r="CD11" s="7" t="str">
        <f t="shared" si="16"/>
        <v/>
      </c>
      <c r="CE11" s="7" t="str">
        <f t="shared" si="16"/>
        <v/>
      </c>
      <c r="CF11" s="7">
        <f t="shared" si="16"/>
        <v>31.285817992293801</v>
      </c>
      <c r="CG11" s="7">
        <f t="shared" si="16"/>
        <v>42.534551622257474</v>
      </c>
      <c r="CH11" s="7">
        <f t="shared" si="16"/>
        <v>43.082480957562566</v>
      </c>
      <c r="CI11" s="7">
        <f t="shared" si="16"/>
        <v>40.863320906223116</v>
      </c>
      <c r="CJ11" s="7">
        <f t="shared" si="16"/>
        <v>38.084284167568917</v>
      </c>
      <c r="CK11" s="7">
        <f t="shared" si="16"/>
        <v>37.271851867563157</v>
      </c>
      <c r="CL11" s="7" t="str">
        <f t="shared" si="16"/>
        <v/>
      </c>
      <c r="CM11" s="7">
        <f t="shared" si="16"/>
        <v>33.520219579139983</v>
      </c>
      <c r="CN11" s="7">
        <f t="shared" si="16"/>
        <v>37.517998880898595</v>
      </c>
      <c r="CO11" s="7">
        <f t="shared" si="16"/>
        <v>41.689663802452657</v>
      </c>
      <c r="CP11" s="7">
        <f t="shared" si="16"/>
        <v>37.972126696832582</v>
      </c>
      <c r="CQ11" s="7">
        <f t="shared" si="16"/>
        <v>37.73162231310058</v>
      </c>
      <c r="CR11" s="7">
        <f t="shared" si="16"/>
        <v>36.514178602326247</v>
      </c>
      <c r="CS11" s="7" t="str">
        <f t="shared" si="16"/>
        <v/>
      </c>
      <c r="CT11" s="7">
        <f t="shared" si="16"/>
        <v>32.283876842524613</v>
      </c>
      <c r="CU11" s="7">
        <f t="shared" si="16"/>
        <v>33.157552285050343</v>
      </c>
      <c r="CV11" s="7">
        <f t="shared" si="16"/>
        <v>38.869638163413683</v>
      </c>
      <c r="CW11" s="7">
        <f t="shared" si="16"/>
        <v>39.382130421307863</v>
      </c>
      <c r="CX11" s="7">
        <f t="shared" si="16"/>
        <v>37.100100955191429</v>
      </c>
      <c r="CY11" s="7">
        <f t="shared" si="16"/>
        <v>40.251630981155479</v>
      </c>
      <c r="CZ11" s="7" t="str">
        <f t="shared" si="16"/>
        <v/>
      </c>
      <c r="DA11" s="7">
        <f t="shared" si="16"/>
        <v>33.39804460613076</v>
      </c>
      <c r="DB11" s="7">
        <f t="shared" si="16"/>
        <v>34.847005051719989</v>
      </c>
      <c r="DC11" s="7">
        <f t="shared" si="16"/>
        <v>39.778377360858379</v>
      </c>
      <c r="DD11" s="7">
        <f t="shared" si="16"/>
        <v>40.095578551269988</v>
      </c>
      <c r="DE11" s="7">
        <f t="shared" si="16"/>
        <v>39.078264057185912</v>
      </c>
      <c r="DF11" s="7">
        <f t="shared" si="16"/>
        <v>41.428106212424851</v>
      </c>
      <c r="DG11" s="7">
        <f t="shared" si="16"/>
        <v>47.364236481894956</v>
      </c>
      <c r="DH11" s="7">
        <f t="shared" si="16"/>
        <v>35.439026969857217</v>
      </c>
      <c r="DI11" s="7">
        <f t="shared" si="16"/>
        <v>40.938824882508079</v>
      </c>
      <c r="DJ11" s="7">
        <f t="shared" si="16"/>
        <v>42.506853243103748</v>
      </c>
      <c r="DK11" s="7">
        <f t="shared" si="16"/>
        <v>48.077647802718936</v>
      </c>
      <c r="DL11" s="7">
        <f t="shared" si="16"/>
        <v>36.896899907620259</v>
      </c>
      <c r="DM11" s="7">
        <f t="shared" si="16"/>
        <v>30.036260804123241</v>
      </c>
      <c r="DN11" s="7" t="str">
        <f t="shared" si="16"/>
        <v/>
      </c>
      <c r="DO11" s="7">
        <f t="shared" si="16"/>
        <v>37.271558295221048</v>
      </c>
      <c r="DP11" s="7">
        <f t="shared" si="16"/>
        <v>38.10098147492134</v>
      </c>
      <c r="DQ11" s="7">
        <f t="shared" si="16"/>
        <v>41.185829130884308</v>
      </c>
      <c r="DR11" s="7">
        <f t="shared" si="16"/>
        <v>41.929541614083121</v>
      </c>
      <c r="DS11" s="7" t="str">
        <f t="shared" si="16"/>
        <v/>
      </c>
      <c r="DT11" s="7">
        <f t="shared" si="16"/>
        <v>41.125029851718374</v>
      </c>
      <c r="DU11" s="7">
        <f t="shared" si="16"/>
        <v>45.912020412020411</v>
      </c>
      <c r="DV11" s="7">
        <f t="shared" si="16"/>
        <v>39.046207264957268</v>
      </c>
      <c r="DW11" s="7">
        <f t="shared" si="16"/>
        <v>37.777338478207156</v>
      </c>
      <c r="DX11" s="7">
        <f t="shared" si="16"/>
        <v>41.823573645951839</v>
      </c>
      <c r="DY11" s="7">
        <f t="shared" si="16"/>
        <v>45.032800468866832</v>
      </c>
      <c r="DZ11" s="7">
        <f t="shared" si="16"/>
        <v>36.465654205607485</v>
      </c>
      <c r="EA11" s="7">
        <f t="shared" si="16"/>
        <v>47.099193530169202</v>
      </c>
      <c r="EB11" s="7" t="str">
        <f t="shared" si="16"/>
        <v/>
      </c>
      <c r="EC11" s="7">
        <f t="shared" ref="EC11:GN11" si="17">+IFERROR(EC10/EC9,"")</f>
        <v>37.440144496103294</v>
      </c>
      <c r="ED11" s="7">
        <f t="shared" si="17"/>
        <v>39.729635007259802</v>
      </c>
      <c r="EE11" s="7">
        <f t="shared" si="17"/>
        <v>40.919623700280582</v>
      </c>
      <c r="EF11" s="7">
        <f t="shared" si="17"/>
        <v>40.562764278952351</v>
      </c>
      <c r="EG11" s="7">
        <f t="shared" si="17"/>
        <v>36.226956230780267</v>
      </c>
      <c r="EH11" s="7">
        <f t="shared" si="17"/>
        <v>41.162396977474536</v>
      </c>
      <c r="EI11" s="7">
        <f t="shared" si="17"/>
        <v>43.444207171314744</v>
      </c>
      <c r="EJ11" s="7">
        <f t="shared" si="17"/>
        <v>39.525027740106033</v>
      </c>
      <c r="EK11" s="7">
        <f t="shared" si="17"/>
        <v>42.142567801215236</v>
      </c>
      <c r="EL11" s="7">
        <f t="shared" si="17"/>
        <v>38.177070608355727</v>
      </c>
      <c r="EM11" s="7">
        <f t="shared" si="17"/>
        <v>42.550213279678069</v>
      </c>
      <c r="EN11" s="7">
        <f t="shared" si="17"/>
        <v>45.48560912018813</v>
      </c>
      <c r="EO11" s="7">
        <f t="shared" si="17"/>
        <v>47.751260504201682</v>
      </c>
      <c r="EP11" s="7" t="str">
        <f t="shared" si="17"/>
        <v/>
      </c>
      <c r="EQ11" s="7">
        <f t="shared" si="17"/>
        <v>37.57531380753138</v>
      </c>
      <c r="ER11" s="7">
        <f t="shared" si="17"/>
        <v>36.57267600509369</v>
      </c>
      <c r="ES11" s="7"/>
      <c r="ET11" s="7"/>
      <c r="EU11" s="7"/>
      <c r="EV11" s="7">
        <f t="shared" si="17"/>
        <v>36.619193055778815</v>
      </c>
      <c r="EW11" s="7" t="str">
        <f t="shared" si="17"/>
        <v/>
      </c>
      <c r="EX11" s="7">
        <f t="shared" si="17"/>
        <v>39.080085987883528</v>
      </c>
      <c r="EY11" s="7">
        <f t="shared" si="17"/>
        <v>40.202672133465292</v>
      </c>
      <c r="EZ11" s="7">
        <f t="shared" si="17"/>
        <v>40.534295513003713</v>
      </c>
      <c r="FA11" s="7">
        <f t="shared" si="17"/>
        <v>40.512132394051214</v>
      </c>
      <c r="FB11" s="7">
        <f t="shared" si="17"/>
        <v>39.776875169239098</v>
      </c>
      <c r="FC11" s="7">
        <f t="shared" si="17"/>
        <v>41.982636851158553</v>
      </c>
      <c r="FD11" s="7" t="str">
        <f t="shared" si="17"/>
        <v/>
      </c>
      <c r="FE11" s="7">
        <f t="shared" si="17"/>
        <v>38.740344532216625</v>
      </c>
      <c r="FF11" s="7">
        <f t="shared" si="17"/>
        <v>38.283640362936488</v>
      </c>
      <c r="FG11" s="7">
        <f t="shared" si="17"/>
        <v>41.171411927473962</v>
      </c>
      <c r="FH11" s="7">
        <f t="shared" si="17"/>
        <v>41.245656166125158</v>
      </c>
      <c r="FI11" s="7">
        <f t="shared" si="17"/>
        <v>35.127220332044502</v>
      </c>
      <c r="FJ11" s="7">
        <f t="shared" si="17"/>
        <v>42.395196466701947</v>
      </c>
      <c r="FK11" s="7">
        <f t="shared" si="17"/>
        <v>46.199496342487116</v>
      </c>
      <c r="FL11" s="7">
        <f t="shared" si="17"/>
        <v>36.165782518229705</v>
      </c>
      <c r="FM11" s="7">
        <f t="shared" si="17"/>
        <v>36.416090872915383</v>
      </c>
      <c r="FN11" s="7">
        <f t="shared" si="17"/>
        <v>40.893642628360681</v>
      </c>
      <c r="FO11" s="7">
        <f t="shared" si="17"/>
        <v>43.004727790738485</v>
      </c>
      <c r="FP11" s="7">
        <f t="shared" si="17"/>
        <v>41.617698681578844</v>
      </c>
      <c r="FQ11" s="7">
        <f t="shared" si="17"/>
        <v>44.710688836104516</v>
      </c>
      <c r="FR11" s="7" t="str">
        <f t="shared" si="17"/>
        <v/>
      </c>
      <c r="FS11" s="7">
        <f t="shared" si="17"/>
        <v>35.317251229963496</v>
      </c>
      <c r="FT11" s="7">
        <f t="shared" si="17"/>
        <v>40.245295698924728</v>
      </c>
      <c r="FU11" s="7">
        <f t="shared" si="17"/>
        <v>37.352866096431903</v>
      </c>
      <c r="FV11" s="7">
        <f t="shared" si="17"/>
        <v>38.071292881886237</v>
      </c>
      <c r="FW11" s="7">
        <f t="shared" si="17"/>
        <v>35.505312464297958</v>
      </c>
      <c r="FX11" s="7">
        <f t="shared" si="17"/>
        <v>41.184618188445427</v>
      </c>
      <c r="FY11" s="7">
        <f t="shared" si="17"/>
        <v>47.249745689767593</v>
      </c>
      <c r="FZ11" s="7">
        <f t="shared" si="17"/>
        <v>38.168424774588956</v>
      </c>
      <c r="GA11" s="7">
        <f t="shared" si="17"/>
        <v>44.330078887760678</v>
      </c>
      <c r="GB11" s="7">
        <f t="shared" si="17"/>
        <v>39.907222009935047</v>
      </c>
      <c r="GC11" s="7">
        <f t="shared" si="17"/>
        <v>33.95836087243886</v>
      </c>
      <c r="GD11" s="7">
        <f t="shared" si="17"/>
        <v>31.505251405105685</v>
      </c>
      <c r="GE11" s="7">
        <f t="shared" si="17"/>
        <v>35.836718065712013</v>
      </c>
      <c r="GF11" s="7" t="str">
        <f t="shared" si="17"/>
        <v/>
      </c>
      <c r="GG11" s="7">
        <f t="shared" si="17"/>
        <v>35.745677769950689</v>
      </c>
      <c r="GH11" s="7">
        <f t="shared" si="17"/>
        <v>35.615445516050087</v>
      </c>
      <c r="GI11" s="7">
        <f t="shared" si="17"/>
        <v>26.453951677139575</v>
      </c>
      <c r="GJ11" s="7">
        <f t="shared" si="17"/>
        <v>28.290335249384125</v>
      </c>
      <c r="GK11" s="7">
        <f t="shared" si="17"/>
        <v>38.83513936160427</v>
      </c>
      <c r="GL11" s="7">
        <f t="shared" si="17"/>
        <v>35.381972132023513</v>
      </c>
      <c r="GM11" s="7">
        <f t="shared" si="17"/>
        <v>36.565724423418104</v>
      </c>
      <c r="GN11" s="7">
        <f t="shared" si="17"/>
        <v>37.814728229105789</v>
      </c>
      <c r="GO11" s="7">
        <f t="shared" ref="GO11:IZ11" si="18">+IFERROR(GO10/GO9,"")</f>
        <v>34.406018938902584</v>
      </c>
      <c r="GP11" s="7">
        <f t="shared" si="18"/>
        <v>38.438261026427355</v>
      </c>
      <c r="GQ11" s="7">
        <f t="shared" si="18"/>
        <v>36.572433669577009</v>
      </c>
      <c r="GR11" s="7">
        <f t="shared" si="18"/>
        <v>36.316648531011971</v>
      </c>
      <c r="GS11" s="7">
        <f t="shared" si="18"/>
        <v>37.051505584091231</v>
      </c>
      <c r="GT11" s="7" t="str">
        <f t="shared" si="18"/>
        <v/>
      </c>
      <c r="GU11" s="7">
        <f t="shared" si="18"/>
        <v>32.361182676972149</v>
      </c>
      <c r="GV11" s="7">
        <f t="shared" si="18"/>
        <v>32.792361011716118</v>
      </c>
      <c r="GW11" s="7">
        <f t="shared" si="18"/>
        <v>36.101599247412977</v>
      </c>
      <c r="GX11" s="7">
        <f t="shared" si="18"/>
        <v>38.052782582154848</v>
      </c>
      <c r="GY11" s="7">
        <f t="shared" si="18"/>
        <v>33.608104867716413</v>
      </c>
      <c r="GZ11" s="7">
        <f t="shared" si="18"/>
        <v>37.320121230359177</v>
      </c>
      <c r="HA11" s="7">
        <f t="shared" si="18"/>
        <v>36.587287744318473</v>
      </c>
      <c r="HB11" s="7">
        <f t="shared" si="18"/>
        <v>34.151684923488588</v>
      </c>
      <c r="HC11" s="7">
        <f t="shared" si="18"/>
        <v>30.945060183529971</v>
      </c>
      <c r="HD11" s="7">
        <f t="shared" si="18"/>
        <v>35.368357390533028</v>
      </c>
      <c r="HE11" s="7">
        <f t="shared" si="18"/>
        <v>31.576167595617907</v>
      </c>
      <c r="HF11" s="7">
        <f t="shared" si="18"/>
        <v>31.58969118982743</v>
      </c>
      <c r="HG11" s="7">
        <f t="shared" si="18"/>
        <v>30.860302768844619</v>
      </c>
      <c r="HH11" s="7" t="str">
        <f t="shared" si="18"/>
        <v/>
      </c>
      <c r="HI11" s="7">
        <f t="shared" si="18"/>
        <v>32.260538852636216</v>
      </c>
      <c r="HJ11" s="7">
        <f t="shared" si="18"/>
        <v>29.808606499929915</v>
      </c>
      <c r="HK11" s="7">
        <f t="shared" si="18"/>
        <v>35.229353477876977</v>
      </c>
      <c r="HL11" s="7">
        <f t="shared" si="18"/>
        <v>36.02867328258985</v>
      </c>
      <c r="HM11" s="7">
        <f t="shared" si="18"/>
        <v>34.768321466113967</v>
      </c>
      <c r="HN11" s="7">
        <f t="shared" si="18"/>
        <v>37.026231130908194</v>
      </c>
      <c r="HO11" s="7">
        <f t="shared" si="18"/>
        <v>38.735223450264293</v>
      </c>
      <c r="HP11" s="7">
        <f t="shared" si="18"/>
        <v>30.962229387379089</v>
      </c>
      <c r="HQ11" s="7">
        <f t="shared" si="18"/>
        <v>31.428550800498172</v>
      </c>
      <c r="HR11" s="7">
        <f t="shared" si="18"/>
        <v>30.267020990312169</v>
      </c>
      <c r="HS11" s="7">
        <f t="shared" si="18"/>
        <v>34.553578336557059</v>
      </c>
      <c r="HT11" s="7">
        <f t="shared" si="18"/>
        <v>30.537895746722096</v>
      </c>
      <c r="HU11" s="7">
        <f t="shared" si="18"/>
        <v>31.560707346790924</v>
      </c>
      <c r="HV11" s="7" t="str">
        <f t="shared" si="18"/>
        <v/>
      </c>
      <c r="HW11" s="7">
        <f t="shared" si="18"/>
        <v>36.158594332871473</v>
      </c>
      <c r="HX11" s="7">
        <f t="shared" si="18"/>
        <v>36.046371750097009</v>
      </c>
      <c r="HY11" s="7">
        <f t="shared" si="18"/>
        <v>32.906977480758883</v>
      </c>
      <c r="HZ11" s="7">
        <f t="shared" si="18"/>
        <v>27.015022485886519</v>
      </c>
      <c r="IA11" s="7">
        <f t="shared" si="18"/>
        <v>35.802243698703315</v>
      </c>
      <c r="IB11" s="7">
        <f t="shared" si="18"/>
        <v>36.623973035601431</v>
      </c>
      <c r="IC11" s="7">
        <f t="shared" si="18"/>
        <v>40.00136054421769</v>
      </c>
      <c r="ID11" s="7">
        <f t="shared" si="18"/>
        <v>29.557481528830067</v>
      </c>
      <c r="IE11" s="7">
        <f t="shared" si="18"/>
        <v>33.250860585197934</v>
      </c>
      <c r="IF11" s="7">
        <f t="shared" si="18"/>
        <v>30.048300068102048</v>
      </c>
      <c r="IG11" s="7">
        <f t="shared" si="18"/>
        <v>26.064767770079552</v>
      </c>
      <c r="IH11" s="7">
        <f t="shared" si="18"/>
        <v>35.731139352089912</v>
      </c>
      <c r="II11" s="7">
        <f t="shared" si="18"/>
        <v>35.623978522016898</v>
      </c>
      <c r="IJ11" s="7" t="str">
        <f t="shared" si="18"/>
        <v/>
      </c>
      <c r="IK11" s="7">
        <f t="shared" si="18"/>
        <v>26.857014691039588</v>
      </c>
      <c r="IL11" s="7">
        <f t="shared" si="18"/>
        <v>32.009013359085785</v>
      </c>
      <c r="IM11" s="7">
        <f t="shared" si="18"/>
        <v>37.024154261368459</v>
      </c>
      <c r="IN11" s="7">
        <f t="shared" si="18"/>
        <v>21.935876768762313</v>
      </c>
      <c r="IO11" s="7">
        <f t="shared" si="18"/>
        <v>24.297318940388866</v>
      </c>
      <c r="IP11" s="7">
        <f t="shared" si="18"/>
        <v>27.791037687845584</v>
      </c>
      <c r="IQ11" s="7">
        <f t="shared" si="18"/>
        <v>34.356457667176421</v>
      </c>
      <c r="IR11" s="7">
        <f t="shared" si="18"/>
        <v>31.550555494959255</v>
      </c>
      <c r="IS11" s="7">
        <f t="shared" si="18"/>
        <v>30.902257688405687</v>
      </c>
      <c r="IT11" s="7">
        <f t="shared" si="18"/>
        <v>29.101364001069811</v>
      </c>
      <c r="IU11" s="7">
        <f t="shared" si="18"/>
        <v>32.723179259764628</v>
      </c>
      <c r="IV11" s="7">
        <f t="shared" si="18"/>
        <v>32.667986160424256</v>
      </c>
      <c r="IW11" s="7">
        <f t="shared" si="18"/>
        <v>36.53434908649632</v>
      </c>
      <c r="IX11" s="7" t="str">
        <f t="shared" si="18"/>
        <v/>
      </c>
      <c r="IY11" s="7">
        <f t="shared" si="18"/>
        <v>30.362458623444816</v>
      </c>
      <c r="IZ11" s="7">
        <f t="shared" si="18"/>
        <v>31.634757500821909</v>
      </c>
      <c r="JA11" s="7">
        <f t="shared" ref="JA11:JZ11" si="19">+IFERROR(JA10/JA9,"")</f>
        <v>35.805735430157256</v>
      </c>
      <c r="JB11" s="7">
        <f t="shared" si="19"/>
        <v>28.651741019858083</v>
      </c>
      <c r="JC11" s="7">
        <f t="shared" si="19"/>
        <v>33.405318337242484</v>
      </c>
      <c r="JD11" s="7">
        <f t="shared" si="19"/>
        <v>35.536180635063253</v>
      </c>
      <c r="JE11" s="7" t="str">
        <f t="shared" si="19"/>
        <v/>
      </c>
      <c r="JF11" s="7">
        <f t="shared" si="19"/>
        <v>40.187211906654142</v>
      </c>
      <c r="JG11" s="7">
        <f t="shared" si="19"/>
        <v>28.352942897689868</v>
      </c>
      <c r="JH11" s="7">
        <f t="shared" si="19"/>
        <v>30.419968325730608</v>
      </c>
      <c r="JI11" s="7">
        <f t="shared" si="19"/>
        <v>30.376733120026252</v>
      </c>
      <c r="JJ11" s="7">
        <f t="shared" si="19"/>
        <v>28.7068428923649</v>
      </c>
      <c r="JK11" s="7">
        <f t="shared" si="19"/>
        <v>35.308947191389166</v>
      </c>
      <c r="JL11" s="7" t="str">
        <f t="shared" si="19"/>
        <v/>
      </c>
      <c r="JM11" s="7">
        <f t="shared" si="19"/>
        <v>30.544567260896805</v>
      </c>
      <c r="JN11" s="7">
        <f t="shared" si="19"/>
        <v>29.668145097418023</v>
      </c>
      <c r="JO11" s="7">
        <f t="shared" si="19"/>
        <v>29.231520980376946</v>
      </c>
      <c r="JP11" s="7">
        <f t="shared" si="19"/>
        <v>29.167109026721985</v>
      </c>
      <c r="JQ11" s="7">
        <f t="shared" si="19"/>
        <v>26.661479212944101</v>
      </c>
      <c r="JR11" s="7">
        <f t="shared" si="19"/>
        <v>42.438986377280081</v>
      </c>
      <c r="JS11" s="7" t="str">
        <f t="shared" si="19"/>
        <v/>
      </c>
      <c r="JT11" s="7">
        <f t="shared" si="19"/>
        <v>29.784892931977311</v>
      </c>
      <c r="JU11" s="7">
        <f t="shared" si="19"/>
        <v>30.54223254405008</v>
      </c>
      <c r="JV11" s="7">
        <f t="shared" si="19"/>
        <v>28.181758197137349</v>
      </c>
      <c r="JW11" s="7">
        <f t="shared" si="19"/>
        <v>28.318079290438504</v>
      </c>
      <c r="JX11" s="7">
        <f t="shared" si="19"/>
        <v>31.372443530202936</v>
      </c>
      <c r="JY11" s="7">
        <f t="shared" si="19"/>
        <v>24.415811349563153</v>
      </c>
      <c r="JZ11" s="7" t="str">
        <f t="shared" si="19"/>
        <v/>
      </c>
      <c r="LY11" s="83"/>
      <c r="LZ11" s="34"/>
      <c r="MA11" s="34"/>
      <c r="MB11" s="34"/>
      <c r="MC11" s="34"/>
      <c r="MD11" s="34"/>
      <c r="ME11" s="34"/>
      <c r="MF11" s="34"/>
      <c r="MG11" s="34"/>
      <c r="MH11" s="34"/>
      <c r="MI11" s="34"/>
      <c r="MJ11" s="34"/>
      <c r="MK11" s="34"/>
      <c r="ML11" s="34"/>
      <c r="MM11" s="34"/>
      <c r="MN11" s="34"/>
      <c r="MO11" s="34"/>
      <c r="MP11" s="34"/>
      <c r="MQ11" s="34"/>
      <c r="MR11" s="34"/>
      <c r="MS11" s="34"/>
      <c r="MV11" s="7"/>
    </row>
    <row r="12" spans="1:367">
      <c r="G12" s="20"/>
      <c r="Y12" s="7"/>
      <c r="AB12" s="186"/>
      <c r="AI12" s="20"/>
      <c r="AP12" s="20"/>
      <c r="BD12" s="20"/>
      <c r="BK12" s="20"/>
      <c r="BY12" s="20"/>
      <c r="CF12" s="20"/>
      <c r="CM12" s="20"/>
      <c r="CT12" s="20"/>
      <c r="DA12" s="20"/>
      <c r="DH12" s="20"/>
      <c r="DO12" s="20"/>
      <c r="DV12" s="20"/>
      <c r="EC12" s="20"/>
      <c r="EJ12" s="20"/>
      <c r="EQ12" s="20"/>
      <c r="EX12" s="20"/>
      <c r="FS12" s="20"/>
      <c r="FZ12" s="20"/>
      <c r="GG12" s="20"/>
      <c r="GN12" s="20"/>
      <c r="GU12" s="20"/>
      <c r="GV12" s="20"/>
      <c r="GW12" s="20"/>
      <c r="GX12" s="20"/>
      <c r="GY12" s="20"/>
      <c r="GZ12" s="20"/>
      <c r="HA12" s="20"/>
      <c r="HB12" s="20"/>
      <c r="HI12" s="20"/>
      <c r="HJ12" s="20"/>
      <c r="HP12" s="20"/>
      <c r="HW12" s="20"/>
      <c r="ID12" s="20"/>
      <c r="IE12" s="20"/>
      <c r="IK12" s="20"/>
      <c r="IR12" s="20"/>
      <c r="IY12" s="20"/>
      <c r="JF12" s="20"/>
      <c r="JM12" s="20"/>
      <c r="JT12" s="20"/>
      <c r="KD12" s="20"/>
      <c r="KU12" s="20"/>
    </row>
    <row r="13" spans="1:367">
      <c r="G13" s="20"/>
      <c r="N13" s="20"/>
      <c r="U13" s="20"/>
      <c r="Y13" s="21"/>
      <c r="AB13" s="186"/>
      <c r="AG13" s="7"/>
      <c r="AI13" s="20"/>
      <c r="AP13" s="20"/>
      <c r="AW13" s="20"/>
      <c r="BD13" s="20"/>
      <c r="BK13" s="20"/>
      <c r="BY13" s="20"/>
      <c r="CF13" s="20"/>
      <c r="CM13" s="20"/>
      <c r="CT13" s="20"/>
      <c r="DA13" s="20"/>
      <c r="DH13" s="20"/>
      <c r="DO13" s="20"/>
      <c r="DV13" s="20"/>
      <c r="EC13" s="20"/>
      <c r="EJ13" s="20"/>
      <c r="EQ13" s="20"/>
      <c r="EX13" s="20"/>
      <c r="FS13" s="20"/>
      <c r="FZ13" s="20"/>
      <c r="GG13" s="20"/>
      <c r="GN13" s="20"/>
      <c r="GU13" s="20"/>
      <c r="GV13" s="20"/>
      <c r="GW13" s="20"/>
      <c r="GX13" s="20"/>
      <c r="GY13" s="20"/>
      <c r="GZ13" s="20"/>
      <c r="HA13" s="20"/>
      <c r="HB13" s="20"/>
      <c r="HI13" s="20"/>
      <c r="HJ13" s="20"/>
      <c r="HP13" s="20"/>
      <c r="HW13" s="20"/>
      <c r="ID13" s="20"/>
      <c r="IE13" s="80"/>
      <c r="IK13" s="20"/>
      <c r="IR13" s="20"/>
      <c r="IY13" s="20"/>
      <c r="JF13" s="20"/>
      <c r="JM13" s="20"/>
      <c r="JT13" s="20"/>
      <c r="KU13" s="20"/>
    </row>
    <row r="14" spans="1:367">
      <c r="G14" s="20"/>
      <c r="N14" s="20"/>
      <c r="U14" s="20"/>
      <c r="V14" s="20"/>
      <c r="AB14" s="186"/>
      <c r="AG14" s="7"/>
      <c r="AP14" s="20"/>
      <c r="AW14" s="20"/>
      <c r="BD14" s="20"/>
      <c r="BK14" s="20"/>
      <c r="BY14" s="20"/>
      <c r="CF14" s="20"/>
      <c r="CM14" s="20"/>
      <c r="CT14" s="20"/>
      <c r="DA14" s="20"/>
      <c r="DH14" s="20"/>
      <c r="DO14" s="20"/>
      <c r="DQ14" s="20"/>
      <c r="DV14" s="22"/>
      <c r="EC14" s="20"/>
      <c r="EJ14" s="20"/>
      <c r="EQ14" s="20"/>
      <c r="EX14" s="20"/>
      <c r="FH14" s="20"/>
      <c r="FS14" s="20"/>
      <c r="FZ14" s="20"/>
      <c r="GG14" s="20"/>
      <c r="GN14" s="20"/>
      <c r="GU14" s="20"/>
      <c r="GV14" s="20"/>
      <c r="GW14" s="20"/>
      <c r="GX14" s="20"/>
      <c r="GY14" s="20"/>
      <c r="GZ14" s="20"/>
      <c r="HA14" s="20"/>
      <c r="HB14" s="20"/>
      <c r="HI14" s="20"/>
      <c r="HJ14" s="20"/>
      <c r="HP14" s="20"/>
      <c r="HW14" s="20"/>
      <c r="ID14" s="80"/>
      <c r="IK14" s="20"/>
      <c r="IR14" s="20"/>
      <c r="IY14" s="20"/>
      <c r="JF14" s="20"/>
      <c r="JM14" s="20"/>
      <c r="JT14" s="20"/>
    </row>
    <row r="15" spans="1:367">
      <c r="D15" s="20"/>
      <c r="N15" s="20"/>
      <c r="U15" s="20"/>
      <c r="V15" s="20"/>
      <c r="AG15" s="7"/>
      <c r="AI15" s="20"/>
      <c r="AW15" s="20"/>
      <c r="BZ15" s="20"/>
      <c r="DQ15" s="20"/>
      <c r="FH15" s="20"/>
      <c r="FS15" s="20"/>
      <c r="FZ15" s="80"/>
      <c r="GM15" s="20"/>
      <c r="GO15" s="20"/>
      <c r="HI15" s="7"/>
      <c r="HJ15" s="7"/>
      <c r="HW15" s="20"/>
      <c r="JM15" s="20"/>
      <c r="JT15" s="47"/>
      <c r="JU15" s="47"/>
      <c r="JV15" s="47"/>
    </row>
    <row r="16" spans="1:367">
      <c r="D16" s="20"/>
      <c r="P16" s="22"/>
      <c r="V16" s="7"/>
      <c r="AF16" s="31"/>
      <c r="AG16" s="7"/>
      <c r="AP16" s="20"/>
      <c r="BZ16" s="20"/>
      <c r="DQ16" s="20"/>
      <c r="FH16" s="20"/>
      <c r="GM16" s="20"/>
      <c r="GO16" s="20"/>
      <c r="HW16" s="80"/>
      <c r="IE16" s="31"/>
      <c r="IF16" s="22"/>
      <c r="JM16" s="20"/>
      <c r="JN16" s="31"/>
      <c r="JO16" s="31"/>
    </row>
    <row r="17" spans="4:277">
      <c r="D17" s="80"/>
      <c r="P17" s="22"/>
      <c r="V17" s="7"/>
      <c r="Y17" s="21"/>
      <c r="AP17" s="20"/>
      <c r="BZ17" s="80"/>
      <c r="CM17" s="7"/>
      <c r="CN17" s="7"/>
      <c r="CO17" s="7"/>
      <c r="CP17" s="7"/>
      <c r="CQ17" s="7"/>
      <c r="CR17" s="7"/>
      <c r="CS17" s="20"/>
      <c r="CT17" s="20"/>
      <c r="FH17" s="31"/>
      <c r="HX17" s="20"/>
    </row>
    <row r="18" spans="4:277">
      <c r="P18" s="22"/>
      <c r="V18" s="7"/>
      <c r="Y18" s="21"/>
      <c r="CM18" s="7"/>
      <c r="CN18" s="7"/>
      <c r="CO18" s="7"/>
      <c r="CP18" s="7"/>
      <c r="CQ18" s="7"/>
      <c r="CR18" s="7"/>
      <c r="CS18" s="20"/>
      <c r="CT18" s="9"/>
      <c r="GM18" s="20"/>
      <c r="GO18" s="20"/>
      <c r="HX18" s="20"/>
      <c r="IF18" s="31"/>
      <c r="IT18" s="20"/>
      <c r="JM18" s="20"/>
    </row>
    <row r="19" spans="4:277">
      <c r="P19" s="22"/>
      <c r="V19" s="7"/>
      <c r="Y19" s="21"/>
      <c r="EK19" s="7"/>
      <c r="GM19" s="31"/>
      <c r="GO19" s="20"/>
      <c r="HX19" s="31"/>
      <c r="IT19" s="20"/>
      <c r="JF19" s="20"/>
      <c r="JG19" s="20"/>
      <c r="JH19" s="20"/>
      <c r="JI19" s="20"/>
      <c r="JJ19" s="20"/>
      <c r="JK19" s="20"/>
      <c r="JM19" s="20"/>
      <c r="JQ19" s="31"/>
    </row>
    <row r="20" spans="4:277">
      <c r="P20" s="22"/>
      <c r="V20" s="7"/>
      <c r="Y20" s="21"/>
      <c r="GO20" s="20"/>
      <c r="HX20" s="20"/>
      <c r="HZ20" s="31"/>
      <c r="IF20" s="80"/>
      <c r="JF20" s="7"/>
      <c r="JG20" s="7"/>
      <c r="JH20" s="7"/>
      <c r="JI20" s="7"/>
      <c r="JJ20" s="7"/>
      <c r="JK20" s="7"/>
      <c r="JM20" s="31"/>
    </row>
    <row r="21" spans="4:277">
      <c r="P21" s="22"/>
      <c r="V21" s="7"/>
      <c r="Y21" s="21"/>
      <c r="HX21" s="20"/>
      <c r="HZ21" s="31"/>
      <c r="IT21" s="235"/>
      <c r="JQ21" s="31"/>
    </row>
    <row r="22" spans="4:277">
      <c r="P22" s="22"/>
      <c r="V22" s="7"/>
      <c r="Y22" s="21"/>
      <c r="GM22" s="31"/>
      <c r="HX22" s="31"/>
      <c r="HZ22" s="31"/>
    </row>
    <row r="23" spans="4:277">
      <c r="P23" s="22"/>
      <c r="V23" s="7"/>
      <c r="Y23" s="21"/>
      <c r="HZ23" s="64"/>
    </row>
    <row r="24" spans="4:277">
      <c r="P24" s="22"/>
      <c r="V24" s="7"/>
      <c r="Y24" s="21"/>
      <c r="HZ24" s="225"/>
    </row>
    <row r="25" spans="4:277">
      <c r="P25" s="22"/>
      <c r="V25" s="7"/>
      <c r="Y25" s="21"/>
    </row>
    <row r="26" spans="4:277">
      <c r="P26" s="22"/>
      <c r="V26" s="7"/>
      <c r="Y26" s="21"/>
    </row>
  </sheetData>
  <phoneticPr fontId="6" type="noConversion"/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0F45D-2C6B-4664-8D90-440E2B524585}">
  <dimension ref="A1:NC30"/>
  <sheetViews>
    <sheetView showGridLines="0" topLeftCell="JL1" zoomScaleNormal="100" workbookViewId="0">
      <selection activeCell="JT12" sqref="JT12:JT16"/>
    </sheetView>
  </sheetViews>
  <sheetFormatPr defaultColWidth="8.88671875" defaultRowHeight="14.4"/>
  <cols>
    <col min="1" max="1" width="12.44140625" style="8" bestFit="1" customWidth="1"/>
    <col min="2" max="2" width="23.6640625" style="8" bestFit="1" customWidth="1"/>
    <col min="3" max="3" width="11.44140625" style="8" customWidth="1"/>
    <col min="4" max="4" width="11.33203125" style="8" customWidth="1"/>
    <col min="5" max="5" width="12.33203125" style="8" customWidth="1"/>
    <col min="6" max="6" width="12" style="8" customWidth="1"/>
    <col min="7" max="7" width="11.5546875" style="8" customWidth="1"/>
    <col min="8" max="9" width="11.33203125" style="8" customWidth="1"/>
    <col min="10" max="10" width="11.5546875" style="8" customWidth="1"/>
    <col min="11" max="11" width="11.44140625" style="8" customWidth="1"/>
    <col min="12" max="12" width="12.44140625" style="8" customWidth="1"/>
    <col min="13" max="13" width="12.109375" style="8" customWidth="1"/>
    <col min="14" max="14" width="11.44140625" style="8" customWidth="1"/>
    <col min="15" max="15" width="11.88671875" style="8" customWidth="1"/>
    <col min="16" max="16" width="11.5546875" style="8" customWidth="1"/>
    <col min="17" max="18" width="12" style="8" customWidth="1"/>
    <col min="19" max="19" width="13.109375" style="8" customWidth="1"/>
    <col min="20" max="20" width="12.6640625" style="8" customWidth="1"/>
    <col min="21" max="21" width="12.109375" style="8" customWidth="1"/>
    <col min="22" max="22" width="11.88671875" style="8" customWidth="1"/>
    <col min="23" max="23" width="11.5546875" style="8" customWidth="1"/>
    <col min="24" max="25" width="12" style="8" customWidth="1"/>
    <col min="26" max="26" width="13.109375" style="8" customWidth="1"/>
    <col min="27" max="27" width="12.6640625" style="8" customWidth="1"/>
    <col min="28" max="28" width="12.109375" style="8" customWidth="1"/>
    <col min="29" max="29" width="11.88671875" style="8" customWidth="1"/>
    <col min="30" max="30" width="11.5546875" style="8" customWidth="1"/>
    <col min="31" max="32" width="12" style="8" customWidth="1"/>
    <col min="33" max="33" width="13.109375" style="8" customWidth="1"/>
    <col min="34" max="34" width="12.6640625" style="8" customWidth="1"/>
    <col min="35" max="35" width="12.109375" style="8" customWidth="1"/>
    <col min="36" max="36" width="11.88671875" style="8" customWidth="1"/>
    <col min="37" max="37" width="11.5546875" style="8" customWidth="1"/>
    <col min="38" max="39" width="12" style="8" customWidth="1"/>
    <col min="40" max="40" width="13.109375" style="8" customWidth="1"/>
    <col min="41" max="41" width="12.6640625" style="8" customWidth="1"/>
    <col min="42" max="42" width="12.109375" style="8" customWidth="1"/>
    <col min="43" max="43" width="11.88671875" style="8" customWidth="1"/>
    <col min="44" max="44" width="11.5546875" style="8" customWidth="1"/>
    <col min="45" max="46" width="12" style="8" customWidth="1"/>
    <col min="47" max="47" width="13.109375" style="8" customWidth="1"/>
    <col min="48" max="48" width="12.6640625" style="8" customWidth="1"/>
    <col min="49" max="49" width="12.109375" style="8" customWidth="1"/>
    <col min="50" max="50" width="11.88671875" style="8" customWidth="1"/>
    <col min="51" max="51" width="11.5546875" style="8" customWidth="1"/>
    <col min="52" max="53" width="12" style="8" customWidth="1"/>
    <col min="54" max="54" width="13.109375" style="8" customWidth="1"/>
    <col min="55" max="55" width="12.6640625" style="8" customWidth="1"/>
    <col min="56" max="56" width="12.109375" style="8" customWidth="1"/>
    <col min="57" max="57" width="11.88671875" style="8" customWidth="1"/>
    <col min="58" max="58" width="11.5546875" style="8" customWidth="1"/>
    <col min="59" max="60" width="12" style="8" customWidth="1"/>
    <col min="61" max="61" width="13.109375" style="8" customWidth="1"/>
    <col min="62" max="62" width="12.6640625" style="8" customWidth="1"/>
    <col min="63" max="63" width="12.109375" style="8" customWidth="1"/>
    <col min="64" max="64" width="13" style="8" customWidth="1"/>
    <col min="65" max="65" width="12.6640625" style="8" customWidth="1"/>
    <col min="66" max="67" width="13.109375" style="8" customWidth="1"/>
    <col min="68" max="68" width="14.21875" style="8" customWidth="1"/>
    <col min="69" max="69" width="13.77734375" style="8" customWidth="1"/>
    <col min="70" max="70" width="13.21875" style="8" customWidth="1"/>
    <col min="71" max="71" width="13" style="8" customWidth="1"/>
    <col min="72" max="72" width="12.6640625" style="8" customWidth="1"/>
    <col min="73" max="74" width="13.109375" style="8" customWidth="1"/>
    <col min="75" max="75" width="14.21875" style="8" customWidth="1"/>
    <col min="76" max="76" width="13.77734375" style="8" customWidth="1"/>
    <col min="77" max="77" width="13.21875" style="8" customWidth="1"/>
    <col min="78" max="78" width="13" style="8" customWidth="1"/>
    <col min="79" max="79" width="12.6640625" style="8" customWidth="1"/>
    <col min="80" max="81" width="13.109375" style="8" customWidth="1"/>
    <col min="82" max="82" width="14.21875" style="8" customWidth="1"/>
    <col min="83" max="83" width="13.77734375" style="8" customWidth="1"/>
    <col min="84" max="84" width="13.21875" style="8" customWidth="1"/>
    <col min="85" max="85" width="13" style="8" customWidth="1"/>
    <col min="86" max="86" width="12.6640625" style="8" customWidth="1"/>
    <col min="87" max="88" width="13.109375" style="8" customWidth="1"/>
    <col min="89" max="89" width="14.21875" style="8" customWidth="1"/>
    <col min="90" max="90" width="13.77734375" style="8" customWidth="1"/>
    <col min="91" max="91" width="13.21875" style="8" customWidth="1"/>
    <col min="92" max="92" width="13" style="8" customWidth="1"/>
    <col min="93" max="93" width="12.6640625" style="8" customWidth="1"/>
    <col min="94" max="95" width="13.109375" style="8" customWidth="1"/>
    <col min="96" max="96" width="14.21875" style="8" customWidth="1"/>
    <col min="97" max="97" width="13.77734375" style="8" customWidth="1"/>
    <col min="98" max="98" width="13.21875" style="8" customWidth="1"/>
    <col min="99" max="99" width="13" style="8" customWidth="1"/>
    <col min="100" max="100" width="12.6640625" style="8" customWidth="1"/>
    <col min="101" max="102" width="13.109375" style="8" customWidth="1"/>
    <col min="103" max="103" width="14.21875" style="8" customWidth="1"/>
    <col min="104" max="104" width="13.77734375" style="8" customWidth="1"/>
    <col min="105" max="105" width="13.21875" style="8" customWidth="1"/>
    <col min="106" max="106" width="13" style="8" customWidth="1"/>
    <col min="107" max="107" width="12.6640625" style="8" customWidth="1"/>
    <col min="108" max="109" width="13.109375" style="8" customWidth="1"/>
    <col min="110" max="110" width="14.21875" style="8" customWidth="1"/>
    <col min="111" max="111" width="13.77734375" style="8" customWidth="1"/>
    <col min="112" max="112" width="13.21875" style="8" customWidth="1"/>
    <col min="113" max="113" width="13" style="8" customWidth="1"/>
    <col min="114" max="114" width="12.6640625" style="8" customWidth="1"/>
    <col min="115" max="116" width="13.109375" style="8" customWidth="1"/>
    <col min="117" max="117" width="14.21875" style="8" customWidth="1"/>
    <col min="118" max="118" width="13.77734375" style="8" customWidth="1"/>
    <col min="119" max="119" width="13.21875" style="8" customWidth="1"/>
    <col min="120" max="120" width="13" style="8" customWidth="1"/>
    <col min="121" max="121" width="12.6640625" style="8" customWidth="1"/>
    <col min="122" max="123" width="13.109375" style="8" customWidth="1"/>
    <col min="124" max="124" width="14.21875" style="8" customWidth="1"/>
    <col min="125" max="125" width="13.77734375" style="8" customWidth="1"/>
    <col min="126" max="126" width="13.21875" style="8" customWidth="1"/>
    <col min="127" max="127" width="13" style="8" customWidth="1"/>
    <col min="128" max="128" width="12.6640625" style="8" customWidth="1"/>
    <col min="129" max="130" width="13.109375" style="8" customWidth="1"/>
    <col min="131" max="131" width="14.21875" style="8" customWidth="1"/>
    <col min="132" max="132" width="13.77734375" style="8" customWidth="1"/>
    <col min="133" max="133" width="13.21875" style="8" customWidth="1"/>
    <col min="134" max="134" width="13" style="8" customWidth="1"/>
    <col min="135" max="135" width="12.6640625" style="8" customWidth="1"/>
    <col min="136" max="137" width="13.109375" style="8" customWidth="1"/>
    <col min="138" max="138" width="14.21875" style="8" customWidth="1"/>
    <col min="139" max="139" width="13.77734375" style="8" customWidth="1"/>
    <col min="140" max="140" width="13.21875" style="8" customWidth="1"/>
    <col min="141" max="141" width="13" style="8" customWidth="1"/>
    <col min="142" max="142" width="12.6640625" style="8" customWidth="1"/>
    <col min="143" max="144" width="13.109375" style="8" customWidth="1"/>
    <col min="145" max="145" width="14.21875" style="8" customWidth="1"/>
    <col min="146" max="146" width="13.77734375" style="8" customWidth="1"/>
    <col min="147" max="147" width="13.21875" style="8" customWidth="1"/>
    <col min="148" max="148" width="13" style="8" customWidth="1"/>
    <col min="149" max="149" width="12.6640625" style="8" customWidth="1"/>
    <col min="150" max="151" width="13.109375" style="8" customWidth="1"/>
    <col min="152" max="152" width="14.21875" style="8" customWidth="1"/>
    <col min="153" max="153" width="13.77734375" style="8" customWidth="1"/>
    <col min="154" max="154" width="13.21875" style="8" customWidth="1"/>
    <col min="155" max="155" width="13" style="8" customWidth="1"/>
    <col min="156" max="156" width="12.6640625" style="8" customWidth="1"/>
    <col min="157" max="158" width="13.109375" style="8" customWidth="1"/>
    <col min="159" max="159" width="14.21875" style="8" customWidth="1"/>
    <col min="160" max="160" width="13.77734375" style="8" customWidth="1"/>
    <col min="161" max="161" width="13.21875" style="8" customWidth="1"/>
    <col min="162" max="162" width="13" style="8" customWidth="1"/>
    <col min="163" max="163" width="12.6640625" style="8" customWidth="1"/>
    <col min="164" max="165" width="13.109375" style="8" customWidth="1"/>
    <col min="166" max="166" width="14.21875" style="8" customWidth="1"/>
    <col min="167" max="167" width="13.77734375" style="8" customWidth="1"/>
    <col min="168" max="168" width="13.21875" style="8" customWidth="1"/>
    <col min="169" max="169" width="13" style="8" customWidth="1"/>
    <col min="170" max="170" width="12.6640625" style="8" customWidth="1"/>
    <col min="171" max="172" width="13.109375" style="8" customWidth="1"/>
    <col min="173" max="173" width="14.21875" style="8" customWidth="1"/>
    <col min="174" max="174" width="13.77734375" style="8" customWidth="1"/>
    <col min="175" max="175" width="13.21875" style="8" customWidth="1"/>
    <col min="176" max="176" width="13" style="8" customWidth="1"/>
    <col min="177" max="177" width="12.6640625" style="8" customWidth="1"/>
    <col min="178" max="179" width="13.109375" style="8" customWidth="1"/>
    <col min="180" max="180" width="14.21875" style="8" customWidth="1"/>
    <col min="181" max="181" width="13.77734375" style="8" customWidth="1"/>
    <col min="182" max="182" width="13.21875" style="8" customWidth="1"/>
    <col min="183" max="183" width="13" style="8" customWidth="1"/>
    <col min="184" max="184" width="12.6640625" style="8" customWidth="1"/>
    <col min="185" max="186" width="13.109375" style="8" customWidth="1"/>
    <col min="187" max="187" width="14.21875" style="8" customWidth="1"/>
    <col min="188" max="188" width="13.77734375" style="8" customWidth="1"/>
    <col min="189" max="189" width="13.21875" style="8" customWidth="1"/>
    <col min="190" max="190" width="13" style="8" customWidth="1"/>
    <col min="191" max="191" width="12.6640625" style="8" customWidth="1"/>
    <col min="192" max="193" width="13.109375" style="8" customWidth="1"/>
    <col min="194" max="194" width="14.21875" style="8" customWidth="1"/>
    <col min="195" max="195" width="13.77734375" style="8" customWidth="1"/>
    <col min="196" max="196" width="13.21875" style="8" customWidth="1"/>
    <col min="197" max="197" width="13" style="8" customWidth="1"/>
    <col min="198" max="198" width="12.6640625" style="8" customWidth="1"/>
    <col min="199" max="200" width="13.109375" style="8" customWidth="1"/>
    <col min="201" max="201" width="14.21875" style="8" customWidth="1"/>
    <col min="202" max="202" width="13.77734375" style="8" customWidth="1"/>
    <col min="203" max="203" width="13.21875" style="8" customWidth="1"/>
    <col min="204" max="204" width="13" style="8" customWidth="1"/>
    <col min="205" max="205" width="12.6640625" style="8" customWidth="1"/>
    <col min="206" max="207" width="13.109375" style="8" customWidth="1"/>
    <col min="208" max="208" width="14.21875" style="8" customWidth="1"/>
    <col min="209" max="209" width="13.77734375" style="8" customWidth="1"/>
    <col min="210" max="210" width="13.21875" style="8" customWidth="1"/>
    <col min="211" max="211" width="13" style="8" customWidth="1"/>
    <col min="212" max="212" width="12.6640625" style="8" customWidth="1"/>
    <col min="213" max="214" width="13.109375" style="8" customWidth="1"/>
    <col min="215" max="215" width="14.21875" style="8" customWidth="1"/>
    <col min="216" max="216" width="13.77734375" style="8" customWidth="1"/>
    <col min="217" max="217" width="13.21875" style="8" customWidth="1"/>
    <col min="218" max="218" width="13" style="8" customWidth="1"/>
    <col min="219" max="219" width="12.6640625" style="8" customWidth="1"/>
    <col min="220" max="221" width="13.109375" style="8" customWidth="1"/>
    <col min="222" max="222" width="14.21875" style="8" customWidth="1"/>
    <col min="223" max="223" width="13.77734375" style="8" customWidth="1"/>
    <col min="224" max="224" width="13.21875" style="8" customWidth="1"/>
    <col min="225" max="225" width="13" style="8" customWidth="1"/>
    <col min="226" max="226" width="12.6640625" style="8" customWidth="1"/>
    <col min="227" max="228" width="13.109375" style="8" customWidth="1"/>
    <col min="229" max="229" width="14.21875" style="8" customWidth="1"/>
    <col min="230" max="230" width="13.77734375" style="8" customWidth="1"/>
    <col min="231" max="231" width="13.21875" style="8" customWidth="1"/>
    <col min="232" max="232" width="13" style="8" customWidth="1"/>
    <col min="233" max="233" width="12.6640625" style="8" customWidth="1"/>
    <col min="234" max="235" width="13.109375" style="8" customWidth="1"/>
    <col min="236" max="236" width="14.21875" style="8" customWidth="1"/>
    <col min="237" max="237" width="13.77734375" style="8" customWidth="1"/>
    <col min="238" max="238" width="13.21875" style="8" customWidth="1"/>
    <col min="239" max="239" width="13" style="8" customWidth="1"/>
    <col min="240" max="240" width="12.6640625" style="8" customWidth="1"/>
    <col min="241" max="242" width="13.109375" style="8" customWidth="1"/>
    <col min="243" max="243" width="14.21875" style="8" customWidth="1"/>
    <col min="244" max="244" width="13.77734375" style="8" customWidth="1"/>
    <col min="245" max="245" width="13.21875" style="8" customWidth="1"/>
    <col min="246" max="246" width="13" style="8" customWidth="1"/>
    <col min="247" max="247" width="12.6640625" style="8" customWidth="1"/>
    <col min="248" max="249" width="13.109375" style="8" customWidth="1"/>
    <col min="250" max="250" width="14.21875" style="8" customWidth="1"/>
    <col min="251" max="251" width="13.77734375" style="8" customWidth="1"/>
    <col min="252" max="252" width="13.21875" style="8" customWidth="1"/>
    <col min="253" max="253" width="13" style="8" customWidth="1"/>
    <col min="254" max="254" width="12.6640625" style="8" customWidth="1"/>
    <col min="255" max="256" width="13.109375" style="8" customWidth="1"/>
    <col min="257" max="257" width="14.21875" style="8" customWidth="1"/>
    <col min="258" max="258" width="13.77734375" style="8" customWidth="1"/>
    <col min="259" max="259" width="13.21875" style="8" customWidth="1"/>
    <col min="260" max="260" width="13" style="8" customWidth="1"/>
    <col min="261" max="261" width="12.6640625" style="8" customWidth="1"/>
    <col min="262" max="263" width="13.109375" style="8" customWidth="1"/>
    <col min="264" max="264" width="14.21875" style="8" customWidth="1"/>
    <col min="265" max="265" width="13.77734375" style="8" customWidth="1"/>
    <col min="266" max="266" width="13.21875" style="8" customWidth="1"/>
    <col min="267" max="267" width="13" style="8" customWidth="1"/>
    <col min="268" max="268" width="12.6640625" style="8" customWidth="1"/>
    <col min="269" max="270" width="13.109375" style="8" customWidth="1"/>
    <col min="271" max="271" width="14.21875" style="8" customWidth="1"/>
    <col min="272" max="272" width="13.77734375" style="8" customWidth="1"/>
    <col min="273" max="273" width="13.21875" style="8" customWidth="1"/>
    <col min="274" max="274" width="13" style="8" customWidth="1"/>
    <col min="275" max="275" width="12.6640625" style="8" customWidth="1"/>
    <col min="276" max="277" width="13.109375" style="8" customWidth="1"/>
    <col min="278" max="278" width="14.21875" style="8" customWidth="1"/>
    <col min="279" max="279" width="13.77734375" style="8" customWidth="1"/>
    <col min="280" max="280" width="13.21875" style="8" customWidth="1"/>
    <col min="281" max="281" width="13" style="8" customWidth="1"/>
    <col min="282" max="282" width="12.6640625" style="8" customWidth="1"/>
    <col min="283" max="284" width="13.109375" style="8" customWidth="1"/>
    <col min="285" max="285" width="14.21875" style="8" customWidth="1"/>
    <col min="286" max="286" width="13.77734375" style="8" customWidth="1"/>
    <col min="287" max="287" width="13.21875" style="8" customWidth="1"/>
    <col min="288" max="288" width="13" style="8" customWidth="1"/>
    <col min="289" max="289" width="12.6640625" style="8" customWidth="1"/>
    <col min="290" max="291" width="13.109375" style="8" customWidth="1"/>
    <col min="292" max="292" width="14.21875" style="8" customWidth="1"/>
    <col min="293" max="293" width="13.77734375" style="8" customWidth="1"/>
    <col min="294" max="294" width="13.21875" style="8" customWidth="1"/>
    <col min="295" max="295" width="13" style="8" customWidth="1"/>
    <col min="296" max="296" width="12.6640625" style="8" customWidth="1"/>
    <col min="297" max="298" width="13.109375" style="8" customWidth="1"/>
    <col min="299" max="299" width="14.21875" style="8" customWidth="1"/>
    <col min="300" max="300" width="13.77734375" style="8" customWidth="1"/>
    <col min="301" max="301" width="13.21875" style="8" customWidth="1"/>
    <col min="302" max="302" width="13" style="8" customWidth="1"/>
    <col min="303" max="303" width="12.6640625" style="8" customWidth="1"/>
    <col min="304" max="305" width="13.109375" style="8" customWidth="1"/>
    <col min="306" max="306" width="14.21875" style="8" customWidth="1"/>
    <col min="307" max="307" width="13.77734375" style="8" customWidth="1"/>
    <col min="308" max="308" width="13.21875" style="8" customWidth="1"/>
    <col min="309" max="309" width="13" style="8" customWidth="1"/>
    <col min="310" max="310" width="12.6640625" style="8" customWidth="1"/>
    <col min="311" max="312" width="13.109375" style="8" customWidth="1"/>
    <col min="313" max="313" width="14.21875" style="8" customWidth="1"/>
    <col min="314" max="314" width="13.77734375" style="8" customWidth="1"/>
    <col min="315" max="315" width="13.21875" style="8" customWidth="1"/>
    <col min="316" max="316" width="13" style="8" customWidth="1"/>
    <col min="317" max="317" width="12.6640625" style="8" customWidth="1"/>
    <col min="318" max="319" width="13.109375" style="8" customWidth="1"/>
    <col min="320" max="320" width="14.21875" style="8" customWidth="1"/>
    <col min="321" max="321" width="13.77734375" style="8" customWidth="1"/>
    <col min="322" max="322" width="13.21875" style="8" customWidth="1"/>
    <col min="323" max="323" width="13" style="8" customWidth="1"/>
    <col min="324" max="324" width="12.6640625" style="8" customWidth="1"/>
    <col min="325" max="326" width="13.109375" style="8" customWidth="1"/>
    <col min="327" max="327" width="14.21875" style="8" customWidth="1"/>
    <col min="328" max="328" width="13.77734375" style="8" customWidth="1"/>
    <col min="329" max="329" width="13.21875" style="8" customWidth="1"/>
    <col min="330" max="330" width="13" style="8" bestFit="1" customWidth="1"/>
    <col min="331" max="331" width="12.6640625" style="8" bestFit="1" customWidth="1"/>
    <col min="332" max="333" width="13.109375" style="8" bestFit="1" customWidth="1"/>
    <col min="334" max="334" width="14.21875" style="8" bestFit="1" customWidth="1"/>
    <col min="335" max="335" width="13.77734375" style="8" bestFit="1" customWidth="1"/>
    <col min="336" max="336" width="13.21875" style="8" bestFit="1" customWidth="1"/>
    <col min="337" max="337" width="13" style="8" bestFit="1" customWidth="1"/>
    <col min="338" max="338" width="12.6640625" style="8" bestFit="1" customWidth="1"/>
    <col min="339" max="340" width="13.109375" style="8" bestFit="1" customWidth="1"/>
    <col min="341" max="341" width="14.21875" style="8" bestFit="1" customWidth="1"/>
    <col min="342" max="342" width="13.77734375" style="8" bestFit="1" customWidth="1"/>
    <col min="343" max="343" width="13.21875" style="8" bestFit="1" customWidth="1"/>
    <col min="344" max="344" width="13" style="8" bestFit="1" customWidth="1"/>
    <col min="345" max="345" width="12.6640625" style="8" bestFit="1" customWidth="1"/>
    <col min="346" max="347" width="13.109375" style="8" bestFit="1" customWidth="1"/>
    <col min="348" max="348" width="14.21875" style="8" bestFit="1" customWidth="1"/>
    <col min="349" max="349" width="13.77734375" style="8" bestFit="1" customWidth="1"/>
    <col min="350" max="350" width="13.21875" style="8" bestFit="1" customWidth="1"/>
    <col min="351" max="351" width="13" style="8" bestFit="1" customWidth="1"/>
    <col min="352" max="352" width="12.6640625" style="8" bestFit="1" customWidth="1"/>
    <col min="353" max="354" width="13.109375" style="8" bestFit="1" customWidth="1"/>
    <col min="355" max="355" width="14.21875" style="8" bestFit="1" customWidth="1"/>
    <col min="356" max="356" width="13.77734375" style="8" bestFit="1" customWidth="1"/>
    <col min="357" max="357" width="13.21875" style="8" bestFit="1" customWidth="1"/>
    <col min="358" max="358" width="13" style="8" bestFit="1" customWidth="1"/>
    <col min="359" max="359" width="12.6640625" style="8" bestFit="1" customWidth="1"/>
    <col min="360" max="361" width="13.109375" style="8" bestFit="1" customWidth="1"/>
    <col min="362" max="362" width="14.21875" style="8" bestFit="1" customWidth="1"/>
    <col min="363" max="363" width="13.77734375" style="8" bestFit="1" customWidth="1"/>
    <col min="364" max="364" width="13.21875" style="8" bestFit="1" customWidth="1"/>
    <col min="365" max="365" width="11.88671875" style="8" bestFit="1" customWidth="1"/>
    <col min="366" max="366" width="11.5546875" style="8" bestFit="1" customWidth="1"/>
    <col min="367" max="367" width="12" style="8" bestFit="1" customWidth="1"/>
    <col min="368" max="16384" width="8.88671875" style="8"/>
  </cols>
  <sheetData>
    <row r="1" spans="1:367">
      <c r="A1" s="10" t="s">
        <v>57</v>
      </c>
      <c r="B1" s="10" t="s">
        <v>56</v>
      </c>
      <c r="C1" s="11">
        <v>45658</v>
      </c>
      <c r="D1" s="11">
        <v>45659</v>
      </c>
      <c r="E1" s="11">
        <v>45660</v>
      </c>
      <c r="F1" s="11">
        <v>45661</v>
      </c>
      <c r="G1" s="11">
        <v>45662</v>
      </c>
      <c r="H1" s="11">
        <v>45663</v>
      </c>
      <c r="I1" s="11">
        <v>45664</v>
      </c>
      <c r="J1" s="11">
        <v>45665</v>
      </c>
      <c r="K1" s="11">
        <v>45666</v>
      </c>
      <c r="L1" s="11">
        <v>45667</v>
      </c>
      <c r="M1" s="11">
        <v>45668</v>
      </c>
      <c r="N1" s="11">
        <v>45669</v>
      </c>
      <c r="O1" s="11">
        <v>45670</v>
      </c>
      <c r="P1" s="11">
        <v>45671</v>
      </c>
      <c r="Q1" s="11">
        <v>45672</v>
      </c>
      <c r="R1" s="11">
        <v>45673</v>
      </c>
      <c r="S1" s="11">
        <v>45674</v>
      </c>
      <c r="T1" s="11">
        <v>45675</v>
      </c>
      <c r="U1" s="11">
        <v>45676</v>
      </c>
      <c r="V1" s="11">
        <v>45677</v>
      </c>
      <c r="W1" s="11">
        <v>45678</v>
      </c>
      <c r="X1" s="11">
        <v>45679</v>
      </c>
      <c r="Y1" s="11">
        <v>45680</v>
      </c>
      <c r="Z1" s="11">
        <v>45681</v>
      </c>
      <c r="AA1" s="11">
        <v>45682</v>
      </c>
      <c r="AB1" s="11">
        <v>45683</v>
      </c>
      <c r="AC1" s="11">
        <v>45684</v>
      </c>
      <c r="AD1" s="11">
        <v>45685</v>
      </c>
      <c r="AE1" s="11">
        <v>45686</v>
      </c>
      <c r="AF1" s="11">
        <v>45687</v>
      </c>
      <c r="AG1" s="11">
        <v>45688</v>
      </c>
      <c r="AH1" s="11">
        <v>45689</v>
      </c>
      <c r="AI1" s="11">
        <v>45690</v>
      </c>
      <c r="AJ1" s="11">
        <v>45691</v>
      </c>
      <c r="AK1" s="11">
        <v>45692</v>
      </c>
      <c r="AL1" s="11">
        <v>45693</v>
      </c>
      <c r="AM1" s="11">
        <v>45694</v>
      </c>
      <c r="AN1" s="11">
        <v>45695</v>
      </c>
      <c r="AO1" s="11">
        <v>45696</v>
      </c>
      <c r="AP1" s="11">
        <v>45697</v>
      </c>
      <c r="AQ1" s="11">
        <v>45698</v>
      </c>
      <c r="AR1" s="11">
        <v>45699</v>
      </c>
      <c r="AS1" s="11">
        <v>45700</v>
      </c>
      <c r="AT1" s="11">
        <v>45701</v>
      </c>
      <c r="AU1" s="11">
        <v>45702</v>
      </c>
      <c r="AV1" s="11">
        <v>45703</v>
      </c>
      <c r="AW1" s="11">
        <v>45704</v>
      </c>
      <c r="AX1" s="11">
        <v>45705</v>
      </c>
      <c r="AY1" s="11">
        <v>45706</v>
      </c>
      <c r="AZ1" s="11">
        <v>45707</v>
      </c>
      <c r="BA1" s="11">
        <v>45708</v>
      </c>
      <c r="BB1" s="11">
        <v>45709</v>
      </c>
      <c r="BC1" s="11">
        <v>45710</v>
      </c>
      <c r="BD1" s="11">
        <v>45711</v>
      </c>
      <c r="BE1" s="11">
        <v>45712</v>
      </c>
      <c r="BF1" s="11">
        <v>45713</v>
      </c>
      <c r="BG1" s="11">
        <v>45714</v>
      </c>
      <c r="BH1" s="11">
        <v>45715</v>
      </c>
      <c r="BI1" s="11">
        <v>45716</v>
      </c>
      <c r="BJ1" s="11">
        <v>45717</v>
      </c>
      <c r="BK1" s="11">
        <v>45718</v>
      </c>
      <c r="BL1" s="11">
        <v>45719</v>
      </c>
      <c r="BM1" s="11">
        <v>45720</v>
      </c>
      <c r="BN1" s="11">
        <v>45721</v>
      </c>
      <c r="BO1" s="11">
        <v>45722</v>
      </c>
      <c r="BP1" s="11">
        <v>45723</v>
      </c>
      <c r="BQ1" s="11">
        <v>45724</v>
      </c>
      <c r="BR1" s="11">
        <v>45725</v>
      </c>
      <c r="BS1" s="11">
        <v>45726</v>
      </c>
      <c r="BT1" s="11">
        <v>45727</v>
      </c>
      <c r="BU1" s="11">
        <v>45728</v>
      </c>
      <c r="BV1" s="11">
        <v>45729</v>
      </c>
      <c r="BW1" s="11">
        <v>45730</v>
      </c>
      <c r="BX1" s="11">
        <v>45731</v>
      </c>
      <c r="BY1" s="11">
        <v>45732</v>
      </c>
      <c r="BZ1" s="11">
        <v>45733</v>
      </c>
      <c r="CA1" s="11">
        <v>45734</v>
      </c>
      <c r="CB1" s="11">
        <v>45735</v>
      </c>
      <c r="CC1" s="11">
        <v>45736</v>
      </c>
      <c r="CD1" s="11">
        <v>45737</v>
      </c>
      <c r="CE1" s="11">
        <v>45738</v>
      </c>
      <c r="CF1" s="11">
        <v>45739</v>
      </c>
      <c r="CG1" s="11">
        <v>45740</v>
      </c>
      <c r="CH1" s="11">
        <v>45741</v>
      </c>
      <c r="CI1" s="11">
        <v>45742</v>
      </c>
      <c r="CJ1" s="11">
        <v>45743</v>
      </c>
      <c r="CK1" s="11">
        <v>45744</v>
      </c>
      <c r="CL1" s="11">
        <v>45745</v>
      </c>
      <c r="CM1" s="11">
        <v>45746</v>
      </c>
      <c r="CN1" s="11">
        <v>45747</v>
      </c>
      <c r="CO1" s="11">
        <v>45748</v>
      </c>
      <c r="CP1" s="11">
        <v>45749</v>
      </c>
      <c r="CQ1" s="11">
        <v>45750</v>
      </c>
      <c r="CR1" s="11">
        <v>45751</v>
      </c>
      <c r="CS1" s="11">
        <v>45752</v>
      </c>
      <c r="CT1" s="11">
        <v>45753</v>
      </c>
      <c r="CU1" s="11">
        <v>45754</v>
      </c>
      <c r="CV1" s="11">
        <v>45755</v>
      </c>
      <c r="CW1" s="11">
        <v>45756</v>
      </c>
      <c r="CX1" s="11">
        <v>45757</v>
      </c>
      <c r="CY1" s="11">
        <v>45758</v>
      </c>
      <c r="CZ1" s="11">
        <v>45759</v>
      </c>
      <c r="DA1" s="11">
        <v>45760</v>
      </c>
      <c r="DB1" s="11">
        <v>45761</v>
      </c>
      <c r="DC1" s="11">
        <v>45762</v>
      </c>
      <c r="DD1" s="11">
        <v>45763</v>
      </c>
      <c r="DE1" s="11">
        <v>45764</v>
      </c>
      <c r="DF1" s="11">
        <v>45765</v>
      </c>
      <c r="DG1" s="11">
        <v>45766</v>
      </c>
      <c r="DH1" s="11">
        <v>45767</v>
      </c>
      <c r="DI1" s="11">
        <v>45768</v>
      </c>
      <c r="DJ1" s="11">
        <v>45769</v>
      </c>
      <c r="DK1" s="11">
        <v>45770</v>
      </c>
      <c r="DL1" s="11">
        <v>45771</v>
      </c>
      <c r="DM1" s="11">
        <v>45772</v>
      </c>
      <c r="DN1" s="11">
        <v>45773</v>
      </c>
      <c r="DO1" s="11">
        <v>45774</v>
      </c>
      <c r="DP1" s="11">
        <v>45775</v>
      </c>
      <c r="DQ1" s="11">
        <v>45776</v>
      </c>
      <c r="DR1" s="11">
        <v>45777</v>
      </c>
      <c r="DS1" s="11">
        <v>45778</v>
      </c>
      <c r="DT1" s="11">
        <v>45779</v>
      </c>
      <c r="DU1" s="11">
        <v>45780</v>
      </c>
      <c r="DV1" s="11">
        <v>45781</v>
      </c>
      <c r="DW1" s="11">
        <v>45782</v>
      </c>
      <c r="DX1" s="11">
        <v>45783</v>
      </c>
      <c r="DY1" s="11">
        <v>45784</v>
      </c>
      <c r="DZ1" s="11">
        <v>45785</v>
      </c>
      <c r="EA1" s="11">
        <v>45786</v>
      </c>
      <c r="EB1" s="11">
        <v>45787</v>
      </c>
      <c r="EC1" s="11">
        <v>45788</v>
      </c>
      <c r="ED1" s="11">
        <v>45789</v>
      </c>
      <c r="EE1" s="11">
        <v>45790</v>
      </c>
      <c r="EF1" s="11">
        <v>45791</v>
      </c>
      <c r="EG1" s="11">
        <v>45792</v>
      </c>
      <c r="EH1" s="11">
        <v>45793</v>
      </c>
      <c r="EI1" s="11">
        <v>45794</v>
      </c>
      <c r="EJ1" s="11">
        <v>45795</v>
      </c>
      <c r="EK1" s="11">
        <v>45796</v>
      </c>
      <c r="EL1" s="11">
        <v>45797</v>
      </c>
      <c r="EM1" s="11">
        <v>45798</v>
      </c>
      <c r="EN1" s="11">
        <v>45799</v>
      </c>
      <c r="EO1" s="11">
        <v>45800</v>
      </c>
      <c r="EP1" s="11">
        <v>45801</v>
      </c>
      <c r="EQ1" s="11">
        <v>45802</v>
      </c>
      <c r="ER1" s="11">
        <v>45803</v>
      </c>
      <c r="ES1" s="11">
        <v>45804</v>
      </c>
      <c r="ET1" s="11">
        <v>45805</v>
      </c>
      <c r="EU1" s="11">
        <v>45806</v>
      </c>
      <c r="EV1" s="11">
        <v>45807</v>
      </c>
      <c r="EW1" s="11">
        <v>45808</v>
      </c>
      <c r="EX1" s="11">
        <v>45809</v>
      </c>
      <c r="EY1" s="11">
        <v>45810</v>
      </c>
      <c r="EZ1" s="11">
        <v>45811</v>
      </c>
      <c r="FA1" s="11">
        <v>45812</v>
      </c>
      <c r="FB1" s="11">
        <v>45813</v>
      </c>
      <c r="FC1" s="11">
        <v>45814</v>
      </c>
      <c r="FD1" s="11">
        <v>45815</v>
      </c>
      <c r="FE1" s="11">
        <v>45816</v>
      </c>
      <c r="FF1" s="11">
        <v>45817</v>
      </c>
      <c r="FG1" s="11">
        <v>45818</v>
      </c>
      <c r="FH1" s="11">
        <v>45819</v>
      </c>
      <c r="FI1" s="11">
        <v>45820</v>
      </c>
      <c r="FJ1" s="11">
        <v>45821</v>
      </c>
      <c r="FK1" s="11">
        <v>45822</v>
      </c>
      <c r="FL1" s="11">
        <v>45823</v>
      </c>
      <c r="FM1" s="11">
        <v>45824</v>
      </c>
      <c r="FN1" s="11">
        <v>45825</v>
      </c>
      <c r="FO1" s="11">
        <v>45826</v>
      </c>
      <c r="FP1" s="11">
        <v>45827</v>
      </c>
      <c r="FQ1" s="11">
        <v>45828</v>
      </c>
      <c r="FR1" s="11">
        <v>45829</v>
      </c>
      <c r="FS1" s="11">
        <v>45830</v>
      </c>
      <c r="FT1" s="11">
        <v>45831</v>
      </c>
      <c r="FU1" s="11">
        <v>45832</v>
      </c>
      <c r="FV1" s="11">
        <v>45833</v>
      </c>
      <c r="FW1" s="11">
        <v>45834</v>
      </c>
      <c r="FX1" s="11">
        <v>45835</v>
      </c>
      <c r="FY1" s="11">
        <v>45836</v>
      </c>
      <c r="FZ1" s="11">
        <v>45837</v>
      </c>
      <c r="GA1" s="11">
        <v>45838</v>
      </c>
      <c r="GB1" s="11">
        <v>45839</v>
      </c>
      <c r="GC1" s="11">
        <v>45840</v>
      </c>
      <c r="GD1" s="11">
        <v>45841</v>
      </c>
      <c r="GE1" s="11">
        <v>45842</v>
      </c>
      <c r="GF1" s="11">
        <v>45843</v>
      </c>
      <c r="GG1" s="11">
        <v>45844</v>
      </c>
      <c r="GH1" s="11">
        <v>45845</v>
      </c>
      <c r="GI1" s="11">
        <v>45846</v>
      </c>
      <c r="GJ1" s="11">
        <v>45847</v>
      </c>
      <c r="GK1" s="11">
        <v>45848</v>
      </c>
      <c r="GL1" s="11">
        <v>45849</v>
      </c>
      <c r="GM1" s="11">
        <v>45850</v>
      </c>
      <c r="GN1" s="11">
        <v>45851</v>
      </c>
      <c r="GO1" s="11">
        <v>45852</v>
      </c>
      <c r="GP1" s="11">
        <v>45853</v>
      </c>
      <c r="GQ1" s="11">
        <v>45854</v>
      </c>
      <c r="GR1" s="11">
        <v>45855</v>
      </c>
      <c r="GS1" s="11">
        <v>45856</v>
      </c>
      <c r="GT1" s="11">
        <v>45857</v>
      </c>
      <c r="GU1" s="11">
        <v>45858</v>
      </c>
      <c r="GV1" s="11">
        <v>45859</v>
      </c>
      <c r="GW1" s="11">
        <v>45860</v>
      </c>
      <c r="GX1" s="11">
        <v>45861</v>
      </c>
      <c r="GY1" s="11">
        <v>45862</v>
      </c>
      <c r="GZ1" s="11">
        <v>45863</v>
      </c>
      <c r="HA1" s="11">
        <v>45864</v>
      </c>
      <c r="HB1" s="11">
        <v>45865</v>
      </c>
      <c r="HC1" s="11">
        <v>45866</v>
      </c>
      <c r="HD1" s="11">
        <v>45867</v>
      </c>
      <c r="HE1" s="11">
        <v>45868</v>
      </c>
      <c r="HF1" s="11">
        <v>45869</v>
      </c>
      <c r="HG1" s="11">
        <v>45870</v>
      </c>
      <c r="HH1" s="11">
        <v>45871</v>
      </c>
      <c r="HI1" s="11">
        <v>45872</v>
      </c>
      <c r="HJ1" s="11">
        <v>45873</v>
      </c>
      <c r="HK1" s="11">
        <v>45874</v>
      </c>
      <c r="HL1" s="11">
        <v>45875</v>
      </c>
      <c r="HM1" s="11">
        <v>45876</v>
      </c>
      <c r="HN1" s="11">
        <v>45877</v>
      </c>
      <c r="HO1" s="11">
        <v>45878</v>
      </c>
      <c r="HP1" s="11">
        <v>45879</v>
      </c>
      <c r="HQ1" s="11">
        <v>45880</v>
      </c>
      <c r="HR1" s="11">
        <v>45881</v>
      </c>
      <c r="HS1" s="11">
        <v>45882</v>
      </c>
      <c r="HT1" s="11">
        <v>45883</v>
      </c>
      <c r="HU1" s="11">
        <v>45884</v>
      </c>
      <c r="HV1" s="11">
        <v>45885</v>
      </c>
      <c r="HW1" s="11">
        <v>45886</v>
      </c>
      <c r="HX1" s="11">
        <v>45887</v>
      </c>
      <c r="HY1" s="11">
        <v>45888</v>
      </c>
      <c r="HZ1" s="11">
        <v>45889</v>
      </c>
      <c r="IA1" s="11">
        <v>45890</v>
      </c>
      <c r="IB1" s="11">
        <v>45891</v>
      </c>
      <c r="IC1" s="11">
        <v>45892</v>
      </c>
      <c r="ID1" s="11">
        <v>45893</v>
      </c>
      <c r="IE1" s="11">
        <v>45894</v>
      </c>
      <c r="IF1" s="11">
        <v>45895</v>
      </c>
      <c r="IG1" s="11">
        <v>45896</v>
      </c>
      <c r="IH1" s="11">
        <v>45897</v>
      </c>
      <c r="II1" s="11">
        <v>45898</v>
      </c>
      <c r="IJ1" s="11">
        <v>45899</v>
      </c>
      <c r="IK1" s="11">
        <v>45900</v>
      </c>
      <c r="IL1" s="11">
        <v>45901</v>
      </c>
      <c r="IM1" s="11">
        <v>45902</v>
      </c>
      <c r="IN1" s="11">
        <v>45903</v>
      </c>
      <c r="IO1" s="11">
        <v>45904</v>
      </c>
      <c r="IP1" s="11">
        <v>45905</v>
      </c>
      <c r="IQ1" s="11">
        <v>45906</v>
      </c>
      <c r="IR1" s="11">
        <v>45907</v>
      </c>
      <c r="IS1" s="11">
        <v>45908</v>
      </c>
      <c r="IT1" s="11">
        <v>45909</v>
      </c>
      <c r="IU1" s="11">
        <v>45910</v>
      </c>
      <c r="IV1" s="11">
        <v>45911</v>
      </c>
      <c r="IW1" s="11">
        <v>45912</v>
      </c>
      <c r="IX1" s="11">
        <v>45913</v>
      </c>
      <c r="IY1" s="11">
        <v>45914</v>
      </c>
      <c r="IZ1" s="11">
        <v>45915</v>
      </c>
      <c r="JA1" s="11">
        <v>45916</v>
      </c>
      <c r="JB1" s="11">
        <v>45917</v>
      </c>
      <c r="JC1" s="11">
        <v>45918</v>
      </c>
      <c r="JD1" s="11">
        <v>45919</v>
      </c>
      <c r="JE1" s="11">
        <v>45920</v>
      </c>
      <c r="JF1" s="11">
        <v>45921</v>
      </c>
      <c r="JG1" s="11">
        <v>45922</v>
      </c>
      <c r="JH1" s="11">
        <v>45923</v>
      </c>
      <c r="JI1" s="11">
        <v>45924</v>
      </c>
      <c r="JJ1" s="11">
        <v>45925</v>
      </c>
      <c r="JK1" s="11">
        <v>45926</v>
      </c>
      <c r="JL1" s="11">
        <v>45927</v>
      </c>
      <c r="JM1" s="11">
        <v>45928</v>
      </c>
      <c r="JN1" s="11">
        <v>45929</v>
      </c>
      <c r="JO1" s="11">
        <v>45930</v>
      </c>
      <c r="JP1" s="11">
        <v>45931</v>
      </c>
      <c r="JQ1" s="11">
        <v>45932</v>
      </c>
      <c r="JR1" s="11">
        <v>45933</v>
      </c>
      <c r="JS1" s="11">
        <v>45934</v>
      </c>
      <c r="JT1" s="11">
        <v>45935</v>
      </c>
      <c r="JU1" s="11">
        <v>45936</v>
      </c>
      <c r="JV1" s="11">
        <v>45937</v>
      </c>
      <c r="JW1" s="11">
        <v>45938</v>
      </c>
      <c r="JX1" s="11">
        <v>45939</v>
      </c>
      <c r="JY1" s="11">
        <v>45940</v>
      </c>
      <c r="JZ1" s="11">
        <v>45941</v>
      </c>
      <c r="KA1" s="11">
        <v>45942</v>
      </c>
      <c r="KB1" s="11">
        <v>45943</v>
      </c>
      <c r="KC1" s="11">
        <v>45944</v>
      </c>
      <c r="KD1" s="11">
        <v>45945</v>
      </c>
      <c r="KE1" s="11">
        <v>45946</v>
      </c>
      <c r="KF1" s="11">
        <v>45947</v>
      </c>
      <c r="KG1" s="11">
        <v>45948</v>
      </c>
      <c r="KH1" s="11">
        <v>45949</v>
      </c>
      <c r="KI1" s="11">
        <v>45950</v>
      </c>
      <c r="KJ1" s="11">
        <v>45951</v>
      </c>
      <c r="KK1" s="11">
        <v>45952</v>
      </c>
      <c r="KL1" s="11">
        <v>45953</v>
      </c>
      <c r="KM1" s="11">
        <v>45954</v>
      </c>
      <c r="KN1" s="11">
        <v>45955</v>
      </c>
      <c r="KO1" s="11">
        <v>45956</v>
      </c>
      <c r="KP1" s="11">
        <v>45957</v>
      </c>
      <c r="KQ1" s="11">
        <v>45958</v>
      </c>
      <c r="KR1" s="11">
        <v>45959</v>
      </c>
      <c r="KS1" s="11">
        <v>45960</v>
      </c>
      <c r="KT1" s="11">
        <v>45961</v>
      </c>
      <c r="KU1" s="11">
        <v>45962</v>
      </c>
      <c r="KV1" s="11">
        <v>45963</v>
      </c>
      <c r="KW1" s="11">
        <v>45964</v>
      </c>
      <c r="KX1" s="11">
        <v>45965</v>
      </c>
      <c r="KY1" s="11">
        <v>45966</v>
      </c>
      <c r="KZ1" s="11">
        <v>45967</v>
      </c>
      <c r="LA1" s="11">
        <v>45968</v>
      </c>
      <c r="LB1" s="11">
        <v>45969</v>
      </c>
      <c r="LC1" s="11">
        <v>45970</v>
      </c>
      <c r="LD1" s="11">
        <v>45971</v>
      </c>
      <c r="LE1" s="11">
        <v>45972</v>
      </c>
      <c r="LF1" s="11">
        <v>45973</v>
      </c>
      <c r="LG1" s="11">
        <v>45974</v>
      </c>
      <c r="LH1" s="11">
        <v>45975</v>
      </c>
      <c r="LI1" s="11">
        <v>45976</v>
      </c>
      <c r="LJ1" s="11">
        <v>45977</v>
      </c>
      <c r="LK1" s="11">
        <v>45978</v>
      </c>
      <c r="LL1" s="11">
        <v>45979</v>
      </c>
      <c r="LM1" s="11">
        <v>45980</v>
      </c>
      <c r="LN1" s="11">
        <v>45981</v>
      </c>
      <c r="LO1" s="11">
        <v>45982</v>
      </c>
      <c r="LP1" s="11">
        <v>45983</v>
      </c>
      <c r="LQ1" s="11">
        <v>45984</v>
      </c>
      <c r="LR1" s="11">
        <v>45985</v>
      </c>
      <c r="LS1" s="11">
        <v>45986</v>
      </c>
      <c r="LT1" s="11">
        <v>45987</v>
      </c>
      <c r="LU1" s="11">
        <v>45988</v>
      </c>
      <c r="LV1" s="11">
        <v>45989</v>
      </c>
      <c r="LW1" s="11">
        <v>45990</v>
      </c>
      <c r="LX1" s="11">
        <v>45991</v>
      </c>
      <c r="LY1" s="11">
        <v>45992</v>
      </c>
      <c r="LZ1" s="11">
        <v>45993</v>
      </c>
      <c r="MA1" s="11">
        <v>45994</v>
      </c>
      <c r="MB1" s="11">
        <v>45995</v>
      </c>
      <c r="MC1" s="11">
        <v>45996</v>
      </c>
      <c r="MD1" s="11">
        <v>45997</v>
      </c>
      <c r="ME1" s="11">
        <v>45998</v>
      </c>
      <c r="MF1" s="11">
        <v>45999</v>
      </c>
      <c r="MG1" s="11">
        <v>46000</v>
      </c>
      <c r="MH1" s="11">
        <v>46001</v>
      </c>
      <c r="MI1" s="11">
        <v>46002</v>
      </c>
      <c r="MJ1" s="11">
        <v>46003</v>
      </c>
      <c r="MK1" s="11">
        <v>46004</v>
      </c>
      <c r="ML1" s="11">
        <v>46005</v>
      </c>
      <c r="MM1" s="11">
        <v>46006</v>
      </c>
      <c r="MN1" s="11">
        <v>46007</v>
      </c>
      <c r="MO1" s="11">
        <v>46008</v>
      </c>
      <c r="MP1" s="11">
        <v>46009</v>
      </c>
      <c r="MQ1" s="11">
        <v>46010</v>
      </c>
      <c r="MR1" s="11">
        <v>46011</v>
      </c>
      <c r="MS1" s="11">
        <v>46012</v>
      </c>
      <c r="MT1" s="11">
        <v>46013</v>
      </c>
      <c r="MU1" s="11">
        <v>46014</v>
      </c>
      <c r="MV1" s="11">
        <v>46015</v>
      </c>
      <c r="MW1" s="11">
        <v>46016</v>
      </c>
      <c r="MX1" s="11">
        <v>46017</v>
      </c>
      <c r="MY1" s="11">
        <v>46018</v>
      </c>
      <c r="MZ1" s="11">
        <v>46019</v>
      </c>
      <c r="NA1" s="11">
        <v>46020</v>
      </c>
      <c r="NB1" s="11">
        <v>46021</v>
      </c>
      <c r="NC1" s="11">
        <v>46022</v>
      </c>
    </row>
    <row r="2" spans="1:367">
      <c r="B2" s="12" t="s">
        <v>10</v>
      </c>
      <c r="C2" s="8" t="s">
        <v>54</v>
      </c>
      <c r="D2" s="8" t="s">
        <v>54</v>
      </c>
      <c r="E2" s="8" t="s">
        <v>54</v>
      </c>
      <c r="F2" s="8" t="s">
        <v>54</v>
      </c>
      <c r="G2" s="8" t="s">
        <v>54</v>
      </c>
      <c r="H2" s="8" t="s">
        <v>425</v>
      </c>
      <c r="I2" s="8" t="s">
        <v>425</v>
      </c>
      <c r="J2" s="8" t="s">
        <v>425</v>
      </c>
      <c r="K2" s="8" t="s">
        <v>425</v>
      </c>
      <c r="L2" s="8" t="s">
        <v>425</v>
      </c>
      <c r="M2" s="8" t="s">
        <v>425</v>
      </c>
      <c r="N2" s="8" t="s">
        <v>425</v>
      </c>
      <c r="O2" s="8" t="s">
        <v>2</v>
      </c>
      <c r="P2" s="8" t="s">
        <v>2</v>
      </c>
      <c r="Q2" s="8" t="s">
        <v>2</v>
      </c>
      <c r="R2" s="8" t="s">
        <v>2</v>
      </c>
      <c r="S2" s="8" t="s">
        <v>2</v>
      </c>
      <c r="T2" s="8" t="s">
        <v>2</v>
      </c>
      <c r="U2" s="8" t="s">
        <v>2</v>
      </c>
      <c r="V2" s="8" t="s">
        <v>3</v>
      </c>
      <c r="W2" s="8" t="s">
        <v>3</v>
      </c>
      <c r="X2" s="8" t="s">
        <v>3</v>
      </c>
      <c r="Y2" s="8" t="s">
        <v>3</v>
      </c>
      <c r="Z2" s="8" t="s">
        <v>3</v>
      </c>
      <c r="AA2" s="8" t="s">
        <v>3</v>
      </c>
      <c r="AB2" s="8" t="s">
        <v>3</v>
      </c>
      <c r="AC2" s="8" t="s">
        <v>4</v>
      </c>
      <c r="AD2" s="8" t="s">
        <v>4</v>
      </c>
      <c r="AE2" s="8" t="s">
        <v>4</v>
      </c>
      <c r="AF2" s="8" t="s">
        <v>4</v>
      </c>
      <c r="AG2" s="8" t="s">
        <v>4</v>
      </c>
      <c r="AH2" s="8" t="s">
        <v>4</v>
      </c>
      <c r="AI2" s="8" t="s">
        <v>4</v>
      </c>
      <c r="AJ2" s="8" t="s">
        <v>5</v>
      </c>
      <c r="AK2" s="8" t="s">
        <v>5</v>
      </c>
      <c r="AL2" s="8" t="s">
        <v>5</v>
      </c>
      <c r="AM2" s="8" t="s">
        <v>5</v>
      </c>
      <c r="AN2" s="8" t="s">
        <v>5</v>
      </c>
      <c r="AO2" s="8" t="s">
        <v>5</v>
      </c>
      <c r="AP2" s="8" t="s">
        <v>5</v>
      </c>
      <c r="AQ2" s="8" t="s">
        <v>6</v>
      </c>
      <c r="AR2" s="8" t="s">
        <v>6</v>
      </c>
      <c r="AS2" s="8" t="s">
        <v>6</v>
      </c>
      <c r="AT2" s="8" t="s">
        <v>6</v>
      </c>
      <c r="AU2" s="8" t="s">
        <v>6</v>
      </c>
      <c r="AV2" s="8" t="s">
        <v>6</v>
      </c>
      <c r="AW2" s="8" t="s">
        <v>6</v>
      </c>
      <c r="AX2" s="8" t="s">
        <v>7</v>
      </c>
      <c r="AY2" s="8" t="s">
        <v>7</v>
      </c>
      <c r="AZ2" s="8" t="s">
        <v>7</v>
      </c>
      <c r="BA2" s="8" t="s">
        <v>7</v>
      </c>
      <c r="BB2" s="8" t="s">
        <v>7</v>
      </c>
      <c r="BC2" s="8" t="s">
        <v>7</v>
      </c>
      <c r="BD2" s="8" t="s">
        <v>7</v>
      </c>
      <c r="BE2" s="8" t="s">
        <v>8</v>
      </c>
      <c r="BF2" s="8" t="s">
        <v>8</v>
      </c>
      <c r="BG2" s="8" t="s">
        <v>8</v>
      </c>
      <c r="BH2" s="8" t="s">
        <v>8</v>
      </c>
      <c r="BI2" s="8" t="s">
        <v>8</v>
      </c>
      <c r="BJ2" s="8" t="s">
        <v>8</v>
      </c>
      <c r="BK2" s="8" t="s">
        <v>8</v>
      </c>
      <c r="BL2" s="8" t="s">
        <v>11</v>
      </c>
      <c r="BM2" s="8" t="s">
        <v>11</v>
      </c>
      <c r="BN2" s="8" t="s">
        <v>11</v>
      </c>
      <c r="BO2" s="8" t="s">
        <v>11</v>
      </c>
      <c r="BP2" s="8" t="s">
        <v>11</v>
      </c>
      <c r="BQ2" s="8" t="s">
        <v>11</v>
      </c>
      <c r="BR2" s="8" t="s">
        <v>11</v>
      </c>
      <c r="BS2" s="8" t="s">
        <v>12</v>
      </c>
      <c r="BT2" s="8" t="s">
        <v>12</v>
      </c>
      <c r="BU2" s="8" t="s">
        <v>12</v>
      </c>
      <c r="BV2" s="8" t="s">
        <v>12</v>
      </c>
      <c r="BW2" s="8" t="s">
        <v>12</v>
      </c>
      <c r="BX2" s="8" t="s">
        <v>12</v>
      </c>
      <c r="BY2" s="8" t="s">
        <v>12</v>
      </c>
      <c r="BZ2" s="8" t="s">
        <v>13</v>
      </c>
      <c r="CA2" s="8" t="s">
        <v>13</v>
      </c>
      <c r="CB2" s="8" t="s">
        <v>13</v>
      </c>
      <c r="CC2" s="8" t="s">
        <v>13</v>
      </c>
      <c r="CD2" s="8" t="s">
        <v>13</v>
      </c>
      <c r="CE2" s="8" t="s">
        <v>13</v>
      </c>
      <c r="CF2" s="8" t="s">
        <v>13</v>
      </c>
      <c r="CG2" s="8" t="s">
        <v>14</v>
      </c>
      <c r="CH2" s="8" t="s">
        <v>14</v>
      </c>
      <c r="CI2" s="8" t="s">
        <v>14</v>
      </c>
      <c r="CJ2" s="8" t="s">
        <v>14</v>
      </c>
      <c r="CK2" s="8" t="s">
        <v>14</v>
      </c>
      <c r="CL2" s="8" t="s">
        <v>14</v>
      </c>
      <c r="CM2" s="8" t="s">
        <v>14</v>
      </c>
      <c r="CN2" s="8" t="s">
        <v>15</v>
      </c>
      <c r="CO2" s="8" t="s">
        <v>15</v>
      </c>
      <c r="CP2" s="8" t="s">
        <v>15</v>
      </c>
      <c r="CQ2" s="8" t="s">
        <v>15</v>
      </c>
      <c r="CR2" s="8" t="s">
        <v>15</v>
      </c>
      <c r="CS2" s="8" t="s">
        <v>15</v>
      </c>
      <c r="CT2" s="8" t="s">
        <v>15</v>
      </c>
      <c r="CU2" s="8" t="s">
        <v>16</v>
      </c>
      <c r="CV2" s="8" t="s">
        <v>16</v>
      </c>
      <c r="CW2" s="8" t="s">
        <v>16</v>
      </c>
      <c r="CX2" s="8" t="s">
        <v>16</v>
      </c>
      <c r="CY2" s="8" t="s">
        <v>16</v>
      </c>
      <c r="CZ2" s="8" t="s">
        <v>16</v>
      </c>
      <c r="DA2" s="8" t="s">
        <v>16</v>
      </c>
      <c r="DB2" s="8" t="s">
        <v>17</v>
      </c>
      <c r="DC2" s="8" t="s">
        <v>17</v>
      </c>
      <c r="DD2" s="8" t="s">
        <v>17</v>
      </c>
      <c r="DE2" s="8" t="s">
        <v>17</v>
      </c>
      <c r="DF2" s="8" t="s">
        <v>17</v>
      </c>
      <c r="DG2" s="8" t="s">
        <v>17</v>
      </c>
      <c r="DH2" s="8" t="s">
        <v>17</v>
      </c>
      <c r="DI2" s="8" t="s">
        <v>18</v>
      </c>
      <c r="DJ2" s="8" t="s">
        <v>18</v>
      </c>
      <c r="DK2" s="8" t="s">
        <v>18</v>
      </c>
      <c r="DL2" s="8" t="s">
        <v>18</v>
      </c>
      <c r="DM2" s="8" t="s">
        <v>18</v>
      </c>
      <c r="DN2" s="8" t="s">
        <v>18</v>
      </c>
      <c r="DO2" s="8" t="s">
        <v>18</v>
      </c>
      <c r="DP2" s="8" t="s">
        <v>19</v>
      </c>
      <c r="DQ2" s="8" t="s">
        <v>19</v>
      </c>
      <c r="DR2" s="8" t="s">
        <v>19</v>
      </c>
      <c r="DS2" s="8" t="s">
        <v>19</v>
      </c>
      <c r="DT2" s="8" t="s">
        <v>19</v>
      </c>
      <c r="DU2" s="8" t="s">
        <v>19</v>
      </c>
      <c r="DV2" s="8" t="s">
        <v>19</v>
      </c>
      <c r="DW2" s="8" t="s">
        <v>20</v>
      </c>
      <c r="DX2" s="8" t="s">
        <v>20</v>
      </c>
      <c r="DY2" s="8" t="s">
        <v>20</v>
      </c>
      <c r="DZ2" s="8" t="s">
        <v>20</v>
      </c>
      <c r="EA2" s="8" t="s">
        <v>20</v>
      </c>
      <c r="EB2" s="8" t="s">
        <v>20</v>
      </c>
      <c r="EC2" s="8" t="s">
        <v>20</v>
      </c>
      <c r="ED2" s="8" t="s">
        <v>21</v>
      </c>
      <c r="EE2" s="8" t="s">
        <v>21</v>
      </c>
      <c r="EF2" s="8" t="s">
        <v>21</v>
      </c>
      <c r="EG2" s="8" t="s">
        <v>21</v>
      </c>
      <c r="EH2" s="8" t="s">
        <v>21</v>
      </c>
      <c r="EI2" s="8" t="s">
        <v>21</v>
      </c>
      <c r="EJ2" s="8" t="s">
        <v>21</v>
      </c>
      <c r="EK2" s="8" t="s">
        <v>22</v>
      </c>
      <c r="EL2" s="8" t="s">
        <v>22</v>
      </c>
      <c r="EM2" s="8" t="s">
        <v>22</v>
      </c>
      <c r="EN2" s="8" t="s">
        <v>22</v>
      </c>
      <c r="EO2" s="8" t="s">
        <v>22</v>
      </c>
      <c r="EP2" s="8" t="s">
        <v>22</v>
      </c>
      <c r="EQ2" s="8" t="s">
        <v>22</v>
      </c>
      <c r="ER2" s="8" t="s">
        <v>23</v>
      </c>
      <c r="ES2" s="8" t="s">
        <v>23</v>
      </c>
      <c r="ET2" s="8" t="s">
        <v>23</v>
      </c>
      <c r="EU2" s="8" t="s">
        <v>23</v>
      </c>
      <c r="EV2" s="8" t="s">
        <v>23</v>
      </c>
      <c r="EW2" s="8" t="s">
        <v>23</v>
      </c>
      <c r="EX2" s="8" t="s">
        <v>23</v>
      </c>
      <c r="EY2" s="8" t="s">
        <v>24</v>
      </c>
      <c r="EZ2" s="8" t="s">
        <v>24</v>
      </c>
      <c r="FA2" s="8" t="s">
        <v>24</v>
      </c>
      <c r="FB2" s="8" t="s">
        <v>24</v>
      </c>
      <c r="FC2" s="8" t="s">
        <v>24</v>
      </c>
      <c r="FD2" s="8" t="s">
        <v>24</v>
      </c>
      <c r="FE2" s="8" t="s">
        <v>24</v>
      </c>
      <c r="FF2" s="8" t="s">
        <v>25</v>
      </c>
      <c r="FG2" s="8" t="s">
        <v>25</v>
      </c>
      <c r="FH2" s="8" t="s">
        <v>25</v>
      </c>
      <c r="FI2" s="8" t="s">
        <v>25</v>
      </c>
      <c r="FJ2" s="8" t="s">
        <v>25</v>
      </c>
      <c r="FK2" s="8" t="s">
        <v>25</v>
      </c>
      <c r="FL2" s="8" t="s">
        <v>25</v>
      </c>
      <c r="FM2" s="8" t="s">
        <v>26</v>
      </c>
      <c r="FN2" s="8" t="s">
        <v>26</v>
      </c>
      <c r="FO2" s="8" t="s">
        <v>26</v>
      </c>
      <c r="FP2" s="8" t="s">
        <v>26</v>
      </c>
      <c r="FQ2" s="8" t="s">
        <v>26</v>
      </c>
      <c r="FR2" s="8" t="s">
        <v>26</v>
      </c>
      <c r="FS2" s="8" t="s">
        <v>26</v>
      </c>
      <c r="FT2" s="8" t="s">
        <v>27</v>
      </c>
      <c r="FU2" s="8" t="s">
        <v>27</v>
      </c>
      <c r="FV2" s="8" t="s">
        <v>27</v>
      </c>
      <c r="FW2" s="8" t="s">
        <v>27</v>
      </c>
      <c r="FX2" s="8" t="s">
        <v>27</v>
      </c>
      <c r="FY2" s="8" t="s">
        <v>27</v>
      </c>
      <c r="FZ2" s="8" t="s">
        <v>27</v>
      </c>
      <c r="GA2" s="8" t="s">
        <v>28</v>
      </c>
      <c r="GB2" s="8" t="s">
        <v>28</v>
      </c>
      <c r="GC2" s="8" t="s">
        <v>28</v>
      </c>
      <c r="GD2" s="8" t="s">
        <v>28</v>
      </c>
      <c r="GE2" s="8" t="s">
        <v>28</v>
      </c>
      <c r="GF2" s="8" t="s">
        <v>28</v>
      </c>
      <c r="GG2" s="8" t="s">
        <v>28</v>
      </c>
      <c r="GH2" s="8" t="s">
        <v>29</v>
      </c>
      <c r="GI2" s="8" t="s">
        <v>29</v>
      </c>
      <c r="GJ2" s="8" t="s">
        <v>29</v>
      </c>
      <c r="GK2" s="8" t="s">
        <v>29</v>
      </c>
      <c r="GL2" s="8" t="s">
        <v>29</v>
      </c>
      <c r="GM2" s="8" t="s">
        <v>29</v>
      </c>
      <c r="GN2" s="8" t="s">
        <v>29</v>
      </c>
      <c r="GO2" s="8" t="s">
        <v>30</v>
      </c>
      <c r="GP2" s="8" t="s">
        <v>30</v>
      </c>
      <c r="GQ2" s="8" t="s">
        <v>30</v>
      </c>
      <c r="GR2" s="8" t="s">
        <v>30</v>
      </c>
      <c r="GS2" s="8" t="s">
        <v>30</v>
      </c>
      <c r="GT2" s="8" t="s">
        <v>30</v>
      </c>
      <c r="GU2" s="8" t="s">
        <v>30</v>
      </c>
      <c r="GV2" s="8" t="s">
        <v>31</v>
      </c>
      <c r="GW2" s="8" t="s">
        <v>31</v>
      </c>
      <c r="GX2" s="8" t="s">
        <v>31</v>
      </c>
      <c r="GY2" s="8" t="s">
        <v>31</v>
      </c>
      <c r="GZ2" s="8" t="s">
        <v>31</v>
      </c>
      <c r="HA2" s="8" t="s">
        <v>31</v>
      </c>
      <c r="HB2" s="8" t="s">
        <v>31</v>
      </c>
      <c r="HC2" s="8" t="s">
        <v>32</v>
      </c>
      <c r="HD2" s="8" t="s">
        <v>32</v>
      </c>
      <c r="HE2" s="8" t="s">
        <v>32</v>
      </c>
      <c r="HF2" s="8" t="s">
        <v>32</v>
      </c>
      <c r="HG2" s="8" t="s">
        <v>32</v>
      </c>
      <c r="HH2" s="8" t="s">
        <v>32</v>
      </c>
      <c r="HI2" s="8" t="s">
        <v>32</v>
      </c>
      <c r="HJ2" s="8" t="s">
        <v>33</v>
      </c>
      <c r="HK2" s="8" t="s">
        <v>33</v>
      </c>
      <c r="HL2" s="8" t="s">
        <v>33</v>
      </c>
      <c r="HM2" s="8" t="s">
        <v>33</v>
      </c>
      <c r="HN2" s="8" t="s">
        <v>33</v>
      </c>
      <c r="HO2" s="8" t="s">
        <v>33</v>
      </c>
      <c r="HP2" s="8" t="s">
        <v>33</v>
      </c>
      <c r="HQ2" s="8" t="s">
        <v>34</v>
      </c>
      <c r="HR2" s="8" t="s">
        <v>34</v>
      </c>
      <c r="HS2" s="8" t="s">
        <v>34</v>
      </c>
      <c r="HT2" s="8" t="s">
        <v>34</v>
      </c>
      <c r="HU2" s="8" t="s">
        <v>34</v>
      </c>
      <c r="HV2" s="8" t="s">
        <v>34</v>
      </c>
      <c r="HW2" s="8" t="s">
        <v>34</v>
      </c>
      <c r="HX2" s="8" t="s">
        <v>35</v>
      </c>
      <c r="HY2" s="8" t="s">
        <v>35</v>
      </c>
      <c r="HZ2" s="8" t="s">
        <v>35</v>
      </c>
      <c r="IA2" s="8" t="s">
        <v>35</v>
      </c>
      <c r="IB2" s="8" t="s">
        <v>35</v>
      </c>
      <c r="IC2" s="8" t="s">
        <v>35</v>
      </c>
      <c r="ID2" s="8" t="s">
        <v>35</v>
      </c>
      <c r="IE2" s="8" t="s">
        <v>36</v>
      </c>
      <c r="IF2" s="8" t="s">
        <v>36</v>
      </c>
      <c r="IG2" s="8" t="s">
        <v>36</v>
      </c>
      <c r="IH2" s="8" t="s">
        <v>36</v>
      </c>
      <c r="II2" s="8" t="s">
        <v>36</v>
      </c>
      <c r="IJ2" s="8" t="s">
        <v>36</v>
      </c>
      <c r="IK2" s="8" t="s">
        <v>36</v>
      </c>
      <c r="IL2" s="8" t="s">
        <v>37</v>
      </c>
      <c r="IM2" s="8" t="s">
        <v>37</v>
      </c>
      <c r="IN2" s="8" t="s">
        <v>37</v>
      </c>
      <c r="IO2" s="8" t="s">
        <v>37</v>
      </c>
      <c r="IP2" s="8" t="s">
        <v>37</v>
      </c>
      <c r="IQ2" s="8" t="s">
        <v>37</v>
      </c>
      <c r="IR2" s="8" t="s">
        <v>37</v>
      </c>
      <c r="IS2" s="8" t="s">
        <v>38</v>
      </c>
      <c r="IT2" s="8" t="s">
        <v>38</v>
      </c>
      <c r="IU2" s="8" t="s">
        <v>38</v>
      </c>
      <c r="IV2" s="8" t="s">
        <v>38</v>
      </c>
      <c r="IW2" s="8" t="s">
        <v>38</v>
      </c>
      <c r="IX2" s="8" t="s">
        <v>38</v>
      </c>
      <c r="IY2" s="8" t="s">
        <v>38</v>
      </c>
      <c r="IZ2" s="8" t="s">
        <v>39</v>
      </c>
      <c r="JA2" s="8" t="s">
        <v>39</v>
      </c>
      <c r="JB2" s="8" t="s">
        <v>39</v>
      </c>
      <c r="JC2" s="8" t="s">
        <v>39</v>
      </c>
      <c r="JD2" s="8" t="s">
        <v>39</v>
      </c>
      <c r="JE2" s="8" t="s">
        <v>39</v>
      </c>
      <c r="JF2" s="8" t="s">
        <v>39</v>
      </c>
      <c r="JG2" s="8" t="s">
        <v>40</v>
      </c>
      <c r="JH2" s="8" t="s">
        <v>40</v>
      </c>
      <c r="JI2" s="8" t="s">
        <v>40</v>
      </c>
      <c r="JJ2" s="8" t="s">
        <v>40</v>
      </c>
      <c r="JK2" s="8" t="s">
        <v>40</v>
      </c>
      <c r="JL2" s="8" t="s">
        <v>40</v>
      </c>
      <c r="JM2" s="8" t="s">
        <v>40</v>
      </c>
      <c r="JN2" s="8" t="s">
        <v>41</v>
      </c>
      <c r="JO2" s="8" t="s">
        <v>41</v>
      </c>
      <c r="JP2" s="8" t="s">
        <v>41</v>
      </c>
      <c r="JQ2" s="8" t="s">
        <v>41</v>
      </c>
      <c r="JR2" s="8" t="s">
        <v>41</v>
      </c>
      <c r="JS2" s="8" t="s">
        <v>41</v>
      </c>
      <c r="JT2" s="8" t="s">
        <v>41</v>
      </c>
      <c r="JU2" s="8" t="s">
        <v>42</v>
      </c>
      <c r="JV2" s="8" t="s">
        <v>42</v>
      </c>
      <c r="JW2" s="8" t="s">
        <v>42</v>
      </c>
      <c r="JX2" s="8" t="s">
        <v>42</v>
      </c>
      <c r="JY2" s="8" t="s">
        <v>42</v>
      </c>
      <c r="JZ2" s="8" t="s">
        <v>42</v>
      </c>
      <c r="KA2" s="8" t="s">
        <v>42</v>
      </c>
      <c r="KB2" s="8" t="s">
        <v>43</v>
      </c>
      <c r="KC2" s="8" t="s">
        <v>43</v>
      </c>
      <c r="KD2" s="8" t="s">
        <v>43</v>
      </c>
      <c r="KE2" s="8" t="s">
        <v>43</v>
      </c>
      <c r="KF2" s="8" t="s">
        <v>43</v>
      </c>
      <c r="KG2" s="8" t="s">
        <v>43</v>
      </c>
      <c r="KH2" s="8" t="s">
        <v>43</v>
      </c>
      <c r="KI2" s="8" t="s">
        <v>44</v>
      </c>
      <c r="KJ2" s="8" t="s">
        <v>44</v>
      </c>
      <c r="KK2" s="8" t="s">
        <v>44</v>
      </c>
      <c r="KL2" s="8" t="s">
        <v>44</v>
      </c>
      <c r="KM2" s="8" t="s">
        <v>44</v>
      </c>
      <c r="KN2" s="8" t="s">
        <v>44</v>
      </c>
      <c r="KO2" s="8" t="s">
        <v>44</v>
      </c>
      <c r="KP2" s="8" t="s">
        <v>45</v>
      </c>
      <c r="KQ2" s="8" t="s">
        <v>45</v>
      </c>
      <c r="KR2" s="8" t="s">
        <v>45</v>
      </c>
      <c r="KS2" s="8" t="s">
        <v>45</v>
      </c>
      <c r="KT2" s="8" t="s">
        <v>45</v>
      </c>
      <c r="KU2" s="8" t="s">
        <v>45</v>
      </c>
      <c r="KV2" s="8" t="s">
        <v>45</v>
      </c>
      <c r="KW2" s="8" t="s">
        <v>46</v>
      </c>
      <c r="KX2" s="8" t="s">
        <v>46</v>
      </c>
      <c r="KY2" s="8" t="s">
        <v>46</v>
      </c>
      <c r="KZ2" s="8" t="s">
        <v>46</v>
      </c>
      <c r="LA2" s="8" t="s">
        <v>46</v>
      </c>
      <c r="LB2" s="8" t="s">
        <v>46</v>
      </c>
      <c r="LC2" s="8" t="s">
        <v>46</v>
      </c>
      <c r="LD2" s="8" t="s">
        <v>47</v>
      </c>
      <c r="LE2" s="8" t="s">
        <v>47</v>
      </c>
      <c r="LF2" s="8" t="s">
        <v>47</v>
      </c>
      <c r="LG2" s="8" t="s">
        <v>47</v>
      </c>
      <c r="LH2" s="8" t="s">
        <v>47</v>
      </c>
      <c r="LI2" s="8" t="s">
        <v>47</v>
      </c>
      <c r="LJ2" s="8" t="s">
        <v>47</v>
      </c>
      <c r="LK2" s="8" t="s">
        <v>48</v>
      </c>
      <c r="LL2" s="8" t="s">
        <v>48</v>
      </c>
      <c r="LM2" s="8" t="s">
        <v>48</v>
      </c>
      <c r="LN2" s="8" t="s">
        <v>48</v>
      </c>
      <c r="LO2" s="8" t="s">
        <v>48</v>
      </c>
      <c r="LP2" s="8" t="s">
        <v>48</v>
      </c>
      <c r="LQ2" s="8" t="s">
        <v>48</v>
      </c>
      <c r="LR2" s="8" t="s">
        <v>49</v>
      </c>
      <c r="LS2" s="8" t="s">
        <v>49</v>
      </c>
      <c r="LT2" s="8" t="s">
        <v>49</v>
      </c>
      <c r="LU2" s="8" t="s">
        <v>49</v>
      </c>
      <c r="LV2" s="8" t="s">
        <v>49</v>
      </c>
      <c r="LW2" s="8" t="s">
        <v>49</v>
      </c>
      <c r="LX2" s="8" t="s">
        <v>49</v>
      </c>
      <c r="LY2" s="8" t="s">
        <v>50</v>
      </c>
      <c r="LZ2" s="8" t="s">
        <v>50</v>
      </c>
      <c r="MA2" s="8" t="s">
        <v>50</v>
      </c>
      <c r="MB2" s="8" t="s">
        <v>50</v>
      </c>
      <c r="MC2" s="8" t="s">
        <v>50</v>
      </c>
      <c r="MD2" s="8" t="s">
        <v>50</v>
      </c>
      <c r="ME2" s="8" t="s">
        <v>50</v>
      </c>
      <c r="MF2" s="8" t="s">
        <v>51</v>
      </c>
      <c r="MG2" s="8" t="s">
        <v>51</v>
      </c>
      <c r="MH2" s="8" t="s">
        <v>51</v>
      </c>
      <c r="MI2" s="8" t="s">
        <v>51</v>
      </c>
      <c r="MJ2" s="8" t="s">
        <v>51</v>
      </c>
      <c r="MK2" s="8" t="s">
        <v>51</v>
      </c>
      <c r="ML2" s="8" t="s">
        <v>51</v>
      </c>
      <c r="MM2" s="8" t="s">
        <v>52</v>
      </c>
      <c r="MN2" s="8" t="s">
        <v>52</v>
      </c>
      <c r="MO2" s="8" t="s">
        <v>52</v>
      </c>
      <c r="MP2" s="8" t="s">
        <v>52</v>
      </c>
      <c r="MQ2" s="8" t="s">
        <v>52</v>
      </c>
      <c r="MR2" s="8" t="s">
        <v>52</v>
      </c>
      <c r="MS2" s="8" t="s">
        <v>52</v>
      </c>
      <c r="MT2" s="8" t="s">
        <v>53</v>
      </c>
      <c r="MU2" s="8" t="s">
        <v>53</v>
      </c>
      <c r="MV2" s="8" t="s">
        <v>53</v>
      </c>
      <c r="MW2" s="8" t="s">
        <v>53</v>
      </c>
      <c r="MX2" s="8" t="s">
        <v>53</v>
      </c>
      <c r="MY2" s="8" t="s">
        <v>53</v>
      </c>
      <c r="MZ2" s="8" t="s">
        <v>53</v>
      </c>
      <c r="NA2" s="8" t="s">
        <v>54</v>
      </c>
      <c r="NB2" s="8" t="s">
        <v>54</v>
      </c>
      <c r="NC2" s="8" t="s">
        <v>54</v>
      </c>
    </row>
    <row r="3" spans="1:367">
      <c r="A3" s="13">
        <f>+SUM(C3:NC3)</f>
        <v>1218157.4320809036</v>
      </c>
      <c r="B3" s="14" t="s">
        <v>427</v>
      </c>
      <c r="C3" s="7"/>
      <c r="D3" s="7">
        <v>3621.0173094696311</v>
      </c>
      <c r="E3" s="7">
        <v>3263.60423958513</v>
      </c>
      <c r="F3" s="7">
        <v>2147.1162397893154</v>
      </c>
      <c r="G3" s="7">
        <v>1772.3832200602055</v>
      </c>
      <c r="H3" s="7">
        <v>3482.0502774839315</v>
      </c>
      <c r="I3" s="7">
        <v>2988.4050009138077</v>
      </c>
      <c r="J3" s="7">
        <v>2232.5112723887332</v>
      </c>
      <c r="K3" s="7">
        <v>2324.780699669217</v>
      </c>
      <c r="L3" s="7">
        <v>2604.9691078751753</v>
      </c>
      <c r="M3" s="7">
        <v>1857.5805951836605</v>
      </c>
      <c r="N3" s="7">
        <v>1762.3825411521059</v>
      </c>
      <c r="O3" s="7">
        <v>2897.951079580329</v>
      </c>
      <c r="P3" s="7">
        <v>3124.7370625924095</v>
      </c>
      <c r="Q3" s="7">
        <v>3172.527173407811</v>
      </c>
      <c r="R3" s="7">
        <v>3004.8320314857292</v>
      </c>
      <c r="S3" s="7">
        <v>3046.2000657769349</v>
      </c>
      <c r="T3" s="7">
        <v>2009.1729450587127</v>
      </c>
      <c r="U3" s="7">
        <v>1714.2858425513575</v>
      </c>
      <c r="V3" s="7">
        <v>3403.0471364723007</v>
      </c>
      <c r="W3" s="7">
        <v>3170.3118563122825</v>
      </c>
      <c r="X3" s="7">
        <v>3114.4102721862027</v>
      </c>
      <c r="Y3" s="7">
        <v>2729.1409198369879</v>
      </c>
      <c r="Z3" s="7">
        <v>2989.9246814682951</v>
      </c>
      <c r="AA3" s="7">
        <v>2017.9015303689723</v>
      </c>
      <c r="AB3" s="7">
        <v>1791.3085707549321</v>
      </c>
      <c r="AC3" s="7">
        <v>2813.190095647773</v>
      </c>
      <c r="AD3" s="7">
        <v>2602.3279905470381</v>
      </c>
      <c r="AE3" s="7">
        <v>2580.2292036047743</v>
      </c>
      <c r="AF3" s="7">
        <v>2768.923469254803</v>
      </c>
      <c r="AG3" s="7">
        <v>2577.4969378800224</v>
      </c>
      <c r="AH3" s="7">
        <v>1816.2008259851307</v>
      </c>
      <c r="AI3" s="7">
        <v>1699.599478824709</v>
      </c>
      <c r="AJ3" s="7">
        <v>2496.2046983463324</v>
      </c>
      <c r="AK3" s="7">
        <v>2612.6239191261266</v>
      </c>
      <c r="AL3" s="7">
        <v>3133.2093341001446</v>
      </c>
      <c r="AM3" s="7">
        <v>2917.961376061106</v>
      </c>
      <c r="AN3" s="7">
        <v>2913.3350553837263</v>
      </c>
      <c r="AO3" s="7">
        <v>1647.1134088814338</v>
      </c>
      <c r="AP3" s="7">
        <v>1537.7302248108479</v>
      </c>
      <c r="AQ3" s="7">
        <v>2818.9635410262222</v>
      </c>
      <c r="AR3" s="7">
        <v>3433.2648638684964</v>
      </c>
      <c r="AS3" s="7">
        <v>3198.2302013385897</v>
      </c>
      <c r="AT3" s="7">
        <v>3013.3968791603543</v>
      </c>
      <c r="AU3" s="7">
        <v>2451.5969834570515</v>
      </c>
      <c r="AV3" s="7">
        <v>1320.1255778347024</v>
      </c>
      <c r="AW3" s="7">
        <v>1518.2244353437577</v>
      </c>
      <c r="AX3" s="7">
        <v>2956.4050780367315</v>
      </c>
      <c r="AY3" s="7">
        <v>3099.4947903495158</v>
      </c>
      <c r="AZ3" s="7">
        <v>2795.2684971314575</v>
      </c>
      <c r="BA3" s="7">
        <v>2834.4718519472772</v>
      </c>
      <c r="BB3" s="7">
        <v>2514.4710602124856</v>
      </c>
      <c r="BC3" s="7">
        <v>849.09767157217061</v>
      </c>
      <c r="BD3" s="7">
        <v>1064.2261261755771</v>
      </c>
      <c r="BE3" s="7">
        <v>3218.5962490157895</v>
      </c>
      <c r="BF3" s="7">
        <v>2987.1306871816823</v>
      </c>
      <c r="BG3" s="7">
        <v>3000.4211571072192</v>
      </c>
      <c r="BH3" s="7">
        <v>2571.4574359602761</v>
      </c>
      <c r="BI3" s="7">
        <v>2527.6984554014566</v>
      </c>
      <c r="BJ3" s="7">
        <v>1383.5858188010384</v>
      </c>
      <c r="BK3" s="7">
        <v>727.94641528156785</v>
      </c>
      <c r="BL3" s="7">
        <v>2827.3835662765687</v>
      </c>
      <c r="BM3" s="7">
        <v>2754.1656654505928</v>
      </c>
      <c r="BN3" s="7">
        <v>2622.7109696190491</v>
      </c>
      <c r="BO3" s="7">
        <v>2687.8223765761918</v>
      </c>
      <c r="BP3" s="7">
        <v>2981.1263701826747</v>
      </c>
      <c r="BQ3" s="7">
        <v>2635.9182087033696</v>
      </c>
      <c r="BR3" s="7">
        <v>1481.0788564758939</v>
      </c>
      <c r="BS3" s="7">
        <v>4318.5124643563986</v>
      </c>
      <c r="BT3" s="7">
        <v>3884.2038466193612</v>
      </c>
      <c r="BU3" s="7">
        <v>3771.1458804619842</v>
      </c>
      <c r="BV3" s="7">
        <v>3926.5706715393057</v>
      </c>
      <c r="BW3" s="7">
        <v>3583.6738240503182</v>
      </c>
      <c r="BX3" s="7">
        <v>2535.651528709257</v>
      </c>
      <c r="BY3" s="7">
        <v>1406.5877991722618</v>
      </c>
      <c r="BZ3" s="7">
        <v>4711.1766474861688</v>
      </c>
      <c r="CA3" s="7">
        <v>5184.5333630755022</v>
      </c>
      <c r="CB3" s="7">
        <v>4973.5815889130326</v>
      </c>
      <c r="CC3" s="7">
        <v>5102.7156980967093</v>
      </c>
      <c r="CD3" s="7">
        <v>5146.0587549845732</v>
      </c>
      <c r="CE3" s="7">
        <v>4421.6605775101543</v>
      </c>
      <c r="CF3" s="7">
        <v>4353.2746412420784</v>
      </c>
      <c r="CG3" s="7">
        <v>5206.6801214602092</v>
      </c>
      <c r="CH3" s="7">
        <v>5189.9157171056486</v>
      </c>
      <c r="CI3" s="7">
        <v>4078.3605264716493</v>
      </c>
      <c r="CJ3" s="7">
        <v>3162.3721307253727</v>
      </c>
      <c r="CK3" s="7">
        <v>3123.756537353232</v>
      </c>
      <c r="CL3" s="7">
        <v>864.57545780804264</v>
      </c>
      <c r="CM3" s="7"/>
      <c r="CN3" s="7"/>
      <c r="CO3" s="7"/>
      <c r="CP3" s="7">
        <v>2773.5194918442221</v>
      </c>
      <c r="CQ3" s="7">
        <v>3567.6655262480704</v>
      </c>
      <c r="CR3" s="7">
        <v>3086.2088478884075</v>
      </c>
      <c r="CS3" s="7">
        <v>1996.1274650051394</v>
      </c>
      <c r="CT3" s="7">
        <v>1757.3352758982912</v>
      </c>
      <c r="CU3" s="7">
        <v>2953.6479567987126</v>
      </c>
      <c r="CV3" s="7">
        <v>2909.2230093984067</v>
      </c>
      <c r="CW3" s="7">
        <v>2717.571782350843</v>
      </c>
      <c r="CX3" s="7">
        <v>2919.8757839501418</v>
      </c>
      <c r="CY3" s="7">
        <v>3067.3272904099204</v>
      </c>
      <c r="CZ3" s="7">
        <v>1884.2125846880022</v>
      </c>
      <c r="DA3" s="7">
        <v>1465.3022640804029</v>
      </c>
      <c r="DB3" s="7">
        <v>3209.8281728427391</v>
      </c>
      <c r="DC3" s="7">
        <v>3744.7690795710482</v>
      </c>
      <c r="DD3" s="7">
        <v>3439.6687966186473</v>
      </c>
      <c r="DE3" s="7">
        <v>3058.7860558947759</v>
      </c>
      <c r="DF3" s="7">
        <v>3139.4872297595016</v>
      </c>
      <c r="DG3" s="7">
        <v>1889.3409922785413</v>
      </c>
      <c r="DH3" s="7">
        <v>1894.7134823580977</v>
      </c>
      <c r="DI3" s="7">
        <v>3630.3948565330447</v>
      </c>
      <c r="DJ3" s="7">
        <v>3244.437640663165</v>
      </c>
      <c r="DK3" s="7">
        <v>647.21664759279531</v>
      </c>
      <c r="DL3" s="7"/>
      <c r="DM3" s="7">
        <v>4316.46976901578</v>
      </c>
      <c r="DN3" s="7">
        <v>3877.8795459942066</v>
      </c>
      <c r="DO3" s="7">
        <v>2879.7033528374914</v>
      </c>
      <c r="DP3" s="7">
        <v>2893.4928458866088</v>
      </c>
      <c r="DQ3" s="7">
        <v>2932.1623579684601</v>
      </c>
      <c r="DR3" s="7">
        <v>3265.5197176453294</v>
      </c>
      <c r="DS3" s="7"/>
      <c r="DT3" s="7">
        <v>3967.7406365378311</v>
      </c>
      <c r="DU3" s="7">
        <v>2632.7995706890019</v>
      </c>
      <c r="DV3" s="7">
        <v>1274.0634789426786</v>
      </c>
      <c r="DW3" s="7">
        <v>3909.6547518920897</v>
      </c>
      <c r="DX3" s="7">
        <v>4044.3929305051029</v>
      </c>
      <c r="DY3" s="7">
        <v>4212.1033054325462</v>
      </c>
      <c r="DZ3" s="7">
        <v>4146.9222829713726</v>
      </c>
      <c r="EA3" s="7">
        <v>4168.6939153022677</v>
      </c>
      <c r="EB3" s="7">
        <v>2536.6485144648864</v>
      </c>
      <c r="EC3" s="7">
        <v>1335.9566029241741</v>
      </c>
      <c r="ED3" s="7">
        <v>4952.942646180858</v>
      </c>
      <c r="EE3" s="7">
        <v>4534.0583273361217</v>
      </c>
      <c r="EF3" s="7">
        <v>4481.409668425792</v>
      </c>
      <c r="EG3" s="7">
        <v>4264.5358216617269</v>
      </c>
      <c r="EH3" s="7">
        <v>4256.3727730071405</v>
      </c>
      <c r="EI3" s="7">
        <v>2654.2609270259959</v>
      </c>
      <c r="EJ3" s="7">
        <v>1408.0914359810865</v>
      </c>
      <c r="EK3" s="7">
        <v>5248.1184264368112</v>
      </c>
      <c r="EL3" s="7">
        <v>4808.8673727574997</v>
      </c>
      <c r="EM3" s="7">
        <v>5203.8507633265617</v>
      </c>
      <c r="EN3" s="7">
        <v>4824.4803306956692</v>
      </c>
      <c r="EO3" s="7">
        <v>4392.4814355915832</v>
      </c>
      <c r="EP3" s="7">
        <v>3864.0777140488458</v>
      </c>
      <c r="EQ3" s="7">
        <v>1543.4367535155041</v>
      </c>
      <c r="ER3" s="7">
        <v>5300.9988843432602</v>
      </c>
      <c r="ES3" s="7">
        <v>5452.1275167385556</v>
      </c>
      <c r="ET3" s="7">
        <v>5413.7013411302141</v>
      </c>
      <c r="EU3" s="7">
        <v>5455.3432183739715</v>
      </c>
      <c r="EV3" s="7">
        <v>5377.8546778587242</v>
      </c>
      <c r="EW3" s="7">
        <v>5627.0264312954569</v>
      </c>
      <c r="EX3" s="7">
        <v>4569.9079278880527</v>
      </c>
      <c r="EY3" s="7">
        <v>4396.4124554709351</v>
      </c>
      <c r="EZ3" s="7">
        <v>3900.1567367980424</v>
      </c>
      <c r="FA3" s="7">
        <v>3247.0123674655947</v>
      </c>
      <c r="FB3" s="7">
        <v>1693.2650765853541</v>
      </c>
      <c r="FC3" s="7"/>
      <c r="FD3" s="7"/>
      <c r="FE3" s="7"/>
      <c r="FF3" s="7"/>
      <c r="FG3" s="7">
        <v>4595.9160910850178</v>
      </c>
      <c r="FH3" s="7">
        <v>4924.1832345267612</v>
      </c>
      <c r="FI3" s="7">
        <v>5002.3965221425515</v>
      </c>
      <c r="FJ3" s="7">
        <v>5163.2043190322702</v>
      </c>
      <c r="FK3" s="7">
        <v>5361.9679003883939</v>
      </c>
      <c r="FL3" s="7">
        <v>4727.0667991740902</v>
      </c>
      <c r="FM3" s="7">
        <v>4640.1992530971747</v>
      </c>
      <c r="FN3" s="7">
        <v>4674.0557237778485</v>
      </c>
      <c r="FO3" s="7">
        <v>5022.2713078798415</v>
      </c>
      <c r="FP3" s="7">
        <v>4358.4883973109991</v>
      </c>
      <c r="FQ3" s="7">
        <v>3774.0472743146729</v>
      </c>
      <c r="FR3" s="7">
        <v>2999.6555551836036</v>
      </c>
      <c r="FS3" s="7">
        <v>1318.25</v>
      </c>
      <c r="FT3" s="7">
        <v>4764.8018215737311</v>
      </c>
      <c r="FU3" s="7">
        <v>4346.8765889744736</v>
      </c>
      <c r="FV3" s="7">
        <v>4539.112587318079</v>
      </c>
      <c r="FW3" s="7">
        <v>3817.2787684040286</v>
      </c>
      <c r="FX3" s="7">
        <v>4767.1010503627303</v>
      </c>
      <c r="FY3" s="7">
        <v>3428.2704595841114</v>
      </c>
      <c r="FZ3" s="7">
        <v>1367</v>
      </c>
      <c r="GA3" s="7">
        <v>4834.3635589845007</v>
      </c>
      <c r="GB3" s="7">
        <v>4535.2797275770927</v>
      </c>
      <c r="GC3" s="7">
        <v>3453.9344381824721</v>
      </c>
      <c r="GD3" s="7">
        <v>3331.1915182580224</v>
      </c>
      <c r="GE3" s="7">
        <v>3389.9013433186828</v>
      </c>
      <c r="GF3" s="7">
        <v>2634.1773272883697</v>
      </c>
      <c r="GG3" s="7">
        <v>1196.1532446238255</v>
      </c>
      <c r="GH3" s="7">
        <v>3625.3290471873661</v>
      </c>
      <c r="GI3" s="7">
        <v>4241.9477956266892</v>
      </c>
      <c r="GJ3" s="7">
        <v>4462.963510917727</v>
      </c>
      <c r="GK3" s="7">
        <v>3997.8421554593278</v>
      </c>
      <c r="GL3" s="7">
        <v>3685.8333177668774</v>
      </c>
      <c r="GM3" s="7">
        <v>2729.0406415246771</v>
      </c>
      <c r="GN3" s="7">
        <v>1250.6972063290902</v>
      </c>
      <c r="GO3" s="7">
        <v>3702.3340009711092</v>
      </c>
      <c r="GP3" s="7"/>
      <c r="GQ3" s="7">
        <v>4746.5813826433041</v>
      </c>
      <c r="GR3" s="7">
        <v>4126.4650219827026</v>
      </c>
      <c r="GS3" s="7">
        <v>3734.2108212492649</v>
      </c>
      <c r="GT3" s="7">
        <v>3227.4742974260662</v>
      </c>
      <c r="GU3" s="7">
        <v>2139.3263133879568</v>
      </c>
      <c r="GV3" s="7">
        <v>3056.3904937311245</v>
      </c>
      <c r="GW3" s="7">
        <v>2929.6806903506672</v>
      </c>
      <c r="GX3" s="7">
        <v>3101.4651673130975</v>
      </c>
      <c r="GY3" s="7">
        <v>2908.804699558882</v>
      </c>
      <c r="GZ3" s="7">
        <v>2373.1805643676366</v>
      </c>
      <c r="HA3" s="7">
        <v>1705.4687078863694</v>
      </c>
      <c r="HB3" s="7">
        <v>1357.1208635244252</v>
      </c>
      <c r="HC3" s="7">
        <v>3201.9894581603594</v>
      </c>
      <c r="HD3" s="7">
        <v>3216.55548771748</v>
      </c>
      <c r="HE3" s="7">
        <v>3159.9939105490453</v>
      </c>
      <c r="HF3" s="7">
        <v>2968.6550633470315</v>
      </c>
      <c r="HG3" s="7">
        <v>2440.5961992594484</v>
      </c>
      <c r="HH3" s="7">
        <v>1733.2440386377418</v>
      </c>
      <c r="HI3" s="7">
        <v>1322.6879463927453</v>
      </c>
      <c r="HJ3" s="7">
        <v>2545.3850530135601</v>
      </c>
      <c r="HK3" s="7">
        <v>2745.6781383432649</v>
      </c>
      <c r="HL3" s="7">
        <v>2506.0806349239147</v>
      </c>
      <c r="HM3" s="7">
        <v>2800.5191258435489</v>
      </c>
      <c r="HN3" s="7">
        <v>2637.181012756128</v>
      </c>
      <c r="HO3" s="7">
        <v>1595.0226470720872</v>
      </c>
      <c r="HP3" s="7">
        <v>1215.4342743892576</v>
      </c>
      <c r="HQ3" s="7">
        <v>2853.099345537833</v>
      </c>
      <c r="HR3" s="7">
        <v>2913.6332381191878</v>
      </c>
      <c r="HS3" s="7">
        <v>2649.4174583726017</v>
      </c>
      <c r="HT3" s="7">
        <v>2518.6603978106332</v>
      </c>
      <c r="HU3" s="7">
        <v>2639.9913106256272</v>
      </c>
      <c r="HV3" s="7">
        <v>1546.0147193478037</v>
      </c>
      <c r="HW3" s="7">
        <v>1216.1948994372947</v>
      </c>
      <c r="HX3" s="7">
        <v>2848.8186087719555</v>
      </c>
      <c r="HY3" s="7">
        <v>2827.2770070665347</v>
      </c>
      <c r="HZ3" s="7">
        <v>2532.8075746303498</v>
      </c>
      <c r="IA3" s="7">
        <v>2803.0812409961186</v>
      </c>
      <c r="IB3" s="7">
        <v>2663.9862113780446</v>
      </c>
      <c r="IC3" s="7">
        <v>2551.9231419702737</v>
      </c>
      <c r="ID3" s="7">
        <v>2551.3621551250972</v>
      </c>
      <c r="IE3" s="7">
        <v>2784.8067296018144</v>
      </c>
      <c r="IF3" s="7">
        <v>2930.3577366379295</v>
      </c>
      <c r="IG3" s="7">
        <v>3242.5339522759555</v>
      </c>
      <c r="IH3" s="7">
        <v>3499.7861317836978</v>
      </c>
      <c r="II3" s="7">
        <v>3533.3370162996143</v>
      </c>
      <c r="IJ3" s="7">
        <v>2946.8151497060603</v>
      </c>
      <c r="IK3" s="7">
        <v>2424.9270625991439</v>
      </c>
      <c r="IL3" s="7">
        <v>2727.4928846875482</v>
      </c>
      <c r="IM3" s="7">
        <v>2823.4128404292919</v>
      </c>
      <c r="IN3" s="7">
        <v>2832.5861936183819</v>
      </c>
      <c r="IO3" s="7">
        <v>2785.3149857454532</v>
      </c>
      <c r="IP3" s="7">
        <v>2860.5125024981498</v>
      </c>
      <c r="IQ3" s="7">
        <v>2302.2758003278395</v>
      </c>
      <c r="IR3" s="7">
        <v>2644.6627355623104</v>
      </c>
      <c r="IS3" s="7">
        <v>3527.1358774303153</v>
      </c>
      <c r="IT3" s="7">
        <v>3607.765940339496</v>
      </c>
      <c r="IU3" s="7">
        <v>4500.315027552675</v>
      </c>
      <c r="IV3" s="7">
        <v>4594.3244669840615</v>
      </c>
      <c r="IW3" s="7">
        <v>3505.1199012246902</v>
      </c>
      <c r="IX3" s="7">
        <v>2522.9145260623854</v>
      </c>
      <c r="IY3" s="7">
        <v>1844.6559139784945</v>
      </c>
      <c r="IZ3" s="7">
        <v>3527.0426766494147</v>
      </c>
      <c r="JA3" s="7">
        <v>3908.2106023496758</v>
      </c>
      <c r="JB3" s="7">
        <v>3327.0611465450393</v>
      </c>
      <c r="JC3" s="7">
        <v>3246.6864317149175</v>
      </c>
      <c r="JD3" s="7">
        <v>3340.9515217781554</v>
      </c>
      <c r="JE3" s="7">
        <v>1883.6603306143936</v>
      </c>
      <c r="JF3" s="7">
        <v>1812.0833333333335</v>
      </c>
      <c r="JG3" s="7">
        <v>3681.5833333333335</v>
      </c>
      <c r="JH3" s="7">
        <v>4170.5</v>
      </c>
      <c r="JI3" s="7">
        <v>4376.0833333333339</v>
      </c>
      <c r="JJ3" s="7">
        <v>4421.5</v>
      </c>
      <c r="JK3" s="7">
        <v>3968.5230139644773</v>
      </c>
      <c r="JL3" s="7">
        <v>1929.8333333333333</v>
      </c>
      <c r="JM3" s="7">
        <v>1846.5833333333333</v>
      </c>
      <c r="JN3" s="7">
        <v>4461.333333333333</v>
      </c>
      <c r="JO3" s="7">
        <v>4649.416666666667</v>
      </c>
      <c r="JP3" s="7">
        <v>4379.6695568986106</v>
      </c>
      <c r="JQ3" s="7">
        <v>4096.9290927621278</v>
      </c>
      <c r="JR3" s="7">
        <v>3840.8965580637132</v>
      </c>
      <c r="JS3" s="7">
        <v>1956.7667898952557</v>
      </c>
      <c r="JT3" s="7">
        <v>1850.9166666666667</v>
      </c>
      <c r="JU3" s="7">
        <v>3879.873415407279</v>
      </c>
      <c r="JV3" s="7">
        <v>3928.1307920367681</v>
      </c>
      <c r="JW3" s="7">
        <v>4894.2083936543349</v>
      </c>
      <c r="JX3" s="7">
        <v>4789.1099718685246</v>
      </c>
      <c r="JY3" s="7">
        <v>4826.4486353810644</v>
      </c>
      <c r="JZ3" s="7">
        <v>3179.2878489572536</v>
      </c>
      <c r="KA3" s="7">
        <v>1717.5114024264853</v>
      </c>
      <c r="KB3" s="7">
        <v>5491.7637584108179</v>
      </c>
      <c r="KC3" s="7">
        <v>5609.4646092072089</v>
      </c>
      <c r="KD3" s="7">
        <v>6038.4602106935072</v>
      </c>
      <c r="KE3" s="7">
        <v>6084.0362124912517</v>
      </c>
      <c r="KF3" s="7">
        <v>5737.423019276267</v>
      </c>
      <c r="KG3" s="7">
        <v>5513.75</v>
      </c>
      <c r="KH3" s="7">
        <v>3893.9999999999995</v>
      </c>
      <c r="KI3" s="7">
        <v>5589.25</v>
      </c>
      <c r="KJ3" s="7">
        <v>5799.25</v>
      </c>
      <c r="KK3" s="7">
        <v>6031.166666666667</v>
      </c>
      <c r="KL3" s="7">
        <v>5954.5</v>
      </c>
      <c r="KM3" s="7">
        <v>5734.8333333333339</v>
      </c>
      <c r="KN3" s="7">
        <v>3728.1666666666665</v>
      </c>
      <c r="KO3" s="7">
        <v>2947.5000000000005</v>
      </c>
      <c r="KP3" s="7">
        <v>6445.6666666666661</v>
      </c>
      <c r="KQ3" s="7">
        <v>6124.3333333333339</v>
      </c>
      <c r="KR3" s="7">
        <v>5672.8264685315198</v>
      </c>
      <c r="KS3" s="7">
        <v>5181.2847197728242</v>
      </c>
      <c r="KT3" s="7">
        <v>5676.2180835443305</v>
      </c>
      <c r="KU3" s="7">
        <v>3139.3047812194154</v>
      </c>
      <c r="KV3" s="7">
        <v>2225.5</v>
      </c>
      <c r="KW3" s="7">
        <v>6422.6889703109664</v>
      </c>
      <c r="KX3" s="7">
        <v>6592.8333333333339</v>
      </c>
      <c r="KY3" s="7">
        <v>5585.0014730854136</v>
      </c>
      <c r="KZ3" s="7">
        <v>4557.8685784883055</v>
      </c>
      <c r="LA3" s="7">
        <v>4503.8489917259958</v>
      </c>
      <c r="LB3" s="7">
        <v>2617.4283053759718</v>
      </c>
      <c r="LC3" s="7">
        <v>2390.166666666667</v>
      </c>
      <c r="LD3" s="7">
        <v>4880.6666666666661</v>
      </c>
      <c r="LE3" s="7">
        <v>4930</v>
      </c>
      <c r="LF3" s="7">
        <v>4705.8217605355994</v>
      </c>
      <c r="LG3" s="7">
        <v>4258.3769768672882</v>
      </c>
      <c r="LH3" s="7">
        <v>4354.3690634645609</v>
      </c>
      <c r="LI3" s="7">
        <v>2696.4166666666665</v>
      </c>
      <c r="LJ3" s="7">
        <v>2383.75</v>
      </c>
      <c r="LK3" s="7">
        <v>5015.2248878232695</v>
      </c>
      <c r="LL3" s="7">
        <v>5274.6228164035729</v>
      </c>
      <c r="LM3" s="7">
        <v>4464.5187200678502</v>
      </c>
      <c r="LN3" s="7">
        <v>4635.7810585838288</v>
      </c>
      <c r="LO3" s="7">
        <v>4513.9644507837156</v>
      </c>
      <c r="LP3" s="7">
        <v>2653.0730856021582</v>
      </c>
      <c r="LQ3" s="7">
        <v>2377.583333333333</v>
      </c>
      <c r="LR3" s="7">
        <v>4670.0313808563733</v>
      </c>
      <c r="LS3" s="7">
        <v>4542.2249941735663</v>
      </c>
      <c r="LT3" s="7">
        <v>4491.8872861046702</v>
      </c>
      <c r="LU3" s="7">
        <v>4897.7435244486187</v>
      </c>
      <c r="LV3" s="7">
        <v>5252.4242647653537</v>
      </c>
      <c r="LW3" s="7">
        <v>3248.0091542207347</v>
      </c>
      <c r="LX3" s="7">
        <v>2178.75</v>
      </c>
      <c r="LY3" s="7">
        <v>5887.3159243956434</v>
      </c>
      <c r="LZ3" s="7">
        <v>5808.7308711941378</v>
      </c>
      <c r="MA3" s="7">
        <v>5041.701776482103</v>
      </c>
      <c r="MB3" s="7">
        <v>4768.1476309786949</v>
      </c>
      <c r="MC3" s="7">
        <v>4775.2428038869803</v>
      </c>
      <c r="MD3" s="7">
        <v>3103.057799267031</v>
      </c>
      <c r="ME3" s="7">
        <v>2061.6498914542562</v>
      </c>
      <c r="MF3" s="7">
        <v>5276.3753323873279</v>
      </c>
      <c r="MG3" s="7">
        <v>5706.982492014753</v>
      </c>
      <c r="MH3" s="7">
        <v>5424.2605852228962</v>
      </c>
      <c r="MI3" s="7">
        <v>5047.5490437513945</v>
      </c>
      <c r="MJ3" s="7">
        <v>4388.4035515312207</v>
      </c>
      <c r="MK3" s="7">
        <v>2867.3889332414319</v>
      </c>
      <c r="ML3" s="7">
        <v>2114.666666666667</v>
      </c>
      <c r="MM3" s="7">
        <v>4165.2852777778171</v>
      </c>
      <c r="MN3" s="7">
        <v>4292.785025561303</v>
      </c>
      <c r="MO3" s="7">
        <v>4205.6853008698035</v>
      </c>
      <c r="MP3" s="7">
        <v>4358.3509985732544</v>
      </c>
      <c r="MQ3" s="7">
        <v>3633.6018721553828</v>
      </c>
      <c r="MR3" s="7">
        <v>3605.7024548001914</v>
      </c>
      <c r="MS3" s="7">
        <v>3629.6824347937295</v>
      </c>
      <c r="MT3" s="7">
        <v>3978.6711355723323</v>
      </c>
      <c r="MU3" s="7">
        <v>3954.2499999999995</v>
      </c>
      <c r="MV3" s="7">
        <v>3854.8692045602393</v>
      </c>
      <c r="MW3" s="7">
        <v>3801.8878727675774</v>
      </c>
      <c r="MX3" s="7">
        <v>3619.1095504453715</v>
      </c>
      <c r="MY3" s="7">
        <v>2166.2965778990779</v>
      </c>
      <c r="MZ3" s="7">
        <v>1949.81673948356</v>
      </c>
      <c r="NA3" s="7">
        <v>3826.2499999999995</v>
      </c>
      <c r="NB3" s="7">
        <v>3481.734310458934</v>
      </c>
      <c r="NC3" s="7">
        <v>2202.1182836037779</v>
      </c>
    </row>
    <row r="4" spans="1:367">
      <c r="A4" s="15">
        <f>SUM(C4:NC4)</f>
        <v>43961163</v>
      </c>
      <c r="B4" s="16" t="s">
        <v>423</v>
      </c>
      <c r="C4" s="7"/>
      <c r="D4" s="2">
        <v>110643</v>
      </c>
      <c r="E4" s="2">
        <v>87275</v>
      </c>
      <c r="F4" s="2">
        <v>63212</v>
      </c>
      <c r="G4" s="2">
        <v>52114</v>
      </c>
      <c r="H4" s="2">
        <v>77341</v>
      </c>
      <c r="I4" s="2">
        <v>84247</v>
      </c>
      <c r="J4" s="2">
        <v>48078</v>
      </c>
      <c r="K4" s="2">
        <v>59064</v>
      </c>
      <c r="L4" s="2">
        <v>55304</v>
      </c>
      <c r="M4" s="2">
        <v>62212</v>
      </c>
      <c r="N4" s="2">
        <v>64795</v>
      </c>
      <c r="O4" s="7">
        <v>76231</v>
      </c>
      <c r="P4" s="7">
        <v>71610</v>
      </c>
      <c r="Q4" s="7">
        <v>90966</v>
      </c>
      <c r="R4" s="7">
        <v>102665</v>
      </c>
      <c r="S4" s="7">
        <v>121547</v>
      </c>
      <c r="T4" s="7">
        <v>66659</v>
      </c>
      <c r="U4" s="7">
        <v>72913</v>
      </c>
      <c r="V4" s="7">
        <v>82607</v>
      </c>
      <c r="W4" s="7">
        <v>112240</v>
      </c>
      <c r="X4" s="7">
        <v>67455</v>
      </c>
      <c r="Y4" s="7">
        <v>77349</v>
      </c>
      <c r="Z4" s="7">
        <v>83403</v>
      </c>
      <c r="AA4" s="7">
        <v>65075</v>
      </c>
      <c r="AB4" s="7">
        <v>67819</v>
      </c>
      <c r="AC4" s="7">
        <v>61208</v>
      </c>
      <c r="AD4" s="7">
        <v>73830</v>
      </c>
      <c r="AE4" s="7">
        <v>70622</v>
      </c>
      <c r="AF4" s="7">
        <v>91810</v>
      </c>
      <c r="AG4" s="7">
        <v>79330</v>
      </c>
      <c r="AH4" s="7">
        <v>68062</v>
      </c>
      <c r="AI4" s="7">
        <v>66284</v>
      </c>
      <c r="AJ4" s="7">
        <v>63491</v>
      </c>
      <c r="AK4" s="7">
        <v>94199</v>
      </c>
      <c r="AL4" s="7">
        <v>101409</v>
      </c>
      <c r="AM4" s="7">
        <v>119888</v>
      </c>
      <c r="AN4" s="7">
        <v>121421</v>
      </c>
      <c r="AO4" s="7">
        <v>63936</v>
      </c>
      <c r="AP4" s="7">
        <v>72118</v>
      </c>
      <c r="AQ4" s="7">
        <v>116466</v>
      </c>
      <c r="AR4" s="7">
        <v>144028</v>
      </c>
      <c r="AS4" s="7">
        <v>125887</v>
      </c>
      <c r="AT4" s="7">
        <v>113816</v>
      </c>
      <c r="AU4" s="7">
        <v>81952</v>
      </c>
      <c r="AV4" s="7">
        <v>45981</v>
      </c>
      <c r="AW4" s="7">
        <v>59650</v>
      </c>
      <c r="AX4" s="7">
        <v>84244</v>
      </c>
      <c r="AY4" s="7">
        <v>121710</v>
      </c>
      <c r="AZ4" s="7">
        <v>109208</v>
      </c>
      <c r="BA4" s="7">
        <v>112908</v>
      </c>
      <c r="BB4" s="7">
        <v>81941</v>
      </c>
      <c r="BC4" s="7">
        <v>34554</v>
      </c>
      <c r="BD4" s="7">
        <v>42709</v>
      </c>
      <c r="BE4" s="7">
        <v>135248</v>
      </c>
      <c r="BF4" s="7">
        <v>120267</v>
      </c>
      <c r="BG4" s="7">
        <v>123095</v>
      </c>
      <c r="BH4" s="7">
        <v>93960</v>
      </c>
      <c r="BI4" s="7">
        <v>82351</v>
      </c>
      <c r="BJ4" s="7">
        <v>64175</v>
      </c>
      <c r="BK4" s="7">
        <v>24525</v>
      </c>
      <c r="BL4" s="7">
        <v>117118</v>
      </c>
      <c r="BM4" s="7">
        <v>109830</v>
      </c>
      <c r="BN4" s="7">
        <v>124806</v>
      </c>
      <c r="BO4" s="7">
        <v>133387</v>
      </c>
      <c r="BP4" s="7">
        <v>113264</v>
      </c>
      <c r="BQ4" s="7">
        <v>114516</v>
      </c>
      <c r="BR4" s="7">
        <v>62852</v>
      </c>
      <c r="BS4" s="7">
        <v>176068</v>
      </c>
      <c r="BT4" s="7">
        <v>167398</v>
      </c>
      <c r="BU4" s="7">
        <v>163484</v>
      </c>
      <c r="BV4" s="7">
        <v>155528</v>
      </c>
      <c r="BW4" s="7">
        <v>136973</v>
      </c>
      <c r="BX4" s="7">
        <v>116182</v>
      </c>
      <c r="BY4" s="7">
        <v>66153</v>
      </c>
      <c r="BZ4" s="7">
        <v>191236</v>
      </c>
      <c r="CA4" s="7">
        <v>205049</v>
      </c>
      <c r="CB4" s="7">
        <v>145045</v>
      </c>
      <c r="CC4" s="7">
        <v>225363</v>
      </c>
      <c r="CD4" s="7">
        <v>203259</v>
      </c>
      <c r="CE4" s="7">
        <v>183680</v>
      </c>
      <c r="CF4" s="7">
        <v>198523</v>
      </c>
      <c r="CG4" s="7">
        <v>228130</v>
      </c>
      <c r="CH4" s="7">
        <v>219831</v>
      </c>
      <c r="CI4" s="7">
        <v>181071</v>
      </c>
      <c r="CJ4" s="7">
        <v>120700</v>
      </c>
      <c r="CK4" s="7">
        <v>90268</v>
      </c>
      <c r="CL4" s="7">
        <v>33763</v>
      </c>
      <c r="CP4" s="8">
        <v>143413</v>
      </c>
      <c r="CQ4" s="8">
        <v>175715</v>
      </c>
      <c r="CR4" s="8">
        <v>119834</v>
      </c>
      <c r="CS4" s="8">
        <v>96258</v>
      </c>
      <c r="CT4" s="8">
        <v>68490</v>
      </c>
      <c r="CU4" s="7">
        <v>99862</v>
      </c>
      <c r="CV4" s="7">
        <v>117733</v>
      </c>
      <c r="CW4" s="7">
        <v>105885</v>
      </c>
      <c r="CX4" s="7">
        <v>112958</v>
      </c>
      <c r="CY4" s="7">
        <v>103147</v>
      </c>
      <c r="CZ4" s="7">
        <v>87374</v>
      </c>
      <c r="DA4" s="7">
        <v>65035</v>
      </c>
      <c r="DB4" s="7">
        <v>109830</v>
      </c>
      <c r="DC4" s="7">
        <v>144542</v>
      </c>
      <c r="DD4" s="7">
        <v>146665</v>
      </c>
      <c r="DE4" s="7">
        <v>142916</v>
      </c>
      <c r="DF4" s="7">
        <v>121675</v>
      </c>
      <c r="DG4" s="7">
        <v>81243</v>
      </c>
      <c r="DH4" s="7">
        <v>81171</v>
      </c>
      <c r="DI4" s="7">
        <v>115167</v>
      </c>
      <c r="DJ4" s="7">
        <v>126810</v>
      </c>
      <c r="DK4" s="7">
        <v>32564</v>
      </c>
      <c r="DL4" s="7"/>
      <c r="DM4" s="7">
        <v>121649</v>
      </c>
      <c r="DN4" s="7">
        <v>156877</v>
      </c>
      <c r="DO4" s="7">
        <v>133623</v>
      </c>
      <c r="DP4" s="7">
        <v>102947</v>
      </c>
      <c r="DQ4" s="7">
        <v>102389</v>
      </c>
      <c r="DR4" s="7">
        <v>99673</v>
      </c>
      <c r="DS4" s="7"/>
      <c r="DT4" s="7">
        <v>144138</v>
      </c>
      <c r="DU4" s="7">
        <v>120339</v>
      </c>
      <c r="DV4" s="7">
        <v>73888</v>
      </c>
      <c r="DW4" s="7">
        <v>152157</v>
      </c>
      <c r="DX4" s="7">
        <v>162349</v>
      </c>
      <c r="DY4" s="7">
        <v>174257</v>
      </c>
      <c r="DZ4" s="7">
        <v>167085</v>
      </c>
      <c r="EA4" s="7">
        <v>169871</v>
      </c>
      <c r="EB4" s="7">
        <v>116153</v>
      </c>
      <c r="EC4" s="7">
        <v>68892</v>
      </c>
      <c r="ED4" s="7">
        <v>183537</v>
      </c>
      <c r="EE4" s="7">
        <v>151468</v>
      </c>
      <c r="EF4" s="7">
        <v>166949</v>
      </c>
      <c r="EG4" s="7">
        <v>182637</v>
      </c>
      <c r="EH4" s="7">
        <v>152672</v>
      </c>
      <c r="EI4" s="7">
        <v>113339</v>
      </c>
      <c r="EJ4" s="7">
        <v>67363</v>
      </c>
      <c r="EK4" s="7">
        <v>159357</v>
      </c>
      <c r="EL4" s="7">
        <v>192422</v>
      </c>
      <c r="EM4" s="7">
        <v>181673</v>
      </c>
      <c r="EN4" s="7">
        <v>200658</v>
      </c>
      <c r="EO4" s="7">
        <v>174480</v>
      </c>
      <c r="EP4" s="7">
        <v>120564</v>
      </c>
      <c r="EQ4" s="7">
        <v>65818</v>
      </c>
      <c r="ER4" s="7">
        <v>181063</v>
      </c>
      <c r="ES4" s="7">
        <v>209684</v>
      </c>
      <c r="ET4" s="7">
        <v>212103</v>
      </c>
      <c r="EU4" s="7">
        <v>211747</v>
      </c>
      <c r="EV4" s="7">
        <v>205354</v>
      </c>
      <c r="EW4" s="7">
        <v>236378</v>
      </c>
      <c r="EX4" s="7">
        <v>186779</v>
      </c>
      <c r="EY4" s="7">
        <v>204907</v>
      </c>
      <c r="EZ4" s="7">
        <v>161060</v>
      </c>
      <c r="FA4" s="7">
        <v>84621</v>
      </c>
      <c r="FB4" s="7">
        <v>43095</v>
      </c>
      <c r="FC4" s="7"/>
      <c r="FD4" s="7"/>
      <c r="FE4" s="7"/>
      <c r="FF4" s="7"/>
      <c r="FG4" s="7">
        <v>111470</v>
      </c>
      <c r="FH4" s="7">
        <v>186181</v>
      </c>
      <c r="FI4" s="7">
        <v>188427</v>
      </c>
      <c r="FJ4" s="7">
        <v>184881</v>
      </c>
      <c r="FK4" s="7">
        <v>205036</v>
      </c>
      <c r="FL4" s="7">
        <v>191761</v>
      </c>
      <c r="FM4" s="7">
        <v>188258</v>
      </c>
      <c r="FN4" s="7">
        <v>186599</v>
      </c>
      <c r="FO4" s="7">
        <v>175200</v>
      </c>
      <c r="FP4" s="7">
        <v>179031</v>
      </c>
      <c r="FQ4" s="7">
        <v>128620</v>
      </c>
      <c r="FR4" s="7">
        <v>116852</v>
      </c>
      <c r="FS4" s="7">
        <v>56689</v>
      </c>
      <c r="FT4" s="7">
        <v>135330</v>
      </c>
      <c r="FU4" s="7">
        <v>130895</v>
      </c>
      <c r="FV4" s="7">
        <v>169408</v>
      </c>
      <c r="FW4" s="7">
        <v>135565</v>
      </c>
      <c r="FX4" s="7">
        <v>182919</v>
      </c>
      <c r="FY4" s="7">
        <v>115342</v>
      </c>
      <c r="FZ4" s="7">
        <v>67947</v>
      </c>
      <c r="GA4" s="7">
        <v>173654</v>
      </c>
      <c r="GB4" s="7">
        <v>178754</v>
      </c>
      <c r="GC4" s="7">
        <v>118938</v>
      </c>
      <c r="GD4" s="7">
        <v>115261</v>
      </c>
      <c r="GE4" s="7">
        <v>117441</v>
      </c>
      <c r="GF4" s="7">
        <v>75693</v>
      </c>
      <c r="GG4" s="7">
        <v>48596</v>
      </c>
      <c r="GH4" s="7">
        <v>90150</v>
      </c>
      <c r="GI4" s="7">
        <v>139724</v>
      </c>
      <c r="GJ4" s="7">
        <v>167021</v>
      </c>
      <c r="GK4" s="7">
        <v>146331</v>
      </c>
      <c r="GL4" s="7">
        <v>128140</v>
      </c>
      <c r="GM4" s="7">
        <v>110366</v>
      </c>
      <c r="GN4" s="7">
        <v>55403</v>
      </c>
      <c r="GO4" s="7">
        <v>94051</v>
      </c>
      <c r="GP4" s="7"/>
      <c r="GQ4" s="7">
        <v>166386</v>
      </c>
      <c r="GR4" s="7">
        <v>143024</v>
      </c>
      <c r="GS4" s="7">
        <v>145218</v>
      </c>
      <c r="GT4" s="7">
        <v>119545</v>
      </c>
      <c r="GU4" s="7">
        <v>87109</v>
      </c>
      <c r="GV4" s="7">
        <v>113604</v>
      </c>
      <c r="GW4" s="7">
        <v>105218</v>
      </c>
      <c r="GX4" s="7">
        <v>128606</v>
      </c>
      <c r="GY4" s="7">
        <v>109577</v>
      </c>
      <c r="GZ4" s="7">
        <v>72392</v>
      </c>
      <c r="HA4" s="7">
        <v>71596</v>
      </c>
      <c r="HB4" s="7">
        <v>58561</v>
      </c>
      <c r="HC4" s="7">
        <v>120816</v>
      </c>
      <c r="HD4" s="7">
        <v>94496</v>
      </c>
      <c r="HE4" s="7">
        <v>129259</v>
      </c>
      <c r="HF4" s="7">
        <v>113090</v>
      </c>
      <c r="HG4" s="7">
        <v>94472</v>
      </c>
      <c r="HH4" s="7">
        <v>63962</v>
      </c>
      <c r="HI4" s="7">
        <v>65009</v>
      </c>
      <c r="HJ4" s="7">
        <v>81924</v>
      </c>
      <c r="HK4" s="7">
        <v>111184</v>
      </c>
      <c r="HL4" s="7">
        <v>88912</v>
      </c>
      <c r="HM4" s="7">
        <v>93653</v>
      </c>
      <c r="HN4" s="7">
        <v>89852</v>
      </c>
      <c r="HO4" s="7">
        <v>59841</v>
      </c>
      <c r="HP4" s="7">
        <v>63630</v>
      </c>
      <c r="HQ4" s="7">
        <v>111024</v>
      </c>
      <c r="HR4" s="7">
        <v>112282</v>
      </c>
      <c r="HS4" s="7">
        <v>113795</v>
      </c>
      <c r="HT4" s="7">
        <v>84323</v>
      </c>
      <c r="HU4" s="7">
        <v>100091</v>
      </c>
      <c r="HV4" s="7">
        <v>58131</v>
      </c>
      <c r="HW4" s="7">
        <v>54737</v>
      </c>
      <c r="HX4" s="7">
        <v>103777</v>
      </c>
      <c r="HY4" s="7">
        <v>79747</v>
      </c>
      <c r="HZ4" s="7">
        <v>97383</v>
      </c>
      <c r="IA4" s="7">
        <v>115745</v>
      </c>
      <c r="IB4" s="7">
        <v>115727</v>
      </c>
      <c r="IC4" s="7">
        <v>103268</v>
      </c>
      <c r="ID4" s="7">
        <v>105953</v>
      </c>
      <c r="IE4" s="7">
        <v>104098</v>
      </c>
      <c r="IF4" s="7">
        <v>106824</v>
      </c>
      <c r="IG4" s="7">
        <v>113974</v>
      </c>
      <c r="IH4" s="7">
        <v>139680</v>
      </c>
      <c r="II4" s="7">
        <v>138356</v>
      </c>
      <c r="IJ4" s="7">
        <v>123752</v>
      </c>
      <c r="IK4" s="7">
        <v>89376</v>
      </c>
      <c r="IL4" s="7">
        <v>111120</v>
      </c>
      <c r="IM4" s="7">
        <v>113341</v>
      </c>
      <c r="IN4" s="7">
        <v>105405</v>
      </c>
      <c r="IO4" s="7">
        <v>103891</v>
      </c>
      <c r="IP4" s="7">
        <v>98088</v>
      </c>
      <c r="IQ4" s="7">
        <v>101476</v>
      </c>
      <c r="IR4" s="7">
        <v>99087</v>
      </c>
      <c r="IS4" s="7">
        <v>120281</v>
      </c>
      <c r="IT4" s="7">
        <v>120263</v>
      </c>
      <c r="IU4" s="7">
        <v>165327</v>
      </c>
      <c r="IV4" s="7">
        <v>171410</v>
      </c>
      <c r="IW4" s="7">
        <v>129333</v>
      </c>
      <c r="IX4" s="7">
        <v>97858</v>
      </c>
      <c r="IY4" s="7">
        <v>57650</v>
      </c>
      <c r="IZ4" s="7">
        <v>121370</v>
      </c>
      <c r="JA4" s="7">
        <v>143001</v>
      </c>
      <c r="JB4" s="7">
        <v>146862</v>
      </c>
      <c r="JC4" s="7">
        <v>130909</v>
      </c>
      <c r="JD4" s="7">
        <v>106338</v>
      </c>
      <c r="JE4" s="7">
        <v>83419</v>
      </c>
      <c r="JF4" s="7">
        <v>74482</v>
      </c>
      <c r="JG4" s="7">
        <v>133599</v>
      </c>
      <c r="JH4" s="7">
        <v>173594</v>
      </c>
      <c r="JI4" s="7">
        <v>162614</v>
      </c>
      <c r="JJ4" s="7">
        <v>183167</v>
      </c>
      <c r="JK4" s="7">
        <v>180184</v>
      </c>
      <c r="JL4" s="7">
        <v>84488</v>
      </c>
      <c r="JM4" s="7">
        <v>67238</v>
      </c>
      <c r="JN4" s="7">
        <v>145944</v>
      </c>
      <c r="JO4" s="7">
        <v>189656</v>
      </c>
      <c r="JP4" s="7">
        <v>162989</v>
      </c>
      <c r="JQ4" s="7">
        <v>168481</v>
      </c>
      <c r="JR4" s="7">
        <v>137762</v>
      </c>
      <c r="JS4" s="7">
        <v>84001</v>
      </c>
      <c r="JT4" s="7">
        <v>72512</v>
      </c>
      <c r="JU4" s="7">
        <v>149075</v>
      </c>
      <c r="JV4" s="7">
        <v>164266</v>
      </c>
      <c r="JW4" s="7">
        <v>173891</v>
      </c>
      <c r="JX4" s="7">
        <v>177190</v>
      </c>
      <c r="JY4" s="7">
        <v>179760</v>
      </c>
      <c r="JZ4" s="7">
        <v>103215</v>
      </c>
      <c r="KA4" s="7">
        <v>67615</v>
      </c>
      <c r="KB4" s="7">
        <v>181138</v>
      </c>
      <c r="KC4" s="7">
        <v>171842</v>
      </c>
      <c r="KD4" s="7">
        <v>203447</v>
      </c>
      <c r="KE4" s="7">
        <v>213845</v>
      </c>
      <c r="KF4" s="7">
        <v>214373</v>
      </c>
      <c r="KG4" s="7">
        <v>216578</v>
      </c>
      <c r="KH4" s="7">
        <v>153818</v>
      </c>
      <c r="KI4" s="7">
        <v>199107</v>
      </c>
      <c r="KJ4" s="7">
        <v>215894</v>
      </c>
      <c r="KK4" s="7">
        <v>203954</v>
      </c>
      <c r="KL4" s="7">
        <v>212985</v>
      </c>
      <c r="KM4" s="7">
        <v>197455</v>
      </c>
      <c r="KN4" s="7">
        <v>145735</v>
      </c>
      <c r="KO4" s="7">
        <v>112433</v>
      </c>
      <c r="KP4" s="7">
        <v>196571</v>
      </c>
      <c r="KQ4" s="7">
        <v>202583</v>
      </c>
      <c r="KR4" s="7">
        <v>211064</v>
      </c>
      <c r="KS4" s="7">
        <v>174986</v>
      </c>
      <c r="KT4" s="7">
        <v>156181</v>
      </c>
      <c r="KU4" s="7">
        <v>99474</v>
      </c>
      <c r="KV4" s="7">
        <v>84537</v>
      </c>
      <c r="KW4" s="7">
        <v>158534</v>
      </c>
      <c r="KX4" s="7">
        <v>194645</v>
      </c>
      <c r="KY4" s="7">
        <v>188010</v>
      </c>
      <c r="KZ4" s="7">
        <v>167672</v>
      </c>
      <c r="LA4" s="7">
        <v>86129</v>
      </c>
      <c r="LB4" s="7">
        <v>99527</v>
      </c>
      <c r="LC4" s="7">
        <v>89670</v>
      </c>
      <c r="LD4" s="7">
        <v>115079</v>
      </c>
      <c r="LE4" s="7">
        <v>117252</v>
      </c>
      <c r="LF4" s="7">
        <v>130169</v>
      </c>
      <c r="LG4" s="7">
        <v>132371</v>
      </c>
      <c r="LH4" s="7">
        <v>118039</v>
      </c>
      <c r="LI4" s="7">
        <v>97736</v>
      </c>
      <c r="LJ4" s="7">
        <v>97473</v>
      </c>
      <c r="LK4" s="7">
        <v>125909</v>
      </c>
      <c r="LL4" s="7">
        <v>176181</v>
      </c>
      <c r="LM4" s="7">
        <v>156073</v>
      </c>
      <c r="LN4" s="7">
        <v>129627</v>
      </c>
      <c r="LO4" s="7">
        <v>134785</v>
      </c>
      <c r="LP4" s="7">
        <v>81720</v>
      </c>
      <c r="LQ4" s="7">
        <v>75000</v>
      </c>
      <c r="LR4" s="7">
        <v>111431</v>
      </c>
      <c r="LS4" s="7">
        <v>145629</v>
      </c>
      <c r="LT4" s="7">
        <v>159338</v>
      </c>
      <c r="LU4" s="7">
        <v>161208</v>
      </c>
      <c r="LV4" s="7">
        <v>143780</v>
      </c>
      <c r="LW4" s="7">
        <v>87582</v>
      </c>
      <c r="LX4" s="7">
        <v>82023</v>
      </c>
      <c r="LY4" s="7">
        <v>173818</v>
      </c>
      <c r="LZ4" s="7">
        <v>167365</v>
      </c>
      <c r="MA4" s="7">
        <v>175196</v>
      </c>
      <c r="MB4" s="7">
        <v>155446</v>
      </c>
      <c r="MC4" s="7">
        <v>159897</v>
      </c>
      <c r="MD4" s="7">
        <v>96131</v>
      </c>
      <c r="ME4" s="7">
        <v>71848</v>
      </c>
      <c r="MF4" s="7">
        <v>162076</v>
      </c>
      <c r="MG4" s="7">
        <v>188867</v>
      </c>
      <c r="MH4" s="7">
        <v>196941</v>
      </c>
      <c r="MI4" s="7">
        <v>191777</v>
      </c>
      <c r="MJ4" s="7">
        <v>160227</v>
      </c>
      <c r="MK4" s="7">
        <v>111542</v>
      </c>
      <c r="ML4" s="7">
        <v>84103</v>
      </c>
      <c r="MM4" s="7">
        <v>127258</v>
      </c>
      <c r="MN4" s="7">
        <v>130803</v>
      </c>
      <c r="MO4" s="7">
        <v>137569</v>
      </c>
      <c r="MP4" s="7">
        <v>135661</v>
      </c>
      <c r="MQ4" s="7">
        <v>133999</v>
      </c>
      <c r="MR4" s="7">
        <v>128412</v>
      </c>
      <c r="MS4" s="7">
        <v>132062</v>
      </c>
      <c r="MT4" s="7">
        <v>128960</v>
      </c>
      <c r="MU4" s="7">
        <v>129343</v>
      </c>
      <c r="MV4" s="7">
        <v>136976</v>
      </c>
      <c r="MW4" s="7">
        <v>142075</v>
      </c>
      <c r="MX4" s="7">
        <v>124170</v>
      </c>
      <c r="MY4" s="7">
        <v>89809</v>
      </c>
      <c r="MZ4" s="7">
        <v>81836</v>
      </c>
      <c r="NA4" s="7">
        <v>136048</v>
      </c>
      <c r="NB4" s="7">
        <v>138162</v>
      </c>
      <c r="NC4" s="7">
        <v>94243</v>
      </c>
    </row>
    <row r="5" spans="1:367">
      <c r="A5" s="17">
        <f>+A4/A3</f>
        <v>36.088244296062655</v>
      </c>
      <c r="B5" s="18" t="s">
        <v>424</v>
      </c>
      <c r="C5" s="7"/>
      <c r="D5" s="7">
        <f t="shared" ref="D5:N5" si="0">+D4/D3</f>
        <v>30.555777712149581</v>
      </c>
      <c r="E5" s="7">
        <f t="shared" si="0"/>
        <v>26.741906675269675</v>
      </c>
      <c r="F5" s="7">
        <f t="shared" si="0"/>
        <v>29.440418189097503</v>
      </c>
      <c r="G5" s="7">
        <f t="shared" si="0"/>
        <v>29.403347656512882</v>
      </c>
      <c r="H5" s="7">
        <f t="shared" si="0"/>
        <v>22.211339250358343</v>
      </c>
      <c r="I5" s="7">
        <f t="shared" si="0"/>
        <v>28.191292670919296</v>
      </c>
      <c r="J5" s="7">
        <f t="shared" si="0"/>
        <v>21.535389583299931</v>
      </c>
      <c r="K5" s="7">
        <f t="shared" si="0"/>
        <v>25.406267356058127</v>
      </c>
      <c r="L5" s="7">
        <f t="shared" si="0"/>
        <v>21.230194182652109</v>
      </c>
      <c r="M5" s="7">
        <f t="shared" si="0"/>
        <v>33.490875260703852</v>
      </c>
      <c r="N5" s="7">
        <f t="shared" si="0"/>
        <v>36.765570746996943</v>
      </c>
      <c r="O5" s="20">
        <f>+O4/O3</f>
        <v>26.305136942145865</v>
      </c>
      <c r="P5" s="20">
        <f t="shared" ref="P5:CA5" si="1">+P4/P3</f>
        <v>22.917128246492975</v>
      </c>
      <c r="Q5" s="20">
        <f t="shared" si="1"/>
        <v>28.673040458874208</v>
      </c>
      <c r="R5" s="20">
        <f t="shared" si="1"/>
        <v>34.166635247574099</v>
      </c>
      <c r="S5" s="20">
        <f t="shared" si="1"/>
        <v>39.901187504242067</v>
      </c>
      <c r="T5" s="20">
        <f t="shared" si="1"/>
        <v>33.177333073262176</v>
      </c>
      <c r="U5" s="20">
        <f t="shared" si="1"/>
        <v>42.532580150976564</v>
      </c>
      <c r="V5" s="20">
        <f t="shared" si="1"/>
        <v>24.274421331005382</v>
      </c>
      <c r="W5" s="20">
        <f t="shared" si="1"/>
        <v>35.403457163535307</v>
      </c>
      <c r="X5" s="20">
        <f t="shared" si="1"/>
        <v>21.658996119560395</v>
      </c>
      <c r="Y5" s="20">
        <f t="shared" si="1"/>
        <v>28.341885696624296</v>
      </c>
      <c r="Z5" s="20">
        <f t="shared" si="1"/>
        <v>27.894682604192681</v>
      </c>
      <c r="AA5" s="20">
        <f t="shared" si="1"/>
        <v>32.248848132892327</v>
      </c>
      <c r="AB5" s="20">
        <f t="shared" si="1"/>
        <v>37.860032105701499</v>
      </c>
      <c r="AC5" s="20">
        <f t="shared" si="1"/>
        <v>21.757505863074666</v>
      </c>
      <c r="AD5" s="20">
        <f t="shared" si="1"/>
        <v>28.370751215137997</v>
      </c>
      <c r="AE5" s="20">
        <f t="shared" si="1"/>
        <v>27.370436665601549</v>
      </c>
      <c r="AF5" s="20">
        <f t="shared" si="1"/>
        <v>33.157290556935727</v>
      </c>
      <c r="AG5" s="20">
        <f t="shared" si="1"/>
        <v>30.777922112779891</v>
      </c>
      <c r="AH5" s="20">
        <f t="shared" si="1"/>
        <v>37.474930649853825</v>
      </c>
      <c r="AI5" s="20">
        <f t="shared" si="1"/>
        <v>38.999776609625748</v>
      </c>
      <c r="AJ5" s="20">
        <f t="shared" si="1"/>
        <v>25.435013419396679</v>
      </c>
      <c r="AK5" s="20">
        <f t="shared" si="1"/>
        <v>36.055323274965573</v>
      </c>
      <c r="AL5" s="20">
        <f t="shared" si="1"/>
        <v>32.365855321672782</v>
      </c>
      <c r="AM5" s="20">
        <f t="shared" si="1"/>
        <v>41.086218955315395</v>
      </c>
      <c r="AN5" s="20">
        <f t="shared" si="1"/>
        <v>41.677664151817645</v>
      </c>
      <c r="AO5" s="20">
        <f t="shared" si="1"/>
        <v>38.816999275975405</v>
      </c>
      <c r="AP5" s="20">
        <f t="shared" si="1"/>
        <v>46.89899361825384</v>
      </c>
      <c r="AQ5" s="20">
        <f t="shared" si="1"/>
        <v>41.315184927010954</v>
      </c>
      <c r="AR5" s="20">
        <f t="shared" si="1"/>
        <v>41.950739517869216</v>
      </c>
      <c r="AS5" s="20">
        <f t="shared" si="1"/>
        <v>39.361456829252369</v>
      </c>
      <c r="AT5" s="20">
        <f t="shared" si="1"/>
        <v>37.769999958224361</v>
      </c>
      <c r="AU5" s="20">
        <f t="shared" si="1"/>
        <v>33.428006541449427</v>
      </c>
      <c r="AV5" s="20">
        <f t="shared" si="1"/>
        <v>34.830777292732257</v>
      </c>
      <c r="AW5" s="20">
        <f t="shared" si="1"/>
        <v>39.289316264030482</v>
      </c>
      <c r="AX5" s="20">
        <f t="shared" si="1"/>
        <v>28.495418515497935</v>
      </c>
      <c r="AY5" s="20">
        <f t="shared" si="1"/>
        <v>39.26768981156291</v>
      </c>
      <c r="AZ5" s="20">
        <f t="shared" si="1"/>
        <v>39.068876607764416</v>
      </c>
      <c r="BA5" s="20">
        <f t="shared" si="1"/>
        <v>39.833875902642113</v>
      </c>
      <c r="BB5" s="20">
        <f t="shared" si="1"/>
        <v>32.587768177803397</v>
      </c>
      <c r="BC5" s="20">
        <f t="shared" si="1"/>
        <v>40.694964969130787</v>
      </c>
      <c r="BD5" s="20">
        <f t="shared" si="1"/>
        <v>40.131508661114964</v>
      </c>
      <c r="BE5" s="20">
        <f t="shared" si="1"/>
        <v>42.020803336658744</v>
      </c>
      <c r="BF5" s="20">
        <f t="shared" si="1"/>
        <v>40.2617135286673</v>
      </c>
      <c r="BG5" s="20">
        <f t="shared" si="1"/>
        <v>41.02590721586531</v>
      </c>
      <c r="BH5" s="20">
        <f t="shared" si="1"/>
        <v>36.539589839608567</v>
      </c>
      <c r="BI5" s="20">
        <f t="shared" si="1"/>
        <v>32.579439934389157</v>
      </c>
      <c r="BJ5" s="20">
        <f t="shared" si="1"/>
        <v>46.383100439415863</v>
      </c>
      <c r="BK5" s="20">
        <f t="shared" si="1"/>
        <v>33.69066662758933</v>
      </c>
      <c r="BL5" s="20">
        <f t="shared" si="1"/>
        <v>41.422749073354332</v>
      </c>
      <c r="BM5" s="20">
        <f t="shared" si="1"/>
        <v>39.877775464908851</v>
      </c>
      <c r="BN5" s="20">
        <f t="shared" si="1"/>
        <v>47.58663895706669</v>
      </c>
      <c r="BO5" s="20">
        <f t="shared" si="1"/>
        <v>49.626419201819182</v>
      </c>
      <c r="BP5" s="20">
        <f t="shared" si="1"/>
        <v>37.993692965474494</v>
      </c>
      <c r="BQ5" s="20">
        <f t="shared" si="1"/>
        <v>43.444443618124019</v>
      </c>
      <c r="BR5" s="20">
        <f t="shared" si="1"/>
        <v>42.436633083501846</v>
      </c>
      <c r="BS5" s="20">
        <f t="shared" si="1"/>
        <v>40.770520278269004</v>
      </c>
      <c r="BT5" s="20">
        <f t="shared" si="1"/>
        <v>43.097120184795607</v>
      </c>
      <c r="BU5" s="20">
        <f t="shared" si="1"/>
        <v>43.351279738871412</v>
      </c>
      <c r="BV5" s="20">
        <f t="shared" si="1"/>
        <v>39.609117728939147</v>
      </c>
      <c r="BW5" s="20">
        <f t="shared" si="1"/>
        <v>38.221391433774855</v>
      </c>
      <c r="BX5" s="20">
        <f t="shared" si="1"/>
        <v>45.819387516210107</v>
      </c>
      <c r="BY5" s="20">
        <f t="shared" si="1"/>
        <v>47.030835927148821</v>
      </c>
      <c r="BZ5" s="20">
        <f t="shared" si="1"/>
        <v>40.591982493808928</v>
      </c>
      <c r="CA5" s="20">
        <f t="shared" si="1"/>
        <v>39.550136075961802</v>
      </c>
      <c r="CB5" s="20">
        <f t="shared" ref="CB5:EJ5" si="2">+CB4/CB3</f>
        <v>29.163088492069821</v>
      </c>
      <c r="CC5" s="20">
        <f t="shared" si="2"/>
        <v>44.165305953466977</v>
      </c>
      <c r="CD5" s="20">
        <f t="shared" si="2"/>
        <v>39.497994422065112</v>
      </c>
      <c r="CE5" s="20">
        <f t="shared" si="2"/>
        <v>41.540954304418946</v>
      </c>
      <c r="CF5" s="20">
        <f t="shared" si="2"/>
        <v>45.603141625669942</v>
      </c>
      <c r="CG5" s="20">
        <f t="shared" si="2"/>
        <v>43.814867569782862</v>
      </c>
      <c r="CH5" s="20">
        <f t="shared" si="2"/>
        <v>42.357335259886845</v>
      </c>
      <c r="CI5" s="20">
        <f t="shared" si="2"/>
        <v>44.397987579742406</v>
      </c>
      <c r="CJ5" s="20">
        <f t="shared" si="2"/>
        <v>38.16755113267277</v>
      </c>
      <c r="CK5" s="20">
        <f t="shared" si="2"/>
        <v>28.897258451673171</v>
      </c>
      <c r="CL5" s="20">
        <f t="shared" si="2"/>
        <v>39.051536444949875</v>
      </c>
      <c r="CM5" s="20"/>
      <c r="CN5" s="20"/>
      <c r="CO5" s="20"/>
      <c r="CP5" s="20">
        <f t="shared" si="2"/>
        <v>51.7079474010255</v>
      </c>
      <c r="CQ5" s="20">
        <f t="shared" si="2"/>
        <v>49.252094600019973</v>
      </c>
      <c r="CR5" s="20">
        <f t="shared" si="2"/>
        <v>38.828869304159618</v>
      </c>
      <c r="CS5" s="20">
        <f t="shared" si="2"/>
        <v>48.222371410410993</v>
      </c>
      <c r="CT5" s="20">
        <f t="shared" si="2"/>
        <v>38.973780893910636</v>
      </c>
      <c r="CU5" s="20">
        <f t="shared" si="2"/>
        <v>33.809716479629017</v>
      </c>
      <c r="CV5" s="20">
        <f t="shared" si="2"/>
        <v>40.468881079125595</v>
      </c>
      <c r="CW5" s="20">
        <f t="shared" si="2"/>
        <v>38.963092230963589</v>
      </c>
      <c r="CX5" s="20">
        <f t="shared" si="2"/>
        <v>38.685892263261024</v>
      </c>
      <c r="CY5" s="20">
        <f t="shared" si="2"/>
        <v>33.627647210159743</v>
      </c>
      <c r="CZ5" s="20">
        <f t="shared" si="2"/>
        <v>46.3716253197979</v>
      </c>
      <c r="DA5" s="20">
        <f t="shared" si="2"/>
        <v>44.383334138103436</v>
      </c>
      <c r="DB5" s="20">
        <f t="shared" si="2"/>
        <v>34.216784851361872</v>
      </c>
      <c r="DC5" s="20">
        <f t="shared" si="2"/>
        <v>38.59837467376142</v>
      </c>
      <c r="DD5" s="20">
        <f t="shared" si="2"/>
        <v>42.639279730705013</v>
      </c>
      <c r="DE5" s="20">
        <f t="shared" si="2"/>
        <v>46.723110864382861</v>
      </c>
      <c r="DF5" s="20">
        <f t="shared" si="2"/>
        <v>38.756329010238034</v>
      </c>
      <c r="DG5" s="20">
        <f t="shared" si="2"/>
        <v>43.000707829887872</v>
      </c>
      <c r="DH5" s="20">
        <f t="shared" si="2"/>
        <v>42.840778173477318</v>
      </c>
      <c r="DI5" s="20">
        <f t="shared" si="2"/>
        <v>31.722995583456232</v>
      </c>
      <c r="DJ5" s="20">
        <f t="shared" si="2"/>
        <v>39.085355936777987</v>
      </c>
      <c r="DK5" s="20">
        <f t="shared" si="2"/>
        <v>50.31390975667248</v>
      </c>
      <c r="DL5" s="20"/>
      <c r="DM5" s="20">
        <f t="shared" si="2"/>
        <v>28.182521020583401</v>
      </c>
      <c r="DN5" s="20">
        <f t="shared" si="2"/>
        <v>40.454325138090397</v>
      </c>
      <c r="DO5" s="20">
        <f t="shared" si="2"/>
        <v>46.401654485812124</v>
      </c>
      <c r="DP5" s="20">
        <f t="shared" si="2"/>
        <v>35.578798871526331</v>
      </c>
      <c r="DQ5" s="20">
        <f t="shared" si="2"/>
        <v>34.919280551347065</v>
      </c>
      <c r="DR5" s="20">
        <f t="shared" si="2"/>
        <v>30.52285964203924</v>
      </c>
      <c r="DS5" s="20"/>
      <c r="DT5" s="20">
        <f t="shared" si="2"/>
        <v>36.327475307401102</v>
      </c>
      <c r="DU5" s="20">
        <f t="shared" si="2"/>
        <v>45.707619121385441</v>
      </c>
      <c r="DV5" s="20">
        <f t="shared" si="2"/>
        <v>57.993970646830149</v>
      </c>
      <c r="DW5" s="20">
        <f t="shared" si="2"/>
        <v>38.918270194155411</v>
      </c>
      <c r="DX5" s="20">
        <f t="shared" si="2"/>
        <v>40.1417475476905</v>
      </c>
      <c r="DY5" s="20">
        <f t="shared" si="2"/>
        <v>41.37054278209478</v>
      </c>
      <c r="DZ5" s="20">
        <f t="shared" si="2"/>
        <v>40.291326578775298</v>
      </c>
      <c r="EA5" s="20">
        <f t="shared" si="2"/>
        <v>40.749213890817124</v>
      </c>
      <c r="EB5" s="20">
        <f t="shared" si="2"/>
        <v>45.78994659199082</v>
      </c>
      <c r="EC5" s="20">
        <f t="shared" si="2"/>
        <v>51.567543323793245</v>
      </c>
      <c r="ED5" s="20">
        <f t="shared" si="2"/>
        <v>37.056152899634867</v>
      </c>
      <c r="EE5" s="20">
        <f t="shared" si="2"/>
        <v>33.406716249499908</v>
      </c>
      <c r="EF5" s="20">
        <f t="shared" si="2"/>
        <v>37.253679612523584</v>
      </c>
      <c r="EG5" s="20">
        <f t="shared" si="2"/>
        <v>42.826935365930005</v>
      </c>
      <c r="EH5" s="20">
        <f t="shared" si="2"/>
        <v>35.869038766577944</v>
      </c>
      <c r="EI5" s="20">
        <f t="shared" si="2"/>
        <v>42.700775513804622</v>
      </c>
      <c r="EJ5" s="20">
        <f t="shared" si="2"/>
        <v>47.839933031809743</v>
      </c>
      <c r="EK5" s="20">
        <f>+EK4/EK3</f>
        <v>30.364596804305499</v>
      </c>
      <c r="EL5" s="20">
        <f t="shared" ref="EL5:FB5" si="3">+EL4/EL3</f>
        <v>40.013996037836542</v>
      </c>
      <c r="EM5" s="20">
        <f t="shared" si="3"/>
        <v>34.911262498209219</v>
      </c>
      <c r="EN5" s="20">
        <f t="shared" si="3"/>
        <v>41.591629822453022</v>
      </c>
      <c r="EO5" s="20">
        <f t="shared" si="3"/>
        <v>39.722421724134364</v>
      </c>
      <c r="EP5" s="20">
        <f t="shared" si="3"/>
        <v>31.201235824439724</v>
      </c>
      <c r="EQ5" s="20">
        <f t="shared" si="3"/>
        <v>42.643794668026125</v>
      </c>
      <c r="ER5" s="20">
        <f t="shared" si="3"/>
        <v>34.156392776232749</v>
      </c>
      <c r="ES5" s="20">
        <f t="shared" si="3"/>
        <v>38.459115153900925</v>
      </c>
      <c r="ET5" s="20">
        <f t="shared" si="3"/>
        <v>39.178925218604583</v>
      </c>
      <c r="EU5" s="20">
        <f t="shared" si="3"/>
        <v>38.814606437010511</v>
      </c>
      <c r="EV5" s="20">
        <f t="shared" si="3"/>
        <v>38.185115125082717</v>
      </c>
      <c r="EW5" s="20">
        <f t="shared" si="3"/>
        <v>42.007622122645856</v>
      </c>
      <c r="EX5" s="20">
        <f t="shared" si="3"/>
        <v>40.871501778005943</v>
      </c>
      <c r="EY5" s="20">
        <f t="shared" si="3"/>
        <v>46.607774424124351</v>
      </c>
      <c r="EZ5" s="20">
        <f t="shared" si="3"/>
        <v>41.295776264680924</v>
      </c>
      <c r="FA5" s="20">
        <f t="shared" si="3"/>
        <v>26.061188077965227</v>
      </c>
      <c r="FB5" s="20">
        <f t="shared" si="3"/>
        <v>25.450829049699394</v>
      </c>
      <c r="FF5" s="20"/>
      <c r="FG5" s="20">
        <f t="shared" ref="FG5:HR5" si="4">+FG4/FG3</f>
        <v>24.254141675089596</v>
      </c>
      <c r="FH5" s="20">
        <f t="shared" si="4"/>
        <v>37.809519088274328</v>
      </c>
      <c r="FI5" s="20">
        <f t="shared" si="4"/>
        <v>37.667345874312211</v>
      </c>
      <c r="FJ5" s="20">
        <f t="shared" si="4"/>
        <v>35.807415042341752</v>
      </c>
      <c r="FK5" s="20">
        <f t="shared" si="4"/>
        <v>38.238945814119518</v>
      </c>
      <c r="FL5" s="20">
        <f t="shared" si="4"/>
        <v>40.566594073412361</v>
      </c>
      <c r="FM5" s="20">
        <f t="shared" si="4"/>
        <v>40.571102603911719</v>
      </c>
      <c r="FN5" s="20">
        <f t="shared" si="4"/>
        <v>39.922288271133326</v>
      </c>
      <c r="FO5" s="20">
        <f t="shared" si="4"/>
        <v>34.884614800700781</v>
      </c>
      <c r="FP5" s="20">
        <f t="shared" si="4"/>
        <v>41.07639706244359</v>
      </c>
      <c r="FQ5" s="20">
        <f t="shared" si="4"/>
        <v>34.080124240986365</v>
      </c>
      <c r="FR5" s="20">
        <f t="shared" si="4"/>
        <v>38.955139298601132</v>
      </c>
      <c r="FS5" s="20">
        <f t="shared" si="4"/>
        <v>43.003223971173902</v>
      </c>
      <c r="FT5" s="20">
        <f t="shared" si="4"/>
        <v>28.40202070677157</v>
      </c>
      <c r="FU5" s="20">
        <f t="shared" si="4"/>
        <v>30.112426088195221</v>
      </c>
      <c r="FV5" s="20">
        <f t="shared" si="4"/>
        <v>37.321832569941648</v>
      </c>
      <c r="FW5" s="20">
        <f t="shared" si="4"/>
        <v>35.513518457725468</v>
      </c>
      <c r="FX5" s="20">
        <f t="shared" si="4"/>
        <v>38.371118645802909</v>
      </c>
      <c r="FY5" s="20">
        <f t="shared" si="4"/>
        <v>33.644370057662343</v>
      </c>
      <c r="FZ5" s="20">
        <f t="shared" si="4"/>
        <v>49.705193855157276</v>
      </c>
      <c r="GA5" s="20">
        <f t="shared" si="4"/>
        <v>35.920757278850061</v>
      </c>
      <c r="GB5" s="20">
        <f t="shared" si="4"/>
        <v>39.41410689909015</v>
      </c>
      <c r="GC5" s="20">
        <f t="shared" si="4"/>
        <v>34.435511770335602</v>
      </c>
      <c r="GD5" s="20">
        <f t="shared" si="4"/>
        <v>34.600532382561227</v>
      </c>
      <c r="GE5" s="20">
        <f t="shared" si="4"/>
        <v>34.644371061556122</v>
      </c>
      <c r="GF5" s="20">
        <f t="shared" si="4"/>
        <v>28.734967542188439</v>
      </c>
      <c r="GG5" s="20">
        <f t="shared" si="4"/>
        <v>40.626901459672759</v>
      </c>
      <c r="GH5" s="20">
        <f t="shared" si="4"/>
        <v>24.866708325397649</v>
      </c>
      <c r="GI5" s="20">
        <f t="shared" si="4"/>
        <v>32.938642041764616</v>
      </c>
      <c r="GJ5" s="20">
        <f t="shared" si="4"/>
        <v>37.423787936293294</v>
      </c>
      <c r="GK5" s="20">
        <f t="shared" si="4"/>
        <v>36.602495623839218</v>
      </c>
      <c r="GL5" s="20">
        <f t="shared" si="4"/>
        <v>34.765543895412968</v>
      </c>
      <c r="GM5" s="20">
        <f t="shared" si="4"/>
        <v>40.441317846530879</v>
      </c>
      <c r="GN5" s="20">
        <f t="shared" si="4"/>
        <v>44.29769229485435</v>
      </c>
      <c r="GO5" s="20">
        <f t="shared" si="4"/>
        <v>25.403164591668595</v>
      </c>
      <c r="GP5" s="20"/>
      <c r="GQ5" s="20">
        <f t="shared" si="4"/>
        <v>35.053860154682944</v>
      </c>
      <c r="GR5" s="20">
        <f t="shared" si="4"/>
        <v>34.660175050091468</v>
      </c>
      <c r="GS5" s="20">
        <f t="shared" si="4"/>
        <v>38.888538154741333</v>
      </c>
      <c r="GT5" s="20">
        <f t="shared" si="4"/>
        <v>37.039799231038955</v>
      </c>
      <c r="GU5" s="20">
        <f t="shared" si="4"/>
        <v>40.717958478269409</v>
      </c>
      <c r="GV5" s="20">
        <f t="shared" si="4"/>
        <v>37.169334295800859</v>
      </c>
      <c r="GW5" s="20">
        <f t="shared" si="4"/>
        <v>35.91449414489125</v>
      </c>
      <c r="GX5" s="20">
        <f t="shared" si="4"/>
        <v>41.46620808623031</v>
      </c>
      <c r="GY5" s="20">
        <f t="shared" si="4"/>
        <v>37.670799973823357</v>
      </c>
      <c r="GZ5" s="20">
        <f t="shared" si="4"/>
        <v>30.504210714910243</v>
      </c>
      <c r="HA5" s="20">
        <f t="shared" si="4"/>
        <v>41.980248402640434</v>
      </c>
      <c r="HB5" s="20">
        <f t="shared" si="4"/>
        <v>43.150909822370458</v>
      </c>
      <c r="HC5" s="20">
        <f t="shared" si="4"/>
        <v>37.731542086154299</v>
      </c>
      <c r="HD5" s="20">
        <f t="shared" si="4"/>
        <v>29.378010222685727</v>
      </c>
      <c r="HE5" s="20">
        <f t="shared" si="4"/>
        <v>40.904825660737238</v>
      </c>
      <c r="HF5" s="20">
        <f t="shared" si="4"/>
        <v>38.094691901488837</v>
      </c>
      <c r="HG5" s="20">
        <f t="shared" si="4"/>
        <v>38.70857458053311</v>
      </c>
      <c r="HH5" s="20">
        <f t="shared" si="4"/>
        <v>36.903054950225872</v>
      </c>
      <c r="HI5" s="20">
        <f t="shared" si="4"/>
        <v>49.14915886040508</v>
      </c>
      <c r="HJ5" s="20">
        <f t="shared" si="4"/>
        <v>32.185307249686112</v>
      </c>
      <c r="HK5" s="20">
        <f t="shared" si="4"/>
        <v>40.494185551948249</v>
      </c>
      <c r="HL5" s="20">
        <f t="shared" si="4"/>
        <v>35.478507259882882</v>
      </c>
      <c r="HM5" s="20">
        <f t="shared" si="4"/>
        <v>33.441299913204709</v>
      </c>
      <c r="HN5" s="20">
        <f t="shared" si="4"/>
        <v>34.071229682521995</v>
      </c>
      <c r="HO5" s="20">
        <f t="shared" si="4"/>
        <v>37.517335637739997</v>
      </c>
      <c r="HP5" s="20">
        <f t="shared" si="4"/>
        <v>52.351658448971563</v>
      </c>
      <c r="HQ5" s="20">
        <f t="shared" si="4"/>
        <v>38.913471475726354</v>
      </c>
      <c r="HR5" s="20">
        <f t="shared" si="4"/>
        <v>38.536765208129083</v>
      </c>
      <c r="HS5" s="20">
        <f t="shared" ref="HS5:KD5" si="5">+HS4/HS3</f>
        <v>42.95095121396924</v>
      </c>
      <c r="HT5" s="20">
        <f t="shared" si="5"/>
        <v>33.47930513907253</v>
      </c>
      <c r="HU5" s="20">
        <f t="shared" si="5"/>
        <v>37.913382364989815</v>
      </c>
      <c r="HV5" s="20">
        <f t="shared" si="5"/>
        <v>37.600547570803812</v>
      </c>
      <c r="HW5" s="20">
        <f t="shared" si="5"/>
        <v>45.00676661719725</v>
      </c>
      <c r="HX5" s="20">
        <f t="shared" si="5"/>
        <v>36.428082742949826</v>
      </c>
      <c r="HY5" s="20">
        <f t="shared" si="5"/>
        <v>28.206291707773687</v>
      </c>
      <c r="HZ5" s="20">
        <f t="shared" si="5"/>
        <v>38.448637383837792</v>
      </c>
      <c r="IA5" s="20">
        <f t="shared" si="5"/>
        <v>41.292060432350581</v>
      </c>
      <c r="IB5" s="20">
        <f t="shared" si="5"/>
        <v>43.441290914240867</v>
      </c>
      <c r="IC5" s="20">
        <f t="shared" si="5"/>
        <v>40.466735969277451</v>
      </c>
      <c r="ID5" s="20">
        <f t="shared" si="5"/>
        <v>41.52801270770788</v>
      </c>
      <c r="IE5" s="20">
        <f t="shared" si="5"/>
        <v>37.380691052439552</v>
      </c>
      <c r="IF5" s="20">
        <f t="shared" si="5"/>
        <v>36.454252211049756</v>
      </c>
      <c r="IG5" s="20">
        <f t="shared" si="5"/>
        <v>35.149670497667699</v>
      </c>
      <c r="IH5" s="20">
        <f t="shared" si="5"/>
        <v>39.911010199017738</v>
      </c>
      <c r="II5" s="20">
        <f t="shared" si="5"/>
        <v>39.157317674977172</v>
      </c>
      <c r="IJ5" s="20">
        <f t="shared" si="5"/>
        <v>41.995168924098969</v>
      </c>
      <c r="IK5" s="20">
        <f t="shared" si="5"/>
        <v>36.857191038233893</v>
      </c>
      <c r="IL5" s="20">
        <f t="shared" si="5"/>
        <v>40.740711231123711</v>
      </c>
      <c r="IM5" s="20">
        <f t="shared" si="5"/>
        <v>40.143261508567349</v>
      </c>
      <c r="IN5" s="20">
        <f t="shared" si="5"/>
        <v>37.211577263728131</v>
      </c>
      <c r="IO5" s="20">
        <f t="shared" si="5"/>
        <v>37.299551588128523</v>
      </c>
      <c r="IP5" s="20">
        <f t="shared" si="5"/>
        <v>34.290358778134177</v>
      </c>
      <c r="IQ5" s="20">
        <f t="shared" si="5"/>
        <v>44.076387366600478</v>
      </c>
      <c r="IR5" s="20">
        <f t="shared" si="5"/>
        <v>37.466781176894393</v>
      </c>
      <c r="IS5" s="20">
        <f t="shared" si="5"/>
        <v>34.101606566864213</v>
      </c>
      <c r="IT5" s="20">
        <f t="shared" si="5"/>
        <v>33.33447956124423</v>
      </c>
      <c r="IU5" s="20">
        <f t="shared" si="5"/>
        <v>36.736761535093422</v>
      </c>
      <c r="IV5" s="20">
        <f t="shared" si="5"/>
        <v>37.309075846034418</v>
      </c>
      <c r="IW5" s="20">
        <f t="shared" si="5"/>
        <v>36.898309799562348</v>
      </c>
      <c r="IX5" s="20">
        <f t="shared" si="5"/>
        <v>38.787679483034623</v>
      </c>
      <c r="IY5" s="20">
        <f t="shared" si="5"/>
        <v>31.252440936620172</v>
      </c>
      <c r="IZ5" s="20">
        <f t="shared" si="5"/>
        <v>34.411264939753401</v>
      </c>
      <c r="JA5" s="20">
        <f t="shared" si="5"/>
        <v>36.58989101406808</v>
      </c>
      <c r="JB5" s="20">
        <f t="shared" si="5"/>
        <v>44.141659419908081</v>
      </c>
      <c r="JC5" s="20">
        <f t="shared" si="5"/>
        <v>40.320801763061901</v>
      </c>
      <c r="JD5" s="20">
        <f t="shared" si="5"/>
        <v>31.828656987936089</v>
      </c>
      <c r="JE5" s="20">
        <f t="shared" si="5"/>
        <v>44.285585168527291</v>
      </c>
      <c r="JF5" s="20">
        <f t="shared" si="5"/>
        <v>41.102966199126236</v>
      </c>
      <c r="JG5" s="20">
        <f t="shared" si="5"/>
        <v>36.288462844337808</v>
      </c>
      <c r="JH5" s="20">
        <f t="shared" si="5"/>
        <v>41.624265675578471</v>
      </c>
      <c r="JI5" s="20">
        <f t="shared" si="5"/>
        <v>37.159712833012776</v>
      </c>
      <c r="JJ5" s="20">
        <f t="shared" si="5"/>
        <v>41.426438991292549</v>
      </c>
      <c r="JK5" s="20">
        <f t="shared" si="5"/>
        <v>45.403289678796568</v>
      </c>
      <c r="JL5" s="20">
        <f t="shared" si="5"/>
        <v>43.779946454788842</v>
      </c>
      <c r="JM5" s="20">
        <f t="shared" si="5"/>
        <v>36.412112459948553</v>
      </c>
      <c r="JN5" s="20">
        <f t="shared" si="5"/>
        <v>32.71309025702331</v>
      </c>
      <c r="JO5" s="20">
        <f t="shared" si="5"/>
        <v>40.791353754055166</v>
      </c>
      <c r="JP5" s="20">
        <f t="shared" si="5"/>
        <v>37.214908084393912</v>
      </c>
      <c r="JQ5" s="20">
        <f t="shared" si="5"/>
        <v>41.123728574567785</v>
      </c>
      <c r="JR5" s="20">
        <f t="shared" si="5"/>
        <v>35.867146619915502</v>
      </c>
      <c r="JS5" s="20">
        <f t="shared" si="5"/>
        <v>42.928467732476449</v>
      </c>
      <c r="JT5" s="20">
        <f t="shared" si="5"/>
        <v>39.17626401332673</v>
      </c>
      <c r="JU5" s="20">
        <f t="shared" si="5"/>
        <v>38.42264528734664</v>
      </c>
      <c r="JV5" s="20">
        <f t="shared" si="5"/>
        <v>41.817854011634559</v>
      </c>
      <c r="JW5" s="20">
        <f t="shared" si="5"/>
        <v>35.529954185330809</v>
      </c>
      <c r="JX5" s="20">
        <f t="shared" si="5"/>
        <v>36.998523951386183</v>
      </c>
      <c r="JY5" s="20">
        <f t="shared" si="5"/>
        <v>37.244776352169204</v>
      </c>
      <c r="JZ5" s="20">
        <f t="shared" si="5"/>
        <v>32.46481756405057</v>
      </c>
      <c r="KA5" s="20">
        <f t="shared" si="5"/>
        <v>39.368006468238939</v>
      </c>
      <c r="KB5" s="20">
        <f t="shared" si="5"/>
        <v>32.983574670811571</v>
      </c>
      <c r="KC5" s="20">
        <f t="shared" si="5"/>
        <v>30.63429613548923</v>
      </c>
      <c r="KD5" s="20">
        <f t="shared" si="5"/>
        <v>33.691867280952813</v>
      </c>
      <c r="KE5" s="20">
        <f t="shared" ref="KE5:MP5" si="6">+KE4/KE3</f>
        <v>35.148541614685122</v>
      </c>
      <c r="KF5" s="20">
        <f t="shared" si="6"/>
        <v>37.363987155864542</v>
      </c>
      <c r="KG5" s="20">
        <f t="shared" si="6"/>
        <v>39.279619133983225</v>
      </c>
      <c r="KH5" s="20">
        <f t="shared" si="6"/>
        <v>39.501284026707758</v>
      </c>
      <c r="KI5" s="20">
        <f t="shared" si="6"/>
        <v>35.623205260097507</v>
      </c>
      <c r="KJ5" s="20">
        <f t="shared" si="6"/>
        <v>37.227917403112471</v>
      </c>
      <c r="KK5" s="20">
        <f t="shared" si="6"/>
        <v>33.816674496366097</v>
      </c>
      <c r="KL5" s="20">
        <f t="shared" si="6"/>
        <v>35.768746326307834</v>
      </c>
      <c r="KM5" s="20">
        <f t="shared" si="6"/>
        <v>34.430817518672434</v>
      </c>
      <c r="KN5" s="20">
        <f t="shared" si="6"/>
        <v>39.090258840359425</v>
      </c>
      <c r="KO5" s="20">
        <f t="shared" si="6"/>
        <v>38.145207803223066</v>
      </c>
      <c r="KP5" s="20">
        <f t="shared" si="6"/>
        <v>30.496612711382326</v>
      </c>
      <c r="KQ5" s="20">
        <f t="shared" si="6"/>
        <v>33.078375877646543</v>
      </c>
      <c r="KR5" s="20">
        <f t="shared" si="6"/>
        <v>37.206144268791022</v>
      </c>
      <c r="KS5" s="20">
        <f t="shared" si="6"/>
        <v>33.772704930153374</v>
      </c>
      <c r="KT5" s="20">
        <f t="shared" si="6"/>
        <v>27.514975235496561</v>
      </c>
      <c r="KU5" s="20">
        <f t="shared" si="6"/>
        <v>31.686633484933829</v>
      </c>
      <c r="KV5" s="20">
        <f t="shared" si="6"/>
        <v>37.985621208717141</v>
      </c>
      <c r="KW5" s="20">
        <f t="shared" si="6"/>
        <v>24.683430994841444</v>
      </c>
      <c r="KX5" s="20">
        <f t="shared" si="6"/>
        <v>29.523725257223749</v>
      </c>
      <c r="KY5" s="20">
        <f t="shared" si="6"/>
        <v>33.663375185492036</v>
      </c>
      <c r="KZ5" s="20">
        <f t="shared" si="6"/>
        <v>36.787370480877549</v>
      </c>
      <c r="LA5" s="20">
        <f t="shared" si="6"/>
        <v>19.123420913584638</v>
      </c>
      <c r="LB5" s="20">
        <f t="shared" si="6"/>
        <v>38.024728240150885</v>
      </c>
      <c r="LC5" s="20">
        <f t="shared" si="6"/>
        <v>37.516212258559371</v>
      </c>
      <c r="LD5" s="20">
        <f t="shared" si="6"/>
        <v>23.578541182898515</v>
      </c>
      <c r="LE5" s="20">
        <f t="shared" si="6"/>
        <v>23.783367139959431</v>
      </c>
      <c r="LF5" s="20">
        <f t="shared" si="6"/>
        <v>27.661268663347045</v>
      </c>
      <c r="LG5" s="20">
        <f t="shared" si="6"/>
        <v>31.08484775281212</v>
      </c>
      <c r="LH5" s="20">
        <f t="shared" si="6"/>
        <v>27.108175324505471</v>
      </c>
      <c r="LI5" s="20">
        <f t="shared" si="6"/>
        <v>36.246623605402235</v>
      </c>
      <c r="LJ5" s="20">
        <f t="shared" si="6"/>
        <v>40.890613529103305</v>
      </c>
      <c r="LK5" s="20">
        <f t="shared" si="6"/>
        <v>25.105354758009184</v>
      </c>
      <c r="LL5" s="20">
        <f t="shared" si="6"/>
        <v>33.40163005629406</v>
      </c>
      <c r="LM5" s="20">
        <f t="shared" si="6"/>
        <v>34.958527399259751</v>
      </c>
      <c r="LN5" s="20">
        <f t="shared" si="6"/>
        <v>27.962278278862328</v>
      </c>
      <c r="LO5" s="20">
        <f t="shared" si="6"/>
        <v>29.859561693402036</v>
      </c>
      <c r="LP5" s="20">
        <f t="shared" si="6"/>
        <v>30.802016138749647</v>
      </c>
      <c r="LQ5" s="20">
        <f t="shared" si="6"/>
        <v>31.544635659458137</v>
      </c>
      <c r="LR5" s="20">
        <f t="shared" si="6"/>
        <v>23.860867500116495</v>
      </c>
      <c r="LS5" s="20">
        <f t="shared" si="6"/>
        <v>32.061159494917625</v>
      </c>
      <c r="LT5" s="20">
        <f t="shared" si="6"/>
        <v>35.47239497591594</v>
      </c>
      <c r="LU5" s="20">
        <f t="shared" si="6"/>
        <v>32.914749250400689</v>
      </c>
      <c r="LV5" s="20">
        <f t="shared" si="6"/>
        <v>27.374026307150039</v>
      </c>
      <c r="LW5" s="20">
        <f t="shared" si="6"/>
        <v>26.964825479690727</v>
      </c>
      <c r="LX5" s="20">
        <f t="shared" si="6"/>
        <v>37.646815834767644</v>
      </c>
      <c r="LY5" s="20">
        <f t="shared" si="6"/>
        <v>29.524150263406003</v>
      </c>
      <c r="LZ5" s="20">
        <f t="shared" si="6"/>
        <v>28.812662130720081</v>
      </c>
      <c r="MA5" s="20">
        <f t="shared" si="6"/>
        <v>34.749377842464284</v>
      </c>
      <c r="MB5" s="20">
        <f t="shared" si="6"/>
        <v>32.600920112050652</v>
      </c>
      <c r="MC5" s="20">
        <f t="shared" si="6"/>
        <v>33.484580065718561</v>
      </c>
      <c r="MD5" s="20">
        <f t="shared" si="6"/>
        <v>30.979442285189457</v>
      </c>
      <c r="ME5" s="20">
        <f t="shared" si="6"/>
        <v>34.849758098024843</v>
      </c>
      <c r="MF5" s="20">
        <f t="shared" si="6"/>
        <v>30.717299242369805</v>
      </c>
      <c r="MG5" s="20">
        <f t="shared" si="6"/>
        <v>33.094021273810448</v>
      </c>
      <c r="MH5" s="20">
        <f t="shared" si="6"/>
        <v>36.307437097789652</v>
      </c>
      <c r="MI5" s="20">
        <f t="shared" si="6"/>
        <v>37.994083531968855</v>
      </c>
      <c r="MJ5" s="20">
        <f t="shared" si="6"/>
        <v>36.511455274912649</v>
      </c>
      <c r="MK5" s="20">
        <f t="shared" si="6"/>
        <v>38.900198960420639</v>
      </c>
      <c r="ML5" s="20">
        <f t="shared" si="6"/>
        <v>39.771279949558632</v>
      </c>
      <c r="MM5" s="20">
        <f t="shared" si="6"/>
        <v>30.552049022652355</v>
      </c>
      <c r="MN5" s="20">
        <f t="shared" si="6"/>
        <v>30.470428689332483</v>
      </c>
      <c r="MO5" s="20">
        <f t="shared" si="6"/>
        <v>32.710245812150639</v>
      </c>
      <c r="MP5" s="20">
        <f t="shared" si="6"/>
        <v>31.126680720393988</v>
      </c>
      <c r="MQ5" s="20">
        <f t="shared" ref="MQ5:NC5" si="7">+MQ4/MQ3</f>
        <v>36.877733090916308</v>
      </c>
      <c r="MR5" s="20">
        <f t="shared" si="7"/>
        <v>35.613587535224369</v>
      </c>
      <c r="MS5" s="20">
        <f t="shared" si="7"/>
        <v>36.3838992453082</v>
      </c>
      <c r="MT5" s="20">
        <f t="shared" si="7"/>
        <v>32.412832226066627</v>
      </c>
      <c r="MU5" s="20">
        <f t="shared" si="7"/>
        <v>32.709869128153258</v>
      </c>
      <c r="MV5" s="20">
        <f t="shared" si="7"/>
        <v>35.533241915953958</v>
      </c>
      <c r="MW5" s="20">
        <f t="shared" si="7"/>
        <v>37.369592359013147</v>
      </c>
      <c r="MX5" s="20">
        <f t="shared" si="7"/>
        <v>34.309544452645682</v>
      </c>
      <c r="MY5" s="20">
        <f t="shared" si="7"/>
        <v>41.457389037238265</v>
      </c>
      <c r="MZ5" s="20">
        <f t="shared" si="7"/>
        <v>41.971123922997791</v>
      </c>
      <c r="NA5" s="20">
        <f t="shared" si="7"/>
        <v>35.55648480888599</v>
      </c>
      <c r="NB5" s="20">
        <f t="shared" si="7"/>
        <v>39.68194804094302</v>
      </c>
      <c r="NC5" s="20">
        <f t="shared" si="7"/>
        <v>42.796520378447084</v>
      </c>
    </row>
    <row r="6" spans="1:367">
      <c r="HJ6" s="20"/>
      <c r="HX6" s="20"/>
      <c r="HY6" s="20"/>
      <c r="HZ6" s="20"/>
      <c r="IA6" s="20"/>
      <c r="IB6" s="20"/>
      <c r="IC6" s="20"/>
      <c r="ID6" s="20"/>
      <c r="IE6" s="20"/>
      <c r="LY6" s="20"/>
      <c r="MM6" s="20"/>
      <c r="MT6" s="20"/>
    </row>
    <row r="7" spans="1:367">
      <c r="A7" s="10" t="s">
        <v>57</v>
      </c>
      <c r="B7" s="10" t="s">
        <v>56</v>
      </c>
      <c r="C7" s="11">
        <v>46023</v>
      </c>
      <c r="D7" s="11">
        <f>+C7+1</f>
        <v>46024</v>
      </c>
      <c r="E7" s="11">
        <f t="shared" ref="E7:BP7" si="8">+D7+1</f>
        <v>46025</v>
      </c>
      <c r="F7" s="11">
        <f t="shared" si="8"/>
        <v>46026</v>
      </c>
      <c r="G7" s="11">
        <f t="shared" si="8"/>
        <v>46027</v>
      </c>
      <c r="H7" s="11">
        <f t="shared" si="8"/>
        <v>46028</v>
      </c>
      <c r="I7" s="11">
        <f t="shared" si="8"/>
        <v>46029</v>
      </c>
      <c r="J7" s="11">
        <f t="shared" si="8"/>
        <v>46030</v>
      </c>
      <c r="K7" s="11">
        <f t="shared" si="8"/>
        <v>46031</v>
      </c>
      <c r="L7" s="11">
        <f t="shared" si="8"/>
        <v>46032</v>
      </c>
      <c r="M7" s="11">
        <f t="shared" si="8"/>
        <v>46033</v>
      </c>
      <c r="N7" s="11">
        <f t="shared" si="8"/>
        <v>46034</v>
      </c>
      <c r="O7" s="11">
        <f t="shared" si="8"/>
        <v>46035</v>
      </c>
      <c r="P7" s="11">
        <f t="shared" si="8"/>
        <v>46036</v>
      </c>
      <c r="Q7" s="11">
        <f t="shared" si="8"/>
        <v>46037</v>
      </c>
      <c r="R7" s="11">
        <f t="shared" si="8"/>
        <v>46038</v>
      </c>
      <c r="S7" s="11">
        <f t="shared" si="8"/>
        <v>46039</v>
      </c>
      <c r="T7" s="11">
        <f t="shared" si="8"/>
        <v>46040</v>
      </c>
      <c r="U7" s="11">
        <f t="shared" si="8"/>
        <v>46041</v>
      </c>
      <c r="V7" s="11">
        <f t="shared" si="8"/>
        <v>46042</v>
      </c>
      <c r="W7" s="11">
        <f t="shared" si="8"/>
        <v>46043</v>
      </c>
      <c r="X7" s="11">
        <f t="shared" si="8"/>
        <v>46044</v>
      </c>
      <c r="Y7" s="11">
        <f t="shared" si="8"/>
        <v>46045</v>
      </c>
      <c r="Z7" s="11">
        <f t="shared" si="8"/>
        <v>46046</v>
      </c>
      <c r="AA7" s="11">
        <f t="shared" si="8"/>
        <v>46047</v>
      </c>
      <c r="AB7" s="11">
        <f t="shared" si="8"/>
        <v>46048</v>
      </c>
      <c r="AC7" s="11">
        <f t="shared" si="8"/>
        <v>46049</v>
      </c>
      <c r="AD7" s="11">
        <f t="shared" si="8"/>
        <v>46050</v>
      </c>
      <c r="AE7" s="11">
        <f t="shared" si="8"/>
        <v>46051</v>
      </c>
      <c r="AF7" s="11">
        <f t="shared" si="8"/>
        <v>46052</v>
      </c>
      <c r="AG7" s="11">
        <f t="shared" si="8"/>
        <v>46053</v>
      </c>
      <c r="AH7" s="11">
        <f t="shared" si="8"/>
        <v>46054</v>
      </c>
      <c r="AI7" s="11">
        <f t="shared" si="8"/>
        <v>46055</v>
      </c>
      <c r="AJ7" s="11">
        <f t="shared" si="8"/>
        <v>46056</v>
      </c>
      <c r="AK7" s="11">
        <f t="shared" si="8"/>
        <v>46057</v>
      </c>
      <c r="AL7" s="11">
        <f t="shared" si="8"/>
        <v>46058</v>
      </c>
      <c r="AM7" s="11">
        <f t="shared" si="8"/>
        <v>46059</v>
      </c>
      <c r="AN7" s="11">
        <f t="shared" si="8"/>
        <v>46060</v>
      </c>
      <c r="AO7" s="11">
        <f t="shared" si="8"/>
        <v>46061</v>
      </c>
      <c r="AP7" s="11">
        <f t="shared" si="8"/>
        <v>46062</v>
      </c>
      <c r="AQ7" s="11">
        <f t="shared" si="8"/>
        <v>46063</v>
      </c>
      <c r="AR7" s="11">
        <f t="shared" si="8"/>
        <v>46064</v>
      </c>
      <c r="AS7" s="11">
        <f t="shared" si="8"/>
        <v>46065</v>
      </c>
      <c r="AT7" s="11">
        <f t="shared" si="8"/>
        <v>46066</v>
      </c>
      <c r="AU7" s="11">
        <f t="shared" si="8"/>
        <v>46067</v>
      </c>
      <c r="AV7" s="11">
        <f t="shared" si="8"/>
        <v>46068</v>
      </c>
      <c r="AW7" s="11">
        <f t="shared" si="8"/>
        <v>46069</v>
      </c>
      <c r="AX7" s="11">
        <f t="shared" si="8"/>
        <v>46070</v>
      </c>
      <c r="AY7" s="11">
        <f t="shared" si="8"/>
        <v>46071</v>
      </c>
      <c r="AZ7" s="11">
        <f t="shared" si="8"/>
        <v>46072</v>
      </c>
      <c r="BA7" s="11">
        <f t="shared" si="8"/>
        <v>46073</v>
      </c>
      <c r="BB7" s="11">
        <f t="shared" si="8"/>
        <v>46074</v>
      </c>
      <c r="BC7" s="11">
        <f t="shared" si="8"/>
        <v>46075</v>
      </c>
      <c r="BD7" s="11">
        <f t="shared" si="8"/>
        <v>46076</v>
      </c>
      <c r="BE7" s="11">
        <f t="shared" si="8"/>
        <v>46077</v>
      </c>
      <c r="BF7" s="11">
        <f t="shared" si="8"/>
        <v>46078</v>
      </c>
      <c r="BG7" s="11">
        <f t="shared" si="8"/>
        <v>46079</v>
      </c>
      <c r="BH7" s="11">
        <f t="shared" si="8"/>
        <v>46080</v>
      </c>
      <c r="BI7" s="11">
        <f t="shared" si="8"/>
        <v>46081</v>
      </c>
      <c r="BJ7" s="11">
        <f t="shared" si="8"/>
        <v>46082</v>
      </c>
      <c r="BK7" s="11">
        <f t="shared" si="8"/>
        <v>46083</v>
      </c>
      <c r="BL7" s="11">
        <f t="shared" si="8"/>
        <v>46084</v>
      </c>
      <c r="BM7" s="11">
        <f t="shared" si="8"/>
        <v>46085</v>
      </c>
      <c r="BN7" s="11">
        <f t="shared" si="8"/>
        <v>46086</v>
      </c>
      <c r="BO7" s="11">
        <f t="shared" si="8"/>
        <v>46087</v>
      </c>
      <c r="BP7" s="11">
        <f t="shared" si="8"/>
        <v>46088</v>
      </c>
      <c r="BQ7" s="11">
        <f t="shared" ref="BQ7:EB7" si="9">+BP7+1</f>
        <v>46089</v>
      </c>
      <c r="BR7" s="11">
        <f t="shared" si="9"/>
        <v>46090</v>
      </c>
      <c r="BS7" s="11">
        <f t="shared" si="9"/>
        <v>46091</v>
      </c>
      <c r="BT7" s="11">
        <f t="shared" si="9"/>
        <v>46092</v>
      </c>
      <c r="BU7" s="11">
        <f t="shared" si="9"/>
        <v>46093</v>
      </c>
      <c r="BV7" s="11">
        <f t="shared" si="9"/>
        <v>46094</v>
      </c>
      <c r="BW7" s="11">
        <f t="shared" si="9"/>
        <v>46095</v>
      </c>
      <c r="BX7" s="11">
        <f t="shared" si="9"/>
        <v>46096</v>
      </c>
      <c r="BY7" s="11">
        <f t="shared" si="9"/>
        <v>46097</v>
      </c>
      <c r="BZ7" s="11">
        <f t="shared" si="9"/>
        <v>46098</v>
      </c>
      <c r="CA7" s="11">
        <f t="shared" si="9"/>
        <v>46099</v>
      </c>
      <c r="CB7" s="11">
        <f t="shared" si="9"/>
        <v>46100</v>
      </c>
      <c r="CC7" s="11">
        <f t="shared" si="9"/>
        <v>46101</v>
      </c>
      <c r="CD7" s="11">
        <f t="shared" si="9"/>
        <v>46102</v>
      </c>
      <c r="CE7" s="11">
        <f t="shared" si="9"/>
        <v>46103</v>
      </c>
      <c r="CF7" s="11">
        <f t="shared" si="9"/>
        <v>46104</v>
      </c>
      <c r="CG7" s="11">
        <f t="shared" si="9"/>
        <v>46105</v>
      </c>
      <c r="CH7" s="11">
        <f t="shared" si="9"/>
        <v>46106</v>
      </c>
      <c r="CI7" s="11">
        <f t="shared" si="9"/>
        <v>46107</v>
      </c>
      <c r="CJ7" s="11">
        <f t="shared" si="9"/>
        <v>46108</v>
      </c>
      <c r="CK7" s="11">
        <f t="shared" si="9"/>
        <v>46109</v>
      </c>
      <c r="CL7" s="11">
        <f t="shared" si="9"/>
        <v>46110</v>
      </c>
      <c r="CM7" s="11">
        <f t="shared" si="9"/>
        <v>46111</v>
      </c>
      <c r="CN7" s="11">
        <f t="shared" si="9"/>
        <v>46112</v>
      </c>
      <c r="CO7" s="11">
        <f t="shared" si="9"/>
        <v>46113</v>
      </c>
      <c r="CP7" s="11">
        <f t="shared" si="9"/>
        <v>46114</v>
      </c>
      <c r="CQ7" s="11">
        <f t="shared" si="9"/>
        <v>46115</v>
      </c>
      <c r="CR7" s="11">
        <f t="shared" si="9"/>
        <v>46116</v>
      </c>
      <c r="CS7" s="11">
        <f t="shared" si="9"/>
        <v>46117</v>
      </c>
      <c r="CT7" s="11">
        <f t="shared" si="9"/>
        <v>46118</v>
      </c>
      <c r="CU7" s="11">
        <f t="shared" si="9"/>
        <v>46119</v>
      </c>
      <c r="CV7" s="11">
        <f t="shared" si="9"/>
        <v>46120</v>
      </c>
      <c r="CW7" s="11">
        <f t="shared" si="9"/>
        <v>46121</v>
      </c>
      <c r="CX7" s="11">
        <f t="shared" si="9"/>
        <v>46122</v>
      </c>
      <c r="CY7" s="11">
        <f t="shared" si="9"/>
        <v>46123</v>
      </c>
      <c r="CZ7" s="11">
        <f t="shared" si="9"/>
        <v>46124</v>
      </c>
      <c r="DA7" s="11">
        <f t="shared" si="9"/>
        <v>46125</v>
      </c>
      <c r="DB7" s="11">
        <f t="shared" si="9"/>
        <v>46126</v>
      </c>
      <c r="DC7" s="11">
        <f t="shared" si="9"/>
        <v>46127</v>
      </c>
      <c r="DD7" s="11">
        <f t="shared" si="9"/>
        <v>46128</v>
      </c>
      <c r="DE7" s="11">
        <f t="shared" si="9"/>
        <v>46129</v>
      </c>
      <c r="DF7" s="11">
        <f t="shared" si="9"/>
        <v>46130</v>
      </c>
      <c r="DG7" s="11">
        <f t="shared" si="9"/>
        <v>46131</v>
      </c>
      <c r="DH7" s="11">
        <f t="shared" si="9"/>
        <v>46132</v>
      </c>
      <c r="DI7" s="11">
        <f t="shared" si="9"/>
        <v>46133</v>
      </c>
      <c r="DJ7" s="11">
        <f t="shared" si="9"/>
        <v>46134</v>
      </c>
      <c r="DK7" s="11">
        <f t="shared" si="9"/>
        <v>46135</v>
      </c>
      <c r="DL7" s="11">
        <f t="shared" si="9"/>
        <v>46136</v>
      </c>
      <c r="DM7" s="11">
        <f t="shared" si="9"/>
        <v>46137</v>
      </c>
      <c r="DN7" s="11">
        <f t="shared" si="9"/>
        <v>46138</v>
      </c>
      <c r="DO7" s="11">
        <f t="shared" si="9"/>
        <v>46139</v>
      </c>
      <c r="DP7" s="11">
        <f t="shared" si="9"/>
        <v>46140</v>
      </c>
      <c r="DQ7" s="11">
        <f t="shared" si="9"/>
        <v>46141</v>
      </c>
      <c r="DR7" s="11">
        <f t="shared" si="9"/>
        <v>46142</v>
      </c>
      <c r="DS7" s="11">
        <f t="shared" si="9"/>
        <v>46143</v>
      </c>
      <c r="DT7" s="11">
        <f t="shared" si="9"/>
        <v>46144</v>
      </c>
      <c r="DU7" s="11">
        <f t="shared" si="9"/>
        <v>46145</v>
      </c>
      <c r="DV7" s="11">
        <f t="shared" si="9"/>
        <v>46146</v>
      </c>
      <c r="DW7" s="11">
        <f t="shared" si="9"/>
        <v>46147</v>
      </c>
      <c r="DX7" s="11">
        <f t="shared" si="9"/>
        <v>46148</v>
      </c>
      <c r="DY7" s="11">
        <f t="shared" si="9"/>
        <v>46149</v>
      </c>
      <c r="DZ7" s="11">
        <f t="shared" si="9"/>
        <v>46150</v>
      </c>
      <c r="EA7" s="11">
        <f t="shared" si="9"/>
        <v>46151</v>
      </c>
      <c r="EB7" s="11">
        <f t="shared" si="9"/>
        <v>46152</v>
      </c>
      <c r="EC7" s="11">
        <f t="shared" ref="EC7:GN7" si="10">+EB7+1</f>
        <v>46153</v>
      </c>
      <c r="ED7" s="11">
        <f t="shared" si="10"/>
        <v>46154</v>
      </c>
      <c r="EE7" s="11">
        <f t="shared" si="10"/>
        <v>46155</v>
      </c>
      <c r="EF7" s="11">
        <f t="shared" si="10"/>
        <v>46156</v>
      </c>
      <c r="EG7" s="11">
        <f t="shared" si="10"/>
        <v>46157</v>
      </c>
      <c r="EH7" s="11">
        <f t="shared" si="10"/>
        <v>46158</v>
      </c>
      <c r="EI7" s="11">
        <f t="shared" si="10"/>
        <v>46159</v>
      </c>
      <c r="EJ7" s="11">
        <f t="shared" si="10"/>
        <v>46160</v>
      </c>
      <c r="EK7" s="11">
        <f t="shared" si="10"/>
        <v>46161</v>
      </c>
      <c r="EL7" s="11">
        <f t="shared" si="10"/>
        <v>46162</v>
      </c>
      <c r="EM7" s="11">
        <f t="shared" si="10"/>
        <v>46163</v>
      </c>
      <c r="EN7" s="11">
        <f t="shared" si="10"/>
        <v>46164</v>
      </c>
      <c r="EO7" s="11">
        <f t="shared" si="10"/>
        <v>46165</v>
      </c>
      <c r="EP7" s="11">
        <f t="shared" si="10"/>
        <v>46166</v>
      </c>
      <c r="EQ7" s="11">
        <f t="shared" si="10"/>
        <v>46167</v>
      </c>
      <c r="ER7" s="11">
        <f t="shared" si="10"/>
        <v>46168</v>
      </c>
      <c r="ES7" s="11">
        <f t="shared" si="10"/>
        <v>46169</v>
      </c>
      <c r="ET7" s="11">
        <f t="shared" si="10"/>
        <v>46170</v>
      </c>
      <c r="EU7" s="11">
        <f t="shared" si="10"/>
        <v>46171</v>
      </c>
      <c r="EV7" s="11">
        <f t="shared" si="10"/>
        <v>46172</v>
      </c>
      <c r="EW7" s="11">
        <f t="shared" si="10"/>
        <v>46173</v>
      </c>
      <c r="EX7" s="11">
        <f t="shared" si="10"/>
        <v>46174</v>
      </c>
      <c r="EY7" s="11">
        <f t="shared" si="10"/>
        <v>46175</v>
      </c>
      <c r="EZ7" s="11">
        <f t="shared" si="10"/>
        <v>46176</v>
      </c>
      <c r="FA7" s="11">
        <f t="shared" si="10"/>
        <v>46177</v>
      </c>
      <c r="FB7" s="11">
        <f t="shared" si="10"/>
        <v>46178</v>
      </c>
      <c r="FC7" s="11">
        <f t="shared" si="10"/>
        <v>46179</v>
      </c>
      <c r="FD7" s="11">
        <f t="shared" si="10"/>
        <v>46180</v>
      </c>
      <c r="FE7" s="11">
        <f t="shared" si="10"/>
        <v>46181</v>
      </c>
      <c r="FF7" s="11">
        <f t="shared" si="10"/>
        <v>46182</v>
      </c>
      <c r="FG7" s="11">
        <f t="shared" si="10"/>
        <v>46183</v>
      </c>
      <c r="FH7" s="11">
        <f t="shared" si="10"/>
        <v>46184</v>
      </c>
      <c r="FI7" s="11">
        <f t="shared" si="10"/>
        <v>46185</v>
      </c>
      <c r="FJ7" s="11">
        <f t="shared" si="10"/>
        <v>46186</v>
      </c>
      <c r="FK7" s="11">
        <f t="shared" si="10"/>
        <v>46187</v>
      </c>
      <c r="FL7" s="11">
        <f t="shared" si="10"/>
        <v>46188</v>
      </c>
      <c r="FM7" s="11">
        <f t="shared" si="10"/>
        <v>46189</v>
      </c>
      <c r="FN7" s="11">
        <f t="shared" si="10"/>
        <v>46190</v>
      </c>
      <c r="FO7" s="11">
        <f t="shared" si="10"/>
        <v>46191</v>
      </c>
      <c r="FP7" s="11">
        <f t="shared" si="10"/>
        <v>46192</v>
      </c>
      <c r="FQ7" s="11">
        <f t="shared" si="10"/>
        <v>46193</v>
      </c>
      <c r="FR7" s="11">
        <f t="shared" si="10"/>
        <v>46194</v>
      </c>
      <c r="FS7" s="11">
        <f t="shared" si="10"/>
        <v>46195</v>
      </c>
      <c r="FT7" s="11">
        <f t="shared" si="10"/>
        <v>46196</v>
      </c>
      <c r="FU7" s="11">
        <f t="shared" si="10"/>
        <v>46197</v>
      </c>
      <c r="FV7" s="11">
        <f t="shared" si="10"/>
        <v>46198</v>
      </c>
      <c r="FW7" s="11">
        <f t="shared" si="10"/>
        <v>46199</v>
      </c>
      <c r="FX7" s="11">
        <f t="shared" si="10"/>
        <v>46200</v>
      </c>
      <c r="FY7" s="11">
        <f t="shared" si="10"/>
        <v>46201</v>
      </c>
      <c r="FZ7" s="11">
        <f t="shared" si="10"/>
        <v>46202</v>
      </c>
      <c r="GA7" s="11">
        <f t="shared" si="10"/>
        <v>46203</v>
      </c>
      <c r="GB7" s="11">
        <f t="shared" si="10"/>
        <v>46204</v>
      </c>
      <c r="GC7" s="11">
        <f t="shared" si="10"/>
        <v>46205</v>
      </c>
      <c r="GD7" s="11">
        <f t="shared" si="10"/>
        <v>46206</v>
      </c>
      <c r="GE7" s="11">
        <f t="shared" si="10"/>
        <v>46207</v>
      </c>
      <c r="GF7" s="11">
        <f t="shared" si="10"/>
        <v>46208</v>
      </c>
      <c r="GG7" s="11">
        <f t="shared" si="10"/>
        <v>46209</v>
      </c>
      <c r="GH7" s="11">
        <f t="shared" si="10"/>
        <v>46210</v>
      </c>
      <c r="GI7" s="11">
        <f t="shared" si="10"/>
        <v>46211</v>
      </c>
      <c r="GJ7" s="11">
        <f t="shared" si="10"/>
        <v>46212</v>
      </c>
      <c r="GK7" s="11">
        <f t="shared" si="10"/>
        <v>46213</v>
      </c>
      <c r="GL7" s="11">
        <f t="shared" si="10"/>
        <v>46214</v>
      </c>
      <c r="GM7" s="11">
        <f t="shared" si="10"/>
        <v>46215</v>
      </c>
      <c r="GN7" s="11">
        <f t="shared" si="10"/>
        <v>46216</v>
      </c>
      <c r="GO7" s="11">
        <f t="shared" ref="GO7:IZ7" si="11">+GN7+1</f>
        <v>46217</v>
      </c>
      <c r="GP7" s="11">
        <f t="shared" si="11"/>
        <v>46218</v>
      </c>
      <c r="GQ7" s="11">
        <f t="shared" si="11"/>
        <v>46219</v>
      </c>
      <c r="GR7" s="11">
        <f t="shared" si="11"/>
        <v>46220</v>
      </c>
      <c r="GS7" s="11">
        <f t="shared" si="11"/>
        <v>46221</v>
      </c>
      <c r="GT7" s="11">
        <f t="shared" si="11"/>
        <v>46222</v>
      </c>
      <c r="GU7" s="11">
        <f t="shared" si="11"/>
        <v>46223</v>
      </c>
      <c r="GV7" s="11">
        <f t="shared" si="11"/>
        <v>46224</v>
      </c>
      <c r="GW7" s="11">
        <f t="shared" si="11"/>
        <v>46225</v>
      </c>
      <c r="GX7" s="11">
        <f t="shared" si="11"/>
        <v>46226</v>
      </c>
      <c r="GY7" s="11">
        <f t="shared" si="11"/>
        <v>46227</v>
      </c>
      <c r="GZ7" s="11">
        <f t="shared" si="11"/>
        <v>46228</v>
      </c>
      <c r="HA7" s="11">
        <f t="shared" si="11"/>
        <v>46229</v>
      </c>
      <c r="HB7" s="11">
        <f t="shared" si="11"/>
        <v>46230</v>
      </c>
      <c r="HC7" s="11">
        <f t="shared" si="11"/>
        <v>46231</v>
      </c>
      <c r="HD7" s="11">
        <f t="shared" si="11"/>
        <v>46232</v>
      </c>
      <c r="HE7" s="11">
        <f t="shared" si="11"/>
        <v>46233</v>
      </c>
      <c r="HF7" s="11">
        <f t="shared" si="11"/>
        <v>46234</v>
      </c>
      <c r="HG7" s="11">
        <f t="shared" si="11"/>
        <v>46235</v>
      </c>
      <c r="HH7" s="11">
        <f t="shared" si="11"/>
        <v>46236</v>
      </c>
      <c r="HI7" s="11">
        <f t="shared" si="11"/>
        <v>46237</v>
      </c>
      <c r="HJ7" s="11">
        <f t="shared" si="11"/>
        <v>46238</v>
      </c>
      <c r="HK7" s="11">
        <f t="shared" si="11"/>
        <v>46239</v>
      </c>
      <c r="HL7" s="11">
        <f t="shared" si="11"/>
        <v>46240</v>
      </c>
      <c r="HM7" s="11">
        <f t="shared" si="11"/>
        <v>46241</v>
      </c>
      <c r="HN7" s="11">
        <f t="shared" si="11"/>
        <v>46242</v>
      </c>
      <c r="HO7" s="11">
        <f t="shared" si="11"/>
        <v>46243</v>
      </c>
      <c r="HP7" s="11">
        <f t="shared" si="11"/>
        <v>46244</v>
      </c>
      <c r="HQ7" s="11">
        <f t="shared" si="11"/>
        <v>46245</v>
      </c>
      <c r="HR7" s="11">
        <f t="shared" si="11"/>
        <v>46246</v>
      </c>
      <c r="HS7" s="11">
        <f t="shared" si="11"/>
        <v>46247</v>
      </c>
      <c r="HT7" s="11">
        <f t="shared" si="11"/>
        <v>46248</v>
      </c>
      <c r="HU7" s="11">
        <f t="shared" si="11"/>
        <v>46249</v>
      </c>
      <c r="HV7" s="11">
        <f t="shared" si="11"/>
        <v>46250</v>
      </c>
      <c r="HW7" s="11">
        <f t="shared" si="11"/>
        <v>46251</v>
      </c>
      <c r="HX7" s="11">
        <f t="shared" si="11"/>
        <v>46252</v>
      </c>
      <c r="HY7" s="11">
        <f t="shared" si="11"/>
        <v>46253</v>
      </c>
      <c r="HZ7" s="11">
        <f t="shared" si="11"/>
        <v>46254</v>
      </c>
      <c r="IA7" s="11">
        <f t="shared" si="11"/>
        <v>46255</v>
      </c>
      <c r="IB7" s="11">
        <f t="shared" si="11"/>
        <v>46256</v>
      </c>
      <c r="IC7" s="11">
        <f t="shared" si="11"/>
        <v>46257</v>
      </c>
      <c r="ID7" s="11">
        <f t="shared" si="11"/>
        <v>46258</v>
      </c>
      <c r="IE7" s="11">
        <f t="shared" si="11"/>
        <v>46259</v>
      </c>
      <c r="IF7" s="11">
        <f t="shared" si="11"/>
        <v>46260</v>
      </c>
      <c r="IG7" s="11">
        <f t="shared" si="11"/>
        <v>46261</v>
      </c>
      <c r="IH7" s="11">
        <f t="shared" si="11"/>
        <v>46262</v>
      </c>
      <c r="II7" s="11">
        <f t="shared" si="11"/>
        <v>46263</v>
      </c>
      <c r="IJ7" s="11">
        <f t="shared" si="11"/>
        <v>46264</v>
      </c>
      <c r="IK7" s="11">
        <f t="shared" si="11"/>
        <v>46265</v>
      </c>
      <c r="IL7" s="11">
        <f t="shared" si="11"/>
        <v>46266</v>
      </c>
      <c r="IM7" s="11">
        <f t="shared" si="11"/>
        <v>46267</v>
      </c>
      <c r="IN7" s="11">
        <f t="shared" si="11"/>
        <v>46268</v>
      </c>
      <c r="IO7" s="11">
        <f t="shared" si="11"/>
        <v>46269</v>
      </c>
      <c r="IP7" s="11">
        <f t="shared" si="11"/>
        <v>46270</v>
      </c>
      <c r="IQ7" s="11">
        <f t="shared" si="11"/>
        <v>46271</v>
      </c>
      <c r="IR7" s="11">
        <f t="shared" si="11"/>
        <v>46272</v>
      </c>
      <c r="IS7" s="11">
        <f t="shared" si="11"/>
        <v>46273</v>
      </c>
      <c r="IT7" s="11">
        <f t="shared" si="11"/>
        <v>46274</v>
      </c>
      <c r="IU7" s="11">
        <f t="shared" si="11"/>
        <v>46275</v>
      </c>
      <c r="IV7" s="11">
        <f t="shared" si="11"/>
        <v>46276</v>
      </c>
      <c r="IW7" s="11">
        <f t="shared" si="11"/>
        <v>46277</v>
      </c>
      <c r="IX7" s="11">
        <f t="shared" si="11"/>
        <v>46278</v>
      </c>
      <c r="IY7" s="11">
        <f t="shared" si="11"/>
        <v>46279</v>
      </c>
      <c r="IZ7" s="11">
        <f t="shared" si="11"/>
        <v>46280</v>
      </c>
      <c r="JA7" s="11">
        <f t="shared" ref="JA7:LL7" si="12">+IZ7+1</f>
        <v>46281</v>
      </c>
      <c r="JB7" s="11">
        <f t="shared" si="12"/>
        <v>46282</v>
      </c>
      <c r="JC7" s="11">
        <f t="shared" si="12"/>
        <v>46283</v>
      </c>
      <c r="JD7" s="11">
        <f t="shared" si="12"/>
        <v>46284</v>
      </c>
      <c r="JE7" s="11">
        <f t="shared" si="12"/>
        <v>46285</v>
      </c>
      <c r="JF7" s="11">
        <f t="shared" si="12"/>
        <v>46286</v>
      </c>
      <c r="JG7" s="11">
        <f t="shared" si="12"/>
        <v>46287</v>
      </c>
      <c r="JH7" s="11">
        <f t="shared" si="12"/>
        <v>46288</v>
      </c>
      <c r="JI7" s="11">
        <f t="shared" si="12"/>
        <v>46289</v>
      </c>
      <c r="JJ7" s="11">
        <f t="shared" si="12"/>
        <v>46290</v>
      </c>
      <c r="JK7" s="11">
        <f t="shared" si="12"/>
        <v>46291</v>
      </c>
      <c r="JL7" s="11">
        <f t="shared" si="12"/>
        <v>46292</v>
      </c>
      <c r="JM7" s="11">
        <f t="shared" si="12"/>
        <v>46293</v>
      </c>
      <c r="JN7" s="11">
        <f t="shared" si="12"/>
        <v>46294</v>
      </c>
      <c r="JO7" s="11">
        <f t="shared" si="12"/>
        <v>46295</v>
      </c>
      <c r="JP7" s="11">
        <f t="shared" si="12"/>
        <v>46296</v>
      </c>
      <c r="JQ7" s="11">
        <f t="shared" si="12"/>
        <v>46297</v>
      </c>
      <c r="JR7" s="11">
        <f t="shared" si="12"/>
        <v>46298</v>
      </c>
      <c r="JS7" s="11">
        <f t="shared" si="12"/>
        <v>46299</v>
      </c>
      <c r="JT7" s="11">
        <f t="shared" si="12"/>
        <v>46300</v>
      </c>
      <c r="JU7" s="11">
        <f t="shared" si="12"/>
        <v>46301</v>
      </c>
      <c r="JV7" s="11">
        <f t="shared" si="12"/>
        <v>46302</v>
      </c>
      <c r="JW7" s="11">
        <f t="shared" si="12"/>
        <v>46303</v>
      </c>
      <c r="JX7" s="11">
        <f t="shared" si="12"/>
        <v>46304</v>
      </c>
      <c r="JY7" s="11">
        <f t="shared" si="12"/>
        <v>46305</v>
      </c>
      <c r="JZ7" s="11">
        <f t="shared" si="12"/>
        <v>46306</v>
      </c>
      <c r="KA7" s="11">
        <f t="shared" si="12"/>
        <v>46307</v>
      </c>
      <c r="KB7" s="11">
        <f t="shared" si="12"/>
        <v>46308</v>
      </c>
      <c r="KC7" s="11">
        <f t="shared" si="12"/>
        <v>46309</v>
      </c>
      <c r="KD7" s="11">
        <f t="shared" si="12"/>
        <v>46310</v>
      </c>
      <c r="KE7" s="11">
        <f t="shared" si="12"/>
        <v>46311</v>
      </c>
      <c r="KF7" s="11">
        <f t="shared" si="12"/>
        <v>46312</v>
      </c>
      <c r="KG7" s="11">
        <f t="shared" si="12"/>
        <v>46313</v>
      </c>
      <c r="KH7" s="11">
        <f t="shared" si="12"/>
        <v>46314</v>
      </c>
      <c r="KI7" s="11">
        <f t="shared" si="12"/>
        <v>46315</v>
      </c>
      <c r="KJ7" s="11">
        <f t="shared" si="12"/>
        <v>46316</v>
      </c>
      <c r="KK7" s="11">
        <f t="shared" si="12"/>
        <v>46317</v>
      </c>
      <c r="KL7" s="11">
        <f t="shared" si="12"/>
        <v>46318</v>
      </c>
      <c r="KM7" s="11">
        <f t="shared" si="12"/>
        <v>46319</v>
      </c>
      <c r="KN7" s="11">
        <f t="shared" si="12"/>
        <v>46320</v>
      </c>
      <c r="KO7" s="11">
        <f t="shared" si="12"/>
        <v>46321</v>
      </c>
      <c r="KP7" s="11">
        <f t="shared" si="12"/>
        <v>46322</v>
      </c>
      <c r="KQ7" s="11">
        <f t="shared" si="12"/>
        <v>46323</v>
      </c>
      <c r="KR7" s="11">
        <f t="shared" si="12"/>
        <v>46324</v>
      </c>
      <c r="KS7" s="11">
        <f t="shared" si="12"/>
        <v>46325</v>
      </c>
      <c r="KT7" s="11">
        <f t="shared" si="12"/>
        <v>46326</v>
      </c>
      <c r="KU7" s="11">
        <f t="shared" si="12"/>
        <v>46327</v>
      </c>
      <c r="KV7" s="11">
        <f t="shared" si="12"/>
        <v>46328</v>
      </c>
      <c r="KW7" s="11">
        <f t="shared" si="12"/>
        <v>46329</v>
      </c>
      <c r="KX7" s="11">
        <f t="shared" si="12"/>
        <v>46330</v>
      </c>
      <c r="KY7" s="11">
        <f t="shared" si="12"/>
        <v>46331</v>
      </c>
      <c r="KZ7" s="11">
        <f t="shared" si="12"/>
        <v>46332</v>
      </c>
      <c r="LA7" s="11">
        <f t="shared" si="12"/>
        <v>46333</v>
      </c>
      <c r="LB7" s="11">
        <f t="shared" si="12"/>
        <v>46334</v>
      </c>
      <c r="LC7" s="11">
        <f t="shared" si="12"/>
        <v>46335</v>
      </c>
      <c r="LD7" s="11">
        <f t="shared" si="12"/>
        <v>46336</v>
      </c>
      <c r="LE7" s="11">
        <f t="shared" si="12"/>
        <v>46337</v>
      </c>
      <c r="LF7" s="11">
        <f t="shared" si="12"/>
        <v>46338</v>
      </c>
      <c r="LG7" s="11">
        <f t="shared" si="12"/>
        <v>46339</v>
      </c>
      <c r="LH7" s="11">
        <f t="shared" si="12"/>
        <v>46340</v>
      </c>
      <c r="LI7" s="11">
        <f t="shared" si="12"/>
        <v>46341</v>
      </c>
      <c r="LJ7" s="11">
        <f t="shared" si="12"/>
        <v>46342</v>
      </c>
      <c r="LK7" s="11">
        <f t="shared" si="12"/>
        <v>46343</v>
      </c>
      <c r="LL7" s="11">
        <f t="shared" si="12"/>
        <v>46344</v>
      </c>
      <c r="LM7" s="11">
        <f t="shared" ref="LM7:NC7" si="13">+LL7+1</f>
        <v>46345</v>
      </c>
      <c r="LN7" s="11">
        <f t="shared" si="13"/>
        <v>46346</v>
      </c>
      <c r="LO7" s="11">
        <f t="shared" si="13"/>
        <v>46347</v>
      </c>
      <c r="LP7" s="11">
        <f t="shared" si="13"/>
        <v>46348</v>
      </c>
      <c r="LQ7" s="11">
        <f t="shared" si="13"/>
        <v>46349</v>
      </c>
      <c r="LR7" s="11">
        <f t="shared" si="13"/>
        <v>46350</v>
      </c>
      <c r="LS7" s="11">
        <f t="shared" si="13"/>
        <v>46351</v>
      </c>
      <c r="LT7" s="11">
        <f t="shared" si="13"/>
        <v>46352</v>
      </c>
      <c r="LU7" s="11">
        <f t="shared" si="13"/>
        <v>46353</v>
      </c>
      <c r="LV7" s="11">
        <f t="shared" si="13"/>
        <v>46354</v>
      </c>
      <c r="LW7" s="11">
        <f t="shared" si="13"/>
        <v>46355</v>
      </c>
      <c r="LX7" s="11">
        <f t="shared" si="13"/>
        <v>46356</v>
      </c>
      <c r="LY7" s="11">
        <f t="shared" si="13"/>
        <v>46357</v>
      </c>
      <c r="LZ7" s="11">
        <f t="shared" si="13"/>
        <v>46358</v>
      </c>
      <c r="MA7" s="11">
        <f t="shared" si="13"/>
        <v>46359</v>
      </c>
      <c r="MB7" s="11">
        <f t="shared" si="13"/>
        <v>46360</v>
      </c>
      <c r="MC7" s="11">
        <f t="shared" si="13"/>
        <v>46361</v>
      </c>
      <c r="MD7" s="11">
        <f t="shared" si="13"/>
        <v>46362</v>
      </c>
      <c r="ME7" s="11">
        <f t="shared" si="13"/>
        <v>46363</v>
      </c>
      <c r="MF7" s="11">
        <f t="shared" si="13"/>
        <v>46364</v>
      </c>
      <c r="MG7" s="11">
        <f t="shared" si="13"/>
        <v>46365</v>
      </c>
      <c r="MH7" s="11">
        <f t="shared" si="13"/>
        <v>46366</v>
      </c>
      <c r="MI7" s="11">
        <f t="shared" si="13"/>
        <v>46367</v>
      </c>
      <c r="MJ7" s="11">
        <f t="shared" si="13"/>
        <v>46368</v>
      </c>
      <c r="MK7" s="11">
        <f t="shared" si="13"/>
        <v>46369</v>
      </c>
      <c r="ML7" s="11">
        <f t="shared" si="13"/>
        <v>46370</v>
      </c>
      <c r="MM7" s="11">
        <f t="shared" si="13"/>
        <v>46371</v>
      </c>
      <c r="MN7" s="11">
        <f t="shared" si="13"/>
        <v>46372</v>
      </c>
      <c r="MO7" s="11">
        <f t="shared" si="13"/>
        <v>46373</v>
      </c>
      <c r="MP7" s="11">
        <f t="shared" si="13"/>
        <v>46374</v>
      </c>
      <c r="MQ7" s="11">
        <f t="shared" si="13"/>
        <v>46375</v>
      </c>
      <c r="MR7" s="11">
        <f t="shared" si="13"/>
        <v>46376</v>
      </c>
      <c r="MS7" s="11">
        <f t="shared" si="13"/>
        <v>46377</v>
      </c>
      <c r="MT7" s="11">
        <f t="shared" si="13"/>
        <v>46378</v>
      </c>
      <c r="MU7" s="11">
        <f t="shared" si="13"/>
        <v>46379</v>
      </c>
      <c r="MV7" s="11">
        <f t="shared" si="13"/>
        <v>46380</v>
      </c>
      <c r="MW7" s="11">
        <f t="shared" si="13"/>
        <v>46381</v>
      </c>
      <c r="MX7" s="11">
        <f t="shared" si="13"/>
        <v>46382</v>
      </c>
      <c r="MY7" s="11">
        <f t="shared" si="13"/>
        <v>46383</v>
      </c>
      <c r="MZ7" s="11">
        <f t="shared" si="13"/>
        <v>46384</v>
      </c>
      <c r="NA7" s="11">
        <f t="shared" si="13"/>
        <v>46385</v>
      </c>
      <c r="NB7" s="11">
        <f t="shared" si="13"/>
        <v>46386</v>
      </c>
      <c r="NC7" s="11">
        <f t="shared" si="13"/>
        <v>46387</v>
      </c>
    </row>
    <row r="8" spans="1:367">
      <c r="A8" s="12"/>
      <c r="B8" s="12" t="s">
        <v>10</v>
      </c>
      <c r="C8" s="8" t="s">
        <v>54</v>
      </c>
      <c r="D8" s="8" t="s">
        <v>54</v>
      </c>
      <c r="E8" s="8" t="s">
        <v>54</v>
      </c>
      <c r="F8" s="8" t="s">
        <v>54</v>
      </c>
      <c r="G8" s="8" t="s">
        <v>425</v>
      </c>
      <c r="H8" s="8" t="s">
        <v>425</v>
      </c>
      <c r="I8" s="8" t="s">
        <v>425</v>
      </c>
      <c r="J8" s="8" t="s">
        <v>425</v>
      </c>
      <c r="K8" s="8" t="s">
        <v>425</v>
      </c>
      <c r="L8" s="8" t="s">
        <v>425</v>
      </c>
      <c r="M8" s="8" t="s">
        <v>425</v>
      </c>
      <c r="N8" s="8" t="s">
        <v>2</v>
      </c>
      <c r="O8" s="8" t="s">
        <v>2</v>
      </c>
      <c r="P8" s="8" t="s">
        <v>2</v>
      </c>
      <c r="Q8" s="8" t="s">
        <v>2</v>
      </c>
      <c r="R8" s="8" t="s">
        <v>2</v>
      </c>
      <c r="S8" s="8" t="s">
        <v>2</v>
      </c>
      <c r="T8" s="8" t="s">
        <v>2</v>
      </c>
      <c r="U8" s="8" t="s">
        <v>3</v>
      </c>
      <c r="V8" s="8" t="s">
        <v>3</v>
      </c>
      <c r="W8" s="8" t="s">
        <v>3</v>
      </c>
      <c r="X8" s="8" t="s">
        <v>3</v>
      </c>
      <c r="Y8" s="8" t="s">
        <v>3</v>
      </c>
      <c r="Z8" s="8" t="s">
        <v>3</v>
      </c>
      <c r="AA8" s="8" t="s">
        <v>3</v>
      </c>
      <c r="AB8" s="8" t="s">
        <v>4</v>
      </c>
      <c r="AC8" s="8" t="s">
        <v>4</v>
      </c>
      <c r="AD8" s="8" t="s">
        <v>4</v>
      </c>
      <c r="AE8" s="8" t="s">
        <v>4</v>
      </c>
      <c r="AF8" s="8" t="s">
        <v>4</v>
      </c>
      <c r="AG8" s="8" t="s">
        <v>4</v>
      </c>
      <c r="AH8" s="8" t="s">
        <v>4</v>
      </c>
      <c r="AI8" s="8" t="s">
        <v>5</v>
      </c>
      <c r="AJ8" s="8" t="s">
        <v>5</v>
      </c>
      <c r="AK8" s="8" t="s">
        <v>5</v>
      </c>
      <c r="AL8" s="8" t="s">
        <v>5</v>
      </c>
      <c r="AM8" s="8" t="s">
        <v>5</v>
      </c>
      <c r="AN8" s="8" t="s">
        <v>5</v>
      </c>
      <c r="AO8" s="8" t="s">
        <v>5</v>
      </c>
      <c r="AP8" s="8" t="s">
        <v>6</v>
      </c>
      <c r="AQ8" s="8" t="s">
        <v>6</v>
      </c>
      <c r="AR8" s="8" t="s">
        <v>6</v>
      </c>
      <c r="AS8" s="8" t="s">
        <v>6</v>
      </c>
      <c r="AT8" s="8" t="s">
        <v>6</v>
      </c>
      <c r="AU8" s="8" t="s">
        <v>6</v>
      </c>
      <c r="AV8" s="8" t="s">
        <v>6</v>
      </c>
      <c r="AW8" s="8" t="s">
        <v>7</v>
      </c>
      <c r="AX8" s="8" t="s">
        <v>7</v>
      </c>
      <c r="AY8" s="8" t="s">
        <v>7</v>
      </c>
      <c r="AZ8" s="8" t="s">
        <v>7</v>
      </c>
      <c r="BA8" s="8" t="s">
        <v>7</v>
      </c>
      <c r="BB8" s="8" t="s">
        <v>7</v>
      </c>
      <c r="BC8" s="8" t="s">
        <v>7</v>
      </c>
      <c r="BD8" s="8" t="s">
        <v>8</v>
      </c>
      <c r="BE8" s="8" t="s">
        <v>8</v>
      </c>
      <c r="BF8" s="8" t="s">
        <v>8</v>
      </c>
      <c r="BG8" s="8" t="s">
        <v>8</v>
      </c>
      <c r="BH8" s="8" t="s">
        <v>8</v>
      </c>
      <c r="BI8" s="8" t="s">
        <v>8</v>
      </c>
      <c r="BJ8" s="8" t="s">
        <v>8</v>
      </c>
      <c r="BK8" s="8" t="s">
        <v>11</v>
      </c>
      <c r="BL8" s="8" t="s">
        <v>11</v>
      </c>
      <c r="BM8" s="8" t="s">
        <v>11</v>
      </c>
      <c r="BN8" s="8" t="s">
        <v>11</v>
      </c>
      <c r="BO8" s="8" t="s">
        <v>11</v>
      </c>
      <c r="BP8" s="8" t="s">
        <v>11</v>
      </c>
      <c r="BQ8" s="8" t="s">
        <v>11</v>
      </c>
      <c r="BR8" s="8" t="s">
        <v>12</v>
      </c>
      <c r="BS8" s="8" t="s">
        <v>12</v>
      </c>
      <c r="BT8" s="8" t="s">
        <v>12</v>
      </c>
      <c r="BU8" s="8" t="s">
        <v>12</v>
      </c>
      <c r="BV8" s="8" t="s">
        <v>12</v>
      </c>
      <c r="BW8" s="8" t="s">
        <v>12</v>
      </c>
      <c r="BX8" s="8" t="s">
        <v>12</v>
      </c>
      <c r="BY8" s="8" t="s">
        <v>13</v>
      </c>
      <c r="BZ8" s="8" t="s">
        <v>13</v>
      </c>
      <c r="CA8" s="8" t="s">
        <v>13</v>
      </c>
      <c r="CB8" s="8" t="s">
        <v>13</v>
      </c>
      <c r="CC8" s="8" t="s">
        <v>13</v>
      </c>
      <c r="CD8" s="8" t="s">
        <v>13</v>
      </c>
      <c r="CE8" s="8" t="s">
        <v>13</v>
      </c>
      <c r="CF8" s="8" t="s">
        <v>14</v>
      </c>
      <c r="CG8" s="8" t="s">
        <v>14</v>
      </c>
      <c r="CH8" s="8" t="s">
        <v>14</v>
      </c>
      <c r="CI8" s="8" t="s">
        <v>14</v>
      </c>
      <c r="CJ8" s="8" t="s">
        <v>14</v>
      </c>
      <c r="CK8" s="8" t="s">
        <v>14</v>
      </c>
      <c r="CL8" s="8" t="s">
        <v>14</v>
      </c>
      <c r="CM8" s="8" t="s">
        <v>15</v>
      </c>
      <c r="CN8" s="8" t="s">
        <v>15</v>
      </c>
      <c r="CO8" s="8" t="s">
        <v>15</v>
      </c>
      <c r="CP8" s="8" t="s">
        <v>15</v>
      </c>
      <c r="CQ8" s="8" t="s">
        <v>15</v>
      </c>
      <c r="CR8" s="8" t="s">
        <v>15</v>
      </c>
      <c r="CS8" s="8" t="s">
        <v>15</v>
      </c>
      <c r="CT8" s="8" t="s">
        <v>16</v>
      </c>
      <c r="CU8" s="8" t="s">
        <v>16</v>
      </c>
      <c r="CV8" s="8" t="s">
        <v>16</v>
      </c>
      <c r="CW8" s="8" t="s">
        <v>16</v>
      </c>
      <c r="CX8" s="8" t="s">
        <v>16</v>
      </c>
      <c r="CY8" s="8" t="s">
        <v>16</v>
      </c>
      <c r="CZ8" s="8" t="s">
        <v>16</v>
      </c>
      <c r="DA8" s="8" t="s">
        <v>17</v>
      </c>
      <c r="DB8" s="8" t="s">
        <v>17</v>
      </c>
      <c r="DC8" s="8" t="s">
        <v>17</v>
      </c>
      <c r="DD8" s="8" t="s">
        <v>17</v>
      </c>
      <c r="DE8" s="8" t="s">
        <v>17</v>
      </c>
      <c r="DF8" s="8" t="s">
        <v>17</v>
      </c>
      <c r="DG8" s="8" t="s">
        <v>17</v>
      </c>
      <c r="DH8" s="8" t="s">
        <v>18</v>
      </c>
      <c r="DI8" s="8" t="s">
        <v>18</v>
      </c>
      <c r="DJ8" s="8" t="s">
        <v>18</v>
      </c>
      <c r="DK8" s="8" t="s">
        <v>18</v>
      </c>
      <c r="DL8" s="8" t="s">
        <v>18</v>
      </c>
      <c r="DM8" s="8" t="s">
        <v>18</v>
      </c>
      <c r="DN8" s="8" t="s">
        <v>18</v>
      </c>
      <c r="DO8" s="8" t="s">
        <v>19</v>
      </c>
      <c r="DP8" s="8" t="s">
        <v>19</v>
      </c>
      <c r="DQ8" s="8" t="s">
        <v>19</v>
      </c>
      <c r="DR8" s="8" t="s">
        <v>19</v>
      </c>
      <c r="DS8" s="8" t="s">
        <v>19</v>
      </c>
      <c r="DT8" s="8" t="s">
        <v>19</v>
      </c>
      <c r="DU8" s="8" t="s">
        <v>19</v>
      </c>
      <c r="DV8" s="8" t="s">
        <v>20</v>
      </c>
      <c r="DW8" s="8" t="s">
        <v>20</v>
      </c>
      <c r="DX8" s="8" t="s">
        <v>20</v>
      </c>
      <c r="DY8" s="8" t="s">
        <v>20</v>
      </c>
      <c r="DZ8" s="8" t="s">
        <v>20</v>
      </c>
      <c r="EA8" s="8" t="s">
        <v>20</v>
      </c>
      <c r="EB8" s="8" t="s">
        <v>20</v>
      </c>
      <c r="EC8" s="8" t="s">
        <v>21</v>
      </c>
      <c r="ED8" s="8" t="s">
        <v>21</v>
      </c>
      <c r="EE8" s="8" t="s">
        <v>21</v>
      </c>
      <c r="EF8" s="8" t="s">
        <v>21</v>
      </c>
      <c r="EG8" s="8" t="s">
        <v>21</v>
      </c>
      <c r="EH8" s="8" t="s">
        <v>21</v>
      </c>
      <c r="EI8" s="8" t="s">
        <v>21</v>
      </c>
      <c r="EJ8" s="8" t="s">
        <v>22</v>
      </c>
      <c r="EK8" s="8" t="s">
        <v>22</v>
      </c>
      <c r="EL8" s="8" t="s">
        <v>22</v>
      </c>
      <c r="EM8" s="8" t="s">
        <v>22</v>
      </c>
      <c r="EN8" s="8" t="s">
        <v>22</v>
      </c>
      <c r="EO8" s="8" t="s">
        <v>22</v>
      </c>
      <c r="EP8" s="8" t="s">
        <v>22</v>
      </c>
      <c r="EQ8" s="8" t="s">
        <v>23</v>
      </c>
      <c r="ER8" s="8" t="s">
        <v>23</v>
      </c>
      <c r="ES8" s="8" t="s">
        <v>23</v>
      </c>
      <c r="ET8" s="8" t="s">
        <v>23</v>
      </c>
      <c r="EU8" s="8" t="s">
        <v>23</v>
      </c>
      <c r="EV8" s="8" t="s">
        <v>23</v>
      </c>
      <c r="EW8" s="8" t="s">
        <v>23</v>
      </c>
      <c r="EX8" s="8" t="s">
        <v>24</v>
      </c>
      <c r="EY8" s="8" t="s">
        <v>24</v>
      </c>
      <c r="EZ8" s="8" t="s">
        <v>24</v>
      </c>
      <c r="FA8" s="8" t="s">
        <v>24</v>
      </c>
      <c r="FB8" s="8" t="s">
        <v>24</v>
      </c>
      <c r="FC8" s="8" t="s">
        <v>24</v>
      </c>
      <c r="FD8" s="8" t="s">
        <v>24</v>
      </c>
      <c r="FE8" s="8" t="s">
        <v>25</v>
      </c>
      <c r="FF8" s="8" t="s">
        <v>25</v>
      </c>
      <c r="FG8" s="8" t="s">
        <v>25</v>
      </c>
      <c r="FH8" s="8" t="s">
        <v>25</v>
      </c>
      <c r="FI8" s="8" t="s">
        <v>25</v>
      </c>
      <c r="FJ8" s="8" t="s">
        <v>25</v>
      </c>
      <c r="FK8" s="8" t="s">
        <v>25</v>
      </c>
      <c r="FL8" s="8" t="s">
        <v>26</v>
      </c>
      <c r="FM8" s="8" t="s">
        <v>26</v>
      </c>
      <c r="FN8" s="8" t="s">
        <v>26</v>
      </c>
      <c r="FO8" s="8" t="s">
        <v>26</v>
      </c>
      <c r="FP8" s="8" t="s">
        <v>26</v>
      </c>
      <c r="FQ8" s="8" t="s">
        <v>26</v>
      </c>
      <c r="FR8" s="8" t="s">
        <v>26</v>
      </c>
      <c r="FS8" s="8" t="s">
        <v>27</v>
      </c>
      <c r="FT8" s="8" t="s">
        <v>27</v>
      </c>
      <c r="FU8" s="8" t="s">
        <v>27</v>
      </c>
      <c r="FV8" s="8" t="s">
        <v>27</v>
      </c>
      <c r="FW8" s="8" t="s">
        <v>27</v>
      </c>
      <c r="FX8" s="8" t="s">
        <v>27</v>
      </c>
      <c r="FY8" s="8" t="s">
        <v>27</v>
      </c>
      <c r="FZ8" s="8" t="s">
        <v>28</v>
      </c>
      <c r="GA8" s="8" t="s">
        <v>28</v>
      </c>
      <c r="GB8" s="8" t="s">
        <v>28</v>
      </c>
      <c r="GC8" s="8" t="s">
        <v>28</v>
      </c>
      <c r="GD8" s="8" t="s">
        <v>28</v>
      </c>
      <c r="GE8" s="8" t="s">
        <v>28</v>
      </c>
      <c r="GF8" s="8" t="s">
        <v>28</v>
      </c>
      <c r="GG8" s="8" t="s">
        <v>29</v>
      </c>
      <c r="GH8" s="8" t="s">
        <v>29</v>
      </c>
      <c r="GI8" s="8" t="s">
        <v>29</v>
      </c>
      <c r="GJ8" s="8" t="s">
        <v>29</v>
      </c>
      <c r="GK8" s="8" t="s">
        <v>29</v>
      </c>
      <c r="GL8" s="8" t="s">
        <v>29</v>
      </c>
      <c r="GM8" s="8" t="s">
        <v>29</v>
      </c>
      <c r="GN8" s="8" t="s">
        <v>30</v>
      </c>
      <c r="GO8" s="8" t="s">
        <v>30</v>
      </c>
      <c r="GP8" s="8" t="s">
        <v>30</v>
      </c>
      <c r="GQ8" s="8" t="s">
        <v>30</v>
      </c>
      <c r="GR8" s="8" t="s">
        <v>30</v>
      </c>
      <c r="GS8" s="8" t="s">
        <v>30</v>
      </c>
      <c r="GT8" s="8" t="s">
        <v>30</v>
      </c>
      <c r="GU8" s="8" t="s">
        <v>31</v>
      </c>
      <c r="GV8" s="8" t="s">
        <v>31</v>
      </c>
      <c r="GW8" s="8" t="s">
        <v>31</v>
      </c>
      <c r="GX8" s="8" t="s">
        <v>31</v>
      </c>
      <c r="GY8" s="8" t="s">
        <v>31</v>
      </c>
      <c r="GZ8" s="8" t="s">
        <v>31</v>
      </c>
      <c r="HA8" s="8" t="s">
        <v>31</v>
      </c>
      <c r="HB8" s="8" t="s">
        <v>32</v>
      </c>
      <c r="HC8" s="8" t="s">
        <v>32</v>
      </c>
      <c r="HD8" s="8" t="s">
        <v>32</v>
      </c>
      <c r="HE8" s="8" t="s">
        <v>32</v>
      </c>
      <c r="HF8" s="8" t="s">
        <v>32</v>
      </c>
      <c r="HG8" s="8" t="s">
        <v>32</v>
      </c>
      <c r="HH8" s="8" t="s">
        <v>32</v>
      </c>
      <c r="HI8" s="8" t="s">
        <v>33</v>
      </c>
      <c r="HJ8" s="8" t="s">
        <v>33</v>
      </c>
      <c r="HK8" s="8" t="s">
        <v>33</v>
      </c>
      <c r="HL8" s="8" t="s">
        <v>33</v>
      </c>
      <c r="HM8" s="8" t="s">
        <v>33</v>
      </c>
      <c r="HN8" s="8" t="s">
        <v>33</v>
      </c>
      <c r="HO8" s="8" t="s">
        <v>33</v>
      </c>
      <c r="HP8" s="8" t="s">
        <v>34</v>
      </c>
      <c r="HQ8" s="8" t="s">
        <v>34</v>
      </c>
      <c r="HR8" s="8" t="s">
        <v>34</v>
      </c>
      <c r="HS8" s="8" t="s">
        <v>34</v>
      </c>
      <c r="HT8" s="8" t="s">
        <v>34</v>
      </c>
      <c r="HU8" s="8" t="s">
        <v>34</v>
      </c>
      <c r="HV8" s="8" t="s">
        <v>34</v>
      </c>
      <c r="HW8" s="8" t="s">
        <v>35</v>
      </c>
      <c r="HX8" s="8" t="s">
        <v>35</v>
      </c>
      <c r="HY8" s="8" t="s">
        <v>35</v>
      </c>
      <c r="HZ8" s="8" t="s">
        <v>35</v>
      </c>
      <c r="IA8" s="8" t="s">
        <v>35</v>
      </c>
      <c r="IB8" s="8" t="s">
        <v>35</v>
      </c>
      <c r="IC8" s="8" t="s">
        <v>35</v>
      </c>
      <c r="ID8" s="8" t="s">
        <v>36</v>
      </c>
      <c r="IE8" s="8" t="s">
        <v>36</v>
      </c>
      <c r="IF8" s="8" t="s">
        <v>36</v>
      </c>
      <c r="IG8" s="8" t="s">
        <v>36</v>
      </c>
      <c r="IH8" s="8" t="s">
        <v>36</v>
      </c>
      <c r="II8" s="8" t="s">
        <v>36</v>
      </c>
      <c r="IJ8" s="8" t="s">
        <v>36</v>
      </c>
      <c r="IK8" s="8" t="s">
        <v>37</v>
      </c>
      <c r="IL8" s="8" t="s">
        <v>37</v>
      </c>
      <c r="IM8" s="8" t="s">
        <v>37</v>
      </c>
      <c r="IN8" s="8" t="s">
        <v>37</v>
      </c>
      <c r="IO8" s="8" t="s">
        <v>37</v>
      </c>
      <c r="IP8" s="8" t="s">
        <v>37</v>
      </c>
      <c r="IQ8" s="8" t="s">
        <v>37</v>
      </c>
      <c r="IR8" s="8" t="s">
        <v>38</v>
      </c>
      <c r="IS8" s="8" t="s">
        <v>38</v>
      </c>
      <c r="IT8" s="8" t="s">
        <v>38</v>
      </c>
      <c r="IU8" s="8" t="s">
        <v>38</v>
      </c>
      <c r="IV8" s="8" t="s">
        <v>38</v>
      </c>
      <c r="IW8" s="8" t="s">
        <v>38</v>
      </c>
      <c r="IX8" s="8" t="s">
        <v>38</v>
      </c>
      <c r="IY8" s="8" t="s">
        <v>39</v>
      </c>
      <c r="IZ8" s="8" t="s">
        <v>39</v>
      </c>
      <c r="JA8" s="8" t="s">
        <v>39</v>
      </c>
      <c r="JB8" s="8" t="s">
        <v>39</v>
      </c>
      <c r="JC8" s="8" t="s">
        <v>39</v>
      </c>
      <c r="JD8" s="8" t="s">
        <v>39</v>
      </c>
      <c r="JE8" s="8" t="s">
        <v>39</v>
      </c>
      <c r="JF8" s="8" t="s">
        <v>40</v>
      </c>
      <c r="JG8" s="8" t="s">
        <v>40</v>
      </c>
      <c r="JH8" s="8" t="s">
        <v>40</v>
      </c>
      <c r="JI8" s="8" t="s">
        <v>40</v>
      </c>
      <c r="JJ8" s="8" t="s">
        <v>40</v>
      </c>
      <c r="JK8" s="8" t="s">
        <v>40</v>
      </c>
      <c r="JL8" s="8" t="s">
        <v>40</v>
      </c>
      <c r="JM8" s="8" t="s">
        <v>41</v>
      </c>
      <c r="JN8" s="8" t="s">
        <v>41</v>
      </c>
      <c r="JO8" s="8" t="s">
        <v>41</v>
      </c>
      <c r="JP8" s="8" t="s">
        <v>41</v>
      </c>
      <c r="JQ8" s="8" t="s">
        <v>41</v>
      </c>
      <c r="JR8" s="8" t="s">
        <v>41</v>
      </c>
      <c r="JS8" s="8" t="s">
        <v>41</v>
      </c>
      <c r="JT8" s="8" t="s">
        <v>42</v>
      </c>
      <c r="JU8" s="8" t="s">
        <v>42</v>
      </c>
      <c r="JV8" s="8" t="s">
        <v>42</v>
      </c>
      <c r="JW8" s="8" t="s">
        <v>42</v>
      </c>
      <c r="JX8" s="8" t="s">
        <v>42</v>
      </c>
      <c r="JY8" s="8" t="s">
        <v>42</v>
      </c>
      <c r="JZ8" s="8" t="s">
        <v>42</v>
      </c>
      <c r="KB8" s="20"/>
      <c r="KI8" s="20"/>
      <c r="KU8" s="36"/>
      <c r="LE8" s="20"/>
      <c r="LF8" s="20"/>
      <c r="LK8" s="20"/>
      <c r="LR8" s="20"/>
      <c r="LY8" s="20"/>
      <c r="LZ8" s="1"/>
      <c r="MA8" s="1"/>
      <c r="MB8" s="1"/>
      <c r="MC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34"/>
      <c r="MQ8" s="1"/>
      <c r="MR8" s="1"/>
      <c r="MS8" s="1"/>
      <c r="MT8" s="20"/>
    </row>
    <row r="9" spans="1:367">
      <c r="A9" s="13">
        <f>+SUM(C9:NC9)</f>
        <v>1073290.6583100988</v>
      </c>
      <c r="B9" s="14" t="s">
        <v>427</v>
      </c>
      <c r="C9" s="7"/>
      <c r="D9" s="7">
        <v>3441.3183516654672</v>
      </c>
      <c r="E9" s="7">
        <v>3569.9333314893702</v>
      </c>
      <c r="F9" s="7"/>
      <c r="G9" s="7">
        <v>3979.5588537430331</v>
      </c>
      <c r="H9" s="7">
        <v>4211.9801568782023</v>
      </c>
      <c r="I9" s="7">
        <v>3927.7253628930716</v>
      </c>
      <c r="J9" s="7">
        <v>3688.7481147433409</v>
      </c>
      <c r="K9" s="7">
        <v>3785.4502023318396</v>
      </c>
      <c r="L9" s="7">
        <v>3390.5039646761197</v>
      </c>
      <c r="M9" s="7">
        <v>0</v>
      </c>
      <c r="N9" s="7">
        <v>3994.0449072273768</v>
      </c>
      <c r="O9" s="7">
        <v>4176.8138009764589</v>
      </c>
      <c r="P9" s="7">
        <v>3613.8607737948714</v>
      </c>
      <c r="Q9" s="7">
        <v>4025.0435387274529</v>
      </c>
      <c r="R9" s="7">
        <v>4074.187793347859</v>
      </c>
      <c r="S9" s="7">
        <v>4038.1995137763943</v>
      </c>
      <c r="U9" s="7">
        <v>3709.6666666666665</v>
      </c>
      <c r="V9" s="7">
        <v>3951.8837445590743</v>
      </c>
      <c r="W9" s="7">
        <v>3814.4112611082214</v>
      </c>
      <c r="X9" s="7">
        <v>3700.9828396093003</v>
      </c>
      <c r="Y9" s="7">
        <v>3567.6099795080904</v>
      </c>
      <c r="Z9" s="7">
        <v>3871.4166666666674</v>
      </c>
      <c r="AB9" s="7">
        <v>3830.1565338232522</v>
      </c>
      <c r="AC9" s="7">
        <v>3908.5407282703577</v>
      </c>
      <c r="AD9" s="7">
        <v>3474.3603174401464</v>
      </c>
      <c r="AE9" s="7">
        <v>3755.3858885320324</v>
      </c>
      <c r="AF9" s="7">
        <v>3845.458333333333</v>
      </c>
      <c r="AG9" s="7">
        <v>3867.6666666666661</v>
      </c>
      <c r="AI9" s="7">
        <v>4150.0232194125701</v>
      </c>
      <c r="AJ9" s="7">
        <v>3817.9783159327135</v>
      </c>
      <c r="AK9" s="7">
        <v>3522.5884198742824</v>
      </c>
      <c r="AL9" s="7">
        <v>3560.8372306919136</v>
      </c>
      <c r="AM9" s="7">
        <v>4067.333333333333</v>
      </c>
      <c r="AN9" s="7">
        <v>3770.3333333333335</v>
      </c>
      <c r="AP9" s="7">
        <v>3850.7685351961109</v>
      </c>
      <c r="AQ9" s="7">
        <v>3931.2872074895718</v>
      </c>
      <c r="AR9" s="7">
        <v>3654.1930684014833</v>
      </c>
      <c r="AS9" s="7">
        <v>3782.9134072791708</v>
      </c>
      <c r="AT9" s="7">
        <v>4095.6666666666665</v>
      </c>
      <c r="AU9" s="7">
        <v>3879.333333333333</v>
      </c>
      <c r="AW9" s="7">
        <v>4073.4166666666665</v>
      </c>
      <c r="AX9" s="7">
        <v>3998.491169565842</v>
      </c>
      <c r="AY9" s="7">
        <v>3626.3744874916338</v>
      </c>
      <c r="AZ9" s="7">
        <v>3863.0284045043386</v>
      </c>
      <c r="BA9" s="7">
        <v>3934.25</v>
      </c>
      <c r="BB9" s="7">
        <v>4040.333333333333</v>
      </c>
      <c r="BD9" s="7">
        <v>3980.546148584981</v>
      </c>
      <c r="BE9" s="7">
        <v>3937.2626635732408</v>
      </c>
      <c r="BF9" s="7">
        <v>4006.590574034723</v>
      </c>
      <c r="BG9" s="7">
        <v>3674.0648887317961</v>
      </c>
      <c r="BH9" s="7">
        <v>4219.8318576544507</v>
      </c>
      <c r="BI9" s="7">
        <v>4001.7742206910098</v>
      </c>
      <c r="BK9" s="7">
        <v>5709.9166666666661</v>
      </c>
      <c r="BL9" s="7">
        <v>5618.75</v>
      </c>
      <c r="BM9" s="7">
        <v>4850.333333333333</v>
      </c>
      <c r="BN9" s="7">
        <v>4671.75</v>
      </c>
      <c r="BO9" s="7">
        <v>4427.6711125567872</v>
      </c>
      <c r="BP9" s="7">
        <v>4986.002042270391</v>
      </c>
      <c r="BR9" s="7">
        <v>5717.5666752881698</v>
      </c>
      <c r="BS9" s="7">
        <v>5903.25775807637</v>
      </c>
      <c r="BT9" s="7">
        <v>5997.6842170461814</v>
      </c>
      <c r="BU9" s="7">
        <v>5811.4779034750482</v>
      </c>
      <c r="BV9" s="7">
        <v>5880</v>
      </c>
      <c r="BW9" s="7">
        <v>5520.416666666667</v>
      </c>
      <c r="BX9" s="7">
        <v>4250.25</v>
      </c>
      <c r="BY9" s="7">
        <v>5287.166666666667</v>
      </c>
      <c r="BZ9" s="7">
        <v>4290.6666666666661</v>
      </c>
      <c r="CA9" s="7">
        <v>4149.416666666667</v>
      </c>
      <c r="CB9" s="7">
        <v>1315</v>
      </c>
      <c r="CF9" s="7">
        <v>4476.916666666667</v>
      </c>
      <c r="CG9" s="7">
        <v>4569.2500000000009</v>
      </c>
      <c r="CH9" s="7">
        <v>4488.1789411149502</v>
      </c>
      <c r="CI9" s="7">
        <v>3670.2918983684349</v>
      </c>
      <c r="CJ9" s="7">
        <v>3870.7188850507782</v>
      </c>
      <c r="CK9" s="7">
        <v>3838.1785078554285</v>
      </c>
      <c r="CM9" s="7">
        <v>4098.75</v>
      </c>
      <c r="CN9" s="7">
        <v>4021.0833333333335</v>
      </c>
      <c r="CO9" s="7">
        <v>3859.6598755537952</v>
      </c>
      <c r="CP9" s="7">
        <v>3967.6143791514301</v>
      </c>
      <c r="CQ9" s="7">
        <v>4136.5833333333339</v>
      </c>
      <c r="CR9" s="7">
        <v>3467.666666666667</v>
      </c>
      <c r="CT9" s="7">
        <v>4392.75</v>
      </c>
      <c r="CU9" s="7">
        <v>4303.3333333333339</v>
      </c>
      <c r="CV9" s="7">
        <v>4470.25</v>
      </c>
      <c r="CW9" s="7">
        <v>4571.083333333333</v>
      </c>
      <c r="CX9" s="7">
        <v>4209.4681405308793</v>
      </c>
      <c r="CY9" s="7">
        <v>3830.5469446339794</v>
      </c>
      <c r="DA9" s="7">
        <v>4031.583333333333</v>
      </c>
      <c r="DB9" s="7">
        <v>4157</v>
      </c>
      <c r="DC9" s="7">
        <v>3984.25</v>
      </c>
      <c r="DD9" s="7">
        <v>3986.25</v>
      </c>
      <c r="DE9" s="7">
        <v>3979.6980059303273</v>
      </c>
      <c r="DF9" s="7">
        <v>3686.3947130079341</v>
      </c>
      <c r="DG9" s="7">
        <v>2873.7761844867127</v>
      </c>
      <c r="DH9" s="7">
        <v>3739.6476501184725</v>
      </c>
      <c r="DI9" s="7">
        <v>3675.0299633834106</v>
      </c>
      <c r="DJ9" s="7">
        <v>3930.1383356145916</v>
      </c>
      <c r="DK9" s="46">
        <v>3503.2634245095419</v>
      </c>
      <c r="DL9" s="46">
        <v>3689.9743644836317</v>
      </c>
      <c r="DM9" s="7">
        <v>3633.4995074267235</v>
      </c>
      <c r="DO9" s="7">
        <v>3771.75</v>
      </c>
      <c r="DP9" s="7">
        <v>3969.3607574151656</v>
      </c>
      <c r="DQ9" s="7">
        <v>3948.1706048036895</v>
      </c>
      <c r="DR9" s="7">
        <v>3895.916666666667</v>
      </c>
      <c r="DS9" s="7"/>
      <c r="DT9" s="7">
        <v>3838.416666666667</v>
      </c>
      <c r="DU9" s="7">
        <v>3527.333333333333</v>
      </c>
      <c r="DV9" s="7">
        <v>3743.9103331774236</v>
      </c>
      <c r="DW9" s="7">
        <v>4383.9070404353888</v>
      </c>
      <c r="DX9" s="7">
        <v>4319.4185300827266</v>
      </c>
      <c r="DY9" s="7">
        <v>4116.5675478972971</v>
      </c>
      <c r="DZ9" s="7">
        <v>4235.1525035529958</v>
      </c>
      <c r="EA9" s="7">
        <v>3491.3553824837609</v>
      </c>
      <c r="EC9" s="7">
        <v>4879.9466984295241</v>
      </c>
      <c r="ED9" s="7">
        <v>4946.8302185782586</v>
      </c>
      <c r="EE9" s="7">
        <v>5029.875003388026</v>
      </c>
      <c r="EF9" s="7">
        <v>5220.0012420652829</v>
      </c>
      <c r="EG9" s="7">
        <v>5187.4466949384623</v>
      </c>
      <c r="EH9" s="7">
        <v>5200.8028917218944</v>
      </c>
      <c r="EI9" s="7">
        <v>5229.166666666667</v>
      </c>
      <c r="EJ9" s="7">
        <v>5360.9370576066503</v>
      </c>
      <c r="EK9" s="7">
        <v>5001.4046923419401</v>
      </c>
      <c r="EL9" s="7">
        <v>5433.711543278645</v>
      </c>
      <c r="EM9" s="7">
        <v>5128.139434526458</v>
      </c>
      <c r="EN9" s="7">
        <v>4831.298608539274</v>
      </c>
      <c r="EO9" s="7">
        <v>4755.7936459773318</v>
      </c>
      <c r="EP9" s="7"/>
      <c r="EQ9" s="7">
        <v>4302</v>
      </c>
      <c r="ER9" s="7">
        <v>1374.25</v>
      </c>
      <c r="ES9" s="7"/>
      <c r="ET9" s="7"/>
      <c r="EU9" s="7"/>
      <c r="EV9" s="7">
        <v>4077.3774398382529</v>
      </c>
      <c r="EW9" s="7"/>
      <c r="EX9" s="7">
        <v>4220.5535408477808</v>
      </c>
      <c r="EY9" s="7">
        <v>4689.3130532480518</v>
      </c>
      <c r="EZ9" s="7">
        <v>4489.7118460567763</v>
      </c>
      <c r="FA9" s="7">
        <v>4289.0213435479554</v>
      </c>
      <c r="FB9" s="7">
        <v>4431.0854135900581</v>
      </c>
      <c r="FC9" s="7">
        <v>4094.768308582893</v>
      </c>
      <c r="FE9" s="7">
        <v>4337.9171933177849</v>
      </c>
      <c r="FF9" s="7">
        <v>4448.5868342468739</v>
      </c>
      <c r="FG9" s="7">
        <v>4556.3840620299097</v>
      </c>
      <c r="FH9" s="7">
        <v>4719.019199617921</v>
      </c>
      <c r="FI9" s="7">
        <v>5085.8069637695689</v>
      </c>
      <c r="FJ9" s="7">
        <v>4554.3253547598943</v>
      </c>
      <c r="FK9" s="7">
        <v>3474.3615826420846</v>
      </c>
      <c r="FL9" s="7">
        <v>4436.6108156232094</v>
      </c>
      <c r="FM9" s="7">
        <v>4559.8630720083474</v>
      </c>
      <c r="FN9" s="7">
        <v>4248.1618823849522</v>
      </c>
      <c r="FO9" s="7">
        <v>4010.5376158702538</v>
      </c>
      <c r="FP9" s="7">
        <v>4042.0021077887577</v>
      </c>
      <c r="FQ9" s="7">
        <v>3492.0309045892186</v>
      </c>
      <c r="FS9" s="7">
        <v>4182.8613364337507</v>
      </c>
      <c r="FT9" s="7">
        <v>4398.1798753346975</v>
      </c>
      <c r="FU9" s="7">
        <v>4350.6096885643256</v>
      </c>
      <c r="FV9" s="7">
        <v>4373.237226440061</v>
      </c>
      <c r="FW9" s="7">
        <v>4289.2606457177617</v>
      </c>
      <c r="FX9" s="7">
        <v>4049.3084348173675</v>
      </c>
      <c r="FY9" s="7">
        <v>3190.816421866125</v>
      </c>
      <c r="FZ9" s="7">
        <v>4089.8222862245775</v>
      </c>
      <c r="GA9" s="7">
        <v>4001.621301538109</v>
      </c>
      <c r="GB9" s="7">
        <v>4187.7131031994131</v>
      </c>
      <c r="GC9" s="7">
        <v>4410.473736078673</v>
      </c>
      <c r="GD9" s="7">
        <v>4088.1477657759979</v>
      </c>
      <c r="GE9" s="7">
        <v>3892.5607515539859</v>
      </c>
      <c r="GF9" s="7"/>
      <c r="GG9" s="7">
        <v>3990.7084273241044</v>
      </c>
      <c r="GH9" s="7">
        <v>4520.2291762185578</v>
      </c>
      <c r="GI9" s="7">
        <v>4267.4727045778536</v>
      </c>
      <c r="GJ9" s="7">
        <v>4279.3001650449578</v>
      </c>
      <c r="GK9" s="7">
        <v>3996.6697133680887</v>
      </c>
      <c r="GL9" s="7">
        <v>3880.2921315591175</v>
      </c>
      <c r="GM9" s="7">
        <v>3522.5242753623183</v>
      </c>
      <c r="GN9" s="7">
        <v>3721.1983176322551</v>
      </c>
      <c r="GO9" s="7">
        <v>3486.7768560531576</v>
      </c>
      <c r="GP9" s="7">
        <v>3687.079122362622</v>
      </c>
      <c r="GQ9" s="7">
        <v>3932.3333333333335</v>
      </c>
      <c r="GR9" s="7">
        <v>3859.5418861423223</v>
      </c>
      <c r="GS9" s="7">
        <v>3536.833333333333</v>
      </c>
      <c r="GU9" s="7">
        <v>3839.2305579527183</v>
      </c>
      <c r="GV9" s="7">
        <v>4075.5833333333335</v>
      </c>
      <c r="GW9" s="7">
        <v>3981.2322780942632</v>
      </c>
      <c r="GX9" s="7">
        <v>3852.415013865223</v>
      </c>
      <c r="GY9" s="7">
        <v>4170.333333333333</v>
      </c>
      <c r="GZ9" s="7">
        <v>3876.916666666667</v>
      </c>
      <c r="HA9" s="7">
        <v>3248.8333333333335</v>
      </c>
      <c r="HB9" s="7">
        <v>3986.333333333333</v>
      </c>
      <c r="HC9" s="7">
        <v>4195.5</v>
      </c>
      <c r="HD9" s="7">
        <v>4133.6666666666661</v>
      </c>
      <c r="HE9" s="7">
        <v>4335.8333333333339</v>
      </c>
      <c r="HF9" s="7">
        <v>4404</v>
      </c>
      <c r="HG9" s="7">
        <v>4249.6666666666661</v>
      </c>
      <c r="HI9" s="7">
        <v>4163.1666666666661</v>
      </c>
      <c r="HJ9" s="7">
        <v>4161.583333333333</v>
      </c>
      <c r="HK9" s="7">
        <v>4165.9993272166112</v>
      </c>
      <c r="HL9" s="7">
        <v>4124.1252621424974</v>
      </c>
      <c r="HM9" s="7">
        <v>4067.0077256198283</v>
      </c>
      <c r="HN9" s="7">
        <v>4041</v>
      </c>
      <c r="HO9" s="7">
        <v>3121.5</v>
      </c>
      <c r="HP9" s="7">
        <v>4141.8325515059296</v>
      </c>
      <c r="HQ9" s="7">
        <v>4434.9476920729758</v>
      </c>
      <c r="HR9" s="7">
        <v>4665.9243190307971</v>
      </c>
      <c r="HS9" s="7">
        <v>5142.4686428493314</v>
      </c>
      <c r="HT9" s="7">
        <v>5398.6947271573981</v>
      </c>
      <c r="HU9" s="7">
        <v>5061.166666666667</v>
      </c>
      <c r="HV9" s="20"/>
      <c r="HW9" s="7">
        <v>5123.3928457594884</v>
      </c>
      <c r="HX9" s="7">
        <v>4827.8376601890213</v>
      </c>
      <c r="HY9" s="7">
        <v>4989.2023713339731</v>
      </c>
      <c r="HZ9" s="7">
        <v>5109.2293963700604</v>
      </c>
      <c r="IA9" s="7">
        <v>4982.7755516630014</v>
      </c>
      <c r="IB9" s="7">
        <v>4641.2858159549241</v>
      </c>
      <c r="IC9" s="7">
        <v>3612.2732968266387</v>
      </c>
      <c r="ID9" s="7">
        <v>4401.5747398741078</v>
      </c>
      <c r="IE9" s="7">
        <v>4396.0998871199345</v>
      </c>
      <c r="IF9" s="7">
        <v>4461.2842891631462</v>
      </c>
      <c r="IG9" s="7">
        <v>4822.5922722492141</v>
      </c>
      <c r="IH9" s="7">
        <v>4362.6836216028878</v>
      </c>
      <c r="II9" s="7">
        <v>3780.2047667752013</v>
      </c>
      <c r="IK9" s="7">
        <v>4410.3597071329696</v>
      </c>
      <c r="IL9" s="7">
        <v>4433.3649024464858</v>
      </c>
      <c r="IM9" s="7">
        <v>4549.3029554115556</v>
      </c>
      <c r="IN9" s="7">
        <v>5535.0358630292276</v>
      </c>
      <c r="IO9" s="7">
        <v>5196.9041561872154</v>
      </c>
      <c r="IP9" s="7">
        <v>4580.5009369813743</v>
      </c>
      <c r="IQ9" s="7">
        <v>3145.3913270737539</v>
      </c>
      <c r="IR9" s="7">
        <v>4802.7860159257016</v>
      </c>
      <c r="IS9" s="7">
        <v>4926.1626581801474</v>
      </c>
      <c r="IT9" s="7">
        <v>5238.1375757476599</v>
      </c>
      <c r="IU9" s="7">
        <v>5179.7520836161902</v>
      </c>
      <c r="IV9" s="7">
        <v>5376.6684684010497</v>
      </c>
      <c r="IW9" s="7">
        <v>4681.6141052914263</v>
      </c>
      <c r="IY9" s="7">
        <v>5497.2205516442637</v>
      </c>
      <c r="IZ9" s="7">
        <v>5608.8448032490596</v>
      </c>
      <c r="JA9" s="7">
        <v>5163.0977061904887</v>
      </c>
      <c r="JB9" s="7">
        <v>5747.3681083683996</v>
      </c>
      <c r="JC9" s="7">
        <v>5072.2570257563802</v>
      </c>
      <c r="JD9" s="7">
        <v>4615.9540569156034</v>
      </c>
      <c r="JF9" s="7">
        <v>4908.8640284831208</v>
      </c>
      <c r="JG9" s="7">
        <v>5300.5463477383246</v>
      </c>
      <c r="JH9" s="7">
        <v>5519.8289456459206</v>
      </c>
      <c r="JI9" s="7">
        <v>5236.8318659341767</v>
      </c>
      <c r="JJ9" s="7">
        <v>5116.4269990483463</v>
      </c>
      <c r="JK9" s="7">
        <v>4502.7223824992989</v>
      </c>
      <c r="JM9" s="7">
        <v>5713.1831906764946</v>
      </c>
      <c r="JN9" s="7">
        <v>5971.8423938860087</v>
      </c>
      <c r="JO9" s="7">
        <v>6058.0060125357732</v>
      </c>
      <c r="JP9" s="7">
        <v>5691.1609843188153</v>
      </c>
      <c r="JQ9" s="7">
        <v>5914.2462027066704</v>
      </c>
      <c r="JR9" s="7">
        <v>4948.4052181476654</v>
      </c>
      <c r="JT9" s="47">
        <v>6041.305121387918</v>
      </c>
      <c r="JU9" s="47">
        <v>6602.3333333333339</v>
      </c>
      <c r="JV9" s="47">
        <v>6197.06427602026</v>
      </c>
      <c r="JW9" s="7">
        <v>6175.3785707179813</v>
      </c>
      <c r="JX9" s="7">
        <v>5737.0229237489029</v>
      </c>
      <c r="JY9" s="7">
        <v>5625.2093703750024</v>
      </c>
      <c r="KU9" s="36"/>
      <c r="LE9" s="20"/>
      <c r="LF9" s="20"/>
      <c r="LY9" s="20"/>
      <c r="LZ9" s="62"/>
      <c r="MA9" s="62"/>
      <c r="MB9" s="62"/>
      <c r="MC9" s="62"/>
      <c r="MF9"/>
      <c r="MG9"/>
      <c r="MH9"/>
      <c r="MI9"/>
      <c r="MJ9"/>
      <c r="MK9"/>
      <c r="ML9"/>
      <c r="MM9" s="62"/>
      <c r="MN9" s="62"/>
      <c r="MO9" s="62"/>
      <c r="MP9" s="34"/>
      <c r="MQ9" s="62"/>
      <c r="MR9" s="62"/>
      <c r="MS9" s="62"/>
    </row>
    <row r="10" spans="1:367">
      <c r="A10" s="15">
        <f>+SUM(C10:NC10)</f>
        <v>37435297</v>
      </c>
      <c r="B10" s="16" t="s">
        <v>423</v>
      </c>
      <c r="C10" s="7"/>
      <c r="D10" s="7">
        <v>126338</v>
      </c>
      <c r="E10" s="7">
        <v>136579</v>
      </c>
      <c r="F10" s="7"/>
      <c r="G10" s="7">
        <v>134660</v>
      </c>
      <c r="H10" s="7">
        <v>146987</v>
      </c>
      <c r="I10" s="7">
        <v>165013</v>
      </c>
      <c r="J10" s="7">
        <v>145474</v>
      </c>
      <c r="K10" s="7">
        <v>123444</v>
      </c>
      <c r="L10" s="7">
        <v>128716</v>
      </c>
      <c r="M10" s="7">
        <v>0</v>
      </c>
      <c r="N10" s="7">
        <v>145114</v>
      </c>
      <c r="O10" s="7">
        <v>136417</v>
      </c>
      <c r="P10" s="7">
        <v>138323</v>
      </c>
      <c r="Q10" s="7">
        <v>129506</v>
      </c>
      <c r="R10" s="7">
        <v>116556</v>
      </c>
      <c r="S10" s="7">
        <v>109079</v>
      </c>
      <c r="U10" s="7">
        <v>128127</v>
      </c>
      <c r="V10" s="7">
        <v>131650</v>
      </c>
      <c r="W10" s="7">
        <v>126899</v>
      </c>
      <c r="X10" s="7">
        <v>122939</v>
      </c>
      <c r="Y10" s="7">
        <v>129787</v>
      </c>
      <c r="Z10" s="7">
        <v>133307</v>
      </c>
      <c r="AB10" s="7">
        <v>128220</v>
      </c>
      <c r="AC10" s="7">
        <v>144881</v>
      </c>
      <c r="AD10" s="7">
        <v>142720</v>
      </c>
      <c r="AE10" s="7">
        <v>122213</v>
      </c>
      <c r="AF10" s="7">
        <v>102208</v>
      </c>
      <c r="AG10" s="7">
        <v>97072</v>
      </c>
      <c r="AI10" s="7">
        <v>123248</v>
      </c>
      <c r="AJ10" s="7">
        <v>129340</v>
      </c>
      <c r="AK10" s="7">
        <v>89207</v>
      </c>
      <c r="AL10" s="7">
        <v>128014</v>
      </c>
      <c r="AM10" s="7">
        <v>109075</v>
      </c>
      <c r="AN10" s="7">
        <v>77314</v>
      </c>
      <c r="AP10" s="7">
        <v>131983</v>
      </c>
      <c r="AQ10" s="7">
        <v>128613</v>
      </c>
      <c r="AR10" s="7">
        <v>105712</v>
      </c>
      <c r="AS10" s="7">
        <v>96969</v>
      </c>
      <c r="AT10" s="7">
        <v>102963</v>
      </c>
      <c r="AU10" s="7">
        <v>98509</v>
      </c>
      <c r="AW10" s="7">
        <v>124046</v>
      </c>
      <c r="AX10" s="7">
        <v>126422</v>
      </c>
      <c r="AY10" s="7">
        <v>113553</v>
      </c>
      <c r="AZ10" s="7">
        <v>113413</v>
      </c>
      <c r="BA10" s="7">
        <v>138303</v>
      </c>
      <c r="BB10" s="7">
        <v>135570</v>
      </c>
      <c r="BD10" s="7">
        <v>138647</v>
      </c>
      <c r="BE10" s="7">
        <v>154719</v>
      </c>
      <c r="BF10" s="7">
        <v>158509</v>
      </c>
      <c r="BG10" s="7">
        <v>143141</v>
      </c>
      <c r="BH10" s="7">
        <v>151036</v>
      </c>
      <c r="BI10" s="7">
        <v>135208</v>
      </c>
      <c r="BK10" s="7">
        <v>170506</v>
      </c>
      <c r="BL10" s="7">
        <v>200581</v>
      </c>
      <c r="BM10" s="7">
        <v>187064</v>
      </c>
      <c r="BN10" s="7">
        <v>171305</v>
      </c>
      <c r="BO10" s="7">
        <v>154974</v>
      </c>
      <c r="BP10" s="7">
        <v>188394</v>
      </c>
      <c r="BR10" s="7">
        <v>196380</v>
      </c>
      <c r="BS10" s="7">
        <v>219045</v>
      </c>
      <c r="BT10" s="7">
        <v>227633</v>
      </c>
      <c r="BU10" s="7">
        <v>237710</v>
      </c>
      <c r="BV10" s="7">
        <v>236877</v>
      </c>
      <c r="BW10" s="7">
        <v>226868</v>
      </c>
      <c r="BX10" s="7">
        <v>161107</v>
      </c>
      <c r="BY10" s="7">
        <v>196826</v>
      </c>
      <c r="BZ10" s="7">
        <v>183886</v>
      </c>
      <c r="CA10" s="7">
        <v>129772</v>
      </c>
      <c r="CB10" s="7">
        <v>23290</v>
      </c>
      <c r="CF10" s="7">
        <v>140064</v>
      </c>
      <c r="CG10" s="7">
        <v>194351</v>
      </c>
      <c r="CH10" s="7">
        <v>197964</v>
      </c>
      <c r="CI10" s="7">
        <v>138247</v>
      </c>
      <c r="CJ10" s="7">
        <v>135013</v>
      </c>
      <c r="CK10" s="7">
        <v>133077</v>
      </c>
      <c r="CM10" s="7">
        <v>137391</v>
      </c>
      <c r="CN10" s="7">
        <v>150863</v>
      </c>
      <c r="CO10" s="7">
        <v>143333</v>
      </c>
      <c r="CP10" s="7">
        <v>157309</v>
      </c>
      <c r="CQ10" s="7">
        <v>156080</v>
      </c>
      <c r="CR10" s="7">
        <v>126619</v>
      </c>
      <c r="CT10" s="7">
        <v>141815</v>
      </c>
      <c r="CU10" s="7">
        <v>142688</v>
      </c>
      <c r="CV10" s="7">
        <v>173757</v>
      </c>
      <c r="CW10" s="7">
        <v>180019</v>
      </c>
      <c r="CX10" s="7">
        <v>159246</v>
      </c>
      <c r="CY10" s="7">
        <v>146791</v>
      </c>
      <c r="DA10" s="7">
        <v>134647</v>
      </c>
      <c r="DB10" s="7">
        <v>144859</v>
      </c>
      <c r="DC10" s="7">
        <v>158487</v>
      </c>
      <c r="DD10" s="7">
        <v>159831</v>
      </c>
      <c r="DE10" s="7">
        <v>158145</v>
      </c>
      <c r="DF10" s="7">
        <v>153334</v>
      </c>
      <c r="DG10" s="7">
        <v>107656</v>
      </c>
      <c r="DH10" s="7">
        <v>139615</v>
      </c>
      <c r="DI10" s="7">
        <v>145580</v>
      </c>
      <c r="DJ10" s="7">
        <v>154288</v>
      </c>
      <c r="DK10" s="7">
        <v>147698</v>
      </c>
      <c r="DL10" s="19">
        <v>133049</v>
      </c>
      <c r="DM10" s="7">
        <v>109755</v>
      </c>
      <c r="DO10" s="7">
        <v>136379</v>
      </c>
      <c r="DP10" s="7">
        <v>152181</v>
      </c>
      <c r="DQ10" s="7">
        <v>162660</v>
      </c>
      <c r="DR10" s="7">
        <v>163354</v>
      </c>
      <c r="DS10" s="7"/>
      <c r="DT10" s="7">
        <v>157855</v>
      </c>
      <c r="DU10" s="7">
        <v>161947</v>
      </c>
      <c r="DV10" s="7">
        <v>146182</v>
      </c>
      <c r="DW10" s="7">
        <v>165603</v>
      </c>
      <c r="DX10" s="7">
        <v>180723</v>
      </c>
      <c r="DY10" s="7">
        <v>185592</v>
      </c>
      <c r="DZ10" s="7">
        <v>153229</v>
      </c>
      <c r="EA10" s="7">
        <v>166271</v>
      </c>
      <c r="EC10" s="7">
        <v>177151</v>
      </c>
      <c r="ED10" s="7">
        <v>196332</v>
      </c>
      <c r="EE10" s="7">
        <v>203689</v>
      </c>
      <c r="EF10" s="7">
        <v>210230</v>
      </c>
      <c r="EG10" s="7">
        <v>185868</v>
      </c>
      <c r="EH10" s="7">
        <v>212415</v>
      </c>
      <c r="EI10" s="7">
        <v>227177</v>
      </c>
      <c r="EJ10" s="7">
        <v>213725</v>
      </c>
      <c r="EK10" s="7">
        <v>207388</v>
      </c>
      <c r="EL10" s="7">
        <v>205963</v>
      </c>
      <c r="EM10" s="7">
        <v>220286</v>
      </c>
      <c r="EN10" s="7">
        <v>215676</v>
      </c>
      <c r="EO10" s="7">
        <v>226799</v>
      </c>
      <c r="EP10" s="7"/>
      <c r="EQ10" s="7">
        <v>161649</v>
      </c>
      <c r="ER10" s="7">
        <v>50260</v>
      </c>
      <c r="ES10" s="7"/>
      <c r="ET10" s="7"/>
      <c r="EU10" s="7"/>
      <c r="EV10" s="7">
        <v>147491</v>
      </c>
      <c r="EW10" s="7"/>
      <c r="EX10" s="7">
        <v>163807</v>
      </c>
      <c r="EY10" s="7">
        <v>189558</v>
      </c>
      <c r="EZ10" s="7">
        <v>181480</v>
      </c>
      <c r="FA10" s="7">
        <v>171953</v>
      </c>
      <c r="FB10" s="7">
        <v>169528</v>
      </c>
      <c r="FC10" s="7">
        <v>171310</v>
      </c>
      <c r="FE10" s="7">
        <v>169567</v>
      </c>
      <c r="FF10" s="7">
        <v>161239</v>
      </c>
      <c r="FG10" s="7">
        <v>186071</v>
      </c>
      <c r="FH10" s="7">
        <v>194634</v>
      </c>
      <c r="FI10" s="7">
        <v>177235</v>
      </c>
      <c r="FJ10" s="7">
        <v>192614</v>
      </c>
      <c r="FK10" s="7">
        <v>160504</v>
      </c>
      <c r="FL10" s="7">
        <v>160278</v>
      </c>
      <c r="FM10" s="7">
        <v>167328</v>
      </c>
      <c r="FN10" s="7">
        <v>170370</v>
      </c>
      <c r="FO10" s="7">
        <v>171855</v>
      </c>
      <c r="FP10" s="7">
        <v>167235</v>
      </c>
      <c r="FQ10" s="7">
        <v>155802</v>
      </c>
      <c r="FS10" s="7">
        <v>147270</v>
      </c>
      <c r="FT10" s="7">
        <v>175624</v>
      </c>
      <c r="FU10" s="7">
        <v>161952</v>
      </c>
      <c r="FV10" s="7">
        <v>170065</v>
      </c>
      <c r="FW10" s="7">
        <v>155375</v>
      </c>
      <c r="FX10" s="7">
        <v>165915</v>
      </c>
      <c r="FY10" s="7">
        <v>150943</v>
      </c>
      <c r="FZ10" s="7">
        <v>161920</v>
      </c>
      <c r="GA10" s="7">
        <v>160346</v>
      </c>
      <c r="GB10" s="7">
        <v>164358</v>
      </c>
      <c r="GC10" s="7">
        <v>154137</v>
      </c>
      <c r="GD10" s="7">
        <v>122431</v>
      </c>
      <c r="GE10" s="7">
        <v>131026</v>
      </c>
      <c r="GF10" s="7"/>
      <c r="GG10" s="7">
        <v>128502</v>
      </c>
      <c r="GH10" s="7">
        <v>164771</v>
      </c>
      <c r="GI10" s="7">
        <v>105998</v>
      </c>
      <c r="GJ10" s="7">
        <v>123532</v>
      </c>
      <c r="GK10" s="7">
        <v>140487</v>
      </c>
      <c r="GL10" s="7">
        <v>140584</v>
      </c>
      <c r="GM10" s="7">
        <v>128818</v>
      </c>
      <c r="GN10" s="7">
        <v>127216</v>
      </c>
      <c r="GO10" s="7">
        <v>118359</v>
      </c>
      <c r="GP10" s="7">
        <v>142055</v>
      </c>
      <c r="GQ10" s="7">
        <v>143815</v>
      </c>
      <c r="GR10" s="7">
        <v>126686</v>
      </c>
      <c r="GS10" s="7">
        <v>131045</v>
      </c>
      <c r="GU10" s="7">
        <v>118754</v>
      </c>
      <c r="GV10" s="7">
        <v>133648</v>
      </c>
      <c r="GW10" s="7">
        <v>147108</v>
      </c>
      <c r="GX10" s="7">
        <v>136204</v>
      </c>
      <c r="GY10" s="7">
        <v>140157</v>
      </c>
      <c r="GZ10" s="7">
        <v>144687</v>
      </c>
      <c r="HA10" s="7">
        <v>118866</v>
      </c>
      <c r="HB10" s="7">
        <v>136140</v>
      </c>
      <c r="HC10" s="7">
        <v>129830</v>
      </c>
      <c r="HD10" s="7">
        <v>146201</v>
      </c>
      <c r="HE10" s="7">
        <v>136909</v>
      </c>
      <c r="HF10" s="7">
        <v>139121</v>
      </c>
      <c r="HG10" s="7">
        <v>131146</v>
      </c>
      <c r="HI10" s="7">
        <v>134306</v>
      </c>
      <c r="HJ10" s="7">
        <v>124051</v>
      </c>
      <c r="HK10" s="7">
        <v>149622</v>
      </c>
      <c r="HL10" s="7">
        <v>148576</v>
      </c>
      <c r="HM10" s="7">
        <v>131206</v>
      </c>
      <c r="HN10" s="7">
        <v>149623</v>
      </c>
      <c r="HO10" s="7">
        <v>120912</v>
      </c>
      <c r="HP10" s="7">
        <v>134438</v>
      </c>
      <c r="HQ10" s="7">
        <v>135871</v>
      </c>
      <c r="HR10" s="7">
        <v>140955</v>
      </c>
      <c r="HS10" s="7">
        <v>178642</v>
      </c>
      <c r="HT10" s="7">
        <v>157443</v>
      </c>
      <c r="HU10" s="7">
        <v>159734</v>
      </c>
      <c r="HW10" s="7">
        <v>166668</v>
      </c>
      <c r="HX10" s="7">
        <v>164161</v>
      </c>
      <c r="HY10" s="7">
        <v>156694</v>
      </c>
      <c r="HZ10" s="7">
        <v>140170</v>
      </c>
      <c r="IA10" s="7">
        <v>172935</v>
      </c>
      <c r="IB10" s="7">
        <v>173854</v>
      </c>
      <c r="IC10" s="7">
        <v>137938</v>
      </c>
      <c r="ID10" s="7">
        <v>131016</v>
      </c>
      <c r="IE10" s="7">
        <v>144378</v>
      </c>
      <c r="IF10" s="7">
        <v>143398</v>
      </c>
      <c r="IG10" s="7">
        <v>126956</v>
      </c>
      <c r="IH10" s="7">
        <v>139663</v>
      </c>
      <c r="II10" s="7">
        <v>135259</v>
      </c>
      <c r="IK10" s="7">
        <v>117074</v>
      </c>
      <c r="IL10" s="7">
        <v>140331</v>
      </c>
      <c r="IM10" s="7">
        <v>162264</v>
      </c>
      <c r="IN10" s="7">
        <v>122468</v>
      </c>
      <c r="IO10" s="7">
        <v>126421</v>
      </c>
      <c r="IP10" s="7">
        <v>136455</v>
      </c>
      <c r="IQ10" s="7">
        <v>109569</v>
      </c>
      <c r="IR10" s="7">
        <v>154411</v>
      </c>
      <c r="IS10" s="7">
        <v>160734</v>
      </c>
      <c r="IT10" s="7">
        <v>143808</v>
      </c>
      <c r="IU10" s="7">
        <v>165843</v>
      </c>
      <c r="IV10" s="7">
        <v>173468</v>
      </c>
      <c r="IW10" s="7">
        <v>180638</v>
      </c>
      <c r="IY10" s="7">
        <v>151755</v>
      </c>
      <c r="IZ10" s="7">
        <v>174306</v>
      </c>
      <c r="JA10" s="7">
        <v>167256</v>
      </c>
      <c r="JB10" s="7">
        <v>158802</v>
      </c>
      <c r="JC10" s="7">
        <v>165204</v>
      </c>
      <c r="JD10" s="7">
        <v>154978</v>
      </c>
      <c r="JF10" s="7">
        <v>149993</v>
      </c>
      <c r="JG10" s="7">
        <v>161496</v>
      </c>
      <c r="JH10" s="7">
        <v>167565</v>
      </c>
      <c r="JI10" s="7">
        <v>157557</v>
      </c>
      <c r="JJ10" s="7">
        <v>136662</v>
      </c>
      <c r="JK10" s="7">
        <v>141428</v>
      </c>
      <c r="JM10" s="7">
        <v>151455</v>
      </c>
      <c r="JN10" s="7">
        <v>168029</v>
      </c>
      <c r="JO10" s="7">
        <v>180552</v>
      </c>
      <c r="JP10" s="7">
        <v>178984</v>
      </c>
      <c r="JQ10" s="7">
        <v>169036</v>
      </c>
      <c r="JR10" s="7">
        <v>167590</v>
      </c>
      <c r="JT10" s="103">
        <v>159720</v>
      </c>
      <c r="JU10" s="103">
        <v>201650</v>
      </c>
      <c r="JV10" s="103">
        <v>185079</v>
      </c>
      <c r="JW10" s="7">
        <v>175491</v>
      </c>
      <c r="JX10" s="7">
        <v>153206</v>
      </c>
      <c r="JY10" s="7">
        <v>127574</v>
      </c>
      <c r="KB10" s="20"/>
      <c r="LE10" s="20"/>
      <c r="LY10" s="2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V10" s="7"/>
    </row>
    <row r="11" spans="1:367">
      <c r="A11" s="17">
        <f>+A10/A9</f>
        <v>34.878992666294188</v>
      </c>
      <c r="B11" s="18" t="s">
        <v>424</v>
      </c>
      <c r="C11" s="7"/>
      <c r="D11" s="7">
        <f t="shared" ref="D11:BO11" si="14">+IFERROR(D10/D9,"")</f>
        <v>36.712093183374684</v>
      </c>
      <c r="E11" s="7">
        <f t="shared" si="14"/>
        <v>38.258137426622326</v>
      </c>
      <c r="F11" s="7"/>
      <c r="G11" s="7">
        <f t="shared" si="14"/>
        <v>33.837921475478005</v>
      </c>
      <c r="H11" s="7">
        <f t="shared" si="14"/>
        <v>34.897362885237925</v>
      </c>
      <c r="I11" s="7">
        <f t="shared" si="14"/>
        <v>42.012356963383823</v>
      </c>
      <c r="J11" s="7">
        <f t="shared" si="14"/>
        <v>39.437227881883153</v>
      </c>
      <c r="K11" s="7">
        <f t="shared" si="14"/>
        <v>32.610123869535627</v>
      </c>
      <c r="L11" s="7">
        <f t="shared" si="14"/>
        <v>37.963677772102436</v>
      </c>
      <c r="M11" s="7" t="str">
        <f t="shared" si="14"/>
        <v/>
      </c>
      <c r="N11" s="7">
        <f t="shared" si="14"/>
        <v>36.332590987500083</v>
      </c>
      <c r="O11" s="7">
        <f t="shared" si="14"/>
        <v>32.660541383987081</v>
      </c>
      <c r="P11" s="7">
        <f t="shared" si="14"/>
        <v>38.275685937604258</v>
      </c>
      <c r="Q11" s="7">
        <f t="shared" si="14"/>
        <v>32.175055686712966</v>
      </c>
      <c r="R11" s="7">
        <f t="shared" si="14"/>
        <v>28.608401456188918</v>
      </c>
      <c r="S11" s="7">
        <f t="shared" si="14"/>
        <v>27.011790682425403</v>
      </c>
      <c r="T11" s="7" t="str">
        <f t="shared" si="14"/>
        <v/>
      </c>
      <c r="U11" s="7">
        <f t="shared" si="14"/>
        <v>34.53868272081948</v>
      </c>
      <c r="V11" s="7">
        <f t="shared" si="14"/>
        <v>33.31322693418165</v>
      </c>
      <c r="W11" s="7">
        <f t="shared" si="14"/>
        <v>33.268305726197795</v>
      </c>
      <c r="X11" s="7">
        <f t="shared" si="14"/>
        <v>33.217932999921238</v>
      </c>
      <c r="Y11" s="7">
        <f t="shared" si="14"/>
        <v>36.379256910222935</v>
      </c>
      <c r="Z11" s="7">
        <f t="shared" si="14"/>
        <v>34.433648319951779</v>
      </c>
      <c r="AA11" s="7" t="str">
        <f t="shared" si="14"/>
        <v/>
      </c>
      <c r="AB11" s="7">
        <f t="shared" si="14"/>
        <v>33.476438591404289</v>
      </c>
      <c r="AC11" s="7">
        <f t="shared" si="14"/>
        <v>37.06779846301206</v>
      </c>
      <c r="AD11" s="7">
        <f t="shared" si="14"/>
        <v>41.078065301285108</v>
      </c>
      <c r="AE11" s="7">
        <f t="shared" si="14"/>
        <v>32.543393309648039</v>
      </c>
      <c r="AF11" s="7">
        <f t="shared" si="14"/>
        <v>26.578886348614709</v>
      </c>
      <c r="AG11" s="7">
        <f t="shared" si="14"/>
        <v>25.098336637076621</v>
      </c>
      <c r="AH11" s="7" t="str">
        <f t="shared" si="14"/>
        <v/>
      </c>
      <c r="AI11" s="7">
        <f t="shared" si="14"/>
        <v>29.698147090715693</v>
      </c>
      <c r="AJ11" s="7">
        <f t="shared" si="14"/>
        <v>33.876567465104337</v>
      </c>
      <c r="AK11" s="7">
        <f t="shared" si="14"/>
        <v>25.32427560844128</v>
      </c>
      <c r="AL11" s="7">
        <f t="shared" si="14"/>
        <v>35.95053401953038</v>
      </c>
      <c r="AM11" s="7">
        <f t="shared" si="14"/>
        <v>26.817325028683825</v>
      </c>
      <c r="AN11" s="7">
        <f t="shared" si="14"/>
        <v>20.505879232605427</v>
      </c>
      <c r="AO11" s="7" t="str">
        <f t="shared" si="14"/>
        <v/>
      </c>
      <c r="AP11" s="7">
        <f t="shared" si="14"/>
        <v>34.27445685028129</v>
      </c>
      <c r="AQ11" s="7">
        <f t="shared" si="14"/>
        <v>32.715238854840436</v>
      </c>
      <c r="AR11" s="7">
        <f t="shared" si="14"/>
        <v>28.928958602136319</v>
      </c>
      <c r="AS11" s="7">
        <f t="shared" si="14"/>
        <v>25.633417834362788</v>
      </c>
      <c r="AT11" s="7">
        <f t="shared" si="14"/>
        <v>25.139497029380646</v>
      </c>
      <c r="AU11" s="7">
        <f t="shared" si="14"/>
        <v>25.39328063241107</v>
      </c>
      <c r="AV11" s="7" t="str">
        <f t="shared" si="14"/>
        <v/>
      </c>
      <c r="AW11" s="7">
        <f t="shared" si="14"/>
        <v>30.452568482641517</v>
      </c>
      <c r="AX11" s="7">
        <f t="shared" si="14"/>
        <v>31.617426333775537</v>
      </c>
      <c r="AY11" s="7">
        <f t="shared" si="14"/>
        <v>31.313092564398858</v>
      </c>
      <c r="AZ11" s="7">
        <f t="shared" si="14"/>
        <v>29.358572633781062</v>
      </c>
      <c r="BA11" s="7">
        <f t="shared" si="14"/>
        <v>35.153587087754971</v>
      </c>
      <c r="BB11" s="7">
        <f t="shared" si="14"/>
        <v>33.554162197838465</v>
      </c>
      <c r="BC11" s="7" t="str">
        <f t="shared" si="14"/>
        <v/>
      </c>
      <c r="BD11" s="7">
        <f t="shared" si="14"/>
        <v>34.831150004198982</v>
      </c>
      <c r="BE11" s="7">
        <f t="shared" si="14"/>
        <v>39.296082893180824</v>
      </c>
      <c r="BF11" s="7">
        <f t="shared" si="14"/>
        <v>39.562065819063221</v>
      </c>
      <c r="BG11" s="7">
        <f t="shared" si="14"/>
        <v>38.959845385150238</v>
      </c>
      <c r="BH11" s="7">
        <f t="shared" si="14"/>
        <v>35.79194742701236</v>
      </c>
      <c r="BI11" s="7">
        <f t="shared" si="14"/>
        <v>33.787013595347929</v>
      </c>
      <c r="BJ11" s="7" t="str">
        <f t="shared" si="14"/>
        <v/>
      </c>
      <c r="BK11" s="7">
        <f t="shared" si="14"/>
        <v>29.861381514616387</v>
      </c>
      <c r="BL11" s="7">
        <f t="shared" si="14"/>
        <v>35.698509454949942</v>
      </c>
      <c r="BM11" s="7">
        <f t="shared" si="14"/>
        <v>38.567246237372004</v>
      </c>
      <c r="BN11" s="7">
        <f t="shared" si="14"/>
        <v>36.668272060790926</v>
      </c>
      <c r="BO11" s="7">
        <f t="shared" si="14"/>
        <v>35.001244686060083</v>
      </c>
      <c r="BP11" s="7">
        <f t="shared" ref="BP11:EB11" si="15">+IFERROR(BP10/BP9,"")</f>
        <v>37.784581394638622</v>
      </c>
      <c r="BQ11" s="7" t="str">
        <f t="shared" si="15"/>
        <v/>
      </c>
      <c r="BR11" s="7">
        <f t="shared" si="15"/>
        <v>34.346779172470654</v>
      </c>
      <c r="BS11" s="7">
        <f t="shared" si="15"/>
        <v>37.105782768899083</v>
      </c>
      <c r="BT11" s="7">
        <f t="shared" si="15"/>
        <v>37.953482004443991</v>
      </c>
      <c r="BU11" s="7">
        <f t="shared" si="15"/>
        <v>40.903536750584259</v>
      </c>
      <c r="BV11" s="7">
        <f t="shared" si="15"/>
        <v>40.285204081632656</v>
      </c>
      <c r="BW11" s="7">
        <f t="shared" si="15"/>
        <v>41.096173296097817</v>
      </c>
      <c r="BX11" s="7">
        <f t="shared" si="15"/>
        <v>37.905299688253635</v>
      </c>
      <c r="BY11" s="7">
        <f t="shared" si="15"/>
        <v>37.227122277212118</v>
      </c>
      <c r="BZ11" s="7">
        <f t="shared" si="15"/>
        <v>42.857209446861411</v>
      </c>
      <c r="CA11" s="7">
        <f t="shared" si="15"/>
        <v>31.274757496033576</v>
      </c>
      <c r="CB11" s="7">
        <f t="shared" si="15"/>
        <v>17.711026615969583</v>
      </c>
      <c r="CC11" s="7" t="str">
        <f t="shared" si="15"/>
        <v/>
      </c>
      <c r="CD11" s="7" t="str">
        <f t="shared" si="15"/>
        <v/>
      </c>
      <c r="CE11" s="7" t="str">
        <f t="shared" si="15"/>
        <v/>
      </c>
      <c r="CF11" s="7">
        <f t="shared" si="15"/>
        <v>31.285817992293801</v>
      </c>
      <c r="CG11" s="7">
        <f t="shared" si="15"/>
        <v>42.534551622257474</v>
      </c>
      <c r="CH11" s="7">
        <f t="shared" si="15"/>
        <v>44.107867043024342</v>
      </c>
      <c r="CI11" s="7">
        <f t="shared" si="15"/>
        <v>37.666486434350176</v>
      </c>
      <c r="CJ11" s="7">
        <f t="shared" si="15"/>
        <v>34.880600738389411</v>
      </c>
      <c r="CK11" s="7">
        <f t="shared" si="15"/>
        <v>34.671915265962028</v>
      </c>
      <c r="CL11" s="7" t="str">
        <f t="shared" si="15"/>
        <v/>
      </c>
      <c r="CM11" s="7">
        <f t="shared" si="15"/>
        <v>33.520219579139983</v>
      </c>
      <c r="CN11" s="7">
        <f t="shared" si="15"/>
        <v>37.517998880898595</v>
      </c>
      <c r="CO11" s="7">
        <f t="shared" si="15"/>
        <v>37.13617381361464</v>
      </c>
      <c r="CP11" s="7">
        <f t="shared" si="15"/>
        <v>39.648258365684299</v>
      </c>
      <c r="CQ11" s="7">
        <f t="shared" si="15"/>
        <v>37.73162231310058</v>
      </c>
      <c r="CR11" s="7">
        <f t="shared" si="15"/>
        <v>36.514178602326247</v>
      </c>
      <c r="CS11" s="7" t="str">
        <f t="shared" si="15"/>
        <v/>
      </c>
      <c r="CT11" s="7">
        <f t="shared" si="15"/>
        <v>32.283876842524613</v>
      </c>
      <c r="CU11" s="7">
        <f t="shared" si="15"/>
        <v>33.157552285050343</v>
      </c>
      <c r="CV11" s="7">
        <f t="shared" si="15"/>
        <v>38.869638163413683</v>
      </c>
      <c r="CW11" s="7">
        <f t="shared" si="15"/>
        <v>39.382130421307863</v>
      </c>
      <c r="CX11" s="7">
        <f t="shared" si="15"/>
        <v>37.830432416556221</v>
      </c>
      <c r="CY11" s="7">
        <f t="shared" si="15"/>
        <v>38.321159385771821</v>
      </c>
      <c r="CZ11" s="7" t="str">
        <f t="shared" si="15"/>
        <v/>
      </c>
      <c r="DA11" s="7">
        <f t="shared" si="15"/>
        <v>33.39804460613076</v>
      </c>
      <c r="DB11" s="7">
        <f t="shared" si="15"/>
        <v>34.847005051719989</v>
      </c>
      <c r="DC11" s="7">
        <f t="shared" si="15"/>
        <v>39.778377360858379</v>
      </c>
      <c r="DD11" s="7">
        <f t="shared" si="15"/>
        <v>40.095578551269988</v>
      </c>
      <c r="DE11" s="7">
        <f t="shared" si="15"/>
        <v>39.737939854818386</v>
      </c>
      <c r="DF11" s="7">
        <f t="shared" si="15"/>
        <v>41.59456920305918</v>
      </c>
      <c r="DG11" s="7">
        <f t="shared" si="15"/>
        <v>37.461511644905123</v>
      </c>
      <c r="DH11" s="7">
        <f t="shared" si="15"/>
        <v>37.333731159291702</v>
      </c>
      <c r="DI11" s="7">
        <f t="shared" si="15"/>
        <v>39.613282463137253</v>
      </c>
      <c r="DJ11" s="7">
        <f t="shared" si="15"/>
        <v>39.257651213407627</v>
      </c>
      <c r="DK11" s="7">
        <f t="shared" si="15"/>
        <v>42.160118181999906</v>
      </c>
      <c r="DL11" s="7">
        <f t="shared" si="15"/>
        <v>36.056890064226401</v>
      </c>
      <c r="DM11" s="7">
        <f t="shared" si="15"/>
        <v>30.206416644798022</v>
      </c>
      <c r="DN11" s="7" t="str">
        <f t="shared" si="15"/>
        <v/>
      </c>
      <c r="DO11" s="7">
        <f t="shared" si="15"/>
        <v>36.158016835686354</v>
      </c>
      <c r="DP11" s="7">
        <f t="shared" si="15"/>
        <v>38.338918858839065</v>
      </c>
      <c r="DQ11" s="7">
        <f t="shared" si="15"/>
        <v>41.198827579054871</v>
      </c>
      <c r="DR11" s="7">
        <f t="shared" si="15"/>
        <v>41.929541614083121</v>
      </c>
      <c r="DS11" s="7" t="str">
        <f t="shared" si="15"/>
        <v/>
      </c>
      <c r="DT11" s="7">
        <f t="shared" si="15"/>
        <v>41.125029851718374</v>
      </c>
      <c r="DU11" s="7">
        <f t="shared" si="15"/>
        <v>45.912020412020418</v>
      </c>
      <c r="DV11" s="7">
        <f t="shared" si="15"/>
        <v>39.045272720497188</v>
      </c>
      <c r="DW11" s="7">
        <f t="shared" si="15"/>
        <v>37.775207930401983</v>
      </c>
      <c r="DX11" s="7">
        <f t="shared" si="15"/>
        <v>41.839659375758323</v>
      </c>
      <c r="DY11" s="7">
        <f t="shared" si="15"/>
        <v>45.08416243401583</v>
      </c>
      <c r="DZ11" s="7">
        <f t="shared" si="15"/>
        <v>36.180279192178233</v>
      </c>
      <c r="EA11" s="7">
        <f t="shared" si="15"/>
        <v>47.623625149758972</v>
      </c>
      <c r="EB11" s="7" t="str">
        <f t="shared" si="15"/>
        <v/>
      </c>
      <c r="EC11" s="7">
        <f t="shared" ref="EC11:GN11" si="16">+IFERROR(EC10/EC9,"")</f>
        <v>36.301830931270452</v>
      </c>
      <c r="ED11" s="7">
        <f t="shared" si="16"/>
        <v>39.688445191156511</v>
      </c>
      <c r="EE11" s="7">
        <f t="shared" si="16"/>
        <v>40.49583734442686</v>
      </c>
      <c r="EF11" s="7">
        <f t="shared" si="16"/>
        <v>40.273936777230141</v>
      </c>
      <c r="EG11" s="7">
        <f t="shared" si="16"/>
        <v>35.830344084567969</v>
      </c>
      <c r="EH11" s="7">
        <f t="shared" si="16"/>
        <v>40.842732251610698</v>
      </c>
      <c r="EI11" s="7">
        <f t="shared" si="16"/>
        <v>43.444207171314737</v>
      </c>
      <c r="EJ11" s="7">
        <f t="shared" si="16"/>
        <v>39.86709743154789</v>
      </c>
      <c r="EK11" s="7">
        <f t="shared" si="16"/>
        <v>41.465950619342749</v>
      </c>
      <c r="EL11" s="7">
        <f t="shared" si="16"/>
        <v>37.904662100580346</v>
      </c>
      <c r="EM11" s="7">
        <f t="shared" si="16"/>
        <v>42.956320281946788</v>
      </c>
      <c r="EN11" s="7">
        <f t="shared" si="16"/>
        <v>44.641413722346769</v>
      </c>
      <c r="EO11" s="7">
        <f t="shared" si="16"/>
        <v>47.688990919914488</v>
      </c>
      <c r="EP11" s="7" t="str">
        <f t="shared" si="16"/>
        <v/>
      </c>
      <c r="EQ11" s="7">
        <f t="shared" si="16"/>
        <v>37.57531380753138</v>
      </c>
      <c r="ER11" s="7">
        <f t="shared" si="16"/>
        <v>36.57267600509369</v>
      </c>
      <c r="ES11" s="7"/>
      <c r="ET11" s="7"/>
      <c r="EU11" s="7"/>
      <c r="EV11" s="7">
        <f t="shared" si="16"/>
        <v>36.173006344453327</v>
      </c>
      <c r="EW11" s="7" t="str">
        <f t="shared" si="16"/>
        <v/>
      </c>
      <c r="EX11" s="7">
        <f t="shared" si="16"/>
        <v>38.811733677733692</v>
      </c>
      <c r="EY11" s="7">
        <f t="shared" si="16"/>
        <v>40.423404845770037</v>
      </c>
      <c r="EZ11" s="7">
        <f t="shared" si="16"/>
        <v>40.42130235137256</v>
      </c>
      <c r="FA11" s="7">
        <f t="shared" si="16"/>
        <v>40.091430241696443</v>
      </c>
      <c r="FB11" s="7">
        <f t="shared" si="16"/>
        <v>38.258797602966695</v>
      </c>
      <c r="FC11" s="7">
        <f t="shared" si="16"/>
        <v>41.836310894788213</v>
      </c>
      <c r="FD11" s="7" t="str">
        <f t="shared" si="16"/>
        <v/>
      </c>
      <c r="FE11" s="7">
        <f t="shared" si="16"/>
        <v>39.089496743092383</v>
      </c>
      <c r="FF11" s="7">
        <f t="shared" si="16"/>
        <v>36.244993299607479</v>
      </c>
      <c r="FG11" s="7">
        <f t="shared" si="16"/>
        <v>40.837426667036425</v>
      </c>
      <c r="FH11" s="7">
        <f t="shared" si="16"/>
        <v>41.244587437948695</v>
      </c>
      <c r="FI11" s="7">
        <f t="shared" si="16"/>
        <v>34.848943591959397</v>
      </c>
      <c r="FJ11" s="7">
        <f t="shared" si="16"/>
        <v>42.29254280190851</v>
      </c>
      <c r="FK11" s="7">
        <f t="shared" si="16"/>
        <v>46.196688566290341</v>
      </c>
      <c r="FL11" s="7">
        <f t="shared" si="16"/>
        <v>36.12622487318302</v>
      </c>
      <c r="FM11" s="7">
        <f t="shared" si="16"/>
        <v>36.695838747259138</v>
      </c>
      <c r="FN11" s="7">
        <f t="shared" si="16"/>
        <v>40.104403908533001</v>
      </c>
      <c r="FO11" s="7">
        <f t="shared" si="16"/>
        <v>42.850863515142187</v>
      </c>
      <c r="FP11" s="7">
        <f t="shared" si="16"/>
        <v>41.374298068213676</v>
      </c>
      <c r="FQ11" s="7">
        <f t="shared" si="16"/>
        <v>44.616443627473451</v>
      </c>
      <c r="FR11" s="7" t="str">
        <f t="shared" si="16"/>
        <v/>
      </c>
      <c r="FS11" s="7">
        <f t="shared" si="16"/>
        <v>35.207956505094273</v>
      </c>
      <c r="FT11" s="7">
        <f t="shared" si="16"/>
        <v>39.931063525826161</v>
      </c>
      <c r="FU11" s="7">
        <f t="shared" si="16"/>
        <v>37.225127417358181</v>
      </c>
      <c r="FV11" s="7">
        <f t="shared" si="16"/>
        <v>38.887668606634847</v>
      </c>
      <c r="FW11" s="7">
        <f t="shared" si="16"/>
        <v>36.224191727569789</v>
      </c>
      <c r="FX11" s="7">
        <f t="shared" si="16"/>
        <v>40.973663199721933</v>
      </c>
      <c r="FY11" s="7">
        <f t="shared" si="16"/>
        <v>47.305447899043379</v>
      </c>
      <c r="FZ11" s="7">
        <f t="shared" si="16"/>
        <v>39.590962312808124</v>
      </c>
      <c r="GA11" s="7">
        <f t="shared" si="16"/>
        <v>40.070258507062519</v>
      </c>
      <c r="GB11" s="7">
        <f t="shared" si="16"/>
        <v>39.247674315231976</v>
      </c>
      <c r="GC11" s="7">
        <f t="shared" si="16"/>
        <v>34.947946461878793</v>
      </c>
      <c r="GD11" s="7">
        <f t="shared" si="16"/>
        <v>29.947792255684423</v>
      </c>
      <c r="GE11" s="7">
        <f t="shared" si="16"/>
        <v>33.660617871587974</v>
      </c>
      <c r="GF11" s="7" t="str">
        <f t="shared" si="16"/>
        <v/>
      </c>
      <c r="GG11" s="7">
        <f t="shared" si="16"/>
        <v>32.200297851919146</v>
      </c>
      <c r="GH11" s="7">
        <f t="shared" si="16"/>
        <v>36.451912851427771</v>
      </c>
      <c r="GI11" s="7">
        <f t="shared" si="16"/>
        <v>24.83858886462064</v>
      </c>
      <c r="GJ11" s="7">
        <f t="shared" si="16"/>
        <v>28.867337002685389</v>
      </c>
      <c r="GK11" s="7">
        <f t="shared" si="16"/>
        <v>35.151015739453804</v>
      </c>
      <c r="GL11" s="7">
        <f t="shared" si="16"/>
        <v>36.230261854927086</v>
      </c>
      <c r="GM11" s="7">
        <f t="shared" si="16"/>
        <v>36.569797659307852</v>
      </c>
      <c r="GN11" s="7">
        <f t="shared" si="16"/>
        <v>34.186836911434945</v>
      </c>
      <c r="GO11" s="7">
        <f t="shared" ref="GO11:IZ11" si="17">+IFERROR(GO10/GO9,"")</f>
        <v>33.945103138597737</v>
      </c>
      <c r="GP11" s="7">
        <f t="shared" si="17"/>
        <v>38.527787249917601</v>
      </c>
      <c r="GQ11" s="7">
        <f t="shared" si="17"/>
        <v>36.572433669577009</v>
      </c>
      <c r="GR11" s="7">
        <f t="shared" si="17"/>
        <v>32.824102895440994</v>
      </c>
      <c r="GS11" s="7">
        <f t="shared" si="17"/>
        <v>37.051505584091231</v>
      </c>
      <c r="GT11" s="7" t="str">
        <f t="shared" si="17"/>
        <v/>
      </c>
      <c r="GU11" s="7">
        <f t="shared" si="17"/>
        <v>30.931718792977605</v>
      </c>
      <c r="GV11" s="7">
        <f t="shared" si="17"/>
        <v>32.79236101171611</v>
      </c>
      <c r="GW11" s="7">
        <f t="shared" si="17"/>
        <v>36.950368560363849</v>
      </c>
      <c r="GX11" s="7">
        <f t="shared" si="17"/>
        <v>35.35548467903596</v>
      </c>
      <c r="GY11" s="7">
        <f t="shared" si="17"/>
        <v>33.608104867716413</v>
      </c>
      <c r="GZ11" s="7">
        <f t="shared" si="17"/>
        <v>37.320121230359177</v>
      </c>
      <c r="HA11" s="7">
        <f t="shared" si="17"/>
        <v>36.587287744318473</v>
      </c>
      <c r="HB11" s="7">
        <f t="shared" si="17"/>
        <v>34.151684923488588</v>
      </c>
      <c r="HC11" s="7">
        <f t="shared" si="17"/>
        <v>30.945060183529971</v>
      </c>
      <c r="HD11" s="7">
        <f t="shared" si="17"/>
        <v>35.368357390533028</v>
      </c>
      <c r="HE11" s="7">
        <f t="shared" si="17"/>
        <v>31.576167595617907</v>
      </c>
      <c r="HF11" s="7">
        <f t="shared" si="17"/>
        <v>31.58969118982743</v>
      </c>
      <c r="HG11" s="7">
        <f t="shared" si="17"/>
        <v>30.860302768844619</v>
      </c>
      <c r="HH11" s="7" t="str">
        <f t="shared" si="17"/>
        <v/>
      </c>
      <c r="HI11" s="7">
        <f t="shared" si="17"/>
        <v>32.260538852636216</v>
      </c>
      <c r="HJ11" s="7">
        <f t="shared" si="17"/>
        <v>29.808606499929915</v>
      </c>
      <c r="HK11" s="7">
        <f t="shared" si="17"/>
        <v>35.91503220428158</v>
      </c>
      <c r="HL11" s="7">
        <f t="shared" si="17"/>
        <v>36.02606384530965</v>
      </c>
      <c r="HM11" s="7">
        <f t="shared" si="17"/>
        <v>32.261064854506436</v>
      </c>
      <c r="HN11" s="7">
        <f t="shared" si="17"/>
        <v>37.026231130908194</v>
      </c>
      <c r="HO11" s="7">
        <f t="shared" si="17"/>
        <v>38.735223450264293</v>
      </c>
      <c r="HP11" s="7">
        <f t="shared" si="17"/>
        <v>32.458579222648602</v>
      </c>
      <c r="HQ11" s="7">
        <f t="shared" si="17"/>
        <v>30.636437999676026</v>
      </c>
      <c r="HR11" s="7">
        <f t="shared" si="17"/>
        <v>30.209448409844565</v>
      </c>
      <c r="HS11" s="7">
        <f t="shared" si="17"/>
        <v>34.738568653870935</v>
      </c>
      <c r="HT11" s="7">
        <f t="shared" si="17"/>
        <v>29.163160348371697</v>
      </c>
      <c r="HU11" s="7">
        <f t="shared" si="17"/>
        <v>31.560707346790924</v>
      </c>
      <c r="HV11" s="7" t="str">
        <f t="shared" si="17"/>
        <v/>
      </c>
      <c r="HW11" s="7">
        <f t="shared" si="17"/>
        <v>32.530786730115217</v>
      </c>
      <c r="HX11" s="7">
        <f t="shared" si="17"/>
        <v>34.003007465162511</v>
      </c>
      <c r="HY11" s="7">
        <f t="shared" si="17"/>
        <v>31.406623411450116</v>
      </c>
      <c r="HZ11" s="7">
        <f t="shared" si="17"/>
        <v>27.434665607221742</v>
      </c>
      <c r="IA11" s="7">
        <f t="shared" si="17"/>
        <v>34.706560270868103</v>
      </c>
      <c r="IB11" s="7">
        <f t="shared" si="17"/>
        <v>37.458154247333354</v>
      </c>
      <c r="IC11" s="7">
        <f t="shared" si="17"/>
        <v>38.185925777315283</v>
      </c>
      <c r="ID11" s="7">
        <f t="shared" si="17"/>
        <v>29.7657106246814</v>
      </c>
      <c r="IE11" s="7">
        <f t="shared" si="17"/>
        <v>32.842292874875497</v>
      </c>
      <c r="IF11" s="7">
        <f t="shared" si="17"/>
        <v>32.142762197048597</v>
      </c>
      <c r="IG11" s="7">
        <f t="shared" si="17"/>
        <v>26.325260945352291</v>
      </c>
      <c r="IH11" s="7">
        <f t="shared" si="17"/>
        <v>32.013093800436209</v>
      </c>
      <c r="II11" s="7">
        <f t="shared" si="17"/>
        <v>35.78086594377428</v>
      </c>
      <c r="IJ11" s="7" t="str">
        <f t="shared" si="17"/>
        <v/>
      </c>
      <c r="IK11" s="7">
        <f t="shared" si="17"/>
        <v>26.545227095797586</v>
      </c>
      <c r="IL11" s="7">
        <f t="shared" si="17"/>
        <v>31.653383623477609</v>
      </c>
      <c r="IM11" s="7">
        <f t="shared" si="17"/>
        <v>35.667881781093797</v>
      </c>
      <c r="IN11" s="7">
        <f t="shared" si="17"/>
        <v>22.125963233231055</v>
      </c>
      <c r="IO11" s="7">
        <f t="shared" si="17"/>
        <v>24.326213491832146</v>
      </c>
      <c r="IP11" s="7">
        <f t="shared" si="17"/>
        <v>29.790409799572291</v>
      </c>
      <c r="IQ11" s="7">
        <f t="shared" si="17"/>
        <v>34.834775265287938</v>
      </c>
      <c r="IR11" s="7">
        <f t="shared" si="17"/>
        <v>32.150297658064289</v>
      </c>
      <c r="IS11" s="7">
        <f t="shared" si="17"/>
        <v>32.628642445066831</v>
      </c>
      <c r="IT11" s="7">
        <f t="shared" si="17"/>
        <v>27.454032644317046</v>
      </c>
      <c r="IU11" s="7">
        <f t="shared" si="17"/>
        <v>32.017555536020637</v>
      </c>
      <c r="IV11" s="7">
        <f t="shared" si="17"/>
        <v>32.263101401821615</v>
      </c>
      <c r="IW11" s="7">
        <f t="shared" si="17"/>
        <v>38.584555654818423</v>
      </c>
      <c r="IX11" s="7" t="str">
        <f t="shared" si="17"/>
        <v/>
      </c>
      <c r="IY11" s="7">
        <f t="shared" si="17"/>
        <v>27.605768874346662</v>
      </c>
      <c r="IZ11" s="7">
        <f t="shared" si="17"/>
        <v>31.076987528524416</v>
      </c>
      <c r="JA11" s="7">
        <f t="shared" ref="JA11:JZ11" si="18">+IFERROR(JA10/JA9,"")</f>
        <v>32.394506073255627</v>
      </c>
      <c r="JB11" s="7">
        <f t="shared" si="18"/>
        <v>27.630386118609298</v>
      </c>
      <c r="JC11" s="7">
        <f t="shared" si="18"/>
        <v>32.570116057035698</v>
      </c>
      <c r="JD11" s="7">
        <f t="shared" si="18"/>
        <v>33.574424287826822</v>
      </c>
      <c r="JE11" s="7" t="str">
        <f t="shared" si="18"/>
        <v/>
      </c>
      <c r="JF11" s="7">
        <f t="shared" si="18"/>
        <v>30.555541797385875</v>
      </c>
      <c r="JG11" s="7">
        <f t="shared" si="18"/>
        <v>30.46780263866729</v>
      </c>
      <c r="JH11" s="7">
        <f t="shared" si="18"/>
        <v>30.356918964341538</v>
      </c>
      <c r="JI11" s="7">
        <f t="shared" si="18"/>
        <v>30.086320132772499</v>
      </c>
      <c r="JJ11" s="7">
        <f t="shared" si="18"/>
        <v>26.710436800020616</v>
      </c>
      <c r="JK11" s="7">
        <f t="shared" si="18"/>
        <v>31.409442551840918</v>
      </c>
      <c r="JL11" s="7" t="str">
        <f t="shared" si="18"/>
        <v/>
      </c>
      <c r="JM11" s="7">
        <f t="shared" si="18"/>
        <v>26.509739832456923</v>
      </c>
      <c r="JN11" s="7">
        <f t="shared" si="18"/>
        <v>28.136877853981648</v>
      </c>
      <c r="JO11" s="7">
        <f t="shared" si="18"/>
        <v>29.803866094947001</v>
      </c>
      <c r="JP11" s="7">
        <f t="shared" si="18"/>
        <v>31.449470590124751</v>
      </c>
      <c r="JQ11" s="7">
        <f t="shared" si="18"/>
        <v>28.581157125761898</v>
      </c>
      <c r="JR11" s="7">
        <f t="shared" si="18"/>
        <v>33.867477017723679</v>
      </c>
      <c r="JS11" s="7" t="str">
        <f t="shared" si="18"/>
        <v/>
      </c>
      <c r="JT11" s="7">
        <f t="shared" si="18"/>
        <v>26.437995895050278</v>
      </c>
      <c r="JU11" s="7">
        <f t="shared" si="18"/>
        <v>30.54223254405008</v>
      </c>
      <c r="JV11" s="7">
        <f t="shared" si="18"/>
        <v>29.865593086740951</v>
      </c>
      <c r="JW11" s="7">
        <f t="shared" si="18"/>
        <v>28.417852928423223</v>
      </c>
      <c r="JX11" s="7">
        <f t="shared" si="18"/>
        <v>26.704791324049012</v>
      </c>
      <c r="JY11" s="7">
        <f t="shared" si="18"/>
        <v>22.678978078907548</v>
      </c>
      <c r="JZ11" s="7" t="str">
        <f t="shared" si="18"/>
        <v/>
      </c>
      <c r="LY11" s="83"/>
      <c r="LZ11" s="34"/>
      <c r="MA11" s="34"/>
      <c r="MB11" s="34"/>
      <c r="MC11" s="34"/>
      <c r="MD11" s="34"/>
      <c r="ME11" s="34"/>
      <c r="MF11" s="34"/>
      <c r="MG11" s="34"/>
      <c r="MH11" s="34"/>
      <c r="MI11" s="34"/>
      <c r="MJ11" s="34"/>
      <c r="MK11" s="34"/>
      <c r="ML11" s="34"/>
      <c r="MM11" s="34"/>
      <c r="MN11" s="34"/>
      <c r="MO11" s="34"/>
      <c r="MP11" s="34"/>
      <c r="MQ11" s="34"/>
      <c r="MR11" s="34"/>
      <c r="MS11" s="34"/>
      <c r="MT11" s="20"/>
      <c r="MU11" s="34"/>
      <c r="MV11" s="34"/>
      <c r="MW11" s="20"/>
      <c r="MX11" s="7"/>
      <c r="MY11" s="20"/>
    </row>
    <row r="12" spans="1:367">
      <c r="G12" s="20"/>
      <c r="N12" s="20"/>
      <c r="U12" s="20"/>
      <c r="Y12" s="7"/>
      <c r="AB12" s="186"/>
      <c r="AI12" s="20"/>
      <c r="AP12" s="20"/>
      <c r="BD12" s="20"/>
      <c r="BK12" s="20"/>
      <c r="BY12" s="20"/>
      <c r="CF12" s="20"/>
      <c r="CM12" s="20"/>
      <c r="CT12" s="20"/>
      <c r="DA12" s="20"/>
      <c r="DH12" s="20"/>
      <c r="DO12" s="20"/>
      <c r="EC12" s="20"/>
      <c r="EJ12" s="20"/>
      <c r="EQ12" s="20"/>
      <c r="EX12" s="20"/>
      <c r="FS12" s="20"/>
      <c r="FZ12" s="20"/>
      <c r="GG12" s="20"/>
      <c r="GN12" s="20"/>
      <c r="GU12" s="20"/>
      <c r="HB12" s="20"/>
      <c r="HI12" s="20"/>
      <c r="HP12" s="20"/>
      <c r="HW12" s="20"/>
      <c r="ID12" s="20"/>
      <c r="IK12" s="20"/>
      <c r="IR12" s="20"/>
      <c r="IY12" s="20"/>
      <c r="JF12" s="20"/>
      <c r="JM12" s="20"/>
      <c r="JT12" s="20"/>
      <c r="KD12" s="20"/>
      <c r="MG12" s="34"/>
      <c r="MM12" s="34"/>
      <c r="MT12" s="20"/>
      <c r="MU12" s="34"/>
      <c r="MV12" s="34"/>
      <c r="MW12" s="20"/>
      <c r="MX12" s="7"/>
      <c r="MY12" s="20"/>
    </row>
    <row r="13" spans="1:367">
      <c r="G13" s="20"/>
      <c r="N13" s="20"/>
      <c r="U13" s="20"/>
      <c r="Y13" s="21"/>
      <c r="AB13" s="186"/>
      <c r="AG13" s="7"/>
      <c r="AI13" s="20"/>
      <c r="AP13" s="20"/>
      <c r="AX13" s="20"/>
      <c r="BD13" s="20"/>
      <c r="BK13" s="20"/>
      <c r="BY13" s="20"/>
      <c r="CF13" s="20"/>
      <c r="CM13" s="20"/>
      <c r="CT13" s="20"/>
      <c r="DA13" s="20"/>
      <c r="DH13" s="20"/>
      <c r="DO13" s="20"/>
      <c r="EC13" s="20"/>
      <c r="EJ13" s="20"/>
      <c r="EQ13" s="20"/>
      <c r="EX13" s="20"/>
      <c r="FS13" s="20"/>
      <c r="FZ13" s="20"/>
      <c r="GG13" s="20"/>
      <c r="GN13" s="20"/>
      <c r="GU13" s="20"/>
      <c r="HB13" s="20"/>
      <c r="HI13" s="20"/>
      <c r="HP13" s="20"/>
      <c r="HW13" s="20"/>
      <c r="ID13" s="20"/>
      <c r="IK13" s="20"/>
      <c r="IR13" s="20"/>
      <c r="IY13" s="20"/>
      <c r="JF13" s="20"/>
      <c r="JM13" s="20"/>
      <c r="JT13" s="20"/>
      <c r="MU13" s="20"/>
      <c r="MV13" s="20"/>
      <c r="MW13" s="20"/>
      <c r="MX13" s="7"/>
    </row>
    <row r="14" spans="1:367">
      <c r="G14" s="20"/>
      <c r="N14" s="20"/>
      <c r="U14" s="20"/>
      <c r="AB14" s="22"/>
      <c r="AG14" s="7"/>
      <c r="AI14" s="20"/>
      <c r="AP14" s="80"/>
      <c r="AX14" s="20"/>
      <c r="BD14" s="20"/>
      <c r="BK14" s="20"/>
      <c r="BY14" s="20"/>
      <c r="CF14" s="20"/>
      <c r="CM14" s="20"/>
      <c r="CT14" s="20"/>
      <c r="DA14" s="20"/>
      <c r="DH14" s="20"/>
      <c r="DO14" s="20"/>
      <c r="EC14" s="20"/>
      <c r="EJ14" s="20"/>
      <c r="EQ14" s="20"/>
      <c r="EX14" s="20"/>
      <c r="FS14" s="20"/>
      <c r="FZ14" s="20"/>
      <c r="GG14" s="20"/>
      <c r="GN14" s="20"/>
      <c r="GU14" s="20"/>
      <c r="HB14" s="20"/>
      <c r="HI14" s="20"/>
      <c r="HP14" s="20"/>
      <c r="HW14" s="20"/>
      <c r="ID14" s="20"/>
      <c r="IK14" s="20"/>
      <c r="IR14" s="20"/>
      <c r="IY14" s="20"/>
      <c r="JF14" s="20"/>
      <c r="JM14" s="20"/>
      <c r="JT14" s="20"/>
      <c r="MU14" s="20"/>
      <c r="MV14" s="20"/>
      <c r="MW14" s="20"/>
      <c r="MX14" s="7"/>
    </row>
    <row r="15" spans="1:367">
      <c r="AG15" s="7"/>
      <c r="AX15" s="20"/>
      <c r="BY15" s="20"/>
      <c r="HP15" s="80"/>
      <c r="HW15" s="20"/>
      <c r="HX15" s="20"/>
      <c r="HY15" s="7"/>
      <c r="MW15" s="20"/>
      <c r="MX15" s="47"/>
    </row>
    <row r="16" spans="1:367">
      <c r="P16" s="22"/>
      <c r="V16" s="7"/>
      <c r="AG16" s="7"/>
      <c r="HW16" s="20"/>
      <c r="HX16" s="20"/>
      <c r="HY16" s="7"/>
      <c r="MV16" s="20"/>
      <c r="MW16" s="20"/>
      <c r="MX16" s="47"/>
    </row>
    <row r="17" spans="16:362">
      <c r="P17" s="22"/>
      <c r="V17" s="7"/>
      <c r="Y17" s="21"/>
      <c r="HW17" s="80"/>
      <c r="HX17" s="80"/>
      <c r="HY17" s="7"/>
      <c r="MW17" s="20"/>
      <c r="MX17" s="47"/>
    </row>
    <row r="18" spans="16:362">
      <c r="P18" s="22"/>
      <c r="V18" s="7"/>
      <c r="Y18" s="21"/>
      <c r="HY18" s="7"/>
      <c r="IA18" s="20"/>
      <c r="IB18" s="20"/>
      <c r="MW18" s="20"/>
      <c r="MX18" s="7"/>
    </row>
    <row r="19" spans="16:362">
      <c r="P19" s="22"/>
      <c r="V19" s="7"/>
      <c r="Y19" s="21"/>
      <c r="EK19" s="7"/>
      <c r="HW19" s="31"/>
      <c r="HX19" s="31"/>
      <c r="HY19" s="7"/>
      <c r="IA19" s="20"/>
      <c r="IB19" s="80"/>
      <c r="MW19" s="20"/>
      <c r="MX19" s="47"/>
    </row>
    <row r="20" spans="16:362">
      <c r="P20" s="22"/>
      <c r="V20" s="7"/>
      <c r="Y20" s="21"/>
      <c r="HY20" s="7"/>
      <c r="IA20" s="80"/>
      <c r="MW20" s="20"/>
      <c r="MX20" s="47"/>
    </row>
    <row r="21" spans="16:362">
      <c r="P21" s="22"/>
      <c r="V21" s="7"/>
      <c r="Y21" s="21"/>
      <c r="HY21" s="7"/>
      <c r="MW21" s="20"/>
      <c r="MX21" s="47"/>
    </row>
    <row r="22" spans="16:362">
      <c r="P22" s="22"/>
      <c r="V22" s="7"/>
      <c r="Y22" s="21"/>
      <c r="IC22" s="20"/>
      <c r="MW22" s="20"/>
      <c r="MX22" s="47"/>
    </row>
    <row r="23" spans="16:362">
      <c r="P23" s="22"/>
      <c r="V23" s="7"/>
      <c r="Y23" s="21"/>
      <c r="IB23" s="103"/>
      <c r="IC23" s="103"/>
      <c r="ID23" s="103"/>
      <c r="IE23" s="103"/>
      <c r="IF23" s="103"/>
      <c r="IG23" s="103"/>
      <c r="IH23" s="103"/>
      <c r="MW23" s="20"/>
      <c r="MX23" s="47"/>
    </row>
    <row r="24" spans="16:362">
      <c r="P24" s="22"/>
      <c r="V24" s="7"/>
      <c r="Y24" s="21"/>
      <c r="MW24" s="20"/>
      <c r="MX24" s="47"/>
    </row>
    <row r="25" spans="16:362">
      <c r="MW25" s="20"/>
      <c r="MX25" s="47"/>
    </row>
    <row r="26" spans="16:362">
      <c r="MW26" s="20"/>
      <c r="MX26" s="47"/>
    </row>
    <row r="27" spans="16:362">
      <c r="MW27" s="20"/>
      <c r="MX27" s="47"/>
    </row>
    <row r="28" spans="16:362">
      <c r="MW28" s="20"/>
      <c r="MX28" s="47"/>
    </row>
    <row r="29" spans="16:362">
      <c r="MW29" s="20"/>
      <c r="MX29" s="47"/>
    </row>
    <row r="30" spans="16:362">
      <c r="MW30" s="20"/>
      <c r="MX30" s="47"/>
    </row>
  </sheetData>
  <phoneticPr fontId="6" type="noConversion"/>
  <pageMargins left="0.7" right="0.7" top="0.75" bottom="0.75" header="0.3" footer="0.3"/>
  <pageSetup paperSize="256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73A9C-D52D-46AF-9E5F-56AD9590611C}">
  <dimension ref="A1:NC30"/>
  <sheetViews>
    <sheetView showGridLines="0" topLeftCell="HU1" zoomScaleNormal="100" workbookViewId="0">
      <selection activeCell="IC19" sqref="IC19"/>
    </sheetView>
  </sheetViews>
  <sheetFormatPr defaultColWidth="8.88671875" defaultRowHeight="14.4"/>
  <cols>
    <col min="1" max="1" width="12.44140625" style="8" bestFit="1" customWidth="1"/>
    <col min="2" max="2" width="23.6640625" style="8" bestFit="1" customWidth="1"/>
    <col min="3" max="3" width="11.44140625" style="8" customWidth="1"/>
    <col min="4" max="4" width="11.33203125" style="8" customWidth="1"/>
    <col min="5" max="5" width="12.33203125" style="8" customWidth="1"/>
    <col min="6" max="6" width="12" style="8" customWidth="1"/>
    <col min="7" max="7" width="11.5546875" style="8" customWidth="1"/>
    <col min="8" max="9" width="11.33203125" style="8" customWidth="1"/>
    <col min="10" max="10" width="11.5546875" style="8" customWidth="1"/>
    <col min="11" max="11" width="11.44140625" style="8" customWidth="1"/>
    <col min="12" max="12" width="12.44140625" style="8" customWidth="1"/>
    <col min="13" max="13" width="12.109375" style="8" customWidth="1"/>
    <col min="14" max="14" width="11.44140625" style="8" customWidth="1"/>
    <col min="15" max="15" width="11.88671875" style="8" customWidth="1"/>
    <col min="16" max="16" width="11.5546875" style="8" customWidth="1"/>
    <col min="17" max="18" width="12" style="8" customWidth="1"/>
    <col min="19" max="19" width="13.109375" style="8" customWidth="1"/>
    <col min="20" max="20" width="12.6640625" style="8" customWidth="1"/>
    <col min="21" max="21" width="12.109375" style="8" customWidth="1"/>
    <col min="22" max="22" width="11.88671875" style="8" customWidth="1"/>
    <col min="23" max="23" width="11.5546875" style="8" customWidth="1"/>
    <col min="24" max="25" width="12" style="8" customWidth="1"/>
    <col min="26" max="26" width="13.109375" style="8" customWidth="1"/>
    <col min="27" max="27" width="12.6640625" style="8" customWidth="1"/>
    <col min="28" max="28" width="12.109375" style="8" customWidth="1"/>
    <col min="29" max="29" width="11.88671875" style="8" customWidth="1"/>
    <col min="30" max="30" width="11.5546875" style="8" customWidth="1"/>
    <col min="31" max="32" width="12" style="8" customWidth="1"/>
    <col min="33" max="33" width="13.109375" style="8" customWidth="1"/>
    <col min="34" max="34" width="12.6640625" style="8" customWidth="1"/>
    <col min="35" max="35" width="12.109375" style="8" customWidth="1"/>
    <col min="36" max="36" width="11.88671875" style="8" customWidth="1"/>
    <col min="37" max="37" width="11.5546875" style="8" customWidth="1"/>
    <col min="38" max="39" width="12" style="8" customWidth="1"/>
    <col min="40" max="40" width="13.109375" style="8" customWidth="1"/>
    <col min="41" max="41" width="12.6640625" style="8" customWidth="1"/>
    <col min="42" max="42" width="12.109375" style="8" customWidth="1"/>
    <col min="43" max="43" width="11.88671875" style="8" customWidth="1"/>
    <col min="44" max="44" width="11.5546875" style="8" customWidth="1"/>
    <col min="45" max="46" width="12" style="8" customWidth="1"/>
    <col min="47" max="47" width="13.109375" style="8" customWidth="1"/>
    <col min="48" max="48" width="12.6640625" style="8" customWidth="1"/>
    <col min="49" max="49" width="12.109375" style="8" customWidth="1"/>
    <col min="50" max="50" width="11.88671875" style="8" customWidth="1"/>
    <col min="51" max="51" width="11.5546875" style="8" customWidth="1"/>
    <col min="52" max="53" width="12" style="8" customWidth="1"/>
    <col min="54" max="54" width="13.109375" style="8" customWidth="1"/>
    <col min="55" max="55" width="12.6640625" style="8" customWidth="1"/>
    <col min="56" max="56" width="12.109375" style="8" customWidth="1"/>
    <col min="57" max="57" width="11.88671875" style="8" customWidth="1"/>
    <col min="58" max="58" width="11.5546875" style="8" customWidth="1"/>
    <col min="59" max="60" width="12" style="8" customWidth="1"/>
    <col min="61" max="61" width="13.109375" style="8" customWidth="1"/>
    <col min="62" max="62" width="12.6640625" style="8" customWidth="1"/>
    <col min="63" max="63" width="12.109375" style="8" customWidth="1"/>
    <col min="64" max="64" width="13" style="8" customWidth="1"/>
    <col min="65" max="65" width="12.6640625" style="8" customWidth="1"/>
    <col min="66" max="67" width="13.109375" style="8" customWidth="1"/>
    <col min="68" max="68" width="14.21875" style="8" customWidth="1"/>
    <col min="69" max="69" width="13.77734375" style="8" customWidth="1"/>
    <col min="70" max="70" width="13.21875" style="8" customWidth="1"/>
    <col min="71" max="71" width="13" style="8" customWidth="1"/>
    <col min="72" max="72" width="12.6640625" style="8" customWidth="1"/>
    <col min="73" max="74" width="13.109375" style="8" customWidth="1"/>
    <col min="75" max="75" width="14.21875" style="8" customWidth="1"/>
    <col min="76" max="76" width="13.77734375" style="8" customWidth="1"/>
    <col min="77" max="77" width="13.21875" style="8" customWidth="1"/>
    <col min="78" max="78" width="13" style="8" customWidth="1"/>
    <col min="79" max="79" width="12.6640625" style="8" customWidth="1"/>
    <col min="80" max="81" width="13.109375" style="8" customWidth="1"/>
    <col min="82" max="82" width="14.21875" style="8" customWidth="1"/>
    <col min="83" max="83" width="13.77734375" style="8" customWidth="1"/>
    <col min="84" max="84" width="13.21875" style="8" customWidth="1"/>
    <col min="85" max="85" width="13" style="8" customWidth="1"/>
    <col min="86" max="86" width="12.6640625" style="8" customWidth="1"/>
    <col min="87" max="88" width="13.109375" style="8" customWidth="1"/>
    <col min="89" max="89" width="14.21875" style="8" customWidth="1"/>
    <col min="90" max="90" width="13.77734375" style="8" customWidth="1"/>
    <col min="91" max="91" width="13.21875" style="8" customWidth="1"/>
    <col min="92" max="92" width="13" style="8" customWidth="1"/>
    <col min="93" max="93" width="12.6640625" style="8" customWidth="1"/>
    <col min="94" max="95" width="13.109375" style="8" customWidth="1"/>
    <col min="96" max="96" width="14.21875" style="8" customWidth="1"/>
    <col min="97" max="97" width="13.77734375" style="8" customWidth="1"/>
    <col min="98" max="98" width="13.21875" style="8" customWidth="1"/>
    <col min="99" max="99" width="13" style="8" customWidth="1"/>
    <col min="100" max="100" width="12.6640625" style="8" customWidth="1"/>
    <col min="101" max="102" width="13.109375" style="8" customWidth="1"/>
    <col min="103" max="103" width="14.21875" style="8" customWidth="1"/>
    <col min="104" max="104" width="13.77734375" style="8" customWidth="1"/>
    <col min="105" max="105" width="13.21875" style="8" customWidth="1"/>
    <col min="106" max="106" width="13" style="8" customWidth="1"/>
    <col min="107" max="107" width="12.6640625" style="8" customWidth="1"/>
    <col min="108" max="109" width="13.109375" style="8" customWidth="1"/>
    <col min="110" max="110" width="14.21875" style="8" customWidth="1"/>
    <col min="111" max="111" width="13.77734375" style="8" customWidth="1"/>
    <col min="112" max="112" width="13.21875" style="8" customWidth="1"/>
    <col min="113" max="113" width="13" style="8" customWidth="1"/>
    <col min="114" max="114" width="12.6640625" style="8" customWidth="1"/>
    <col min="115" max="116" width="13.109375" style="8" customWidth="1"/>
    <col min="117" max="117" width="14.21875" style="8" customWidth="1"/>
    <col min="118" max="118" width="13.77734375" style="8" customWidth="1"/>
    <col min="119" max="119" width="13.21875" style="8" customWidth="1"/>
    <col min="120" max="120" width="13" style="8" customWidth="1"/>
    <col min="121" max="121" width="12.6640625" style="8" customWidth="1"/>
    <col min="122" max="123" width="13.109375" style="8" customWidth="1"/>
    <col min="124" max="124" width="14.21875" style="8" customWidth="1"/>
    <col min="125" max="125" width="13.77734375" style="8" customWidth="1"/>
    <col min="126" max="126" width="13.21875" style="8" customWidth="1"/>
    <col min="127" max="127" width="13" style="8" customWidth="1"/>
    <col min="128" max="128" width="12.6640625" style="8" customWidth="1"/>
    <col min="129" max="130" width="13.109375" style="8" customWidth="1"/>
    <col min="131" max="131" width="14.21875" style="8" customWidth="1"/>
    <col min="132" max="132" width="13.77734375" style="8" customWidth="1"/>
    <col min="133" max="133" width="13.21875" style="8" customWidth="1"/>
    <col min="134" max="134" width="13" style="8" customWidth="1"/>
    <col min="135" max="135" width="12.6640625" style="8" customWidth="1"/>
    <col min="136" max="137" width="13.109375" style="8" customWidth="1"/>
    <col min="138" max="138" width="14.21875" style="8" customWidth="1"/>
    <col min="139" max="139" width="13.77734375" style="8" customWidth="1"/>
    <col min="140" max="140" width="13.21875" style="8" customWidth="1"/>
    <col min="141" max="141" width="13" style="8" customWidth="1"/>
    <col min="142" max="142" width="12.6640625" style="8" customWidth="1"/>
    <col min="143" max="144" width="13.109375" style="8" customWidth="1"/>
    <col min="145" max="145" width="14.21875" style="8" customWidth="1"/>
    <col min="146" max="146" width="13.77734375" style="8" customWidth="1"/>
    <col min="147" max="147" width="13.21875" style="8" customWidth="1"/>
    <col min="148" max="148" width="13" style="8" customWidth="1"/>
    <col min="149" max="149" width="12.6640625" style="8" customWidth="1"/>
    <col min="150" max="151" width="13.109375" style="8" customWidth="1"/>
    <col min="152" max="152" width="14.21875" style="8" customWidth="1"/>
    <col min="153" max="153" width="13.77734375" style="8" customWidth="1"/>
    <col min="154" max="154" width="13.21875" style="8" customWidth="1"/>
    <col min="155" max="155" width="13" style="8" customWidth="1"/>
    <col min="156" max="156" width="12.6640625" style="8" customWidth="1"/>
    <col min="157" max="158" width="13.109375" style="8" customWidth="1"/>
    <col min="159" max="159" width="14.21875" style="8" customWidth="1"/>
    <col min="160" max="160" width="13.77734375" style="8" customWidth="1"/>
    <col min="161" max="161" width="13.21875" style="8" customWidth="1"/>
    <col min="162" max="162" width="13" style="8" customWidth="1"/>
    <col min="163" max="163" width="12.6640625" style="8" customWidth="1"/>
    <col min="164" max="165" width="13.109375" style="8" customWidth="1"/>
    <col min="166" max="166" width="14.21875" style="8" customWidth="1"/>
    <col min="167" max="167" width="13.77734375" style="8" customWidth="1"/>
    <col min="168" max="168" width="13.21875" style="8" customWidth="1"/>
    <col min="169" max="169" width="13" style="8" customWidth="1"/>
    <col min="170" max="170" width="12.6640625" style="8" customWidth="1"/>
    <col min="171" max="172" width="13.109375" style="8" customWidth="1"/>
    <col min="173" max="173" width="14.21875" style="8" customWidth="1"/>
    <col min="174" max="174" width="13.77734375" style="8" customWidth="1"/>
    <col min="175" max="175" width="13.21875" style="8" customWidth="1"/>
    <col min="176" max="176" width="13" style="8" customWidth="1"/>
    <col min="177" max="177" width="12.6640625" style="8" customWidth="1"/>
    <col min="178" max="179" width="13.109375" style="8" customWidth="1"/>
    <col min="180" max="180" width="14.21875" style="8" customWidth="1"/>
    <col min="181" max="181" width="13.77734375" style="8" customWidth="1"/>
    <col min="182" max="182" width="13.21875" style="8" customWidth="1"/>
    <col min="183" max="183" width="13" style="8" customWidth="1"/>
    <col min="184" max="184" width="12.6640625" style="8" customWidth="1"/>
    <col min="185" max="186" width="13.109375" style="8" customWidth="1"/>
    <col min="187" max="187" width="14.21875" style="8" customWidth="1"/>
    <col min="188" max="188" width="13.77734375" style="8" customWidth="1"/>
    <col min="189" max="189" width="13.21875" style="8" customWidth="1"/>
    <col min="190" max="190" width="13" style="8" customWidth="1"/>
    <col min="191" max="191" width="12.6640625" style="8" customWidth="1"/>
    <col min="192" max="193" width="13.109375" style="8" customWidth="1"/>
    <col min="194" max="194" width="14.21875" style="8" customWidth="1"/>
    <col min="195" max="195" width="13.77734375" style="8" customWidth="1"/>
    <col min="196" max="196" width="13.21875" style="8" customWidth="1"/>
    <col min="197" max="197" width="13" style="8" customWidth="1"/>
    <col min="198" max="198" width="12.6640625" style="8" customWidth="1"/>
    <col min="199" max="200" width="13.109375" style="8" customWidth="1"/>
    <col min="201" max="201" width="14.21875" style="8" customWidth="1"/>
    <col min="202" max="202" width="13.77734375" style="8" customWidth="1"/>
    <col min="203" max="203" width="13.21875" style="8" customWidth="1"/>
    <col min="204" max="204" width="13" style="8" customWidth="1"/>
    <col min="205" max="205" width="12.6640625" style="8" customWidth="1"/>
    <col min="206" max="207" width="13.109375" style="8" customWidth="1"/>
    <col min="208" max="208" width="14.21875" style="8" customWidth="1"/>
    <col min="209" max="209" width="13.77734375" style="8" customWidth="1"/>
    <col min="210" max="210" width="13.21875" style="8" customWidth="1"/>
    <col min="211" max="211" width="13" style="8" customWidth="1"/>
    <col min="212" max="212" width="12.6640625" style="8" customWidth="1"/>
    <col min="213" max="214" width="13.109375" style="8" customWidth="1"/>
    <col min="215" max="215" width="14.21875" style="8" customWidth="1"/>
    <col min="216" max="216" width="13.77734375" style="8" customWidth="1"/>
    <col min="217" max="217" width="13.21875" style="8" customWidth="1"/>
    <col min="218" max="218" width="13" style="8" customWidth="1"/>
    <col min="219" max="219" width="12.6640625" style="8" customWidth="1"/>
    <col min="220" max="221" width="13.109375" style="8" customWidth="1"/>
    <col min="222" max="222" width="14.21875" style="8" customWidth="1"/>
    <col min="223" max="223" width="13.77734375" style="8" customWidth="1"/>
    <col min="224" max="224" width="13.21875" style="8" customWidth="1"/>
    <col min="225" max="225" width="13" style="8" customWidth="1"/>
    <col min="226" max="226" width="12.6640625" style="8" customWidth="1"/>
    <col min="227" max="228" width="13.109375" style="8" customWidth="1"/>
    <col min="229" max="229" width="14.21875" style="8" customWidth="1"/>
    <col min="230" max="230" width="13.77734375" style="8" customWidth="1"/>
    <col min="231" max="231" width="13.21875" style="8" customWidth="1"/>
    <col min="232" max="232" width="13" style="8" customWidth="1"/>
    <col min="233" max="233" width="12.6640625" style="8" customWidth="1"/>
    <col min="234" max="235" width="13.109375" style="8" customWidth="1"/>
    <col min="236" max="236" width="14.21875" style="8" customWidth="1"/>
    <col min="237" max="237" width="13.77734375" style="8" customWidth="1"/>
    <col min="238" max="238" width="13.21875" style="8" customWidth="1"/>
    <col min="239" max="239" width="13" style="8" customWidth="1"/>
    <col min="240" max="240" width="12.6640625" style="8" customWidth="1"/>
    <col min="241" max="242" width="13.109375" style="8" customWidth="1"/>
    <col min="243" max="243" width="14.21875" style="8" customWidth="1"/>
    <col min="244" max="244" width="13.77734375" style="8" customWidth="1"/>
    <col min="245" max="245" width="13.21875" style="8" customWidth="1"/>
    <col min="246" max="246" width="13" style="8" customWidth="1"/>
    <col min="247" max="247" width="12.6640625" style="8" customWidth="1"/>
    <col min="248" max="249" width="13.109375" style="8" customWidth="1"/>
    <col min="250" max="250" width="14.21875" style="8" customWidth="1"/>
    <col min="251" max="251" width="13.77734375" style="8" customWidth="1"/>
    <col min="252" max="252" width="13.21875" style="8" customWidth="1"/>
    <col min="253" max="253" width="13" style="8" customWidth="1"/>
    <col min="254" max="254" width="12.6640625" style="8" customWidth="1"/>
    <col min="255" max="256" width="13.109375" style="8" customWidth="1"/>
    <col min="257" max="257" width="14.21875" style="8" customWidth="1"/>
    <col min="258" max="258" width="13.77734375" style="8" customWidth="1"/>
    <col min="259" max="259" width="13.21875" style="8" customWidth="1"/>
    <col min="260" max="260" width="13" style="8" customWidth="1"/>
    <col min="261" max="261" width="12.6640625" style="8" customWidth="1"/>
    <col min="262" max="263" width="13.109375" style="8" customWidth="1"/>
    <col min="264" max="264" width="14.21875" style="8" customWidth="1"/>
    <col min="265" max="265" width="13.77734375" style="8" customWidth="1"/>
    <col min="266" max="266" width="13.21875" style="8" customWidth="1"/>
    <col min="267" max="267" width="13" style="8" customWidth="1"/>
    <col min="268" max="268" width="12.6640625" style="8" customWidth="1"/>
    <col min="269" max="270" width="13.109375" style="8" customWidth="1"/>
    <col min="271" max="271" width="14.21875" style="8" customWidth="1"/>
    <col min="272" max="272" width="13.77734375" style="8" customWidth="1"/>
    <col min="273" max="273" width="13.21875" style="8" customWidth="1"/>
    <col min="274" max="274" width="13" style="8" customWidth="1"/>
    <col min="275" max="275" width="12.6640625" style="8" customWidth="1"/>
    <col min="276" max="277" width="13.109375" style="8" customWidth="1"/>
    <col min="278" max="278" width="14.21875" style="8" customWidth="1"/>
    <col min="279" max="279" width="13.77734375" style="8" customWidth="1"/>
    <col min="280" max="280" width="13.21875" style="8" customWidth="1"/>
    <col min="281" max="281" width="13" style="8" customWidth="1"/>
    <col min="282" max="282" width="12.6640625" style="8" customWidth="1"/>
    <col min="283" max="284" width="13.109375" style="8" customWidth="1"/>
    <col min="285" max="285" width="14.21875" style="8" customWidth="1"/>
    <col min="286" max="286" width="13.77734375" style="8" customWidth="1"/>
    <col min="287" max="287" width="13.21875" style="8" customWidth="1"/>
    <col min="288" max="288" width="13" style="8" customWidth="1"/>
    <col min="289" max="289" width="12.6640625" style="8" customWidth="1"/>
    <col min="290" max="291" width="13.109375" style="8" customWidth="1"/>
    <col min="292" max="292" width="14.21875" style="8" customWidth="1"/>
    <col min="293" max="293" width="13.77734375" style="8" customWidth="1"/>
    <col min="294" max="294" width="13.21875" style="8" customWidth="1"/>
    <col min="295" max="295" width="13" style="8" customWidth="1"/>
    <col min="296" max="296" width="12.6640625" style="8" customWidth="1"/>
    <col min="297" max="298" width="13.109375" style="8" customWidth="1"/>
    <col min="299" max="299" width="14.21875" style="8" customWidth="1"/>
    <col min="300" max="300" width="13.77734375" style="8" customWidth="1"/>
    <col min="301" max="301" width="13.21875" style="8" customWidth="1"/>
    <col min="302" max="302" width="13" style="8" customWidth="1"/>
    <col min="303" max="303" width="12.6640625" style="8" customWidth="1"/>
    <col min="304" max="305" width="13.109375" style="8" customWidth="1"/>
    <col min="306" max="306" width="14.21875" style="8" customWidth="1"/>
    <col min="307" max="307" width="13.77734375" style="8" customWidth="1"/>
    <col min="308" max="308" width="13.21875" style="8" customWidth="1"/>
    <col min="309" max="309" width="13" style="8" customWidth="1"/>
    <col min="310" max="310" width="12.6640625" style="8" customWidth="1"/>
    <col min="311" max="312" width="13.109375" style="8" customWidth="1"/>
    <col min="313" max="313" width="14.21875" style="8" customWidth="1"/>
    <col min="314" max="314" width="13.77734375" style="8" customWidth="1"/>
    <col min="315" max="315" width="13.21875" style="8" customWidth="1"/>
    <col min="316" max="316" width="13" style="8" customWidth="1"/>
    <col min="317" max="317" width="12.6640625" style="8" customWidth="1"/>
    <col min="318" max="319" width="13.109375" style="8" customWidth="1"/>
    <col min="320" max="320" width="14.21875" style="8" customWidth="1"/>
    <col min="321" max="321" width="13.77734375" style="8" customWidth="1"/>
    <col min="322" max="322" width="13.21875" style="8" customWidth="1"/>
    <col min="323" max="323" width="13" style="8" customWidth="1"/>
    <col min="324" max="324" width="12.6640625" style="8" customWidth="1"/>
    <col min="325" max="326" width="13.109375" style="8" customWidth="1"/>
    <col min="327" max="327" width="14.21875" style="8" customWidth="1"/>
    <col min="328" max="328" width="13.77734375" style="8" customWidth="1"/>
    <col min="329" max="329" width="13.21875" style="8" customWidth="1"/>
    <col min="330" max="330" width="13" style="8" bestFit="1" customWidth="1"/>
    <col min="331" max="331" width="12.6640625" style="8" bestFit="1" customWidth="1"/>
    <col min="332" max="333" width="13.109375" style="8" bestFit="1" customWidth="1"/>
    <col min="334" max="334" width="14.21875" style="8" bestFit="1" customWidth="1"/>
    <col min="335" max="335" width="13.77734375" style="8" bestFit="1" customWidth="1"/>
    <col min="336" max="336" width="13.21875" style="8" bestFit="1" customWidth="1"/>
    <col min="337" max="337" width="13" style="8" bestFit="1" customWidth="1"/>
    <col min="338" max="338" width="12.6640625" style="8" bestFit="1" customWidth="1"/>
    <col min="339" max="340" width="13.109375" style="8" bestFit="1" customWidth="1"/>
    <col min="341" max="341" width="14.21875" style="8" bestFit="1" customWidth="1"/>
    <col min="342" max="342" width="13.77734375" style="8" bestFit="1" customWidth="1"/>
    <col min="343" max="343" width="13.21875" style="8" bestFit="1" customWidth="1"/>
    <col min="344" max="344" width="13" style="8" bestFit="1" customWidth="1"/>
    <col min="345" max="345" width="12.6640625" style="8" bestFit="1" customWidth="1"/>
    <col min="346" max="347" width="13.109375" style="8" bestFit="1" customWidth="1"/>
    <col min="348" max="348" width="14.21875" style="8" bestFit="1" customWidth="1"/>
    <col min="349" max="349" width="13.77734375" style="8" bestFit="1" customWidth="1"/>
    <col min="350" max="350" width="13.21875" style="8" bestFit="1" customWidth="1"/>
    <col min="351" max="351" width="13" style="8" bestFit="1" customWidth="1"/>
    <col min="352" max="352" width="12.6640625" style="8" bestFit="1" customWidth="1"/>
    <col min="353" max="354" width="13.109375" style="8" bestFit="1" customWidth="1"/>
    <col min="355" max="355" width="14.21875" style="8" bestFit="1" customWidth="1"/>
    <col min="356" max="356" width="13.77734375" style="8" bestFit="1" customWidth="1"/>
    <col min="357" max="357" width="13.21875" style="8" bestFit="1" customWidth="1"/>
    <col min="358" max="358" width="13" style="8" bestFit="1" customWidth="1"/>
    <col min="359" max="359" width="12.6640625" style="8" bestFit="1" customWidth="1"/>
    <col min="360" max="361" width="13.109375" style="8" bestFit="1" customWidth="1"/>
    <col min="362" max="362" width="14.21875" style="8" bestFit="1" customWidth="1"/>
    <col min="363" max="363" width="13.77734375" style="8" bestFit="1" customWidth="1"/>
    <col min="364" max="364" width="13.21875" style="8" bestFit="1" customWidth="1"/>
    <col min="365" max="365" width="11.88671875" style="8" bestFit="1" customWidth="1"/>
    <col min="366" max="366" width="11.5546875" style="8" bestFit="1" customWidth="1"/>
    <col min="367" max="367" width="12" style="8" bestFit="1" customWidth="1"/>
    <col min="368" max="16384" width="8.88671875" style="8"/>
  </cols>
  <sheetData>
    <row r="1" spans="1:367">
      <c r="A1" s="10" t="s">
        <v>57</v>
      </c>
      <c r="B1" s="10" t="s">
        <v>56</v>
      </c>
      <c r="C1" s="11">
        <v>45658</v>
      </c>
      <c r="D1" s="11">
        <v>45659</v>
      </c>
      <c r="E1" s="11">
        <v>45660</v>
      </c>
      <c r="F1" s="11">
        <v>45661</v>
      </c>
      <c r="G1" s="11">
        <v>45662</v>
      </c>
      <c r="H1" s="11">
        <v>45663</v>
      </c>
      <c r="I1" s="11">
        <v>45664</v>
      </c>
      <c r="J1" s="11">
        <v>45665</v>
      </c>
      <c r="K1" s="11">
        <v>45666</v>
      </c>
      <c r="L1" s="11">
        <v>45667</v>
      </c>
      <c r="M1" s="11">
        <v>45668</v>
      </c>
      <c r="N1" s="11">
        <v>45669</v>
      </c>
      <c r="O1" s="11">
        <v>45670</v>
      </c>
      <c r="P1" s="11">
        <v>45671</v>
      </c>
      <c r="Q1" s="11">
        <v>45672</v>
      </c>
      <c r="R1" s="11">
        <v>45673</v>
      </c>
      <c r="S1" s="11">
        <v>45674</v>
      </c>
      <c r="T1" s="11">
        <v>45675</v>
      </c>
      <c r="U1" s="11">
        <v>45676</v>
      </c>
      <c r="V1" s="11">
        <v>45677</v>
      </c>
      <c r="W1" s="11">
        <v>45678</v>
      </c>
      <c r="X1" s="11">
        <v>45679</v>
      </c>
      <c r="Y1" s="11">
        <v>45680</v>
      </c>
      <c r="Z1" s="11">
        <v>45681</v>
      </c>
      <c r="AA1" s="11">
        <v>45682</v>
      </c>
      <c r="AB1" s="11">
        <v>45683</v>
      </c>
      <c r="AC1" s="11">
        <v>45684</v>
      </c>
      <c r="AD1" s="11">
        <v>45685</v>
      </c>
      <c r="AE1" s="11">
        <v>45686</v>
      </c>
      <c r="AF1" s="11">
        <v>45687</v>
      </c>
      <c r="AG1" s="11">
        <v>45688</v>
      </c>
      <c r="AH1" s="11">
        <v>45689</v>
      </c>
      <c r="AI1" s="11">
        <v>45690</v>
      </c>
      <c r="AJ1" s="11">
        <v>45691</v>
      </c>
      <c r="AK1" s="11">
        <v>45692</v>
      </c>
      <c r="AL1" s="11">
        <v>45693</v>
      </c>
      <c r="AM1" s="11">
        <v>45694</v>
      </c>
      <c r="AN1" s="11">
        <v>45695</v>
      </c>
      <c r="AO1" s="11">
        <v>45696</v>
      </c>
      <c r="AP1" s="11">
        <v>45697</v>
      </c>
      <c r="AQ1" s="11">
        <v>45698</v>
      </c>
      <c r="AR1" s="11">
        <v>45699</v>
      </c>
      <c r="AS1" s="11">
        <v>45700</v>
      </c>
      <c r="AT1" s="11">
        <v>45701</v>
      </c>
      <c r="AU1" s="11">
        <v>45702</v>
      </c>
      <c r="AV1" s="11">
        <v>45703</v>
      </c>
      <c r="AW1" s="11">
        <v>45704</v>
      </c>
      <c r="AX1" s="11">
        <v>45705</v>
      </c>
      <c r="AY1" s="11">
        <v>45706</v>
      </c>
      <c r="AZ1" s="11">
        <v>45707</v>
      </c>
      <c r="BA1" s="11">
        <v>45708</v>
      </c>
      <c r="BB1" s="11">
        <v>45709</v>
      </c>
      <c r="BC1" s="11">
        <v>45710</v>
      </c>
      <c r="BD1" s="11">
        <v>45711</v>
      </c>
      <c r="BE1" s="11">
        <v>45712</v>
      </c>
      <c r="BF1" s="11">
        <v>45713</v>
      </c>
      <c r="BG1" s="11">
        <v>45714</v>
      </c>
      <c r="BH1" s="11">
        <v>45715</v>
      </c>
      <c r="BI1" s="11">
        <v>45716</v>
      </c>
      <c r="BJ1" s="11">
        <v>45717</v>
      </c>
      <c r="BK1" s="11">
        <v>45718</v>
      </c>
      <c r="BL1" s="11">
        <v>45719</v>
      </c>
      <c r="BM1" s="11">
        <v>45720</v>
      </c>
      <c r="BN1" s="11">
        <v>45721</v>
      </c>
      <c r="BO1" s="11">
        <v>45722</v>
      </c>
      <c r="BP1" s="11">
        <v>45723</v>
      </c>
      <c r="BQ1" s="11">
        <v>45724</v>
      </c>
      <c r="BR1" s="11">
        <v>45725</v>
      </c>
      <c r="BS1" s="11">
        <v>45726</v>
      </c>
      <c r="BT1" s="11">
        <v>45727</v>
      </c>
      <c r="BU1" s="11">
        <v>45728</v>
      </c>
      <c r="BV1" s="11">
        <v>45729</v>
      </c>
      <c r="BW1" s="11">
        <v>45730</v>
      </c>
      <c r="BX1" s="11">
        <v>45731</v>
      </c>
      <c r="BY1" s="11">
        <v>45732</v>
      </c>
      <c r="BZ1" s="11">
        <v>45733</v>
      </c>
      <c r="CA1" s="11">
        <v>45734</v>
      </c>
      <c r="CB1" s="11">
        <v>45735</v>
      </c>
      <c r="CC1" s="11">
        <v>45736</v>
      </c>
      <c r="CD1" s="11">
        <v>45737</v>
      </c>
      <c r="CE1" s="11">
        <v>45738</v>
      </c>
      <c r="CF1" s="11">
        <v>45739</v>
      </c>
      <c r="CG1" s="11">
        <v>45740</v>
      </c>
      <c r="CH1" s="11">
        <v>45741</v>
      </c>
      <c r="CI1" s="11">
        <v>45742</v>
      </c>
      <c r="CJ1" s="11">
        <v>45743</v>
      </c>
      <c r="CK1" s="11">
        <v>45744</v>
      </c>
      <c r="CL1" s="11">
        <v>45745</v>
      </c>
      <c r="CM1" s="11">
        <v>45746</v>
      </c>
      <c r="CN1" s="11">
        <v>45747</v>
      </c>
      <c r="CO1" s="11">
        <v>45748</v>
      </c>
      <c r="CP1" s="11">
        <v>45749</v>
      </c>
      <c r="CQ1" s="11">
        <v>45750</v>
      </c>
      <c r="CR1" s="11">
        <v>45751</v>
      </c>
      <c r="CS1" s="11">
        <v>45752</v>
      </c>
      <c r="CT1" s="11">
        <v>45753</v>
      </c>
      <c r="CU1" s="11">
        <v>45754</v>
      </c>
      <c r="CV1" s="11">
        <v>45755</v>
      </c>
      <c r="CW1" s="11">
        <v>45756</v>
      </c>
      <c r="CX1" s="11">
        <v>45757</v>
      </c>
      <c r="CY1" s="11">
        <v>45758</v>
      </c>
      <c r="CZ1" s="11">
        <v>45759</v>
      </c>
      <c r="DA1" s="11">
        <v>45760</v>
      </c>
      <c r="DB1" s="11">
        <v>45761</v>
      </c>
      <c r="DC1" s="11">
        <v>45762</v>
      </c>
      <c r="DD1" s="11">
        <v>45763</v>
      </c>
      <c r="DE1" s="11">
        <v>45764</v>
      </c>
      <c r="DF1" s="11">
        <v>45765</v>
      </c>
      <c r="DG1" s="11">
        <v>45766</v>
      </c>
      <c r="DH1" s="11">
        <v>45767</v>
      </c>
      <c r="DI1" s="11">
        <v>45768</v>
      </c>
      <c r="DJ1" s="11">
        <v>45769</v>
      </c>
      <c r="DK1" s="11">
        <v>45770</v>
      </c>
      <c r="DL1" s="11">
        <v>45771</v>
      </c>
      <c r="DM1" s="11">
        <v>45772</v>
      </c>
      <c r="DN1" s="11">
        <v>45773</v>
      </c>
      <c r="DO1" s="11">
        <v>45774</v>
      </c>
      <c r="DP1" s="11">
        <v>45775</v>
      </c>
      <c r="DQ1" s="11">
        <v>45776</v>
      </c>
      <c r="DR1" s="11">
        <v>45777</v>
      </c>
      <c r="DS1" s="11">
        <v>45778</v>
      </c>
      <c r="DT1" s="11">
        <v>45779</v>
      </c>
      <c r="DU1" s="11">
        <v>45780</v>
      </c>
      <c r="DV1" s="11">
        <v>45781</v>
      </c>
      <c r="DW1" s="11">
        <v>45782</v>
      </c>
      <c r="DX1" s="11">
        <v>45783</v>
      </c>
      <c r="DY1" s="11">
        <v>45784</v>
      </c>
      <c r="DZ1" s="11">
        <v>45785</v>
      </c>
      <c r="EA1" s="11">
        <v>45786</v>
      </c>
      <c r="EB1" s="11">
        <v>45787</v>
      </c>
      <c r="EC1" s="11">
        <v>45788</v>
      </c>
      <c r="ED1" s="11">
        <v>45789</v>
      </c>
      <c r="EE1" s="11">
        <v>45790</v>
      </c>
      <c r="EF1" s="11">
        <v>45791</v>
      </c>
      <c r="EG1" s="11">
        <v>45792</v>
      </c>
      <c r="EH1" s="11">
        <v>45793</v>
      </c>
      <c r="EI1" s="11">
        <v>45794</v>
      </c>
      <c r="EJ1" s="11">
        <v>45795</v>
      </c>
      <c r="EK1" s="11">
        <v>45796</v>
      </c>
      <c r="EL1" s="11">
        <v>45797</v>
      </c>
      <c r="EM1" s="11">
        <v>45798</v>
      </c>
      <c r="EN1" s="11">
        <v>45799</v>
      </c>
      <c r="EO1" s="11">
        <v>45800</v>
      </c>
      <c r="EP1" s="11">
        <v>45801</v>
      </c>
      <c r="EQ1" s="11">
        <v>45802</v>
      </c>
      <c r="ER1" s="11">
        <v>45803</v>
      </c>
      <c r="ES1" s="11">
        <v>45804</v>
      </c>
      <c r="ET1" s="11">
        <v>45805</v>
      </c>
      <c r="EU1" s="11">
        <v>45806</v>
      </c>
      <c r="EV1" s="11">
        <v>45807</v>
      </c>
      <c r="EW1" s="11">
        <v>45808</v>
      </c>
      <c r="EX1" s="11">
        <v>45809</v>
      </c>
      <c r="EY1" s="11">
        <v>45810</v>
      </c>
      <c r="EZ1" s="11">
        <v>45811</v>
      </c>
      <c r="FA1" s="11">
        <v>45812</v>
      </c>
      <c r="FB1" s="11">
        <v>45813</v>
      </c>
      <c r="FC1" s="11">
        <v>45814</v>
      </c>
      <c r="FD1" s="11">
        <v>45815</v>
      </c>
      <c r="FE1" s="11">
        <v>45816</v>
      </c>
      <c r="FF1" s="11">
        <v>45817</v>
      </c>
      <c r="FG1" s="11">
        <v>45818</v>
      </c>
      <c r="FH1" s="11">
        <v>45819</v>
      </c>
      <c r="FI1" s="11">
        <v>45820</v>
      </c>
      <c r="FJ1" s="11">
        <v>45821</v>
      </c>
      <c r="FK1" s="11">
        <v>45822</v>
      </c>
      <c r="FL1" s="11">
        <v>45823</v>
      </c>
      <c r="FM1" s="11">
        <v>45824</v>
      </c>
      <c r="FN1" s="11">
        <v>45825</v>
      </c>
      <c r="FO1" s="11">
        <v>45826</v>
      </c>
      <c r="FP1" s="11">
        <v>45827</v>
      </c>
      <c r="FQ1" s="11">
        <v>45828</v>
      </c>
      <c r="FR1" s="11">
        <v>45829</v>
      </c>
      <c r="FS1" s="11">
        <v>45830</v>
      </c>
      <c r="FT1" s="11">
        <v>45831</v>
      </c>
      <c r="FU1" s="11">
        <v>45832</v>
      </c>
      <c r="FV1" s="11">
        <v>45833</v>
      </c>
      <c r="FW1" s="11">
        <v>45834</v>
      </c>
      <c r="FX1" s="11">
        <v>45835</v>
      </c>
      <c r="FY1" s="11">
        <v>45836</v>
      </c>
      <c r="FZ1" s="11">
        <v>45837</v>
      </c>
      <c r="GA1" s="11">
        <v>45838</v>
      </c>
      <c r="GB1" s="11">
        <v>45839</v>
      </c>
      <c r="GC1" s="11">
        <v>45840</v>
      </c>
      <c r="GD1" s="11">
        <v>45841</v>
      </c>
      <c r="GE1" s="11">
        <v>45842</v>
      </c>
      <c r="GF1" s="11">
        <v>45843</v>
      </c>
      <c r="GG1" s="11">
        <v>45844</v>
      </c>
      <c r="GH1" s="11">
        <v>45845</v>
      </c>
      <c r="GI1" s="11">
        <v>45846</v>
      </c>
      <c r="GJ1" s="11">
        <v>45847</v>
      </c>
      <c r="GK1" s="11">
        <v>45848</v>
      </c>
      <c r="GL1" s="11">
        <v>45849</v>
      </c>
      <c r="GM1" s="11">
        <v>45850</v>
      </c>
      <c r="GN1" s="11">
        <v>45851</v>
      </c>
      <c r="GO1" s="11">
        <v>45852</v>
      </c>
      <c r="GP1" s="11">
        <v>45853</v>
      </c>
      <c r="GQ1" s="11">
        <v>45854</v>
      </c>
      <c r="GR1" s="11">
        <v>45855</v>
      </c>
      <c r="GS1" s="11">
        <v>45856</v>
      </c>
      <c r="GT1" s="11">
        <v>45857</v>
      </c>
      <c r="GU1" s="11">
        <v>45858</v>
      </c>
      <c r="GV1" s="11">
        <v>45859</v>
      </c>
      <c r="GW1" s="11">
        <v>45860</v>
      </c>
      <c r="GX1" s="11">
        <v>45861</v>
      </c>
      <c r="GY1" s="11">
        <v>45862</v>
      </c>
      <c r="GZ1" s="11">
        <v>45863</v>
      </c>
      <c r="HA1" s="11">
        <v>45864</v>
      </c>
      <c r="HB1" s="11">
        <v>45865</v>
      </c>
      <c r="HC1" s="11">
        <v>45866</v>
      </c>
      <c r="HD1" s="11">
        <v>45867</v>
      </c>
      <c r="HE1" s="11">
        <v>45868</v>
      </c>
      <c r="HF1" s="11">
        <v>45869</v>
      </c>
      <c r="HG1" s="11">
        <v>45870</v>
      </c>
      <c r="HH1" s="11">
        <v>45871</v>
      </c>
      <c r="HI1" s="11">
        <v>45872</v>
      </c>
      <c r="HJ1" s="11">
        <v>45873</v>
      </c>
      <c r="HK1" s="11">
        <v>45874</v>
      </c>
      <c r="HL1" s="11">
        <v>45875</v>
      </c>
      <c r="HM1" s="11">
        <v>45876</v>
      </c>
      <c r="HN1" s="11">
        <v>45877</v>
      </c>
      <c r="HO1" s="11">
        <v>45878</v>
      </c>
      <c r="HP1" s="11">
        <v>45879</v>
      </c>
      <c r="HQ1" s="11">
        <v>45880</v>
      </c>
      <c r="HR1" s="11">
        <v>45881</v>
      </c>
      <c r="HS1" s="11">
        <v>45882</v>
      </c>
      <c r="HT1" s="11">
        <v>45883</v>
      </c>
      <c r="HU1" s="11">
        <v>45884</v>
      </c>
      <c r="HV1" s="11">
        <v>45885</v>
      </c>
      <c r="HW1" s="11">
        <v>45886</v>
      </c>
      <c r="HX1" s="11">
        <v>45887</v>
      </c>
      <c r="HY1" s="11">
        <v>45888</v>
      </c>
      <c r="HZ1" s="11">
        <v>45889</v>
      </c>
      <c r="IA1" s="11">
        <v>45890</v>
      </c>
      <c r="IB1" s="11">
        <v>45891</v>
      </c>
      <c r="IC1" s="11">
        <v>45892</v>
      </c>
      <c r="ID1" s="11">
        <v>45893</v>
      </c>
      <c r="IE1" s="11">
        <v>45894</v>
      </c>
      <c r="IF1" s="11">
        <v>45895</v>
      </c>
      <c r="IG1" s="11">
        <v>45896</v>
      </c>
      <c r="IH1" s="11">
        <v>45897</v>
      </c>
      <c r="II1" s="11">
        <v>45898</v>
      </c>
      <c r="IJ1" s="11">
        <v>45899</v>
      </c>
      <c r="IK1" s="11">
        <v>45900</v>
      </c>
      <c r="IL1" s="11">
        <v>45901</v>
      </c>
      <c r="IM1" s="11">
        <v>45902</v>
      </c>
      <c r="IN1" s="11">
        <v>45903</v>
      </c>
      <c r="IO1" s="11">
        <v>45904</v>
      </c>
      <c r="IP1" s="11">
        <v>45905</v>
      </c>
      <c r="IQ1" s="11">
        <v>45906</v>
      </c>
      <c r="IR1" s="11">
        <v>45907</v>
      </c>
      <c r="IS1" s="11">
        <v>45908</v>
      </c>
      <c r="IT1" s="11">
        <v>45909</v>
      </c>
      <c r="IU1" s="11">
        <v>45910</v>
      </c>
      <c r="IV1" s="11">
        <v>45911</v>
      </c>
      <c r="IW1" s="11">
        <v>45912</v>
      </c>
      <c r="IX1" s="11">
        <v>45913</v>
      </c>
      <c r="IY1" s="11">
        <v>45914</v>
      </c>
      <c r="IZ1" s="11">
        <v>45915</v>
      </c>
      <c r="JA1" s="11">
        <v>45916</v>
      </c>
      <c r="JB1" s="11">
        <v>45917</v>
      </c>
      <c r="JC1" s="11">
        <v>45918</v>
      </c>
      <c r="JD1" s="11">
        <v>45919</v>
      </c>
      <c r="JE1" s="11">
        <v>45920</v>
      </c>
      <c r="JF1" s="11">
        <v>45921</v>
      </c>
      <c r="JG1" s="11">
        <v>45922</v>
      </c>
      <c r="JH1" s="11">
        <v>45923</v>
      </c>
      <c r="JI1" s="11">
        <v>45924</v>
      </c>
      <c r="JJ1" s="11">
        <v>45925</v>
      </c>
      <c r="JK1" s="11">
        <v>45926</v>
      </c>
      <c r="JL1" s="11">
        <v>45927</v>
      </c>
      <c r="JM1" s="11">
        <v>45928</v>
      </c>
      <c r="JN1" s="11">
        <v>45929</v>
      </c>
      <c r="JO1" s="11">
        <v>45930</v>
      </c>
      <c r="JP1" s="11">
        <v>45931</v>
      </c>
      <c r="JQ1" s="11">
        <v>45932</v>
      </c>
      <c r="JR1" s="11">
        <v>45933</v>
      </c>
      <c r="JS1" s="11">
        <v>45934</v>
      </c>
      <c r="JT1" s="11">
        <v>45935</v>
      </c>
      <c r="JU1" s="11">
        <v>45936</v>
      </c>
      <c r="JV1" s="11">
        <v>45937</v>
      </c>
      <c r="JW1" s="11">
        <v>45938</v>
      </c>
      <c r="JX1" s="11">
        <v>45939</v>
      </c>
      <c r="JY1" s="11">
        <v>45940</v>
      </c>
      <c r="JZ1" s="11">
        <v>45941</v>
      </c>
      <c r="KA1" s="11">
        <v>45942</v>
      </c>
      <c r="KB1" s="11">
        <v>45943</v>
      </c>
      <c r="KC1" s="11">
        <v>45944</v>
      </c>
      <c r="KD1" s="11">
        <v>45945</v>
      </c>
      <c r="KE1" s="11">
        <v>45946</v>
      </c>
      <c r="KF1" s="11">
        <v>45947</v>
      </c>
      <c r="KG1" s="11">
        <v>45948</v>
      </c>
      <c r="KH1" s="11">
        <v>45949</v>
      </c>
      <c r="KI1" s="11">
        <v>45950</v>
      </c>
      <c r="KJ1" s="11">
        <v>45951</v>
      </c>
      <c r="KK1" s="11">
        <v>45952</v>
      </c>
      <c r="KL1" s="11">
        <v>45953</v>
      </c>
      <c r="KM1" s="11">
        <v>45954</v>
      </c>
      <c r="KN1" s="11">
        <v>45955</v>
      </c>
      <c r="KO1" s="11">
        <v>45956</v>
      </c>
      <c r="KP1" s="11">
        <v>45957</v>
      </c>
      <c r="KQ1" s="11">
        <v>45958</v>
      </c>
      <c r="KR1" s="11">
        <v>45959</v>
      </c>
      <c r="KS1" s="11">
        <v>45960</v>
      </c>
      <c r="KT1" s="11">
        <v>45961</v>
      </c>
      <c r="KU1" s="11">
        <v>45962</v>
      </c>
      <c r="KV1" s="11">
        <v>45963</v>
      </c>
      <c r="KW1" s="11">
        <v>45964</v>
      </c>
      <c r="KX1" s="11">
        <v>45965</v>
      </c>
      <c r="KY1" s="11">
        <v>45966</v>
      </c>
      <c r="KZ1" s="11">
        <v>45967</v>
      </c>
      <c r="LA1" s="11">
        <v>45968</v>
      </c>
      <c r="LB1" s="11">
        <v>45969</v>
      </c>
      <c r="LC1" s="11">
        <v>45970</v>
      </c>
      <c r="LD1" s="11">
        <v>45971</v>
      </c>
      <c r="LE1" s="11">
        <v>45972</v>
      </c>
      <c r="LF1" s="11">
        <v>45973</v>
      </c>
      <c r="LG1" s="11">
        <v>45974</v>
      </c>
      <c r="LH1" s="11">
        <v>45975</v>
      </c>
      <c r="LI1" s="11">
        <v>45976</v>
      </c>
      <c r="LJ1" s="11">
        <v>45977</v>
      </c>
      <c r="LK1" s="11">
        <v>45978</v>
      </c>
      <c r="LL1" s="11">
        <v>45979</v>
      </c>
      <c r="LM1" s="11">
        <v>45980</v>
      </c>
      <c r="LN1" s="11">
        <v>45981</v>
      </c>
      <c r="LO1" s="11">
        <v>45982</v>
      </c>
      <c r="LP1" s="11">
        <v>45983</v>
      </c>
      <c r="LQ1" s="11">
        <v>45984</v>
      </c>
      <c r="LR1" s="11">
        <v>45985</v>
      </c>
      <c r="LS1" s="11">
        <v>45986</v>
      </c>
      <c r="LT1" s="11">
        <v>45987</v>
      </c>
      <c r="LU1" s="11">
        <v>45988</v>
      </c>
      <c r="LV1" s="11">
        <v>45989</v>
      </c>
      <c r="LW1" s="11">
        <v>45990</v>
      </c>
      <c r="LX1" s="11">
        <v>45991</v>
      </c>
      <c r="LY1" s="11">
        <v>45992</v>
      </c>
      <c r="LZ1" s="11">
        <v>45993</v>
      </c>
      <c r="MA1" s="11">
        <v>45994</v>
      </c>
      <c r="MB1" s="11">
        <v>45995</v>
      </c>
      <c r="MC1" s="11">
        <v>45996</v>
      </c>
      <c r="MD1" s="11">
        <v>45997</v>
      </c>
      <c r="ME1" s="11">
        <v>45998</v>
      </c>
      <c r="MF1" s="11">
        <v>45999</v>
      </c>
      <c r="MG1" s="11">
        <v>46000</v>
      </c>
      <c r="MH1" s="11">
        <v>46001</v>
      </c>
      <c r="MI1" s="11">
        <v>46002</v>
      </c>
      <c r="MJ1" s="11">
        <v>46003</v>
      </c>
      <c r="MK1" s="11">
        <v>46004</v>
      </c>
      <c r="ML1" s="11">
        <v>46005</v>
      </c>
      <c r="MM1" s="11">
        <v>46006</v>
      </c>
      <c r="MN1" s="11">
        <v>46007</v>
      </c>
      <c r="MO1" s="11">
        <v>46008</v>
      </c>
      <c r="MP1" s="11">
        <v>46009</v>
      </c>
      <c r="MQ1" s="11">
        <v>46010</v>
      </c>
      <c r="MR1" s="11">
        <v>46011</v>
      </c>
      <c r="MS1" s="11">
        <v>46012</v>
      </c>
      <c r="MT1" s="11">
        <v>46013</v>
      </c>
      <c r="MU1" s="11">
        <v>46014</v>
      </c>
      <c r="MV1" s="11">
        <v>46015</v>
      </c>
      <c r="MW1" s="11">
        <v>46016</v>
      </c>
      <c r="MX1" s="11">
        <v>46017</v>
      </c>
      <c r="MY1" s="11">
        <v>46018</v>
      </c>
      <c r="MZ1" s="11">
        <v>46019</v>
      </c>
      <c r="NA1" s="11">
        <v>46020</v>
      </c>
      <c r="NB1" s="11">
        <v>46021</v>
      </c>
      <c r="NC1" s="11">
        <v>46022</v>
      </c>
    </row>
    <row r="2" spans="1:367">
      <c r="B2" s="12" t="s">
        <v>10</v>
      </c>
      <c r="C2" s="8" t="s">
        <v>54</v>
      </c>
      <c r="D2" s="8" t="s">
        <v>54</v>
      </c>
      <c r="E2" s="8" t="s">
        <v>54</v>
      </c>
      <c r="F2" s="8" t="s">
        <v>54</v>
      </c>
      <c r="G2" s="8" t="s">
        <v>54</v>
      </c>
      <c r="H2" s="8" t="s">
        <v>425</v>
      </c>
      <c r="I2" s="8" t="s">
        <v>425</v>
      </c>
      <c r="J2" s="8" t="s">
        <v>425</v>
      </c>
      <c r="K2" s="8" t="s">
        <v>425</v>
      </c>
      <c r="L2" s="8" t="s">
        <v>425</v>
      </c>
      <c r="M2" s="8" t="s">
        <v>425</v>
      </c>
      <c r="N2" s="8" t="s">
        <v>425</v>
      </c>
      <c r="O2" s="8" t="s">
        <v>2</v>
      </c>
      <c r="P2" s="8" t="s">
        <v>2</v>
      </c>
      <c r="Q2" s="8" t="s">
        <v>2</v>
      </c>
      <c r="R2" s="8" t="s">
        <v>2</v>
      </c>
      <c r="S2" s="8" t="s">
        <v>2</v>
      </c>
      <c r="T2" s="8" t="s">
        <v>2</v>
      </c>
      <c r="U2" s="8" t="s">
        <v>2</v>
      </c>
      <c r="V2" s="8" t="s">
        <v>3</v>
      </c>
      <c r="W2" s="8" t="s">
        <v>3</v>
      </c>
      <c r="X2" s="8" t="s">
        <v>3</v>
      </c>
      <c r="Y2" s="8" t="s">
        <v>3</v>
      </c>
      <c r="Z2" s="8" t="s">
        <v>3</v>
      </c>
      <c r="AA2" s="8" t="s">
        <v>3</v>
      </c>
      <c r="AB2" s="8" t="s">
        <v>3</v>
      </c>
      <c r="AC2" s="8" t="s">
        <v>4</v>
      </c>
      <c r="AD2" s="8" t="s">
        <v>4</v>
      </c>
      <c r="AE2" s="8" t="s">
        <v>4</v>
      </c>
      <c r="AF2" s="8" t="s">
        <v>4</v>
      </c>
      <c r="AG2" s="8" t="s">
        <v>4</v>
      </c>
      <c r="AH2" s="8" t="s">
        <v>4</v>
      </c>
      <c r="AI2" s="8" t="s">
        <v>4</v>
      </c>
      <c r="AJ2" s="8" t="s">
        <v>5</v>
      </c>
      <c r="AK2" s="8" t="s">
        <v>5</v>
      </c>
      <c r="AL2" s="8" t="s">
        <v>5</v>
      </c>
      <c r="AM2" s="8" t="s">
        <v>5</v>
      </c>
      <c r="AN2" s="8" t="s">
        <v>5</v>
      </c>
      <c r="AO2" s="8" t="s">
        <v>5</v>
      </c>
      <c r="AP2" s="8" t="s">
        <v>5</v>
      </c>
      <c r="AQ2" s="8" t="s">
        <v>6</v>
      </c>
      <c r="AR2" s="8" t="s">
        <v>6</v>
      </c>
      <c r="AS2" s="8" t="s">
        <v>6</v>
      </c>
      <c r="AT2" s="8" t="s">
        <v>6</v>
      </c>
      <c r="AU2" s="8" t="s">
        <v>6</v>
      </c>
      <c r="AV2" s="8" t="s">
        <v>6</v>
      </c>
      <c r="AW2" s="8" t="s">
        <v>6</v>
      </c>
      <c r="AX2" s="8" t="s">
        <v>7</v>
      </c>
      <c r="AY2" s="8" t="s">
        <v>7</v>
      </c>
      <c r="AZ2" s="8" t="s">
        <v>7</v>
      </c>
      <c r="BA2" s="8" t="s">
        <v>7</v>
      </c>
      <c r="BB2" s="8" t="s">
        <v>7</v>
      </c>
      <c r="BC2" s="8" t="s">
        <v>7</v>
      </c>
      <c r="BD2" s="8" t="s">
        <v>7</v>
      </c>
      <c r="BE2" s="8" t="s">
        <v>8</v>
      </c>
      <c r="BF2" s="8" t="s">
        <v>8</v>
      </c>
      <c r="BG2" s="8" t="s">
        <v>8</v>
      </c>
      <c r="BH2" s="8" t="s">
        <v>8</v>
      </c>
      <c r="BI2" s="8" t="s">
        <v>8</v>
      </c>
      <c r="BJ2" s="8" t="s">
        <v>8</v>
      </c>
      <c r="BK2" s="8" t="s">
        <v>8</v>
      </c>
      <c r="BL2" s="8" t="s">
        <v>11</v>
      </c>
      <c r="BM2" s="8" t="s">
        <v>11</v>
      </c>
      <c r="BN2" s="8" t="s">
        <v>11</v>
      </c>
      <c r="BO2" s="8" t="s">
        <v>11</v>
      </c>
      <c r="BP2" s="8" t="s">
        <v>11</v>
      </c>
      <c r="BQ2" s="8" t="s">
        <v>11</v>
      </c>
      <c r="BR2" s="8" t="s">
        <v>11</v>
      </c>
      <c r="BS2" s="8" t="s">
        <v>12</v>
      </c>
      <c r="BT2" s="8" t="s">
        <v>12</v>
      </c>
      <c r="BU2" s="8" t="s">
        <v>12</v>
      </c>
      <c r="BV2" s="8" t="s">
        <v>12</v>
      </c>
      <c r="BW2" s="8" t="s">
        <v>12</v>
      </c>
      <c r="BX2" s="8" t="s">
        <v>12</v>
      </c>
      <c r="BY2" s="8" t="s">
        <v>12</v>
      </c>
      <c r="BZ2" s="8" t="s">
        <v>13</v>
      </c>
      <c r="CA2" s="8" t="s">
        <v>13</v>
      </c>
      <c r="CB2" s="8" t="s">
        <v>13</v>
      </c>
      <c r="CC2" s="8" t="s">
        <v>13</v>
      </c>
      <c r="CD2" s="8" t="s">
        <v>13</v>
      </c>
      <c r="CE2" s="8" t="s">
        <v>13</v>
      </c>
      <c r="CF2" s="8" t="s">
        <v>13</v>
      </c>
      <c r="CG2" s="8" t="s">
        <v>14</v>
      </c>
      <c r="CH2" s="8" t="s">
        <v>14</v>
      </c>
      <c r="CI2" s="8" t="s">
        <v>14</v>
      </c>
      <c r="CJ2" s="8" t="s">
        <v>14</v>
      </c>
      <c r="CK2" s="8" t="s">
        <v>14</v>
      </c>
      <c r="CL2" s="8" t="s">
        <v>14</v>
      </c>
      <c r="CM2" s="8" t="s">
        <v>14</v>
      </c>
      <c r="CN2" s="8" t="s">
        <v>15</v>
      </c>
      <c r="CO2" s="8" t="s">
        <v>15</v>
      </c>
      <c r="CP2" s="8" t="s">
        <v>15</v>
      </c>
      <c r="CQ2" s="8" t="s">
        <v>15</v>
      </c>
      <c r="CR2" s="8" t="s">
        <v>15</v>
      </c>
      <c r="CS2" s="8" t="s">
        <v>15</v>
      </c>
      <c r="CT2" s="8" t="s">
        <v>15</v>
      </c>
      <c r="CU2" s="8" t="s">
        <v>16</v>
      </c>
      <c r="CV2" s="8" t="s">
        <v>16</v>
      </c>
      <c r="CW2" s="8" t="s">
        <v>16</v>
      </c>
      <c r="CX2" s="8" t="s">
        <v>16</v>
      </c>
      <c r="CY2" s="8" t="s">
        <v>16</v>
      </c>
      <c r="CZ2" s="8" t="s">
        <v>16</v>
      </c>
      <c r="DA2" s="8" t="s">
        <v>16</v>
      </c>
      <c r="DB2" s="8" t="s">
        <v>17</v>
      </c>
      <c r="DC2" s="8" t="s">
        <v>17</v>
      </c>
      <c r="DD2" s="8" t="s">
        <v>17</v>
      </c>
      <c r="DE2" s="8" t="s">
        <v>17</v>
      </c>
      <c r="DF2" s="8" t="s">
        <v>17</v>
      </c>
      <c r="DG2" s="8" t="s">
        <v>17</v>
      </c>
      <c r="DH2" s="8" t="s">
        <v>17</v>
      </c>
      <c r="DI2" s="8" t="s">
        <v>18</v>
      </c>
      <c r="DJ2" s="8" t="s">
        <v>18</v>
      </c>
      <c r="DK2" s="8" t="s">
        <v>18</v>
      </c>
      <c r="DL2" s="8" t="s">
        <v>18</v>
      </c>
      <c r="DM2" s="8" t="s">
        <v>18</v>
      </c>
      <c r="DN2" s="8" t="s">
        <v>18</v>
      </c>
      <c r="DO2" s="8" t="s">
        <v>18</v>
      </c>
      <c r="DP2" s="8" t="s">
        <v>19</v>
      </c>
      <c r="DQ2" s="8" t="s">
        <v>19</v>
      </c>
      <c r="DR2" s="8" t="s">
        <v>19</v>
      </c>
      <c r="DS2" s="8" t="s">
        <v>19</v>
      </c>
      <c r="DT2" s="8" t="s">
        <v>19</v>
      </c>
      <c r="DU2" s="8" t="s">
        <v>19</v>
      </c>
      <c r="DV2" s="8" t="s">
        <v>19</v>
      </c>
      <c r="DW2" s="8" t="s">
        <v>20</v>
      </c>
      <c r="DX2" s="8" t="s">
        <v>20</v>
      </c>
      <c r="DY2" s="8" t="s">
        <v>20</v>
      </c>
      <c r="DZ2" s="8" t="s">
        <v>20</v>
      </c>
      <c r="EA2" s="8" t="s">
        <v>20</v>
      </c>
      <c r="EB2" s="8" t="s">
        <v>20</v>
      </c>
      <c r="EC2" s="8" t="s">
        <v>20</v>
      </c>
      <c r="ED2" s="8" t="s">
        <v>21</v>
      </c>
      <c r="EE2" s="8" t="s">
        <v>21</v>
      </c>
      <c r="EF2" s="8" t="s">
        <v>21</v>
      </c>
      <c r="EG2" s="8" t="s">
        <v>21</v>
      </c>
      <c r="EH2" s="8" t="s">
        <v>21</v>
      </c>
      <c r="EI2" s="8" t="s">
        <v>21</v>
      </c>
      <c r="EJ2" s="8" t="s">
        <v>21</v>
      </c>
      <c r="EK2" s="8" t="s">
        <v>22</v>
      </c>
      <c r="EL2" s="8" t="s">
        <v>22</v>
      </c>
      <c r="EM2" s="8" t="s">
        <v>22</v>
      </c>
      <c r="EN2" s="8" t="s">
        <v>22</v>
      </c>
      <c r="EO2" s="8" t="s">
        <v>22</v>
      </c>
      <c r="EP2" s="8" t="s">
        <v>22</v>
      </c>
      <c r="EQ2" s="8" t="s">
        <v>22</v>
      </c>
      <c r="ER2" s="8" t="s">
        <v>23</v>
      </c>
      <c r="ES2" s="8" t="s">
        <v>23</v>
      </c>
      <c r="ET2" s="8" t="s">
        <v>23</v>
      </c>
      <c r="EU2" s="8" t="s">
        <v>23</v>
      </c>
      <c r="EV2" s="8" t="s">
        <v>23</v>
      </c>
      <c r="EW2" s="8" t="s">
        <v>23</v>
      </c>
      <c r="EX2" s="8" t="s">
        <v>23</v>
      </c>
      <c r="EY2" s="8" t="s">
        <v>24</v>
      </c>
      <c r="EZ2" s="8" t="s">
        <v>24</v>
      </c>
      <c r="FA2" s="8" t="s">
        <v>24</v>
      </c>
      <c r="FB2" s="8" t="s">
        <v>24</v>
      </c>
      <c r="FC2" s="8" t="s">
        <v>24</v>
      </c>
      <c r="FD2" s="8" t="s">
        <v>24</v>
      </c>
      <c r="FE2" s="8" t="s">
        <v>24</v>
      </c>
      <c r="FF2" s="8" t="s">
        <v>25</v>
      </c>
      <c r="FG2" s="8" t="s">
        <v>25</v>
      </c>
      <c r="FH2" s="8" t="s">
        <v>25</v>
      </c>
      <c r="FI2" s="8" t="s">
        <v>25</v>
      </c>
      <c r="FJ2" s="8" t="s">
        <v>25</v>
      </c>
      <c r="FK2" s="8" t="s">
        <v>25</v>
      </c>
      <c r="FL2" s="8" t="s">
        <v>25</v>
      </c>
      <c r="FM2" s="8" t="s">
        <v>26</v>
      </c>
      <c r="FN2" s="8" t="s">
        <v>26</v>
      </c>
      <c r="FO2" s="8" t="s">
        <v>26</v>
      </c>
      <c r="FP2" s="8" t="s">
        <v>26</v>
      </c>
      <c r="FQ2" s="8" t="s">
        <v>26</v>
      </c>
      <c r="FR2" s="8" t="s">
        <v>26</v>
      </c>
      <c r="FS2" s="8" t="s">
        <v>26</v>
      </c>
      <c r="FT2" s="8" t="s">
        <v>27</v>
      </c>
      <c r="FU2" s="8" t="s">
        <v>27</v>
      </c>
      <c r="FV2" s="8" t="s">
        <v>27</v>
      </c>
      <c r="FW2" s="8" t="s">
        <v>27</v>
      </c>
      <c r="FX2" s="8" t="s">
        <v>27</v>
      </c>
      <c r="FY2" s="8" t="s">
        <v>27</v>
      </c>
      <c r="FZ2" s="8" t="s">
        <v>27</v>
      </c>
      <c r="GA2" s="8" t="s">
        <v>28</v>
      </c>
      <c r="GB2" s="8" t="s">
        <v>28</v>
      </c>
      <c r="GC2" s="8" t="s">
        <v>28</v>
      </c>
      <c r="GD2" s="8" t="s">
        <v>28</v>
      </c>
      <c r="GE2" s="8" t="s">
        <v>28</v>
      </c>
      <c r="GF2" s="8" t="s">
        <v>28</v>
      </c>
      <c r="GG2" s="8" t="s">
        <v>28</v>
      </c>
      <c r="GH2" s="8" t="s">
        <v>29</v>
      </c>
      <c r="GI2" s="8" t="s">
        <v>29</v>
      </c>
      <c r="GJ2" s="8" t="s">
        <v>29</v>
      </c>
      <c r="GK2" s="8" t="s">
        <v>29</v>
      </c>
      <c r="GL2" s="8" t="s">
        <v>29</v>
      </c>
      <c r="GM2" s="8" t="s">
        <v>29</v>
      </c>
      <c r="GN2" s="8" t="s">
        <v>29</v>
      </c>
      <c r="GO2" s="8" t="s">
        <v>30</v>
      </c>
      <c r="GP2" s="8" t="s">
        <v>30</v>
      </c>
      <c r="GQ2" s="8" t="s">
        <v>30</v>
      </c>
      <c r="GR2" s="8" t="s">
        <v>30</v>
      </c>
      <c r="GS2" s="8" t="s">
        <v>30</v>
      </c>
      <c r="GT2" s="8" t="s">
        <v>30</v>
      </c>
      <c r="GU2" s="8" t="s">
        <v>30</v>
      </c>
      <c r="GV2" s="8" t="s">
        <v>31</v>
      </c>
      <c r="GW2" s="8" t="s">
        <v>31</v>
      </c>
      <c r="GX2" s="8" t="s">
        <v>31</v>
      </c>
      <c r="GY2" s="8" t="s">
        <v>31</v>
      </c>
      <c r="GZ2" s="8" t="s">
        <v>31</v>
      </c>
      <c r="HA2" s="8" t="s">
        <v>31</v>
      </c>
      <c r="HB2" s="8" t="s">
        <v>31</v>
      </c>
      <c r="HC2" s="8" t="s">
        <v>32</v>
      </c>
      <c r="HD2" s="8" t="s">
        <v>32</v>
      </c>
      <c r="HE2" s="8" t="s">
        <v>32</v>
      </c>
      <c r="HF2" s="8" t="s">
        <v>32</v>
      </c>
      <c r="HG2" s="8" t="s">
        <v>32</v>
      </c>
      <c r="HH2" s="8" t="s">
        <v>32</v>
      </c>
      <c r="HI2" s="8" t="s">
        <v>32</v>
      </c>
      <c r="HJ2" s="8" t="s">
        <v>33</v>
      </c>
      <c r="HK2" s="8" t="s">
        <v>33</v>
      </c>
      <c r="HL2" s="8" t="s">
        <v>33</v>
      </c>
      <c r="HM2" s="8" t="s">
        <v>33</v>
      </c>
      <c r="HN2" s="8" t="s">
        <v>33</v>
      </c>
      <c r="HO2" s="8" t="s">
        <v>33</v>
      </c>
      <c r="HP2" s="8" t="s">
        <v>33</v>
      </c>
      <c r="HQ2" s="8" t="s">
        <v>34</v>
      </c>
      <c r="HR2" s="8" t="s">
        <v>34</v>
      </c>
      <c r="HS2" s="8" t="s">
        <v>34</v>
      </c>
      <c r="HT2" s="8" t="s">
        <v>34</v>
      </c>
      <c r="HU2" s="8" t="s">
        <v>34</v>
      </c>
      <c r="HV2" s="8" t="s">
        <v>34</v>
      </c>
      <c r="HW2" s="8" t="s">
        <v>34</v>
      </c>
      <c r="HX2" s="8" t="s">
        <v>35</v>
      </c>
      <c r="HY2" s="8" t="s">
        <v>35</v>
      </c>
      <c r="HZ2" s="8" t="s">
        <v>35</v>
      </c>
      <c r="IA2" s="8" t="s">
        <v>35</v>
      </c>
      <c r="IB2" s="8" t="s">
        <v>35</v>
      </c>
      <c r="IC2" s="8" t="s">
        <v>35</v>
      </c>
      <c r="ID2" s="8" t="s">
        <v>35</v>
      </c>
      <c r="IE2" s="8" t="s">
        <v>36</v>
      </c>
      <c r="IF2" s="8" t="s">
        <v>36</v>
      </c>
      <c r="IG2" s="8" t="s">
        <v>36</v>
      </c>
      <c r="IH2" s="8" t="s">
        <v>36</v>
      </c>
      <c r="II2" s="8" t="s">
        <v>36</v>
      </c>
      <c r="IJ2" s="8" t="s">
        <v>36</v>
      </c>
      <c r="IK2" s="8" t="s">
        <v>36</v>
      </c>
      <c r="IL2" s="8" t="s">
        <v>37</v>
      </c>
      <c r="IM2" s="8" t="s">
        <v>37</v>
      </c>
      <c r="IN2" s="8" t="s">
        <v>37</v>
      </c>
      <c r="IO2" s="8" t="s">
        <v>37</v>
      </c>
      <c r="IP2" s="8" t="s">
        <v>37</v>
      </c>
      <c r="IQ2" s="8" t="s">
        <v>37</v>
      </c>
      <c r="IR2" s="8" t="s">
        <v>37</v>
      </c>
      <c r="IS2" s="8" t="s">
        <v>38</v>
      </c>
      <c r="IT2" s="8" t="s">
        <v>38</v>
      </c>
      <c r="IU2" s="8" t="s">
        <v>38</v>
      </c>
      <c r="IV2" s="8" t="s">
        <v>38</v>
      </c>
      <c r="IW2" s="8" t="s">
        <v>38</v>
      </c>
      <c r="IX2" s="8" t="s">
        <v>38</v>
      </c>
      <c r="IY2" s="8" t="s">
        <v>38</v>
      </c>
      <c r="IZ2" s="8" t="s">
        <v>39</v>
      </c>
      <c r="JA2" s="8" t="s">
        <v>39</v>
      </c>
      <c r="JB2" s="8" t="s">
        <v>39</v>
      </c>
      <c r="JC2" s="8" t="s">
        <v>39</v>
      </c>
      <c r="JD2" s="8" t="s">
        <v>39</v>
      </c>
      <c r="JE2" s="8" t="s">
        <v>39</v>
      </c>
      <c r="JF2" s="8" t="s">
        <v>39</v>
      </c>
      <c r="JG2" s="8" t="s">
        <v>40</v>
      </c>
      <c r="JH2" s="8" t="s">
        <v>40</v>
      </c>
      <c r="JI2" s="8" t="s">
        <v>40</v>
      </c>
      <c r="JJ2" s="8" t="s">
        <v>40</v>
      </c>
      <c r="JK2" s="8" t="s">
        <v>40</v>
      </c>
      <c r="JL2" s="8" t="s">
        <v>40</v>
      </c>
      <c r="JM2" s="8" t="s">
        <v>40</v>
      </c>
      <c r="JN2" s="8" t="s">
        <v>41</v>
      </c>
      <c r="JO2" s="8" t="s">
        <v>41</v>
      </c>
      <c r="JP2" s="8" t="s">
        <v>41</v>
      </c>
      <c r="JQ2" s="8" t="s">
        <v>41</v>
      </c>
      <c r="JR2" s="8" t="s">
        <v>41</v>
      </c>
      <c r="JS2" s="8" t="s">
        <v>41</v>
      </c>
      <c r="JT2" s="8" t="s">
        <v>41</v>
      </c>
      <c r="JU2" s="8" t="s">
        <v>42</v>
      </c>
      <c r="JV2" s="8" t="s">
        <v>42</v>
      </c>
      <c r="JW2" s="8" t="s">
        <v>42</v>
      </c>
      <c r="JX2" s="8" t="s">
        <v>42</v>
      </c>
      <c r="JY2" s="8" t="s">
        <v>42</v>
      </c>
      <c r="JZ2" s="8" t="s">
        <v>42</v>
      </c>
      <c r="KA2" s="8" t="s">
        <v>42</v>
      </c>
      <c r="KB2" s="8" t="s">
        <v>43</v>
      </c>
      <c r="KC2" s="8" t="s">
        <v>43</v>
      </c>
      <c r="KD2" s="8" t="s">
        <v>43</v>
      </c>
      <c r="KE2" s="8" t="s">
        <v>43</v>
      </c>
      <c r="KF2" s="8" t="s">
        <v>43</v>
      </c>
      <c r="KG2" s="8" t="s">
        <v>43</v>
      </c>
      <c r="KH2" s="8" t="s">
        <v>43</v>
      </c>
      <c r="KI2" s="8" t="s">
        <v>44</v>
      </c>
      <c r="KJ2" s="8" t="s">
        <v>44</v>
      </c>
      <c r="KK2" s="8" t="s">
        <v>44</v>
      </c>
      <c r="KL2" s="8" t="s">
        <v>44</v>
      </c>
      <c r="KM2" s="8" t="s">
        <v>44</v>
      </c>
      <c r="KN2" s="8" t="s">
        <v>44</v>
      </c>
      <c r="KO2" s="8" t="s">
        <v>44</v>
      </c>
      <c r="KP2" s="8" t="s">
        <v>45</v>
      </c>
      <c r="KQ2" s="8" t="s">
        <v>45</v>
      </c>
      <c r="KR2" s="8" t="s">
        <v>45</v>
      </c>
      <c r="KS2" s="8" t="s">
        <v>45</v>
      </c>
      <c r="KT2" s="8" t="s">
        <v>45</v>
      </c>
      <c r="KU2" s="8" t="s">
        <v>45</v>
      </c>
      <c r="KV2" s="8" t="s">
        <v>45</v>
      </c>
      <c r="KW2" s="8" t="s">
        <v>46</v>
      </c>
      <c r="KX2" s="8" t="s">
        <v>46</v>
      </c>
      <c r="KY2" s="8" t="s">
        <v>46</v>
      </c>
      <c r="KZ2" s="8" t="s">
        <v>46</v>
      </c>
      <c r="LA2" s="8" t="s">
        <v>46</v>
      </c>
      <c r="LB2" s="8" t="s">
        <v>46</v>
      </c>
      <c r="LC2" s="8" t="s">
        <v>46</v>
      </c>
      <c r="LD2" s="8" t="s">
        <v>47</v>
      </c>
      <c r="LE2" s="8" t="s">
        <v>47</v>
      </c>
      <c r="LF2" s="8" t="s">
        <v>47</v>
      </c>
      <c r="LG2" s="8" t="s">
        <v>47</v>
      </c>
      <c r="LH2" s="8" t="s">
        <v>47</v>
      </c>
      <c r="LI2" s="8" t="s">
        <v>47</v>
      </c>
      <c r="LJ2" s="8" t="s">
        <v>47</v>
      </c>
      <c r="LK2" s="8" t="s">
        <v>48</v>
      </c>
      <c r="LL2" s="8" t="s">
        <v>48</v>
      </c>
      <c r="LM2" s="8" t="s">
        <v>48</v>
      </c>
      <c r="LN2" s="8" t="s">
        <v>48</v>
      </c>
      <c r="LO2" s="8" t="s">
        <v>48</v>
      </c>
      <c r="LP2" s="8" t="s">
        <v>48</v>
      </c>
      <c r="LQ2" s="8" t="s">
        <v>48</v>
      </c>
      <c r="LR2" s="8" t="s">
        <v>49</v>
      </c>
      <c r="LS2" s="8" t="s">
        <v>49</v>
      </c>
      <c r="LT2" s="8" t="s">
        <v>49</v>
      </c>
      <c r="LU2" s="8" t="s">
        <v>49</v>
      </c>
      <c r="LV2" s="8" t="s">
        <v>49</v>
      </c>
      <c r="LW2" s="8" t="s">
        <v>49</v>
      </c>
      <c r="LX2" s="8" t="s">
        <v>49</v>
      </c>
      <c r="LY2" s="8" t="s">
        <v>50</v>
      </c>
      <c r="LZ2" s="8" t="s">
        <v>50</v>
      </c>
      <c r="MA2" s="8" t="s">
        <v>50</v>
      </c>
      <c r="MB2" s="8" t="s">
        <v>50</v>
      </c>
      <c r="MC2" s="8" t="s">
        <v>50</v>
      </c>
      <c r="MD2" s="8" t="s">
        <v>50</v>
      </c>
      <c r="ME2" s="8" t="s">
        <v>50</v>
      </c>
      <c r="MF2" s="8" t="s">
        <v>51</v>
      </c>
      <c r="MG2" s="8" t="s">
        <v>51</v>
      </c>
      <c r="MH2" s="8" t="s">
        <v>51</v>
      </c>
      <c r="MI2" s="8" t="s">
        <v>51</v>
      </c>
      <c r="MJ2" s="8" t="s">
        <v>51</v>
      </c>
      <c r="MK2" s="8" t="s">
        <v>51</v>
      </c>
      <c r="ML2" s="8" t="s">
        <v>51</v>
      </c>
      <c r="MM2" s="8" t="s">
        <v>52</v>
      </c>
      <c r="MN2" s="8" t="s">
        <v>52</v>
      </c>
      <c r="MO2" s="8" t="s">
        <v>52</v>
      </c>
      <c r="MP2" s="8" t="s">
        <v>52</v>
      </c>
      <c r="MQ2" s="8" t="s">
        <v>52</v>
      </c>
      <c r="MR2" s="8" t="s">
        <v>52</v>
      </c>
      <c r="MS2" s="8" t="s">
        <v>52</v>
      </c>
      <c r="MT2" s="8" t="s">
        <v>53</v>
      </c>
      <c r="MU2" s="8" t="s">
        <v>53</v>
      </c>
      <c r="MV2" s="8" t="s">
        <v>53</v>
      </c>
      <c r="MW2" s="8" t="s">
        <v>53</v>
      </c>
      <c r="MX2" s="8" t="s">
        <v>53</v>
      </c>
      <c r="MY2" s="8" t="s">
        <v>53</v>
      </c>
      <c r="MZ2" s="8" t="s">
        <v>53</v>
      </c>
      <c r="NA2" s="8" t="s">
        <v>54</v>
      </c>
      <c r="NB2" s="8" t="s">
        <v>54</v>
      </c>
      <c r="NC2" s="8" t="s">
        <v>54</v>
      </c>
    </row>
    <row r="3" spans="1:367">
      <c r="A3" s="13">
        <f>+SUM(C3:NC3)</f>
        <v>1218157.4320809036</v>
      </c>
      <c r="B3" s="14" t="s">
        <v>427</v>
      </c>
      <c r="C3" s="7"/>
      <c r="D3" s="7">
        <v>3621.0173094696311</v>
      </c>
      <c r="E3" s="7">
        <v>3263.60423958513</v>
      </c>
      <c r="F3" s="7">
        <v>2147.1162397893154</v>
      </c>
      <c r="G3" s="7">
        <v>1772.3832200602055</v>
      </c>
      <c r="H3" s="7">
        <v>3482.0502774839315</v>
      </c>
      <c r="I3" s="7">
        <v>2988.4050009138077</v>
      </c>
      <c r="J3" s="7">
        <v>2232.5112723887332</v>
      </c>
      <c r="K3" s="7">
        <v>2324.780699669217</v>
      </c>
      <c r="L3" s="7">
        <v>2604.9691078751753</v>
      </c>
      <c r="M3" s="7">
        <v>1857.5805951836605</v>
      </c>
      <c r="N3" s="7">
        <v>1762.3825411521059</v>
      </c>
      <c r="O3" s="7">
        <v>2897.951079580329</v>
      </c>
      <c r="P3" s="7">
        <v>3124.7370625924095</v>
      </c>
      <c r="Q3" s="7">
        <v>3172.527173407811</v>
      </c>
      <c r="R3" s="7">
        <v>3004.8320314857292</v>
      </c>
      <c r="S3" s="7">
        <v>3046.2000657769349</v>
      </c>
      <c r="T3" s="7">
        <v>2009.1729450587127</v>
      </c>
      <c r="U3" s="7">
        <v>1714.2858425513575</v>
      </c>
      <c r="V3" s="7">
        <v>3403.0471364723007</v>
      </c>
      <c r="W3" s="7">
        <v>3170.3118563122825</v>
      </c>
      <c r="X3" s="7">
        <v>3114.4102721862027</v>
      </c>
      <c r="Y3" s="7">
        <v>2729.1409198369879</v>
      </c>
      <c r="Z3" s="7">
        <v>2989.9246814682951</v>
      </c>
      <c r="AA3" s="7">
        <v>2017.9015303689723</v>
      </c>
      <c r="AB3" s="7">
        <v>1791.3085707549321</v>
      </c>
      <c r="AC3" s="7">
        <v>2813.190095647773</v>
      </c>
      <c r="AD3" s="7">
        <v>2602.3279905470381</v>
      </c>
      <c r="AE3" s="7">
        <v>2580.2292036047743</v>
      </c>
      <c r="AF3" s="7">
        <v>2768.923469254803</v>
      </c>
      <c r="AG3" s="7">
        <v>2577.4969378800224</v>
      </c>
      <c r="AH3" s="7">
        <v>1816.2008259851307</v>
      </c>
      <c r="AI3" s="7">
        <v>1699.599478824709</v>
      </c>
      <c r="AJ3" s="7">
        <v>2496.2046983463324</v>
      </c>
      <c r="AK3" s="7">
        <v>2612.6239191261266</v>
      </c>
      <c r="AL3" s="7">
        <v>3133.2093341001446</v>
      </c>
      <c r="AM3" s="7">
        <v>2917.961376061106</v>
      </c>
      <c r="AN3" s="7">
        <v>2913.3350553837263</v>
      </c>
      <c r="AO3" s="7">
        <v>1647.1134088814338</v>
      </c>
      <c r="AP3" s="7">
        <v>1537.7302248108479</v>
      </c>
      <c r="AQ3" s="7">
        <v>2818.9635410262222</v>
      </c>
      <c r="AR3" s="7">
        <v>3433.2648638684964</v>
      </c>
      <c r="AS3" s="7">
        <v>3198.2302013385897</v>
      </c>
      <c r="AT3" s="7">
        <v>3013.3968791603543</v>
      </c>
      <c r="AU3" s="7">
        <v>2451.5969834570515</v>
      </c>
      <c r="AV3" s="7">
        <v>1320.1255778347024</v>
      </c>
      <c r="AW3" s="7">
        <v>1518.2244353437577</v>
      </c>
      <c r="AX3" s="7">
        <v>2956.4050780367315</v>
      </c>
      <c r="AY3" s="7">
        <v>3099.4947903495158</v>
      </c>
      <c r="AZ3" s="7">
        <v>2795.2684971314575</v>
      </c>
      <c r="BA3" s="7">
        <v>2834.4718519472772</v>
      </c>
      <c r="BB3" s="7">
        <v>2514.4710602124856</v>
      </c>
      <c r="BC3" s="7">
        <v>849.09767157217061</v>
      </c>
      <c r="BD3" s="7">
        <v>1064.2261261755771</v>
      </c>
      <c r="BE3" s="7">
        <v>3218.5962490157895</v>
      </c>
      <c r="BF3" s="7">
        <v>2987.1306871816823</v>
      </c>
      <c r="BG3" s="7">
        <v>3000.4211571072192</v>
      </c>
      <c r="BH3" s="7">
        <v>2571.4574359602761</v>
      </c>
      <c r="BI3" s="7">
        <v>2527.6984554014566</v>
      </c>
      <c r="BJ3" s="7">
        <v>1383.5858188010384</v>
      </c>
      <c r="BK3" s="7">
        <v>727.94641528156785</v>
      </c>
      <c r="BL3" s="7">
        <v>2827.3835662765687</v>
      </c>
      <c r="BM3" s="7">
        <v>2754.1656654505928</v>
      </c>
      <c r="BN3" s="7">
        <v>2622.7109696190491</v>
      </c>
      <c r="BO3" s="7">
        <v>2687.8223765761918</v>
      </c>
      <c r="BP3" s="7">
        <v>2981.1263701826747</v>
      </c>
      <c r="BQ3" s="7">
        <v>2635.9182087033696</v>
      </c>
      <c r="BR3" s="7">
        <v>1481.0788564758939</v>
      </c>
      <c r="BS3" s="7">
        <v>4318.5124643563986</v>
      </c>
      <c r="BT3" s="7">
        <v>3884.2038466193612</v>
      </c>
      <c r="BU3" s="7">
        <v>3771.1458804619842</v>
      </c>
      <c r="BV3" s="7">
        <v>3926.5706715393057</v>
      </c>
      <c r="BW3" s="7">
        <v>3583.6738240503182</v>
      </c>
      <c r="BX3" s="7">
        <v>2535.651528709257</v>
      </c>
      <c r="BY3" s="7">
        <v>1406.5877991722618</v>
      </c>
      <c r="BZ3" s="7">
        <v>4711.1766474861688</v>
      </c>
      <c r="CA3" s="7">
        <v>5184.5333630755022</v>
      </c>
      <c r="CB3" s="7">
        <v>4973.5815889130326</v>
      </c>
      <c r="CC3" s="7">
        <v>5102.7156980967093</v>
      </c>
      <c r="CD3" s="7">
        <v>5146.0587549845732</v>
      </c>
      <c r="CE3" s="7">
        <v>4421.6605775101543</v>
      </c>
      <c r="CF3" s="7">
        <v>4353.2746412420784</v>
      </c>
      <c r="CG3" s="7">
        <v>5206.6801214602092</v>
      </c>
      <c r="CH3" s="7">
        <v>5189.9157171056486</v>
      </c>
      <c r="CI3" s="7">
        <v>4078.3605264716493</v>
      </c>
      <c r="CJ3" s="7">
        <v>3162.3721307253727</v>
      </c>
      <c r="CK3" s="7">
        <v>3123.756537353232</v>
      </c>
      <c r="CL3" s="7">
        <v>864.57545780804264</v>
      </c>
      <c r="CM3" s="7"/>
      <c r="CN3" s="7"/>
      <c r="CO3" s="7"/>
      <c r="CP3" s="7">
        <v>2773.5194918442221</v>
      </c>
      <c r="CQ3" s="7">
        <v>3567.6655262480704</v>
      </c>
      <c r="CR3" s="7">
        <v>3086.2088478884075</v>
      </c>
      <c r="CS3" s="7">
        <v>1996.1274650051394</v>
      </c>
      <c r="CT3" s="7">
        <v>1757.3352758982912</v>
      </c>
      <c r="CU3" s="7">
        <v>2953.6479567987126</v>
      </c>
      <c r="CV3" s="7">
        <v>2909.2230093984067</v>
      </c>
      <c r="CW3" s="7">
        <v>2717.571782350843</v>
      </c>
      <c r="CX3" s="7">
        <v>2919.8757839501418</v>
      </c>
      <c r="CY3" s="7">
        <v>3067.3272904099204</v>
      </c>
      <c r="CZ3" s="7">
        <v>1884.2125846880022</v>
      </c>
      <c r="DA3" s="7">
        <v>1465.3022640804029</v>
      </c>
      <c r="DB3" s="7">
        <v>3209.8281728427391</v>
      </c>
      <c r="DC3" s="7">
        <v>3744.7690795710482</v>
      </c>
      <c r="DD3" s="7">
        <v>3439.6687966186473</v>
      </c>
      <c r="DE3" s="7">
        <v>3058.7860558947759</v>
      </c>
      <c r="DF3" s="7">
        <v>3139.4872297595016</v>
      </c>
      <c r="DG3" s="7">
        <v>1889.3409922785413</v>
      </c>
      <c r="DH3" s="7">
        <v>1894.7134823580977</v>
      </c>
      <c r="DI3" s="7">
        <v>3630.3948565330447</v>
      </c>
      <c r="DJ3" s="7">
        <v>3244.437640663165</v>
      </c>
      <c r="DK3" s="7">
        <v>647.21664759279531</v>
      </c>
      <c r="DL3" s="7"/>
      <c r="DM3" s="7">
        <v>4316.46976901578</v>
      </c>
      <c r="DN3" s="7">
        <v>3877.8795459942066</v>
      </c>
      <c r="DO3" s="7">
        <v>2879.7033528374914</v>
      </c>
      <c r="DP3" s="7">
        <v>2893.4928458866088</v>
      </c>
      <c r="DQ3" s="7">
        <v>2932.1623579684601</v>
      </c>
      <c r="DR3" s="7">
        <v>3265.5197176453294</v>
      </c>
      <c r="DS3" s="7"/>
      <c r="DT3" s="7">
        <v>3967.7406365378311</v>
      </c>
      <c r="DU3" s="7">
        <v>2632.7995706890019</v>
      </c>
      <c r="DV3" s="7">
        <v>1274.0634789426786</v>
      </c>
      <c r="DW3" s="7">
        <v>3909.6547518920897</v>
      </c>
      <c r="DX3" s="7">
        <v>4044.3929305051029</v>
      </c>
      <c r="DY3" s="7">
        <v>4212.1033054325462</v>
      </c>
      <c r="DZ3" s="7">
        <v>4146.9222829713726</v>
      </c>
      <c r="EA3" s="7">
        <v>4168.6939153022677</v>
      </c>
      <c r="EB3" s="7">
        <v>2536.6485144648864</v>
      </c>
      <c r="EC3" s="7">
        <v>1335.9566029241741</v>
      </c>
      <c r="ED3" s="7">
        <v>4952.942646180858</v>
      </c>
      <c r="EE3" s="7">
        <v>4534.0583273361217</v>
      </c>
      <c r="EF3" s="7">
        <v>4481.409668425792</v>
      </c>
      <c r="EG3" s="7">
        <v>4264.5358216617269</v>
      </c>
      <c r="EH3" s="7">
        <v>4256.3727730071405</v>
      </c>
      <c r="EI3" s="7">
        <v>2654.2609270259959</v>
      </c>
      <c r="EJ3" s="7">
        <v>1408.0914359810865</v>
      </c>
      <c r="EK3" s="7">
        <v>5248.1184264368112</v>
      </c>
      <c r="EL3" s="7">
        <v>4808.8673727574997</v>
      </c>
      <c r="EM3" s="7">
        <v>5203.8507633265617</v>
      </c>
      <c r="EN3" s="7">
        <v>4824.4803306956692</v>
      </c>
      <c r="EO3" s="7">
        <v>4392.4814355915832</v>
      </c>
      <c r="EP3" s="7">
        <v>3864.0777140488458</v>
      </c>
      <c r="EQ3" s="7">
        <v>1543.4367535155041</v>
      </c>
      <c r="ER3" s="7">
        <v>5300.9988843432602</v>
      </c>
      <c r="ES3" s="7">
        <v>5452.1275167385556</v>
      </c>
      <c r="ET3" s="7">
        <v>5413.7013411302141</v>
      </c>
      <c r="EU3" s="7">
        <v>5455.3432183739715</v>
      </c>
      <c r="EV3" s="7">
        <v>5377.8546778587242</v>
      </c>
      <c r="EW3" s="7">
        <v>5627.0264312954569</v>
      </c>
      <c r="EX3" s="7">
        <v>4569.9079278880527</v>
      </c>
      <c r="EY3" s="7">
        <v>4396.4124554709351</v>
      </c>
      <c r="EZ3" s="7">
        <v>3900.1567367980424</v>
      </c>
      <c r="FA3" s="7">
        <v>3247.0123674655947</v>
      </c>
      <c r="FB3" s="7">
        <v>1693.2650765853541</v>
      </c>
      <c r="FC3" s="7"/>
      <c r="FD3" s="7"/>
      <c r="FE3" s="7"/>
      <c r="FF3" s="7"/>
      <c r="FG3" s="7">
        <v>4595.9160910850178</v>
      </c>
      <c r="FH3" s="7">
        <v>4924.1832345267612</v>
      </c>
      <c r="FI3" s="7">
        <v>5002.3965221425515</v>
      </c>
      <c r="FJ3" s="7">
        <v>5163.2043190322702</v>
      </c>
      <c r="FK3" s="7">
        <v>5361.9679003883939</v>
      </c>
      <c r="FL3" s="7">
        <v>4727.0667991740902</v>
      </c>
      <c r="FM3" s="7">
        <v>4640.1992530971747</v>
      </c>
      <c r="FN3" s="7">
        <v>4674.0557237778485</v>
      </c>
      <c r="FO3" s="7">
        <v>5022.2713078798415</v>
      </c>
      <c r="FP3" s="7">
        <v>4358.4883973109991</v>
      </c>
      <c r="FQ3" s="7">
        <v>3774.0472743146729</v>
      </c>
      <c r="FR3" s="7">
        <v>2999.6555551836036</v>
      </c>
      <c r="FS3" s="7">
        <v>1318.25</v>
      </c>
      <c r="FT3" s="7">
        <v>4764.8018215737311</v>
      </c>
      <c r="FU3" s="7">
        <v>4346.8765889744736</v>
      </c>
      <c r="FV3" s="7">
        <v>4539.112587318079</v>
      </c>
      <c r="FW3" s="7">
        <v>3817.2787684040286</v>
      </c>
      <c r="FX3" s="7">
        <v>4767.1010503627303</v>
      </c>
      <c r="FY3" s="7">
        <v>3428.2704595841114</v>
      </c>
      <c r="FZ3" s="7">
        <v>1367</v>
      </c>
      <c r="GA3" s="7">
        <v>4834.3635589845007</v>
      </c>
      <c r="GB3" s="7">
        <v>4535.2797275770927</v>
      </c>
      <c r="GC3" s="7">
        <v>3453.9344381824721</v>
      </c>
      <c r="GD3" s="7">
        <v>3331.1915182580224</v>
      </c>
      <c r="GE3" s="7">
        <v>3389.9013433186828</v>
      </c>
      <c r="GF3" s="7">
        <v>2634.1773272883697</v>
      </c>
      <c r="GG3" s="7">
        <v>1196.1532446238255</v>
      </c>
      <c r="GH3" s="7">
        <v>3625.3290471873661</v>
      </c>
      <c r="GI3" s="7">
        <v>4241.9477956266892</v>
      </c>
      <c r="GJ3" s="7">
        <v>4462.963510917727</v>
      </c>
      <c r="GK3" s="7">
        <v>3997.8421554593278</v>
      </c>
      <c r="GL3" s="7">
        <v>3685.8333177668774</v>
      </c>
      <c r="GM3" s="7">
        <v>2729.0406415246771</v>
      </c>
      <c r="GN3" s="7">
        <v>1250.6972063290902</v>
      </c>
      <c r="GO3" s="7">
        <v>3702.3340009711092</v>
      </c>
      <c r="GP3" s="7"/>
      <c r="GQ3" s="7">
        <v>4746.5813826433041</v>
      </c>
      <c r="GR3" s="7">
        <v>4126.4650219827026</v>
      </c>
      <c r="GS3" s="7">
        <v>3734.2108212492649</v>
      </c>
      <c r="GT3" s="7">
        <v>3227.4742974260662</v>
      </c>
      <c r="GU3" s="7">
        <v>2139.3263133879568</v>
      </c>
      <c r="GV3" s="7">
        <v>3056.3904937311245</v>
      </c>
      <c r="GW3" s="7">
        <v>2929.6806903506672</v>
      </c>
      <c r="GX3" s="7">
        <v>3101.4651673130975</v>
      </c>
      <c r="GY3" s="7">
        <v>2908.804699558882</v>
      </c>
      <c r="GZ3" s="7">
        <v>2373.1805643676366</v>
      </c>
      <c r="HA3" s="7">
        <v>1705.4687078863694</v>
      </c>
      <c r="HB3" s="7">
        <v>1357.1208635244252</v>
      </c>
      <c r="HC3" s="7">
        <v>3201.9894581603594</v>
      </c>
      <c r="HD3" s="7">
        <v>3216.55548771748</v>
      </c>
      <c r="HE3" s="7">
        <v>3159.9939105490453</v>
      </c>
      <c r="HF3" s="7">
        <v>2968.6550633470315</v>
      </c>
      <c r="HG3" s="7">
        <v>2440.5961992594484</v>
      </c>
      <c r="HH3" s="7">
        <v>1733.2440386377418</v>
      </c>
      <c r="HI3" s="7">
        <v>1322.6879463927453</v>
      </c>
      <c r="HJ3" s="7">
        <v>2545.3850530135601</v>
      </c>
      <c r="HK3" s="7">
        <v>2745.6781383432649</v>
      </c>
      <c r="HL3" s="7">
        <v>2506.0806349239147</v>
      </c>
      <c r="HM3" s="7">
        <v>2800.5191258435489</v>
      </c>
      <c r="HN3" s="7">
        <v>2637.181012756128</v>
      </c>
      <c r="HO3" s="7">
        <v>1595.0226470720872</v>
      </c>
      <c r="HP3" s="7">
        <v>1215.4342743892576</v>
      </c>
      <c r="HQ3" s="7">
        <v>2853.099345537833</v>
      </c>
      <c r="HR3" s="7">
        <v>2913.6332381191878</v>
      </c>
      <c r="HS3" s="7">
        <v>2649.4174583726017</v>
      </c>
      <c r="HT3" s="7">
        <v>2518.6603978106332</v>
      </c>
      <c r="HU3" s="7">
        <v>2639.9913106256272</v>
      </c>
      <c r="HV3" s="7">
        <v>1546.0147193478037</v>
      </c>
      <c r="HW3" s="7">
        <v>1216.1948994372947</v>
      </c>
      <c r="HX3" s="7">
        <v>2848.8186087719555</v>
      </c>
      <c r="HY3" s="7">
        <v>2827.2770070665347</v>
      </c>
      <c r="HZ3" s="7">
        <v>2532.8075746303498</v>
      </c>
      <c r="IA3" s="7">
        <v>2803.0812409961186</v>
      </c>
      <c r="IB3" s="7">
        <v>2663.9862113780446</v>
      </c>
      <c r="IC3" s="7">
        <v>2551.9231419702737</v>
      </c>
      <c r="ID3" s="7">
        <v>2551.3621551250972</v>
      </c>
      <c r="IE3" s="7">
        <v>2784.8067296018144</v>
      </c>
      <c r="IF3" s="7">
        <v>2930.3577366379295</v>
      </c>
      <c r="IG3" s="7">
        <v>3242.5339522759555</v>
      </c>
      <c r="IH3" s="7">
        <v>3499.7861317836978</v>
      </c>
      <c r="II3" s="7">
        <v>3533.3370162996143</v>
      </c>
      <c r="IJ3" s="7">
        <v>2946.8151497060603</v>
      </c>
      <c r="IK3" s="7">
        <v>2424.9270625991439</v>
      </c>
      <c r="IL3" s="7">
        <v>2727.4928846875482</v>
      </c>
      <c r="IM3" s="7">
        <v>2823.4128404292919</v>
      </c>
      <c r="IN3" s="7">
        <v>2832.5861936183819</v>
      </c>
      <c r="IO3" s="7">
        <v>2785.3149857454532</v>
      </c>
      <c r="IP3" s="7">
        <v>2860.5125024981498</v>
      </c>
      <c r="IQ3" s="7">
        <v>2302.2758003278395</v>
      </c>
      <c r="IR3" s="7">
        <v>2644.6627355623104</v>
      </c>
      <c r="IS3" s="7">
        <v>3527.1358774303153</v>
      </c>
      <c r="IT3" s="7">
        <v>3607.765940339496</v>
      </c>
      <c r="IU3" s="7">
        <v>4500.315027552675</v>
      </c>
      <c r="IV3" s="7">
        <v>4594.3244669840615</v>
      </c>
      <c r="IW3" s="7">
        <v>3505.1199012246902</v>
      </c>
      <c r="IX3" s="7">
        <v>2522.9145260623854</v>
      </c>
      <c r="IY3" s="7">
        <v>1844.6559139784945</v>
      </c>
      <c r="IZ3" s="7">
        <v>3527.0426766494147</v>
      </c>
      <c r="JA3" s="7">
        <v>3908.2106023496758</v>
      </c>
      <c r="JB3" s="7">
        <v>3327.0611465450393</v>
      </c>
      <c r="JC3" s="7">
        <v>3246.6864317149175</v>
      </c>
      <c r="JD3" s="7">
        <v>3340.9515217781554</v>
      </c>
      <c r="JE3" s="7">
        <v>1883.6603306143936</v>
      </c>
      <c r="JF3" s="7">
        <v>1812.0833333333335</v>
      </c>
      <c r="JG3" s="7">
        <v>3681.5833333333335</v>
      </c>
      <c r="JH3" s="7">
        <v>4170.5</v>
      </c>
      <c r="JI3" s="7">
        <v>4376.0833333333339</v>
      </c>
      <c r="JJ3" s="7">
        <v>4421.5</v>
      </c>
      <c r="JK3" s="7">
        <v>3968.5230139644773</v>
      </c>
      <c r="JL3" s="7">
        <v>1929.8333333333333</v>
      </c>
      <c r="JM3" s="7">
        <v>1846.5833333333333</v>
      </c>
      <c r="JN3" s="7">
        <v>4461.333333333333</v>
      </c>
      <c r="JO3" s="7">
        <v>4649.416666666667</v>
      </c>
      <c r="JP3" s="7">
        <v>4379.6695568986106</v>
      </c>
      <c r="JQ3" s="7">
        <v>4096.9290927621278</v>
      </c>
      <c r="JR3" s="7">
        <v>3840.8965580637132</v>
      </c>
      <c r="JS3" s="7">
        <v>1956.7667898952557</v>
      </c>
      <c r="JT3" s="7">
        <v>1850.9166666666667</v>
      </c>
      <c r="JU3" s="7">
        <v>3879.873415407279</v>
      </c>
      <c r="JV3" s="7">
        <v>3928.1307920367681</v>
      </c>
      <c r="JW3" s="7">
        <v>4894.2083936543349</v>
      </c>
      <c r="JX3" s="7">
        <v>4789.1099718685246</v>
      </c>
      <c r="JY3" s="7">
        <v>4826.4486353810644</v>
      </c>
      <c r="JZ3" s="7">
        <v>3179.2878489572536</v>
      </c>
      <c r="KA3" s="7">
        <v>1717.5114024264853</v>
      </c>
      <c r="KB3" s="7">
        <v>5491.7637584108179</v>
      </c>
      <c r="KC3" s="7">
        <v>5609.4646092072089</v>
      </c>
      <c r="KD3" s="7">
        <v>6038.4602106935072</v>
      </c>
      <c r="KE3" s="7">
        <v>6084.0362124912517</v>
      </c>
      <c r="KF3" s="7">
        <v>5737.423019276267</v>
      </c>
      <c r="KG3" s="7">
        <v>5513.75</v>
      </c>
      <c r="KH3" s="7">
        <v>3893.9999999999995</v>
      </c>
      <c r="KI3" s="7">
        <v>5589.25</v>
      </c>
      <c r="KJ3" s="7">
        <v>5799.25</v>
      </c>
      <c r="KK3" s="7">
        <v>6031.166666666667</v>
      </c>
      <c r="KL3" s="7">
        <v>5954.5</v>
      </c>
      <c r="KM3" s="7">
        <v>5734.8333333333339</v>
      </c>
      <c r="KN3" s="7">
        <v>3728.1666666666665</v>
      </c>
      <c r="KO3" s="7">
        <v>2947.5000000000005</v>
      </c>
      <c r="KP3" s="7">
        <v>6445.6666666666661</v>
      </c>
      <c r="KQ3" s="7">
        <v>6124.3333333333339</v>
      </c>
      <c r="KR3" s="7">
        <v>5672.8264685315198</v>
      </c>
      <c r="KS3" s="7">
        <v>5181.2847197728242</v>
      </c>
      <c r="KT3" s="7">
        <v>5676.2180835443305</v>
      </c>
      <c r="KU3" s="7">
        <v>3139.3047812194154</v>
      </c>
      <c r="KV3" s="7">
        <v>2225.5</v>
      </c>
      <c r="KW3" s="7">
        <v>6422.6889703109664</v>
      </c>
      <c r="KX3" s="7">
        <v>6592.8333333333339</v>
      </c>
      <c r="KY3" s="7">
        <v>5585.0014730854136</v>
      </c>
      <c r="KZ3" s="7">
        <v>4557.8685784883055</v>
      </c>
      <c r="LA3" s="7">
        <v>4503.8489917259958</v>
      </c>
      <c r="LB3" s="7">
        <v>2617.4283053759718</v>
      </c>
      <c r="LC3" s="7">
        <v>2390.166666666667</v>
      </c>
      <c r="LD3" s="7">
        <v>4880.6666666666661</v>
      </c>
      <c r="LE3" s="7">
        <v>4930</v>
      </c>
      <c r="LF3" s="7">
        <v>4705.8217605355994</v>
      </c>
      <c r="LG3" s="7">
        <v>4258.3769768672882</v>
      </c>
      <c r="LH3" s="7">
        <v>4354.3690634645609</v>
      </c>
      <c r="LI3" s="7">
        <v>2696.4166666666665</v>
      </c>
      <c r="LJ3" s="7">
        <v>2383.75</v>
      </c>
      <c r="LK3" s="7">
        <v>5015.2248878232695</v>
      </c>
      <c r="LL3" s="7">
        <v>5274.6228164035729</v>
      </c>
      <c r="LM3" s="7">
        <v>4464.5187200678502</v>
      </c>
      <c r="LN3" s="7">
        <v>4635.7810585838288</v>
      </c>
      <c r="LO3" s="7">
        <v>4513.9644507837156</v>
      </c>
      <c r="LP3" s="7">
        <v>2653.0730856021582</v>
      </c>
      <c r="LQ3" s="7">
        <v>2377.583333333333</v>
      </c>
      <c r="LR3" s="7">
        <v>4670.0313808563733</v>
      </c>
      <c r="LS3" s="7">
        <v>4542.2249941735663</v>
      </c>
      <c r="LT3" s="7">
        <v>4491.8872861046702</v>
      </c>
      <c r="LU3" s="7">
        <v>4897.7435244486187</v>
      </c>
      <c r="LV3" s="7">
        <v>5252.4242647653537</v>
      </c>
      <c r="LW3" s="7">
        <v>3248.0091542207347</v>
      </c>
      <c r="LX3" s="7">
        <v>2178.75</v>
      </c>
      <c r="LY3" s="7">
        <v>5887.3159243956434</v>
      </c>
      <c r="LZ3" s="7">
        <v>5808.7308711941378</v>
      </c>
      <c r="MA3" s="7">
        <v>5041.701776482103</v>
      </c>
      <c r="MB3" s="7">
        <v>4768.1476309786949</v>
      </c>
      <c r="MC3" s="7">
        <v>4775.2428038869803</v>
      </c>
      <c r="MD3" s="7">
        <v>3103.057799267031</v>
      </c>
      <c r="ME3" s="7">
        <v>2061.6498914542562</v>
      </c>
      <c r="MF3" s="7">
        <v>5276.3753323873279</v>
      </c>
      <c r="MG3" s="7">
        <v>5706.982492014753</v>
      </c>
      <c r="MH3" s="7">
        <v>5424.2605852228962</v>
      </c>
      <c r="MI3" s="7">
        <v>5047.5490437513945</v>
      </c>
      <c r="MJ3" s="7">
        <v>4388.4035515312207</v>
      </c>
      <c r="MK3" s="7">
        <v>2867.3889332414319</v>
      </c>
      <c r="ML3" s="7">
        <v>2114.666666666667</v>
      </c>
      <c r="MM3" s="7">
        <v>4165.2852777778171</v>
      </c>
      <c r="MN3" s="7">
        <v>4292.785025561303</v>
      </c>
      <c r="MO3" s="7">
        <v>4205.6853008698035</v>
      </c>
      <c r="MP3" s="7">
        <v>4358.3509985732544</v>
      </c>
      <c r="MQ3" s="7">
        <v>3633.6018721553828</v>
      </c>
      <c r="MR3" s="7">
        <v>3605.7024548001914</v>
      </c>
      <c r="MS3" s="7">
        <v>3629.6824347937295</v>
      </c>
      <c r="MT3" s="7">
        <v>3978.6711355723323</v>
      </c>
      <c r="MU3" s="7">
        <v>3954.2499999999995</v>
      </c>
      <c r="MV3" s="7">
        <v>3854.8692045602393</v>
      </c>
      <c r="MW3" s="7">
        <v>3801.8878727675774</v>
      </c>
      <c r="MX3" s="7">
        <v>3619.1095504453715</v>
      </c>
      <c r="MY3" s="7">
        <v>2166.2965778990779</v>
      </c>
      <c r="MZ3" s="7">
        <v>1949.81673948356</v>
      </c>
      <c r="NA3" s="7">
        <v>3826.2499999999995</v>
      </c>
      <c r="NB3" s="7">
        <v>3481.734310458934</v>
      </c>
      <c r="NC3" s="7">
        <v>2202.1182836037779</v>
      </c>
    </row>
    <row r="4" spans="1:367">
      <c r="A4" s="15">
        <f>SUM(C4:NC4)</f>
        <v>43961163</v>
      </c>
      <c r="B4" s="16" t="s">
        <v>423</v>
      </c>
      <c r="C4" s="7"/>
      <c r="D4" s="2">
        <v>110643</v>
      </c>
      <c r="E4" s="2">
        <v>87275</v>
      </c>
      <c r="F4" s="2">
        <v>63212</v>
      </c>
      <c r="G4" s="2">
        <v>52114</v>
      </c>
      <c r="H4" s="2">
        <v>77341</v>
      </c>
      <c r="I4" s="2">
        <v>84247</v>
      </c>
      <c r="J4" s="2">
        <v>48078</v>
      </c>
      <c r="K4" s="2">
        <v>59064</v>
      </c>
      <c r="L4" s="2">
        <v>55304</v>
      </c>
      <c r="M4" s="2">
        <v>62212</v>
      </c>
      <c r="N4" s="2">
        <v>64795</v>
      </c>
      <c r="O4" s="7">
        <v>76231</v>
      </c>
      <c r="P4" s="7">
        <v>71610</v>
      </c>
      <c r="Q4" s="7">
        <v>90966</v>
      </c>
      <c r="R4" s="7">
        <v>102665</v>
      </c>
      <c r="S4" s="7">
        <v>121547</v>
      </c>
      <c r="T4" s="7">
        <v>66659</v>
      </c>
      <c r="U4" s="7">
        <v>72913</v>
      </c>
      <c r="V4" s="7">
        <v>82607</v>
      </c>
      <c r="W4" s="7">
        <v>112240</v>
      </c>
      <c r="X4" s="7">
        <v>67455</v>
      </c>
      <c r="Y4" s="7">
        <v>77349</v>
      </c>
      <c r="Z4" s="7">
        <v>83403</v>
      </c>
      <c r="AA4" s="7">
        <v>65075</v>
      </c>
      <c r="AB4" s="7">
        <v>67819</v>
      </c>
      <c r="AC4" s="7">
        <v>61208</v>
      </c>
      <c r="AD4" s="7">
        <v>73830</v>
      </c>
      <c r="AE4" s="7">
        <v>70622</v>
      </c>
      <c r="AF4" s="7">
        <v>91810</v>
      </c>
      <c r="AG4" s="7">
        <v>79330</v>
      </c>
      <c r="AH4" s="7">
        <v>68062</v>
      </c>
      <c r="AI4" s="7">
        <v>66284</v>
      </c>
      <c r="AJ4" s="7">
        <v>63491</v>
      </c>
      <c r="AK4" s="7">
        <v>94199</v>
      </c>
      <c r="AL4" s="7">
        <v>101409</v>
      </c>
      <c r="AM4" s="7">
        <v>119888</v>
      </c>
      <c r="AN4" s="7">
        <v>121421</v>
      </c>
      <c r="AO4" s="7">
        <v>63936</v>
      </c>
      <c r="AP4" s="7">
        <v>72118</v>
      </c>
      <c r="AQ4" s="7">
        <v>116466</v>
      </c>
      <c r="AR4" s="7">
        <v>144028</v>
      </c>
      <c r="AS4" s="7">
        <v>125887</v>
      </c>
      <c r="AT4" s="7">
        <v>113816</v>
      </c>
      <c r="AU4" s="7">
        <v>81952</v>
      </c>
      <c r="AV4" s="7">
        <v>45981</v>
      </c>
      <c r="AW4" s="7">
        <v>59650</v>
      </c>
      <c r="AX4" s="7">
        <v>84244</v>
      </c>
      <c r="AY4" s="7">
        <v>121710</v>
      </c>
      <c r="AZ4" s="7">
        <v>109208</v>
      </c>
      <c r="BA4" s="7">
        <v>112908</v>
      </c>
      <c r="BB4" s="7">
        <v>81941</v>
      </c>
      <c r="BC4" s="7">
        <v>34554</v>
      </c>
      <c r="BD4" s="7">
        <v>42709</v>
      </c>
      <c r="BE4" s="7">
        <v>135248</v>
      </c>
      <c r="BF4" s="7">
        <v>120267</v>
      </c>
      <c r="BG4" s="7">
        <v>123095</v>
      </c>
      <c r="BH4" s="7">
        <v>93960</v>
      </c>
      <c r="BI4" s="7">
        <v>82351</v>
      </c>
      <c r="BJ4" s="7">
        <v>64175</v>
      </c>
      <c r="BK4" s="7">
        <v>24525</v>
      </c>
      <c r="BL4" s="7">
        <v>117118</v>
      </c>
      <c r="BM4" s="7">
        <v>109830</v>
      </c>
      <c r="BN4" s="7">
        <v>124806</v>
      </c>
      <c r="BO4" s="7">
        <v>133387</v>
      </c>
      <c r="BP4" s="7">
        <v>113264</v>
      </c>
      <c r="BQ4" s="7">
        <v>114516</v>
      </c>
      <c r="BR4" s="7">
        <v>62852</v>
      </c>
      <c r="BS4" s="7">
        <v>176068</v>
      </c>
      <c r="BT4" s="7">
        <v>167398</v>
      </c>
      <c r="BU4" s="7">
        <v>163484</v>
      </c>
      <c r="BV4" s="7">
        <v>155528</v>
      </c>
      <c r="BW4" s="7">
        <v>136973</v>
      </c>
      <c r="BX4" s="7">
        <v>116182</v>
      </c>
      <c r="BY4" s="7">
        <v>66153</v>
      </c>
      <c r="BZ4" s="7">
        <v>191236</v>
      </c>
      <c r="CA4" s="7">
        <v>205049</v>
      </c>
      <c r="CB4" s="7">
        <v>145045</v>
      </c>
      <c r="CC4" s="7">
        <v>225363</v>
      </c>
      <c r="CD4" s="7">
        <v>203259</v>
      </c>
      <c r="CE4" s="7">
        <v>183680</v>
      </c>
      <c r="CF4" s="7">
        <v>198523</v>
      </c>
      <c r="CG4" s="7">
        <v>228130</v>
      </c>
      <c r="CH4" s="7">
        <v>219831</v>
      </c>
      <c r="CI4" s="7">
        <v>181071</v>
      </c>
      <c r="CJ4" s="7">
        <v>120700</v>
      </c>
      <c r="CK4" s="7">
        <v>90268</v>
      </c>
      <c r="CL4" s="7">
        <v>33763</v>
      </c>
      <c r="CP4" s="8">
        <v>143413</v>
      </c>
      <c r="CQ4" s="8">
        <v>175715</v>
      </c>
      <c r="CR4" s="8">
        <v>119834</v>
      </c>
      <c r="CS4" s="8">
        <v>96258</v>
      </c>
      <c r="CT4" s="8">
        <v>68490</v>
      </c>
      <c r="CU4" s="7">
        <v>99862</v>
      </c>
      <c r="CV4" s="7">
        <v>117733</v>
      </c>
      <c r="CW4" s="7">
        <v>105885</v>
      </c>
      <c r="CX4" s="7">
        <v>112958</v>
      </c>
      <c r="CY4" s="7">
        <v>103147</v>
      </c>
      <c r="CZ4" s="7">
        <v>87374</v>
      </c>
      <c r="DA4" s="7">
        <v>65035</v>
      </c>
      <c r="DB4" s="7">
        <v>109830</v>
      </c>
      <c r="DC4" s="7">
        <v>144542</v>
      </c>
      <c r="DD4" s="7">
        <v>146665</v>
      </c>
      <c r="DE4" s="7">
        <v>142916</v>
      </c>
      <c r="DF4" s="7">
        <v>121675</v>
      </c>
      <c r="DG4" s="7">
        <v>81243</v>
      </c>
      <c r="DH4" s="7">
        <v>81171</v>
      </c>
      <c r="DI4" s="7">
        <v>115167</v>
      </c>
      <c r="DJ4" s="7">
        <v>126810</v>
      </c>
      <c r="DK4" s="7">
        <v>32564</v>
      </c>
      <c r="DL4" s="7"/>
      <c r="DM4" s="7">
        <v>121649</v>
      </c>
      <c r="DN4" s="7">
        <v>156877</v>
      </c>
      <c r="DO4" s="7">
        <v>133623</v>
      </c>
      <c r="DP4" s="7">
        <v>102947</v>
      </c>
      <c r="DQ4" s="7">
        <v>102389</v>
      </c>
      <c r="DR4" s="7">
        <v>99673</v>
      </c>
      <c r="DS4" s="7"/>
      <c r="DT4" s="7">
        <v>144138</v>
      </c>
      <c r="DU4" s="7">
        <v>120339</v>
      </c>
      <c r="DV4" s="7">
        <v>73888</v>
      </c>
      <c r="DW4" s="7">
        <v>152157</v>
      </c>
      <c r="DX4" s="7">
        <v>162349</v>
      </c>
      <c r="DY4" s="7">
        <v>174257</v>
      </c>
      <c r="DZ4" s="7">
        <v>167085</v>
      </c>
      <c r="EA4" s="7">
        <v>169871</v>
      </c>
      <c r="EB4" s="7">
        <v>116153</v>
      </c>
      <c r="EC4" s="7">
        <v>68892</v>
      </c>
      <c r="ED4" s="7">
        <v>183537</v>
      </c>
      <c r="EE4" s="7">
        <v>151468</v>
      </c>
      <c r="EF4" s="7">
        <v>166949</v>
      </c>
      <c r="EG4" s="7">
        <v>182637</v>
      </c>
      <c r="EH4" s="7">
        <v>152672</v>
      </c>
      <c r="EI4" s="7">
        <v>113339</v>
      </c>
      <c r="EJ4" s="7">
        <v>67363</v>
      </c>
      <c r="EK4" s="7">
        <v>159357</v>
      </c>
      <c r="EL4" s="7">
        <v>192422</v>
      </c>
      <c r="EM4" s="7">
        <v>181673</v>
      </c>
      <c r="EN4" s="7">
        <v>200658</v>
      </c>
      <c r="EO4" s="7">
        <v>174480</v>
      </c>
      <c r="EP4" s="7">
        <v>120564</v>
      </c>
      <c r="EQ4" s="7">
        <v>65818</v>
      </c>
      <c r="ER4" s="7">
        <v>181063</v>
      </c>
      <c r="ES4" s="7">
        <v>209684</v>
      </c>
      <c r="ET4" s="7">
        <v>212103</v>
      </c>
      <c r="EU4" s="7">
        <v>211747</v>
      </c>
      <c r="EV4" s="7">
        <v>205354</v>
      </c>
      <c r="EW4" s="7">
        <v>236378</v>
      </c>
      <c r="EX4" s="7">
        <v>186779</v>
      </c>
      <c r="EY4" s="7">
        <v>204907</v>
      </c>
      <c r="EZ4" s="7">
        <v>161060</v>
      </c>
      <c r="FA4" s="7">
        <v>84621</v>
      </c>
      <c r="FB4" s="7">
        <v>43095</v>
      </c>
      <c r="FC4" s="7"/>
      <c r="FD4" s="7"/>
      <c r="FE4" s="7"/>
      <c r="FF4" s="7"/>
      <c r="FG4" s="7">
        <v>111470</v>
      </c>
      <c r="FH4" s="7">
        <v>186181</v>
      </c>
      <c r="FI4" s="7">
        <v>188427</v>
      </c>
      <c r="FJ4" s="7">
        <v>184881</v>
      </c>
      <c r="FK4" s="7">
        <v>205036</v>
      </c>
      <c r="FL4" s="7">
        <v>191761</v>
      </c>
      <c r="FM4" s="7">
        <v>188258</v>
      </c>
      <c r="FN4" s="7">
        <v>186599</v>
      </c>
      <c r="FO4" s="7">
        <v>175200</v>
      </c>
      <c r="FP4" s="7">
        <v>179031</v>
      </c>
      <c r="FQ4" s="7">
        <v>128620</v>
      </c>
      <c r="FR4" s="7">
        <v>116852</v>
      </c>
      <c r="FS4" s="7">
        <v>56689</v>
      </c>
      <c r="FT4" s="7">
        <v>135330</v>
      </c>
      <c r="FU4" s="7">
        <v>130895</v>
      </c>
      <c r="FV4" s="7">
        <v>169408</v>
      </c>
      <c r="FW4" s="7">
        <v>135565</v>
      </c>
      <c r="FX4" s="7">
        <v>182919</v>
      </c>
      <c r="FY4" s="7">
        <v>115342</v>
      </c>
      <c r="FZ4" s="7">
        <v>67947</v>
      </c>
      <c r="GA4" s="7">
        <v>173654</v>
      </c>
      <c r="GB4" s="7">
        <v>178754</v>
      </c>
      <c r="GC4" s="7">
        <v>118938</v>
      </c>
      <c r="GD4" s="7">
        <v>115261</v>
      </c>
      <c r="GE4" s="7">
        <v>117441</v>
      </c>
      <c r="GF4" s="7">
        <v>75693</v>
      </c>
      <c r="GG4" s="7">
        <v>48596</v>
      </c>
      <c r="GH4" s="7">
        <v>90150</v>
      </c>
      <c r="GI4" s="7">
        <v>139724</v>
      </c>
      <c r="GJ4" s="7">
        <v>167021</v>
      </c>
      <c r="GK4" s="7">
        <v>146331</v>
      </c>
      <c r="GL4" s="7">
        <v>128140</v>
      </c>
      <c r="GM4" s="7">
        <v>110366</v>
      </c>
      <c r="GN4" s="7">
        <v>55403</v>
      </c>
      <c r="GO4" s="7">
        <v>94051</v>
      </c>
      <c r="GP4" s="7"/>
      <c r="GQ4" s="7">
        <v>166386</v>
      </c>
      <c r="GR4" s="7">
        <v>143024</v>
      </c>
      <c r="GS4" s="7">
        <v>145218</v>
      </c>
      <c r="GT4" s="7">
        <v>119545</v>
      </c>
      <c r="GU4" s="7">
        <v>87109</v>
      </c>
      <c r="GV4" s="7">
        <v>113604</v>
      </c>
      <c r="GW4" s="7">
        <v>105218</v>
      </c>
      <c r="GX4" s="7">
        <v>128606</v>
      </c>
      <c r="GY4" s="7">
        <v>109577</v>
      </c>
      <c r="GZ4" s="7">
        <v>72392</v>
      </c>
      <c r="HA4" s="7">
        <v>71596</v>
      </c>
      <c r="HB4" s="7">
        <v>58561</v>
      </c>
      <c r="HC4" s="7">
        <v>120816</v>
      </c>
      <c r="HD4" s="7">
        <v>94496</v>
      </c>
      <c r="HE4" s="7">
        <v>129259</v>
      </c>
      <c r="HF4" s="7">
        <v>113090</v>
      </c>
      <c r="HG4" s="7">
        <v>94472</v>
      </c>
      <c r="HH4" s="7">
        <v>63962</v>
      </c>
      <c r="HI4" s="7">
        <v>65009</v>
      </c>
      <c r="HJ4" s="7">
        <v>81924</v>
      </c>
      <c r="HK4" s="7">
        <v>111184</v>
      </c>
      <c r="HL4" s="7">
        <v>88912</v>
      </c>
      <c r="HM4" s="7">
        <v>93653</v>
      </c>
      <c r="HN4" s="7">
        <v>89852</v>
      </c>
      <c r="HO4" s="7">
        <v>59841</v>
      </c>
      <c r="HP4" s="7">
        <v>63630</v>
      </c>
      <c r="HQ4" s="7">
        <v>111024</v>
      </c>
      <c r="HR4" s="7">
        <v>112282</v>
      </c>
      <c r="HS4" s="7">
        <v>113795</v>
      </c>
      <c r="HT4" s="7">
        <v>84323</v>
      </c>
      <c r="HU4" s="7">
        <v>100091</v>
      </c>
      <c r="HV4" s="7">
        <v>58131</v>
      </c>
      <c r="HW4" s="7">
        <v>54737</v>
      </c>
      <c r="HX4" s="7">
        <v>103777</v>
      </c>
      <c r="HY4" s="7">
        <v>79747</v>
      </c>
      <c r="HZ4" s="7">
        <v>97383</v>
      </c>
      <c r="IA4" s="7">
        <v>115745</v>
      </c>
      <c r="IB4" s="7">
        <v>115727</v>
      </c>
      <c r="IC4" s="7">
        <v>103268</v>
      </c>
      <c r="ID4" s="7">
        <v>105953</v>
      </c>
      <c r="IE4" s="7">
        <v>104098</v>
      </c>
      <c r="IF4" s="7">
        <v>106824</v>
      </c>
      <c r="IG4" s="7">
        <v>113974</v>
      </c>
      <c r="IH4" s="7">
        <v>139680</v>
      </c>
      <c r="II4" s="7">
        <v>138356</v>
      </c>
      <c r="IJ4" s="7">
        <v>123752</v>
      </c>
      <c r="IK4" s="7">
        <v>89376</v>
      </c>
      <c r="IL4" s="7">
        <v>111120</v>
      </c>
      <c r="IM4" s="7">
        <v>113341</v>
      </c>
      <c r="IN4" s="7">
        <v>105405</v>
      </c>
      <c r="IO4" s="7">
        <v>103891</v>
      </c>
      <c r="IP4" s="7">
        <v>98088</v>
      </c>
      <c r="IQ4" s="7">
        <v>101476</v>
      </c>
      <c r="IR4" s="7">
        <v>99087</v>
      </c>
      <c r="IS4" s="7">
        <v>120281</v>
      </c>
      <c r="IT4" s="7">
        <v>120263</v>
      </c>
      <c r="IU4" s="7">
        <v>165327</v>
      </c>
      <c r="IV4" s="7">
        <v>171410</v>
      </c>
      <c r="IW4" s="7">
        <v>129333</v>
      </c>
      <c r="IX4" s="7">
        <v>97858</v>
      </c>
      <c r="IY4" s="7">
        <v>57650</v>
      </c>
      <c r="IZ4" s="7">
        <v>121370</v>
      </c>
      <c r="JA4" s="7">
        <v>143001</v>
      </c>
      <c r="JB4" s="7">
        <v>146862</v>
      </c>
      <c r="JC4" s="7">
        <v>130909</v>
      </c>
      <c r="JD4" s="7">
        <v>106338</v>
      </c>
      <c r="JE4" s="7">
        <v>83419</v>
      </c>
      <c r="JF4" s="7">
        <v>74482</v>
      </c>
      <c r="JG4" s="7">
        <v>133599</v>
      </c>
      <c r="JH4" s="7">
        <v>173594</v>
      </c>
      <c r="JI4" s="7">
        <v>162614</v>
      </c>
      <c r="JJ4" s="7">
        <v>183167</v>
      </c>
      <c r="JK4" s="7">
        <v>180184</v>
      </c>
      <c r="JL4" s="7">
        <v>84488</v>
      </c>
      <c r="JM4" s="7">
        <v>67238</v>
      </c>
      <c r="JN4" s="7">
        <v>145944</v>
      </c>
      <c r="JO4" s="7">
        <v>189656</v>
      </c>
      <c r="JP4" s="7">
        <v>162989</v>
      </c>
      <c r="JQ4" s="7">
        <v>168481</v>
      </c>
      <c r="JR4" s="7">
        <v>137762</v>
      </c>
      <c r="JS4" s="7">
        <v>84001</v>
      </c>
      <c r="JT4" s="7">
        <v>72512</v>
      </c>
      <c r="JU4" s="7">
        <v>149075</v>
      </c>
      <c r="JV4" s="7">
        <v>164266</v>
      </c>
      <c r="JW4" s="7">
        <v>173891</v>
      </c>
      <c r="JX4" s="7">
        <v>177190</v>
      </c>
      <c r="JY4" s="7">
        <v>179760</v>
      </c>
      <c r="JZ4" s="7">
        <v>103215</v>
      </c>
      <c r="KA4" s="7">
        <v>67615</v>
      </c>
      <c r="KB4" s="7">
        <v>181138</v>
      </c>
      <c r="KC4" s="7">
        <v>171842</v>
      </c>
      <c r="KD4" s="7">
        <v>203447</v>
      </c>
      <c r="KE4" s="7">
        <v>213845</v>
      </c>
      <c r="KF4" s="7">
        <v>214373</v>
      </c>
      <c r="KG4" s="7">
        <v>216578</v>
      </c>
      <c r="KH4" s="7">
        <v>153818</v>
      </c>
      <c r="KI4" s="7">
        <v>199107</v>
      </c>
      <c r="KJ4" s="7">
        <v>215894</v>
      </c>
      <c r="KK4" s="7">
        <v>203954</v>
      </c>
      <c r="KL4" s="7">
        <v>212985</v>
      </c>
      <c r="KM4" s="7">
        <v>197455</v>
      </c>
      <c r="KN4" s="7">
        <v>145735</v>
      </c>
      <c r="KO4" s="7">
        <v>112433</v>
      </c>
      <c r="KP4" s="7">
        <v>196571</v>
      </c>
      <c r="KQ4" s="7">
        <v>202583</v>
      </c>
      <c r="KR4" s="7">
        <v>211064</v>
      </c>
      <c r="KS4" s="7">
        <v>174986</v>
      </c>
      <c r="KT4" s="7">
        <v>156181</v>
      </c>
      <c r="KU4" s="7">
        <v>99474</v>
      </c>
      <c r="KV4" s="7">
        <v>84537</v>
      </c>
      <c r="KW4" s="7">
        <v>158534</v>
      </c>
      <c r="KX4" s="7">
        <v>194645</v>
      </c>
      <c r="KY4" s="7">
        <v>188010</v>
      </c>
      <c r="KZ4" s="7">
        <v>167672</v>
      </c>
      <c r="LA4" s="7">
        <v>86129</v>
      </c>
      <c r="LB4" s="7">
        <v>99527</v>
      </c>
      <c r="LC4" s="7">
        <v>89670</v>
      </c>
      <c r="LD4" s="7">
        <v>115079</v>
      </c>
      <c r="LE4" s="7">
        <v>117252</v>
      </c>
      <c r="LF4" s="7">
        <v>130169</v>
      </c>
      <c r="LG4" s="7">
        <v>132371</v>
      </c>
      <c r="LH4" s="7">
        <v>118039</v>
      </c>
      <c r="LI4" s="7">
        <v>97736</v>
      </c>
      <c r="LJ4" s="7">
        <v>97473</v>
      </c>
      <c r="LK4" s="7">
        <v>125909</v>
      </c>
      <c r="LL4" s="7">
        <v>176181</v>
      </c>
      <c r="LM4" s="7">
        <v>156073</v>
      </c>
      <c r="LN4" s="7">
        <v>129627</v>
      </c>
      <c r="LO4" s="7">
        <v>134785</v>
      </c>
      <c r="LP4" s="7">
        <v>81720</v>
      </c>
      <c r="LQ4" s="7">
        <v>75000</v>
      </c>
      <c r="LR4" s="7">
        <v>111431</v>
      </c>
      <c r="LS4" s="7">
        <v>145629</v>
      </c>
      <c r="LT4" s="7">
        <v>159338</v>
      </c>
      <c r="LU4" s="7">
        <v>161208</v>
      </c>
      <c r="LV4" s="7">
        <v>143780</v>
      </c>
      <c r="LW4" s="7">
        <v>87582</v>
      </c>
      <c r="LX4" s="7">
        <v>82023</v>
      </c>
      <c r="LY4" s="7">
        <v>173818</v>
      </c>
      <c r="LZ4" s="7">
        <v>167365</v>
      </c>
      <c r="MA4" s="7">
        <v>175196</v>
      </c>
      <c r="MB4" s="7">
        <v>155446</v>
      </c>
      <c r="MC4" s="7">
        <v>159897</v>
      </c>
      <c r="MD4" s="7">
        <v>96131</v>
      </c>
      <c r="ME4" s="7">
        <v>71848</v>
      </c>
      <c r="MF4" s="7">
        <v>162076</v>
      </c>
      <c r="MG4" s="7">
        <v>188867</v>
      </c>
      <c r="MH4" s="7">
        <v>196941</v>
      </c>
      <c r="MI4" s="7">
        <v>191777</v>
      </c>
      <c r="MJ4" s="7">
        <v>160227</v>
      </c>
      <c r="MK4" s="7">
        <v>111542</v>
      </c>
      <c r="ML4" s="7">
        <v>84103</v>
      </c>
      <c r="MM4" s="7">
        <v>127258</v>
      </c>
      <c r="MN4" s="7">
        <v>130803</v>
      </c>
      <c r="MO4" s="7">
        <v>137569</v>
      </c>
      <c r="MP4" s="7">
        <v>135661</v>
      </c>
      <c r="MQ4" s="7">
        <v>133999</v>
      </c>
      <c r="MR4" s="7">
        <v>128412</v>
      </c>
      <c r="MS4" s="7">
        <v>132062</v>
      </c>
      <c r="MT4" s="7">
        <v>128960</v>
      </c>
      <c r="MU4" s="7">
        <v>129343</v>
      </c>
      <c r="MV4" s="7">
        <v>136976</v>
      </c>
      <c r="MW4" s="7">
        <v>142075</v>
      </c>
      <c r="MX4" s="7">
        <v>124170</v>
      </c>
      <c r="MY4" s="7">
        <v>89809</v>
      </c>
      <c r="MZ4" s="7">
        <v>81836</v>
      </c>
      <c r="NA4" s="7">
        <v>136048</v>
      </c>
      <c r="NB4" s="7">
        <v>138162</v>
      </c>
      <c r="NC4" s="7">
        <v>94243</v>
      </c>
    </row>
    <row r="5" spans="1:367">
      <c r="A5" s="17">
        <f>+A4/A3</f>
        <v>36.088244296062655</v>
      </c>
      <c r="B5" s="18" t="s">
        <v>424</v>
      </c>
      <c r="C5" s="7"/>
      <c r="D5" s="7">
        <f t="shared" ref="D5:N5" si="0">+D4/D3</f>
        <v>30.555777712149581</v>
      </c>
      <c r="E5" s="7">
        <f t="shared" si="0"/>
        <v>26.741906675269675</v>
      </c>
      <c r="F5" s="7">
        <f t="shared" si="0"/>
        <v>29.440418189097503</v>
      </c>
      <c r="G5" s="7">
        <f t="shared" si="0"/>
        <v>29.403347656512882</v>
      </c>
      <c r="H5" s="7">
        <f t="shared" si="0"/>
        <v>22.211339250358343</v>
      </c>
      <c r="I5" s="7">
        <f t="shared" si="0"/>
        <v>28.191292670919296</v>
      </c>
      <c r="J5" s="7">
        <f t="shared" si="0"/>
        <v>21.535389583299931</v>
      </c>
      <c r="K5" s="7">
        <f t="shared" si="0"/>
        <v>25.406267356058127</v>
      </c>
      <c r="L5" s="7">
        <f t="shared" si="0"/>
        <v>21.230194182652109</v>
      </c>
      <c r="M5" s="7">
        <f t="shared" si="0"/>
        <v>33.490875260703852</v>
      </c>
      <c r="N5" s="7">
        <f t="shared" si="0"/>
        <v>36.765570746996943</v>
      </c>
      <c r="O5" s="20">
        <f>+O4/O3</f>
        <v>26.305136942145865</v>
      </c>
      <c r="P5" s="20">
        <f t="shared" ref="P5:CA5" si="1">+P4/P3</f>
        <v>22.917128246492975</v>
      </c>
      <c r="Q5" s="20">
        <f t="shared" si="1"/>
        <v>28.673040458874208</v>
      </c>
      <c r="R5" s="20">
        <f t="shared" si="1"/>
        <v>34.166635247574099</v>
      </c>
      <c r="S5" s="20">
        <f t="shared" si="1"/>
        <v>39.901187504242067</v>
      </c>
      <c r="T5" s="20">
        <f t="shared" si="1"/>
        <v>33.177333073262176</v>
      </c>
      <c r="U5" s="20">
        <f t="shared" si="1"/>
        <v>42.532580150976564</v>
      </c>
      <c r="V5" s="20">
        <f t="shared" si="1"/>
        <v>24.274421331005382</v>
      </c>
      <c r="W5" s="20">
        <f t="shared" si="1"/>
        <v>35.403457163535307</v>
      </c>
      <c r="X5" s="20">
        <f t="shared" si="1"/>
        <v>21.658996119560395</v>
      </c>
      <c r="Y5" s="20">
        <f t="shared" si="1"/>
        <v>28.341885696624296</v>
      </c>
      <c r="Z5" s="20">
        <f t="shared" si="1"/>
        <v>27.894682604192681</v>
      </c>
      <c r="AA5" s="20">
        <f t="shared" si="1"/>
        <v>32.248848132892327</v>
      </c>
      <c r="AB5" s="20">
        <f t="shared" si="1"/>
        <v>37.860032105701499</v>
      </c>
      <c r="AC5" s="20">
        <f t="shared" si="1"/>
        <v>21.757505863074666</v>
      </c>
      <c r="AD5" s="20">
        <f t="shared" si="1"/>
        <v>28.370751215137997</v>
      </c>
      <c r="AE5" s="20">
        <f t="shared" si="1"/>
        <v>27.370436665601549</v>
      </c>
      <c r="AF5" s="20">
        <f t="shared" si="1"/>
        <v>33.157290556935727</v>
      </c>
      <c r="AG5" s="20">
        <f t="shared" si="1"/>
        <v>30.777922112779891</v>
      </c>
      <c r="AH5" s="20">
        <f t="shared" si="1"/>
        <v>37.474930649853825</v>
      </c>
      <c r="AI5" s="20">
        <f t="shared" si="1"/>
        <v>38.999776609625748</v>
      </c>
      <c r="AJ5" s="20">
        <f t="shared" si="1"/>
        <v>25.435013419396679</v>
      </c>
      <c r="AK5" s="20">
        <f t="shared" si="1"/>
        <v>36.055323274965573</v>
      </c>
      <c r="AL5" s="20">
        <f t="shared" si="1"/>
        <v>32.365855321672782</v>
      </c>
      <c r="AM5" s="20">
        <f t="shared" si="1"/>
        <v>41.086218955315395</v>
      </c>
      <c r="AN5" s="20">
        <f t="shared" si="1"/>
        <v>41.677664151817645</v>
      </c>
      <c r="AO5" s="20">
        <f t="shared" si="1"/>
        <v>38.816999275975405</v>
      </c>
      <c r="AP5" s="20">
        <f t="shared" si="1"/>
        <v>46.89899361825384</v>
      </c>
      <c r="AQ5" s="20">
        <f t="shared" si="1"/>
        <v>41.315184927010954</v>
      </c>
      <c r="AR5" s="20">
        <f t="shared" si="1"/>
        <v>41.950739517869216</v>
      </c>
      <c r="AS5" s="20">
        <f t="shared" si="1"/>
        <v>39.361456829252369</v>
      </c>
      <c r="AT5" s="20">
        <f t="shared" si="1"/>
        <v>37.769999958224361</v>
      </c>
      <c r="AU5" s="20">
        <f t="shared" si="1"/>
        <v>33.428006541449427</v>
      </c>
      <c r="AV5" s="20">
        <f t="shared" si="1"/>
        <v>34.830777292732257</v>
      </c>
      <c r="AW5" s="20">
        <f t="shared" si="1"/>
        <v>39.289316264030482</v>
      </c>
      <c r="AX5" s="20">
        <f t="shared" si="1"/>
        <v>28.495418515497935</v>
      </c>
      <c r="AY5" s="20">
        <f t="shared" si="1"/>
        <v>39.26768981156291</v>
      </c>
      <c r="AZ5" s="20">
        <f t="shared" si="1"/>
        <v>39.068876607764416</v>
      </c>
      <c r="BA5" s="20">
        <f t="shared" si="1"/>
        <v>39.833875902642113</v>
      </c>
      <c r="BB5" s="20">
        <f t="shared" si="1"/>
        <v>32.587768177803397</v>
      </c>
      <c r="BC5" s="20">
        <f t="shared" si="1"/>
        <v>40.694964969130787</v>
      </c>
      <c r="BD5" s="20">
        <f t="shared" si="1"/>
        <v>40.131508661114964</v>
      </c>
      <c r="BE5" s="20">
        <f t="shared" si="1"/>
        <v>42.020803336658744</v>
      </c>
      <c r="BF5" s="20">
        <f t="shared" si="1"/>
        <v>40.2617135286673</v>
      </c>
      <c r="BG5" s="20">
        <f t="shared" si="1"/>
        <v>41.02590721586531</v>
      </c>
      <c r="BH5" s="20">
        <f t="shared" si="1"/>
        <v>36.539589839608567</v>
      </c>
      <c r="BI5" s="20">
        <f t="shared" si="1"/>
        <v>32.579439934389157</v>
      </c>
      <c r="BJ5" s="20">
        <f t="shared" si="1"/>
        <v>46.383100439415863</v>
      </c>
      <c r="BK5" s="20">
        <f t="shared" si="1"/>
        <v>33.69066662758933</v>
      </c>
      <c r="BL5" s="20">
        <f t="shared" si="1"/>
        <v>41.422749073354332</v>
      </c>
      <c r="BM5" s="20">
        <f t="shared" si="1"/>
        <v>39.877775464908851</v>
      </c>
      <c r="BN5" s="20">
        <f t="shared" si="1"/>
        <v>47.58663895706669</v>
      </c>
      <c r="BO5" s="20">
        <f t="shared" si="1"/>
        <v>49.626419201819182</v>
      </c>
      <c r="BP5" s="20">
        <f t="shared" si="1"/>
        <v>37.993692965474494</v>
      </c>
      <c r="BQ5" s="20">
        <f t="shared" si="1"/>
        <v>43.444443618124019</v>
      </c>
      <c r="BR5" s="20">
        <f t="shared" si="1"/>
        <v>42.436633083501846</v>
      </c>
      <c r="BS5" s="20">
        <f t="shared" si="1"/>
        <v>40.770520278269004</v>
      </c>
      <c r="BT5" s="20">
        <f t="shared" si="1"/>
        <v>43.097120184795607</v>
      </c>
      <c r="BU5" s="20">
        <f t="shared" si="1"/>
        <v>43.351279738871412</v>
      </c>
      <c r="BV5" s="20">
        <f t="shared" si="1"/>
        <v>39.609117728939147</v>
      </c>
      <c r="BW5" s="20">
        <f t="shared" si="1"/>
        <v>38.221391433774855</v>
      </c>
      <c r="BX5" s="20">
        <f t="shared" si="1"/>
        <v>45.819387516210107</v>
      </c>
      <c r="BY5" s="20">
        <f t="shared" si="1"/>
        <v>47.030835927148821</v>
      </c>
      <c r="BZ5" s="20">
        <f t="shared" si="1"/>
        <v>40.591982493808928</v>
      </c>
      <c r="CA5" s="20">
        <f t="shared" si="1"/>
        <v>39.550136075961802</v>
      </c>
      <c r="CB5" s="20">
        <f t="shared" ref="CB5:EJ5" si="2">+CB4/CB3</f>
        <v>29.163088492069821</v>
      </c>
      <c r="CC5" s="20">
        <f t="shared" si="2"/>
        <v>44.165305953466977</v>
      </c>
      <c r="CD5" s="20">
        <f t="shared" si="2"/>
        <v>39.497994422065112</v>
      </c>
      <c r="CE5" s="20">
        <f t="shared" si="2"/>
        <v>41.540954304418946</v>
      </c>
      <c r="CF5" s="20">
        <f t="shared" si="2"/>
        <v>45.603141625669942</v>
      </c>
      <c r="CG5" s="20">
        <f t="shared" si="2"/>
        <v>43.814867569782862</v>
      </c>
      <c r="CH5" s="20">
        <f t="shared" si="2"/>
        <v>42.357335259886845</v>
      </c>
      <c r="CI5" s="20">
        <f t="shared" si="2"/>
        <v>44.397987579742406</v>
      </c>
      <c r="CJ5" s="20">
        <f t="shared" si="2"/>
        <v>38.16755113267277</v>
      </c>
      <c r="CK5" s="20">
        <f t="shared" si="2"/>
        <v>28.897258451673171</v>
      </c>
      <c r="CL5" s="20">
        <f t="shared" si="2"/>
        <v>39.051536444949875</v>
      </c>
      <c r="CM5" s="20"/>
      <c r="CN5" s="20"/>
      <c r="CO5" s="20"/>
      <c r="CP5" s="20">
        <f t="shared" si="2"/>
        <v>51.7079474010255</v>
      </c>
      <c r="CQ5" s="20">
        <f t="shared" si="2"/>
        <v>49.252094600019973</v>
      </c>
      <c r="CR5" s="20">
        <f t="shared" si="2"/>
        <v>38.828869304159618</v>
      </c>
      <c r="CS5" s="20">
        <f t="shared" si="2"/>
        <v>48.222371410410993</v>
      </c>
      <c r="CT5" s="20">
        <f t="shared" si="2"/>
        <v>38.973780893910636</v>
      </c>
      <c r="CU5" s="20">
        <f t="shared" si="2"/>
        <v>33.809716479629017</v>
      </c>
      <c r="CV5" s="20">
        <f t="shared" si="2"/>
        <v>40.468881079125595</v>
      </c>
      <c r="CW5" s="20">
        <f t="shared" si="2"/>
        <v>38.963092230963589</v>
      </c>
      <c r="CX5" s="20">
        <f t="shared" si="2"/>
        <v>38.685892263261024</v>
      </c>
      <c r="CY5" s="20">
        <f t="shared" si="2"/>
        <v>33.627647210159743</v>
      </c>
      <c r="CZ5" s="20">
        <f t="shared" si="2"/>
        <v>46.3716253197979</v>
      </c>
      <c r="DA5" s="20">
        <f t="shared" si="2"/>
        <v>44.383334138103436</v>
      </c>
      <c r="DB5" s="20">
        <f t="shared" si="2"/>
        <v>34.216784851361872</v>
      </c>
      <c r="DC5" s="20">
        <f t="shared" si="2"/>
        <v>38.59837467376142</v>
      </c>
      <c r="DD5" s="20">
        <f t="shared" si="2"/>
        <v>42.639279730705013</v>
      </c>
      <c r="DE5" s="20">
        <f t="shared" si="2"/>
        <v>46.723110864382861</v>
      </c>
      <c r="DF5" s="20">
        <f t="shared" si="2"/>
        <v>38.756329010238034</v>
      </c>
      <c r="DG5" s="20">
        <f t="shared" si="2"/>
        <v>43.000707829887872</v>
      </c>
      <c r="DH5" s="20">
        <f t="shared" si="2"/>
        <v>42.840778173477318</v>
      </c>
      <c r="DI5" s="20">
        <f t="shared" si="2"/>
        <v>31.722995583456232</v>
      </c>
      <c r="DJ5" s="20">
        <f t="shared" si="2"/>
        <v>39.085355936777987</v>
      </c>
      <c r="DK5" s="20">
        <f t="shared" si="2"/>
        <v>50.31390975667248</v>
      </c>
      <c r="DL5" s="20"/>
      <c r="DM5" s="20">
        <f t="shared" si="2"/>
        <v>28.182521020583401</v>
      </c>
      <c r="DN5" s="20">
        <f t="shared" si="2"/>
        <v>40.454325138090397</v>
      </c>
      <c r="DO5" s="20">
        <f t="shared" si="2"/>
        <v>46.401654485812124</v>
      </c>
      <c r="DP5" s="20">
        <f t="shared" si="2"/>
        <v>35.578798871526331</v>
      </c>
      <c r="DQ5" s="20">
        <f t="shared" si="2"/>
        <v>34.919280551347065</v>
      </c>
      <c r="DR5" s="20">
        <f t="shared" si="2"/>
        <v>30.52285964203924</v>
      </c>
      <c r="DS5" s="20"/>
      <c r="DT5" s="20">
        <f t="shared" si="2"/>
        <v>36.327475307401102</v>
      </c>
      <c r="DU5" s="20">
        <f t="shared" si="2"/>
        <v>45.707619121385441</v>
      </c>
      <c r="DV5" s="20">
        <f t="shared" si="2"/>
        <v>57.993970646830149</v>
      </c>
      <c r="DW5" s="20">
        <f t="shared" si="2"/>
        <v>38.918270194155411</v>
      </c>
      <c r="DX5" s="20">
        <f t="shared" si="2"/>
        <v>40.1417475476905</v>
      </c>
      <c r="DY5" s="20">
        <f t="shared" si="2"/>
        <v>41.37054278209478</v>
      </c>
      <c r="DZ5" s="20">
        <f t="shared" si="2"/>
        <v>40.291326578775298</v>
      </c>
      <c r="EA5" s="20">
        <f t="shared" si="2"/>
        <v>40.749213890817124</v>
      </c>
      <c r="EB5" s="20">
        <f t="shared" si="2"/>
        <v>45.78994659199082</v>
      </c>
      <c r="EC5" s="20">
        <f t="shared" si="2"/>
        <v>51.567543323793245</v>
      </c>
      <c r="ED5" s="20">
        <f t="shared" si="2"/>
        <v>37.056152899634867</v>
      </c>
      <c r="EE5" s="20">
        <f t="shared" si="2"/>
        <v>33.406716249499908</v>
      </c>
      <c r="EF5" s="20">
        <f t="shared" si="2"/>
        <v>37.253679612523584</v>
      </c>
      <c r="EG5" s="20">
        <f t="shared" si="2"/>
        <v>42.826935365930005</v>
      </c>
      <c r="EH5" s="20">
        <f t="shared" si="2"/>
        <v>35.869038766577944</v>
      </c>
      <c r="EI5" s="20">
        <f t="shared" si="2"/>
        <v>42.700775513804622</v>
      </c>
      <c r="EJ5" s="20">
        <f t="shared" si="2"/>
        <v>47.839933031809743</v>
      </c>
      <c r="EK5" s="20">
        <f>+EK4/EK3</f>
        <v>30.364596804305499</v>
      </c>
      <c r="EL5" s="20">
        <f t="shared" ref="EL5:FB5" si="3">+EL4/EL3</f>
        <v>40.013996037836542</v>
      </c>
      <c r="EM5" s="20">
        <f t="shared" si="3"/>
        <v>34.911262498209219</v>
      </c>
      <c r="EN5" s="20">
        <f t="shared" si="3"/>
        <v>41.591629822453022</v>
      </c>
      <c r="EO5" s="20">
        <f t="shared" si="3"/>
        <v>39.722421724134364</v>
      </c>
      <c r="EP5" s="20">
        <f t="shared" si="3"/>
        <v>31.201235824439724</v>
      </c>
      <c r="EQ5" s="20">
        <f t="shared" si="3"/>
        <v>42.643794668026125</v>
      </c>
      <c r="ER5" s="20">
        <f t="shared" si="3"/>
        <v>34.156392776232749</v>
      </c>
      <c r="ES5" s="20">
        <f t="shared" si="3"/>
        <v>38.459115153900925</v>
      </c>
      <c r="ET5" s="20">
        <f t="shared" si="3"/>
        <v>39.178925218604583</v>
      </c>
      <c r="EU5" s="20">
        <f t="shared" si="3"/>
        <v>38.814606437010511</v>
      </c>
      <c r="EV5" s="20">
        <f t="shared" si="3"/>
        <v>38.185115125082717</v>
      </c>
      <c r="EW5" s="20">
        <f t="shared" si="3"/>
        <v>42.007622122645856</v>
      </c>
      <c r="EX5" s="20">
        <f t="shared" si="3"/>
        <v>40.871501778005943</v>
      </c>
      <c r="EY5" s="20">
        <f t="shared" si="3"/>
        <v>46.607774424124351</v>
      </c>
      <c r="EZ5" s="20">
        <f t="shared" si="3"/>
        <v>41.295776264680924</v>
      </c>
      <c r="FA5" s="20">
        <f t="shared" si="3"/>
        <v>26.061188077965227</v>
      </c>
      <c r="FB5" s="20">
        <f t="shared" si="3"/>
        <v>25.450829049699394</v>
      </c>
      <c r="FF5" s="20"/>
      <c r="FG5" s="20">
        <f t="shared" ref="FG5:HR5" si="4">+FG4/FG3</f>
        <v>24.254141675089596</v>
      </c>
      <c r="FH5" s="20">
        <f t="shared" si="4"/>
        <v>37.809519088274328</v>
      </c>
      <c r="FI5" s="20">
        <f t="shared" si="4"/>
        <v>37.667345874312211</v>
      </c>
      <c r="FJ5" s="20">
        <f t="shared" si="4"/>
        <v>35.807415042341752</v>
      </c>
      <c r="FK5" s="20">
        <f t="shared" si="4"/>
        <v>38.238945814119518</v>
      </c>
      <c r="FL5" s="20">
        <f t="shared" si="4"/>
        <v>40.566594073412361</v>
      </c>
      <c r="FM5" s="20">
        <f t="shared" si="4"/>
        <v>40.571102603911719</v>
      </c>
      <c r="FN5" s="20">
        <f t="shared" si="4"/>
        <v>39.922288271133326</v>
      </c>
      <c r="FO5" s="20">
        <f t="shared" si="4"/>
        <v>34.884614800700781</v>
      </c>
      <c r="FP5" s="20">
        <f t="shared" si="4"/>
        <v>41.07639706244359</v>
      </c>
      <c r="FQ5" s="20">
        <f t="shared" si="4"/>
        <v>34.080124240986365</v>
      </c>
      <c r="FR5" s="20">
        <f t="shared" si="4"/>
        <v>38.955139298601132</v>
      </c>
      <c r="FS5" s="20">
        <f t="shared" si="4"/>
        <v>43.003223971173902</v>
      </c>
      <c r="FT5" s="20">
        <f t="shared" si="4"/>
        <v>28.40202070677157</v>
      </c>
      <c r="FU5" s="20">
        <f t="shared" si="4"/>
        <v>30.112426088195221</v>
      </c>
      <c r="FV5" s="20">
        <f t="shared" si="4"/>
        <v>37.321832569941648</v>
      </c>
      <c r="FW5" s="20">
        <f t="shared" si="4"/>
        <v>35.513518457725468</v>
      </c>
      <c r="FX5" s="20">
        <f t="shared" si="4"/>
        <v>38.371118645802909</v>
      </c>
      <c r="FY5" s="20">
        <f t="shared" si="4"/>
        <v>33.644370057662343</v>
      </c>
      <c r="FZ5" s="20">
        <f t="shared" si="4"/>
        <v>49.705193855157276</v>
      </c>
      <c r="GA5" s="20">
        <f t="shared" si="4"/>
        <v>35.920757278850061</v>
      </c>
      <c r="GB5" s="20">
        <f t="shared" si="4"/>
        <v>39.41410689909015</v>
      </c>
      <c r="GC5" s="20">
        <f t="shared" si="4"/>
        <v>34.435511770335602</v>
      </c>
      <c r="GD5" s="20">
        <f t="shared" si="4"/>
        <v>34.600532382561227</v>
      </c>
      <c r="GE5" s="20">
        <f t="shared" si="4"/>
        <v>34.644371061556122</v>
      </c>
      <c r="GF5" s="20">
        <f t="shared" si="4"/>
        <v>28.734967542188439</v>
      </c>
      <c r="GG5" s="20">
        <f t="shared" si="4"/>
        <v>40.626901459672759</v>
      </c>
      <c r="GH5" s="20">
        <f t="shared" si="4"/>
        <v>24.866708325397649</v>
      </c>
      <c r="GI5" s="20">
        <f t="shared" si="4"/>
        <v>32.938642041764616</v>
      </c>
      <c r="GJ5" s="20">
        <f t="shared" si="4"/>
        <v>37.423787936293294</v>
      </c>
      <c r="GK5" s="20">
        <f t="shared" si="4"/>
        <v>36.602495623839218</v>
      </c>
      <c r="GL5" s="20">
        <f t="shared" si="4"/>
        <v>34.765543895412968</v>
      </c>
      <c r="GM5" s="20">
        <f t="shared" si="4"/>
        <v>40.441317846530879</v>
      </c>
      <c r="GN5" s="20">
        <f t="shared" si="4"/>
        <v>44.29769229485435</v>
      </c>
      <c r="GO5" s="20">
        <f t="shared" si="4"/>
        <v>25.403164591668595</v>
      </c>
      <c r="GP5" s="20"/>
      <c r="GQ5" s="20">
        <f t="shared" si="4"/>
        <v>35.053860154682944</v>
      </c>
      <c r="GR5" s="20">
        <f t="shared" si="4"/>
        <v>34.660175050091468</v>
      </c>
      <c r="GS5" s="20">
        <f t="shared" si="4"/>
        <v>38.888538154741333</v>
      </c>
      <c r="GT5" s="20">
        <f t="shared" si="4"/>
        <v>37.039799231038955</v>
      </c>
      <c r="GU5" s="20">
        <f t="shared" si="4"/>
        <v>40.717958478269409</v>
      </c>
      <c r="GV5" s="20">
        <f t="shared" si="4"/>
        <v>37.169334295800859</v>
      </c>
      <c r="GW5" s="20">
        <f t="shared" si="4"/>
        <v>35.91449414489125</v>
      </c>
      <c r="GX5" s="20">
        <f t="shared" si="4"/>
        <v>41.46620808623031</v>
      </c>
      <c r="GY5" s="20">
        <f t="shared" si="4"/>
        <v>37.670799973823357</v>
      </c>
      <c r="GZ5" s="20">
        <f t="shared" si="4"/>
        <v>30.504210714910243</v>
      </c>
      <c r="HA5" s="20">
        <f t="shared" si="4"/>
        <v>41.980248402640434</v>
      </c>
      <c r="HB5" s="20">
        <f t="shared" si="4"/>
        <v>43.150909822370458</v>
      </c>
      <c r="HC5" s="20">
        <f t="shared" si="4"/>
        <v>37.731542086154299</v>
      </c>
      <c r="HD5" s="20">
        <f t="shared" si="4"/>
        <v>29.378010222685727</v>
      </c>
      <c r="HE5" s="20">
        <f t="shared" si="4"/>
        <v>40.904825660737238</v>
      </c>
      <c r="HF5" s="20">
        <f t="shared" si="4"/>
        <v>38.094691901488837</v>
      </c>
      <c r="HG5" s="20">
        <f t="shared" si="4"/>
        <v>38.70857458053311</v>
      </c>
      <c r="HH5" s="20">
        <f t="shared" si="4"/>
        <v>36.903054950225872</v>
      </c>
      <c r="HI5" s="20">
        <f t="shared" si="4"/>
        <v>49.14915886040508</v>
      </c>
      <c r="HJ5" s="20">
        <f t="shared" si="4"/>
        <v>32.185307249686112</v>
      </c>
      <c r="HK5" s="20">
        <f t="shared" si="4"/>
        <v>40.494185551948249</v>
      </c>
      <c r="HL5" s="20">
        <f t="shared" si="4"/>
        <v>35.478507259882882</v>
      </c>
      <c r="HM5" s="20">
        <f t="shared" si="4"/>
        <v>33.441299913204709</v>
      </c>
      <c r="HN5" s="20">
        <f t="shared" si="4"/>
        <v>34.071229682521995</v>
      </c>
      <c r="HO5" s="20">
        <f t="shared" si="4"/>
        <v>37.517335637739997</v>
      </c>
      <c r="HP5" s="20">
        <f t="shared" si="4"/>
        <v>52.351658448971563</v>
      </c>
      <c r="HQ5" s="20">
        <f t="shared" si="4"/>
        <v>38.913471475726354</v>
      </c>
      <c r="HR5" s="20">
        <f t="shared" si="4"/>
        <v>38.536765208129083</v>
      </c>
      <c r="HS5" s="20">
        <f t="shared" ref="HS5:KD5" si="5">+HS4/HS3</f>
        <v>42.95095121396924</v>
      </c>
      <c r="HT5" s="20">
        <f t="shared" si="5"/>
        <v>33.47930513907253</v>
      </c>
      <c r="HU5" s="20">
        <f t="shared" si="5"/>
        <v>37.913382364989815</v>
      </c>
      <c r="HV5" s="20">
        <f t="shared" si="5"/>
        <v>37.600547570803812</v>
      </c>
      <c r="HW5" s="20">
        <f t="shared" si="5"/>
        <v>45.00676661719725</v>
      </c>
      <c r="HX5" s="20">
        <f t="shared" si="5"/>
        <v>36.428082742949826</v>
      </c>
      <c r="HY5" s="20">
        <f t="shared" si="5"/>
        <v>28.206291707773687</v>
      </c>
      <c r="HZ5" s="20">
        <f t="shared" si="5"/>
        <v>38.448637383837792</v>
      </c>
      <c r="IA5" s="20">
        <f t="shared" si="5"/>
        <v>41.292060432350581</v>
      </c>
      <c r="IB5" s="20">
        <f t="shared" si="5"/>
        <v>43.441290914240867</v>
      </c>
      <c r="IC5" s="20">
        <f t="shared" si="5"/>
        <v>40.466735969277451</v>
      </c>
      <c r="ID5" s="20">
        <f t="shared" si="5"/>
        <v>41.52801270770788</v>
      </c>
      <c r="IE5" s="20">
        <f t="shared" si="5"/>
        <v>37.380691052439552</v>
      </c>
      <c r="IF5" s="20">
        <f t="shared" si="5"/>
        <v>36.454252211049756</v>
      </c>
      <c r="IG5" s="20">
        <f t="shared" si="5"/>
        <v>35.149670497667699</v>
      </c>
      <c r="IH5" s="20">
        <f t="shared" si="5"/>
        <v>39.911010199017738</v>
      </c>
      <c r="II5" s="20">
        <f t="shared" si="5"/>
        <v>39.157317674977172</v>
      </c>
      <c r="IJ5" s="20">
        <f t="shared" si="5"/>
        <v>41.995168924098969</v>
      </c>
      <c r="IK5" s="20">
        <f t="shared" si="5"/>
        <v>36.857191038233893</v>
      </c>
      <c r="IL5" s="20">
        <f t="shared" si="5"/>
        <v>40.740711231123711</v>
      </c>
      <c r="IM5" s="20">
        <f t="shared" si="5"/>
        <v>40.143261508567349</v>
      </c>
      <c r="IN5" s="20">
        <f t="shared" si="5"/>
        <v>37.211577263728131</v>
      </c>
      <c r="IO5" s="20">
        <f t="shared" si="5"/>
        <v>37.299551588128523</v>
      </c>
      <c r="IP5" s="20">
        <f t="shared" si="5"/>
        <v>34.290358778134177</v>
      </c>
      <c r="IQ5" s="20">
        <f t="shared" si="5"/>
        <v>44.076387366600478</v>
      </c>
      <c r="IR5" s="20">
        <f t="shared" si="5"/>
        <v>37.466781176894393</v>
      </c>
      <c r="IS5" s="20">
        <f t="shared" si="5"/>
        <v>34.101606566864213</v>
      </c>
      <c r="IT5" s="20">
        <f t="shared" si="5"/>
        <v>33.33447956124423</v>
      </c>
      <c r="IU5" s="20">
        <f t="shared" si="5"/>
        <v>36.736761535093422</v>
      </c>
      <c r="IV5" s="20">
        <f t="shared" si="5"/>
        <v>37.309075846034418</v>
      </c>
      <c r="IW5" s="20">
        <f t="shared" si="5"/>
        <v>36.898309799562348</v>
      </c>
      <c r="IX5" s="20">
        <f t="shared" si="5"/>
        <v>38.787679483034623</v>
      </c>
      <c r="IY5" s="20">
        <f t="shared" si="5"/>
        <v>31.252440936620172</v>
      </c>
      <c r="IZ5" s="20">
        <f t="shared" si="5"/>
        <v>34.411264939753401</v>
      </c>
      <c r="JA5" s="20">
        <f t="shared" si="5"/>
        <v>36.58989101406808</v>
      </c>
      <c r="JB5" s="20">
        <f t="shared" si="5"/>
        <v>44.141659419908081</v>
      </c>
      <c r="JC5" s="20">
        <f t="shared" si="5"/>
        <v>40.320801763061901</v>
      </c>
      <c r="JD5" s="20">
        <f t="shared" si="5"/>
        <v>31.828656987936089</v>
      </c>
      <c r="JE5" s="20">
        <f t="shared" si="5"/>
        <v>44.285585168527291</v>
      </c>
      <c r="JF5" s="20">
        <f t="shared" si="5"/>
        <v>41.102966199126236</v>
      </c>
      <c r="JG5" s="20">
        <f t="shared" si="5"/>
        <v>36.288462844337808</v>
      </c>
      <c r="JH5" s="20">
        <f t="shared" si="5"/>
        <v>41.624265675578471</v>
      </c>
      <c r="JI5" s="20">
        <f t="shared" si="5"/>
        <v>37.159712833012776</v>
      </c>
      <c r="JJ5" s="20">
        <f t="shared" si="5"/>
        <v>41.426438991292549</v>
      </c>
      <c r="JK5" s="20">
        <f t="shared" si="5"/>
        <v>45.403289678796568</v>
      </c>
      <c r="JL5" s="20">
        <f t="shared" si="5"/>
        <v>43.779946454788842</v>
      </c>
      <c r="JM5" s="20">
        <f t="shared" si="5"/>
        <v>36.412112459948553</v>
      </c>
      <c r="JN5" s="20">
        <f t="shared" si="5"/>
        <v>32.71309025702331</v>
      </c>
      <c r="JO5" s="20">
        <f t="shared" si="5"/>
        <v>40.791353754055166</v>
      </c>
      <c r="JP5" s="20">
        <f t="shared" si="5"/>
        <v>37.214908084393912</v>
      </c>
      <c r="JQ5" s="20">
        <f t="shared" si="5"/>
        <v>41.123728574567785</v>
      </c>
      <c r="JR5" s="20">
        <f t="shared" si="5"/>
        <v>35.867146619915502</v>
      </c>
      <c r="JS5" s="20">
        <f t="shared" si="5"/>
        <v>42.928467732476449</v>
      </c>
      <c r="JT5" s="20">
        <f t="shared" si="5"/>
        <v>39.17626401332673</v>
      </c>
      <c r="JU5" s="20">
        <f t="shared" si="5"/>
        <v>38.42264528734664</v>
      </c>
      <c r="JV5" s="20">
        <f t="shared" si="5"/>
        <v>41.817854011634559</v>
      </c>
      <c r="JW5" s="20">
        <f t="shared" si="5"/>
        <v>35.529954185330809</v>
      </c>
      <c r="JX5" s="20">
        <f t="shared" si="5"/>
        <v>36.998523951386183</v>
      </c>
      <c r="JY5" s="20">
        <f t="shared" si="5"/>
        <v>37.244776352169204</v>
      </c>
      <c r="JZ5" s="20">
        <f t="shared" si="5"/>
        <v>32.46481756405057</v>
      </c>
      <c r="KA5" s="20">
        <f t="shared" si="5"/>
        <v>39.368006468238939</v>
      </c>
      <c r="KB5" s="20">
        <f t="shared" si="5"/>
        <v>32.983574670811571</v>
      </c>
      <c r="KC5" s="20">
        <f t="shared" si="5"/>
        <v>30.63429613548923</v>
      </c>
      <c r="KD5" s="20">
        <f t="shared" si="5"/>
        <v>33.691867280952813</v>
      </c>
      <c r="KE5" s="20">
        <f t="shared" ref="KE5:MP5" si="6">+KE4/KE3</f>
        <v>35.148541614685122</v>
      </c>
      <c r="KF5" s="20">
        <f t="shared" si="6"/>
        <v>37.363987155864542</v>
      </c>
      <c r="KG5" s="20">
        <f t="shared" si="6"/>
        <v>39.279619133983225</v>
      </c>
      <c r="KH5" s="20">
        <f t="shared" si="6"/>
        <v>39.501284026707758</v>
      </c>
      <c r="KI5" s="20">
        <f t="shared" si="6"/>
        <v>35.623205260097507</v>
      </c>
      <c r="KJ5" s="20">
        <f t="shared" si="6"/>
        <v>37.227917403112471</v>
      </c>
      <c r="KK5" s="20">
        <f t="shared" si="6"/>
        <v>33.816674496366097</v>
      </c>
      <c r="KL5" s="20">
        <f t="shared" si="6"/>
        <v>35.768746326307834</v>
      </c>
      <c r="KM5" s="20">
        <f t="shared" si="6"/>
        <v>34.430817518672434</v>
      </c>
      <c r="KN5" s="20">
        <f t="shared" si="6"/>
        <v>39.090258840359425</v>
      </c>
      <c r="KO5" s="20">
        <f t="shared" si="6"/>
        <v>38.145207803223066</v>
      </c>
      <c r="KP5" s="20">
        <f t="shared" si="6"/>
        <v>30.496612711382326</v>
      </c>
      <c r="KQ5" s="20">
        <f t="shared" si="6"/>
        <v>33.078375877646543</v>
      </c>
      <c r="KR5" s="20">
        <f t="shared" si="6"/>
        <v>37.206144268791022</v>
      </c>
      <c r="KS5" s="20">
        <f t="shared" si="6"/>
        <v>33.772704930153374</v>
      </c>
      <c r="KT5" s="20">
        <f t="shared" si="6"/>
        <v>27.514975235496561</v>
      </c>
      <c r="KU5" s="20">
        <f t="shared" si="6"/>
        <v>31.686633484933829</v>
      </c>
      <c r="KV5" s="20">
        <f t="shared" si="6"/>
        <v>37.985621208717141</v>
      </c>
      <c r="KW5" s="20">
        <f t="shared" si="6"/>
        <v>24.683430994841444</v>
      </c>
      <c r="KX5" s="20">
        <f t="shared" si="6"/>
        <v>29.523725257223749</v>
      </c>
      <c r="KY5" s="20">
        <f t="shared" si="6"/>
        <v>33.663375185492036</v>
      </c>
      <c r="KZ5" s="20">
        <f t="shared" si="6"/>
        <v>36.787370480877549</v>
      </c>
      <c r="LA5" s="20">
        <f t="shared" si="6"/>
        <v>19.123420913584638</v>
      </c>
      <c r="LB5" s="20">
        <f t="shared" si="6"/>
        <v>38.024728240150885</v>
      </c>
      <c r="LC5" s="20">
        <f t="shared" si="6"/>
        <v>37.516212258559371</v>
      </c>
      <c r="LD5" s="20">
        <f t="shared" si="6"/>
        <v>23.578541182898515</v>
      </c>
      <c r="LE5" s="20">
        <f t="shared" si="6"/>
        <v>23.783367139959431</v>
      </c>
      <c r="LF5" s="20">
        <f t="shared" si="6"/>
        <v>27.661268663347045</v>
      </c>
      <c r="LG5" s="20">
        <f t="shared" si="6"/>
        <v>31.08484775281212</v>
      </c>
      <c r="LH5" s="20">
        <f t="shared" si="6"/>
        <v>27.108175324505471</v>
      </c>
      <c r="LI5" s="20">
        <f t="shared" si="6"/>
        <v>36.246623605402235</v>
      </c>
      <c r="LJ5" s="20">
        <f t="shared" si="6"/>
        <v>40.890613529103305</v>
      </c>
      <c r="LK5" s="20">
        <f t="shared" si="6"/>
        <v>25.105354758009184</v>
      </c>
      <c r="LL5" s="20">
        <f t="shared" si="6"/>
        <v>33.40163005629406</v>
      </c>
      <c r="LM5" s="20">
        <f t="shared" si="6"/>
        <v>34.958527399259751</v>
      </c>
      <c r="LN5" s="20">
        <f t="shared" si="6"/>
        <v>27.962278278862328</v>
      </c>
      <c r="LO5" s="20">
        <f t="shared" si="6"/>
        <v>29.859561693402036</v>
      </c>
      <c r="LP5" s="20">
        <f t="shared" si="6"/>
        <v>30.802016138749647</v>
      </c>
      <c r="LQ5" s="20">
        <f t="shared" si="6"/>
        <v>31.544635659458137</v>
      </c>
      <c r="LR5" s="20">
        <f t="shared" si="6"/>
        <v>23.860867500116495</v>
      </c>
      <c r="LS5" s="20">
        <f t="shared" si="6"/>
        <v>32.061159494917625</v>
      </c>
      <c r="LT5" s="20">
        <f t="shared" si="6"/>
        <v>35.47239497591594</v>
      </c>
      <c r="LU5" s="20">
        <f t="shared" si="6"/>
        <v>32.914749250400689</v>
      </c>
      <c r="LV5" s="20">
        <f t="shared" si="6"/>
        <v>27.374026307150039</v>
      </c>
      <c r="LW5" s="20">
        <f t="shared" si="6"/>
        <v>26.964825479690727</v>
      </c>
      <c r="LX5" s="20">
        <f t="shared" si="6"/>
        <v>37.646815834767644</v>
      </c>
      <c r="LY5" s="20">
        <f t="shared" si="6"/>
        <v>29.524150263406003</v>
      </c>
      <c r="LZ5" s="20">
        <f t="shared" si="6"/>
        <v>28.812662130720081</v>
      </c>
      <c r="MA5" s="20">
        <f t="shared" si="6"/>
        <v>34.749377842464284</v>
      </c>
      <c r="MB5" s="20">
        <f t="shared" si="6"/>
        <v>32.600920112050652</v>
      </c>
      <c r="MC5" s="20">
        <f t="shared" si="6"/>
        <v>33.484580065718561</v>
      </c>
      <c r="MD5" s="20">
        <f t="shared" si="6"/>
        <v>30.979442285189457</v>
      </c>
      <c r="ME5" s="20">
        <f t="shared" si="6"/>
        <v>34.849758098024843</v>
      </c>
      <c r="MF5" s="20">
        <f t="shared" si="6"/>
        <v>30.717299242369805</v>
      </c>
      <c r="MG5" s="20">
        <f t="shared" si="6"/>
        <v>33.094021273810448</v>
      </c>
      <c r="MH5" s="20">
        <f t="shared" si="6"/>
        <v>36.307437097789652</v>
      </c>
      <c r="MI5" s="20">
        <f t="shared" si="6"/>
        <v>37.994083531968855</v>
      </c>
      <c r="MJ5" s="20">
        <f t="shared" si="6"/>
        <v>36.511455274912649</v>
      </c>
      <c r="MK5" s="20">
        <f t="shared" si="6"/>
        <v>38.900198960420639</v>
      </c>
      <c r="ML5" s="20">
        <f t="shared" si="6"/>
        <v>39.771279949558632</v>
      </c>
      <c r="MM5" s="20">
        <f t="shared" si="6"/>
        <v>30.552049022652355</v>
      </c>
      <c r="MN5" s="20">
        <f t="shared" si="6"/>
        <v>30.470428689332483</v>
      </c>
      <c r="MO5" s="20">
        <f t="shared" si="6"/>
        <v>32.710245812150639</v>
      </c>
      <c r="MP5" s="20">
        <f t="shared" si="6"/>
        <v>31.126680720393988</v>
      </c>
      <c r="MQ5" s="20">
        <f t="shared" ref="MQ5:NC5" si="7">+MQ4/MQ3</f>
        <v>36.877733090916308</v>
      </c>
      <c r="MR5" s="20">
        <f t="shared" si="7"/>
        <v>35.613587535224369</v>
      </c>
      <c r="MS5" s="20">
        <f t="shared" si="7"/>
        <v>36.3838992453082</v>
      </c>
      <c r="MT5" s="20">
        <f t="shared" si="7"/>
        <v>32.412832226066627</v>
      </c>
      <c r="MU5" s="20">
        <f t="shared" si="7"/>
        <v>32.709869128153258</v>
      </c>
      <c r="MV5" s="20">
        <f t="shared" si="7"/>
        <v>35.533241915953958</v>
      </c>
      <c r="MW5" s="20">
        <f t="shared" si="7"/>
        <v>37.369592359013147</v>
      </c>
      <c r="MX5" s="20">
        <f t="shared" si="7"/>
        <v>34.309544452645682</v>
      </c>
      <c r="MY5" s="20">
        <f t="shared" si="7"/>
        <v>41.457389037238265</v>
      </c>
      <c r="MZ5" s="20">
        <f t="shared" si="7"/>
        <v>41.971123922997791</v>
      </c>
      <c r="NA5" s="20">
        <f t="shared" si="7"/>
        <v>35.55648480888599</v>
      </c>
      <c r="NB5" s="20">
        <f t="shared" si="7"/>
        <v>39.68194804094302</v>
      </c>
      <c r="NC5" s="20">
        <f t="shared" si="7"/>
        <v>42.796520378447084</v>
      </c>
    </row>
    <row r="6" spans="1:367">
      <c r="HJ6" s="20"/>
      <c r="HX6" s="20"/>
      <c r="HY6" s="20"/>
      <c r="HZ6" s="20"/>
      <c r="IA6" s="20"/>
      <c r="IB6" s="20"/>
      <c r="IC6" s="20"/>
      <c r="ID6" s="20"/>
      <c r="IE6" s="20"/>
      <c r="LY6" s="20"/>
      <c r="MM6" s="20"/>
      <c r="MT6" s="20"/>
    </row>
    <row r="7" spans="1:367">
      <c r="A7" s="10" t="s">
        <v>57</v>
      </c>
      <c r="B7" s="10" t="s">
        <v>56</v>
      </c>
      <c r="C7" s="11">
        <v>46023</v>
      </c>
      <c r="D7" s="11">
        <f>+C7+1</f>
        <v>46024</v>
      </c>
      <c r="E7" s="11">
        <f t="shared" ref="E7:BP7" si="8">+D7+1</f>
        <v>46025</v>
      </c>
      <c r="F7" s="11">
        <f t="shared" si="8"/>
        <v>46026</v>
      </c>
      <c r="G7" s="11">
        <f t="shared" si="8"/>
        <v>46027</v>
      </c>
      <c r="H7" s="11">
        <f t="shared" si="8"/>
        <v>46028</v>
      </c>
      <c r="I7" s="11">
        <f t="shared" si="8"/>
        <v>46029</v>
      </c>
      <c r="J7" s="11">
        <f t="shared" si="8"/>
        <v>46030</v>
      </c>
      <c r="K7" s="11">
        <f t="shared" si="8"/>
        <v>46031</v>
      </c>
      <c r="L7" s="11">
        <f t="shared" si="8"/>
        <v>46032</v>
      </c>
      <c r="M7" s="11">
        <f t="shared" si="8"/>
        <v>46033</v>
      </c>
      <c r="N7" s="11">
        <f t="shared" si="8"/>
        <v>46034</v>
      </c>
      <c r="O7" s="11">
        <f t="shared" si="8"/>
        <v>46035</v>
      </c>
      <c r="P7" s="11">
        <f t="shared" si="8"/>
        <v>46036</v>
      </c>
      <c r="Q7" s="11">
        <f t="shared" si="8"/>
        <v>46037</v>
      </c>
      <c r="R7" s="11">
        <f t="shared" si="8"/>
        <v>46038</v>
      </c>
      <c r="S7" s="11">
        <f t="shared" si="8"/>
        <v>46039</v>
      </c>
      <c r="T7" s="11">
        <f t="shared" si="8"/>
        <v>46040</v>
      </c>
      <c r="U7" s="11">
        <f t="shared" si="8"/>
        <v>46041</v>
      </c>
      <c r="V7" s="11">
        <f t="shared" si="8"/>
        <v>46042</v>
      </c>
      <c r="W7" s="11">
        <f t="shared" si="8"/>
        <v>46043</v>
      </c>
      <c r="X7" s="11">
        <f t="shared" si="8"/>
        <v>46044</v>
      </c>
      <c r="Y7" s="11">
        <f t="shared" si="8"/>
        <v>46045</v>
      </c>
      <c r="Z7" s="11">
        <f t="shared" si="8"/>
        <v>46046</v>
      </c>
      <c r="AA7" s="11">
        <f t="shared" si="8"/>
        <v>46047</v>
      </c>
      <c r="AB7" s="11">
        <f t="shared" si="8"/>
        <v>46048</v>
      </c>
      <c r="AC7" s="11">
        <f t="shared" si="8"/>
        <v>46049</v>
      </c>
      <c r="AD7" s="11">
        <f t="shared" si="8"/>
        <v>46050</v>
      </c>
      <c r="AE7" s="11">
        <f t="shared" si="8"/>
        <v>46051</v>
      </c>
      <c r="AF7" s="11">
        <f t="shared" si="8"/>
        <v>46052</v>
      </c>
      <c r="AG7" s="11">
        <f t="shared" si="8"/>
        <v>46053</v>
      </c>
      <c r="AH7" s="11">
        <f t="shared" si="8"/>
        <v>46054</v>
      </c>
      <c r="AI7" s="11">
        <f t="shared" si="8"/>
        <v>46055</v>
      </c>
      <c r="AJ7" s="11">
        <f t="shared" si="8"/>
        <v>46056</v>
      </c>
      <c r="AK7" s="11">
        <f t="shared" si="8"/>
        <v>46057</v>
      </c>
      <c r="AL7" s="11">
        <f t="shared" si="8"/>
        <v>46058</v>
      </c>
      <c r="AM7" s="11">
        <f t="shared" si="8"/>
        <v>46059</v>
      </c>
      <c r="AN7" s="11">
        <f t="shared" si="8"/>
        <v>46060</v>
      </c>
      <c r="AO7" s="11">
        <f t="shared" si="8"/>
        <v>46061</v>
      </c>
      <c r="AP7" s="11">
        <f t="shared" si="8"/>
        <v>46062</v>
      </c>
      <c r="AQ7" s="11">
        <f t="shared" si="8"/>
        <v>46063</v>
      </c>
      <c r="AR7" s="11">
        <f t="shared" si="8"/>
        <v>46064</v>
      </c>
      <c r="AS7" s="11">
        <f t="shared" si="8"/>
        <v>46065</v>
      </c>
      <c r="AT7" s="11">
        <f t="shared" si="8"/>
        <v>46066</v>
      </c>
      <c r="AU7" s="11">
        <f t="shared" si="8"/>
        <v>46067</v>
      </c>
      <c r="AV7" s="11">
        <f t="shared" si="8"/>
        <v>46068</v>
      </c>
      <c r="AW7" s="11">
        <f t="shared" si="8"/>
        <v>46069</v>
      </c>
      <c r="AX7" s="11">
        <f t="shared" si="8"/>
        <v>46070</v>
      </c>
      <c r="AY7" s="11">
        <f t="shared" si="8"/>
        <v>46071</v>
      </c>
      <c r="AZ7" s="11">
        <f t="shared" si="8"/>
        <v>46072</v>
      </c>
      <c r="BA7" s="11">
        <f t="shared" si="8"/>
        <v>46073</v>
      </c>
      <c r="BB7" s="11">
        <f t="shared" si="8"/>
        <v>46074</v>
      </c>
      <c r="BC7" s="11">
        <f t="shared" si="8"/>
        <v>46075</v>
      </c>
      <c r="BD7" s="11">
        <f t="shared" si="8"/>
        <v>46076</v>
      </c>
      <c r="BE7" s="11">
        <f t="shared" si="8"/>
        <v>46077</v>
      </c>
      <c r="BF7" s="11">
        <f t="shared" si="8"/>
        <v>46078</v>
      </c>
      <c r="BG7" s="11">
        <f t="shared" si="8"/>
        <v>46079</v>
      </c>
      <c r="BH7" s="11">
        <f t="shared" si="8"/>
        <v>46080</v>
      </c>
      <c r="BI7" s="11">
        <f t="shared" si="8"/>
        <v>46081</v>
      </c>
      <c r="BJ7" s="11">
        <f t="shared" si="8"/>
        <v>46082</v>
      </c>
      <c r="BK7" s="11">
        <f t="shared" si="8"/>
        <v>46083</v>
      </c>
      <c r="BL7" s="11">
        <f t="shared" si="8"/>
        <v>46084</v>
      </c>
      <c r="BM7" s="11">
        <f t="shared" si="8"/>
        <v>46085</v>
      </c>
      <c r="BN7" s="11">
        <f t="shared" si="8"/>
        <v>46086</v>
      </c>
      <c r="BO7" s="11">
        <f t="shared" si="8"/>
        <v>46087</v>
      </c>
      <c r="BP7" s="11">
        <f t="shared" si="8"/>
        <v>46088</v>
      </c>
      <c r="BQ7" s="11">
        <f t="shared" ref="BQ7:EB7" si="9">+BP7+1</f>
        <v>46089</v>
      </c>
      <c r="BR7" s="11">
        <f t="shared" si="9"/>
        <v>46090</v>
      </c>
      <c r="BS7" s="11">
        <f t="shared" si="9"/>
        <v>46091</v>
      </c>
      <c r="BT7" s="11">
        <f t="shared" si="9"/>
        <v>46092</v>
      </c>
      <c r="BU7" s="11">
        <f t="shared" si="9"/>
        <v>46093</v>
      </c>
      <c r="BV7" s="11">
        <f t="shared" si="9"/>
        <v>46094</v>
      </c>
      <c r="BW7" s="11">
        <f t="shared" si="9"/>
        <v>46095</v>
      </c>
      <c r="BX7" s="11">
        <f t="shared" si="9"/>
        <v>46096</v>
      </c>
      <c r="BY7" s="11">
        <f t="shared" si="9"/>
        <v>46097</v>
      </c>
      <c r="BZ7" s="11">
        <f t="shared" si="9"/>
        <v>46098</v>
      </c>
      <c r="CA7" s="11">
        <f t="shared" si="9"/>
        <v>46099</v>
      </c>
      <c r="CB7" s="11">
        <f t="shared" si="9"/>
        <v>46100</v>
      </c>
      <c r="CC7" s="11">
        <f t="shared" si="9"/>
        <v>46101</v>
      </c>
      <c r="CD7" s="11">
        <f t="shared" si="9"/>
        <v>46102</v>
      </c>
      <c r="CE7" s="11">
        <f t="shared" si="9"/>
        <v>46103</v>
      </c>
      <c r="CF7" s="11">
        <f t="shared" si="9"/>
        <v>46104</v>
      </c>
      <c r="CG7" s="11">
        <f t="shared" si="9"/>
        <v>46105</v>
      </c>
      <c r="CH7" s="11">
        <f t="shared" si="9"/>
        <v>46106</v>
      </c>
      <c r="CI7" s="11">
        <f t="shared" si="9"/>
        <v>46107</v>
      </c>
      <c r="CJ7" s="11">
        <f t="shared" si="9"/>
        <v>46108</v>
      </c>
      <c r="CK7" s="11">
        <f t="shared" si="9"/>
        <v>46109</v>
      </c>
      <c r="CL7" s="11">
        <f t="shared" si="9"/>
        <v>46110</v>
      </c>
      <c r="CM7" s="11">
        <f t="shared" si="9"/>
        <v>46111</v>
      </c>
      <c r="CN7" s="11">
        <f t="shared" si="9"/>
        <v>46112</v>
      </c>
      <c r="CO7" s="11">
        <f t="shared" si="9"/>
        <v>46113</v>
      </c>
      <c r="CP7" s="11">
        <f t="shared" si="9"/>
        <v>46114</v>
      </c>
      <c r="CQ7" s="11">
        <f t="shared" si="9"/>
        <v>46115</v>
      </c>
      <c r="CR7" s="11">
        <f t="shared" si="9"/>
        <v>46116</v>
      </c>
      <c r="CS7" s="11">
        <f t="shared" si="9"/>
        <v>46117</v>
      </c>
      <c r="CT7" s="11">
        <f t="shared" si="9"/>
        <v>46118</v>
      </c>
      <c r="CU7" s="11">
        <f t="shared" si="9"/>
        <v>46119</v>
      </c>
      <c r="CV7" s="11">
        <f t="shared" si="9"/>
        <v>46120</v>
      </c>
      <c r="CW7" s="11">
        <f t="shared" si="9"/>
        <v>46121</v>
      </c>
      <c r="CX7" s="11">
        <f t="shared" si="9"/>
        <v>46122</v>
      </c>
      <c r="CY7" s="11">
        <f t="shared" si="9"/>
        <v>46123</v>
      </c>
      <c r="CZ7" s="11">
        <f t="shared" si="9"/>
        <v>46124</v>
      </c>
      <c r="DA7" s="11">
        <f t="shared" si="9"/>
        <v>46125</v>
      </c>
      <c r="DB7" s="11">
        <f t="shared" si="9"/>
        <v>46126</v>
      </c>
      <c r="DC7" s="11">
        <f t="shared" si="9"/>
        <v>46127</v>
      </c>
      <c r="DD7" s="11">
        <f t="shared" si="9"/>
        <v>46128</v>
      </c>
      <c r="DE7" s="11">
        <f t="shared" si="9"/>
        <v>46129</v>
      </c>
      <c r="DF7" s="11">
        <f t="shared" si="9"/>
        <v>46130</v>
      </c>
      <c r="DG7" s="11">
        <f t="shared" si="9"/>
        <v>46131</v>
      </c>
      <c r="DH7" s="11">
        <f t="shared" si="9"/>
        <v>46132</v>
      </c>
      <c r="DI7" s="11">
        <f t="shared" si="9"/>
        <v>46133</v>
      </c>
      <c r="DJ7" s="11">
        <f t="shared" si="9"/>
        <v>46134</v>
      </c>
      <c r="DK7" s="11">
        <f t="shared" si="9"/>
        <v>46135</v>
      </c>
      <c r="DL7" s="11">
        <f t="shared" si="9"/>
        <v>46136</v>
      </c>
      <c r="DM7" s="11">
        <f t="shared" si="9"/>
        <v>46137</v>
      </c>
      <c r="DN7" s="11">
        <f t="shared" si="9"/>
        <v>46138</v>
      </c>
      <c r="DO7" s="11">
        <f t="shared" si="9"/>
        <v>46139</v>
      </c>
      <c r="DP7" s="11">
        <f t="shared" si="9"/>
        <v>46140</v>
      </c>
      <c r="DQ7" s="11">
        <f t="shared" si="9"/>
        <v>46141</v>
      </c>
      <c r="DR7" s="11">
        <f t="shared" si="9"/>
        <v>46142</v>
      </c>
      <c r="DS7" s="11">
        <f t="shared" si="9"/>
        <v>46143</v>
      </c>
      <c r="DT7" s="11">
        <f t="shared" si="9"/>
        <v>46144</v>
      </c>
      <c r="DU7" s="11">
        <f t="shared" si="9"/>
        <v>46145</v>
      </c>
      <c r="DV7" s="11">
        <f t="shared" si="9"/>
        <v>46146</v>
      </c>
      <c r="DW7" s="11">
        <f t="shared" si="9"/>
        <v>46147</v>
      </c>
      <c r="DX7" s="11">
        <f t="shared" si="9"/>
        <v>46148</v>
      </c>
      <c r="DY7" s="11">
        <f t="shared" si="9"/>
        <v>46149</v>
      </c>
      <c r="DZ7" s="11">
        <f t="shared" si="9"/>
        <v>46150</v>
      </c>
      <c r="EA7" s="11">
        <f t="shared" si="9"/>
        <v>46151</v>
      </c>
      <c r="EB7" s="11">
        <f t="shared" si="9"/>
        <v>46152</v>
      </c>
      <c r="EC7" s="11">
        <f t="shared" ref="EC7:GN7" si="10">+EB7+1</f>
        <v>46153</v>
      </c>
      <c r="ED7" s="11">
        <f t="shared" si="10"/>
        <v>46154</v>
      </c>
      <c r="EE7" s="11">
        <f t="shared" si="10"/>
        <v>46155</v>
      </c>
      <c r="EF7" s="11">
        <f t="shared" si="10"/>
        <v>46156</v>
      </c>
      <c r="EG7" s="11">
        <f t="shared" si="10"/>
        <v>46157</v>
      </c>
      <c r="EH7" s="11">
        <f t="shared" si="10"/>
        <v>46158</v>
      </c>
      <c r="EI7" s="11">
        <f t="shared" si="10"/>
        <v>46159</v>
      </c>
      <c r="EJ7" s="11">
        <f t="shared" si="10"/>
        <v>46160</v>
      </c>
      <c r="EK7" s="11">
        <f t="shared" si="10"/>
        <v>46161</v>
      </c>
      <c r="EL7" s="11">
        <f t="shared" si="10"/>
        <v>46162</v>
      </c>
      <c r="EM7" s="11">
        <f t="shared" si="10"/>
        <v>46163</v>
      </c>
      <c r="EN7" s="11">
        <f t="shared" si="10"/>
        <v>46164</v>
      </c>
      <c r="EO7" s="11">
        <f t="shared" si="10"/>
        <v>46165</v>
      </c>
      <c r="EP7" s="11">
        <f t="shared" si="10"/>
        <v>46166</v>
      </c>
      <c r="EQ7" s="11">
        <f t="shared" si="10"/>
        <v>46167</v>
      </c>
      <c r="ER7" s="11">
        <f t="shared" si="10"/>
        <v>46168</v>
      </c>
      <c r="ES7" s="11">
        <f t="shared" si="10"/>
        <v>46169</v>
      </c>
      <c r="ET7" s="11">
        <f t="shared" si="10"/>
        <v>46170</v>
      </c>
      <c r="EU7" s="11">
        <f t="shared" si="10"/>
        <v>46171</v>
      </c>
      <c r="EV7" s="11">
        <f t="shared" si="10"/>
        <v>46172</v>
      </c>
      <c r="EW7" s="11">
        <f t="shared" si="10"/>
        <v>46173</v>
      </c>
      <c r="EX7" s="11">
        <f t="shared" si="10"/>
        <v>46174</v>
      </c>
      <c r="EY7" s="11">
        <f t="shared" si="10"/>
        <v>46175</v>
      </c>
      <c r="EZ7" s="11">
        <f t="shared" si="10"/>
        <v>46176</v>
      </c>
      <c r="FA7" s="11">
        <f t="shared" si="10"/>
        <v>46177</v>
      </c>
      <c r="FB7" s="11">
        <f t="shared" si="10"/>
        <v>46178</v>
      </c>
      <c r="FC7" s="11">
        <f t="shared" si="10"/>
        <v>46179</v>
      </c>
      <c r="FD7" s="11">
        <f t="shared" si="10"/>
        <v>46180</v>
      </c>
      <c r="FE7" s="11">
        <f t="shared" si="10"/>
        <v>46181</v>
      </c>
      <c r="FF7" s="11">
        <f t="shared" si="10"/>
        <v>46182</v>
      </c>
      <c r="FG7" s="11">
        <f t="shared" si="10"/>
        <v>46183</v>
      </c>
      <c r="FH7" s="11">
        <f t="shared" si="10"/>
        <v>46184</v>
      </c>
      <c r="FI7" s="11">
        <f t="shared" si="10"/>
        <v>46185</v>
      </c>
      <c r="FJ7" s="11">
        <f t="shared" si="10"/>
        <v>46186</v>
      </c>
      <c r="FK7" s="11">
        <f t="shared" si="10"/>
        <v>46187</v>
      </c>
      <c r="FL7" s="11">
        <f t="shared" si="10"/>
        <v>46188</v>
      </c>
      <c r="FM7" s="11">
        <f t="shared" si="10"/>
        <v>46189</v>
      </c>
      <c r="FN7" s="11">
        <f t="shared" si="10"/>
        <v>46190</v>
      </c>
      <c r="FO7" s="11">
        <f t="shared" si="10"/>
        <v>46191</v>
      </c>
      <c r="FP7" s="11">
        <f t="shared" si="10"/>
        <v>46192</v>
      </c>
      <c r="FQ7" s="11">
        <f t="shared" si="10"/>
        <v>46193</v>
      </c>
      <c r="FR7" s="11">
        <f t="shared" si="10"/>
        <v>46194</v>
      </c>
      <c r="FS7" s="11">
        <f t="shared" si="10"/>
        <v>46195</v>
      </c>
      <c r="FT7" s="11">
        <f t="shared" si="10"/>
        <v>46196</v>
      </c>
      <c r="FU7" s="11">
        <f t="shared" si="10"/>
        <v>46197</v>
      </c>
      <c r="FV7" s="11">
        <f t="shared" si="10"/>
        <v>46198</v>
      </c>
      <c r="FW7" s="11">
        <f t="shared" si="10"/>
        <v>46199</v>
      </c>
      <c r="FX7" s="11">
        <f t="shared" si="10"/>
        <v>46200</v>
      </c>
      <c r="FY7" s="11">
        <f t="shared" si="10"/>
        <v>46201</v>
      </c>
      <c r="FZ7" s="11">
        <f t="shared" si="10"/>
        <v>46202</v>
      </c>
      <c r="GA7" s="11">
        <f t="shared" si="10"/>
        <v>46203</v>
      </c>
      <c r="GB7" s="11">
        <f t="shared" si="10"/>
        <v>46204</v>
      </c>
      <c r="GC7" s="11">
        <f t="shared" si="10"/>
        <v>46205</v>
      </c>
      <c r="GD7" s="11">
        <f t="shared" si="10"/>
        <v>46206</v>
      </c>
      <c r="GE7" s="11">
        <f t="shared" si="10"/>
        <v>46207</v>
      </c>
      <c r="GF7" s="11">
        <f t="shared" si="10"/>
        <v>46208</v>
      </c>
      <c r="GG7" s="11">
        <f t="shared" si="10"/>
        <v>46209</v>
      </c>
      <c r="GH7" s="11">
        <f t="shared" si="10"/>
        <v>46210</v>
      </c>
      <c r="GI7" s="11">
        <f t="shared" si="10"/>
        <v>46211</v>
      </c>
      <c r="GJ7" s="11">
        <f t="shared" si="10"/>
        <v>46212</v>
      </c>
      <c r="GK7" s="11">
        <f t="shared" si="10"/>
        <v>46213</v>
      </c>
      <c r="GL7" s="11">
        <f t="shared" si="10"/>
        <v>46214</v>
      </c>
      <c r="GM7" s="11">
        <f t="shared" si="10"/>
        <v>46215</v>
      </c>
      <c r="GN7" s="11">
        <f t="shared" si="10"/>
        <v>46216</v>
      </c>
      <c r="GO7" s="11">
        <f t="shared" ref="GO7:IZ7" si="11">+GN7+1</f>
        <v>46217</v>
      </c>
      <c r="GP7" s="11">
        <f t="shared" si="11"/>
        <v>46218</v>
      </c>
      <c r="GQ7" s="11">
        <f t="shared" si="11"/>
        <v>46219</v>
      </c>
      <c r="GR7" s="11">
        <f t="shared" si="11"/>
        <v>46220</v>
      </c>
      <c r="GS7" s="11">
        <f t="shared" si="11"/>
        <v>46221</v>
      </c>
      <c r="GT7" s="11">
        <f t="shared" si="11"/>
        <v>46222</v>
      </c>
      <c r="GU7" s="11">
        <f t="shared" si="11"/>
        <v>46223</v>
      </c>
      <c r="GV7" s="11">
        <f t="shared" si="11"/>
        <v>46224</v>
      </c>
      <c r="GW7" s="11">
        <f t="shared" si="11"/>
        <v>46225</v>
      </c>
      <c r="GX7" s="11">
        <f t="shared" si="11"/>
        <v>46226</v>
      </c>
      <c r="GY7" s="11">
        <f t="shared" si="11"/>
        <v>46227</v>
      </c>
      <c r="GZ7" s="11">
        <f t="shared" si="11"/>
        <v>46228</v>
      </c>
      <c r="HA7" s="11">
        <f t="shared" si="11"/>
        <v>46229</v>
      </c>
      <c r="HB7" s="11">
        <f t="shared" si="11"/>
        <v>46230</v>
      </c>
      <c r="HC7" s="11">
        <f t="shared" si="11"/>
        <v>46231</v>
      </c>
      <c r="HD7" s="11">
        <f t="shared" si="11"/>
        <v>46232</v>
      </c>
      <c r="HE7" s="11">
        <f t="shared" si="11"/>
        <v>46233</v>
      </c>
      <c r="HF7" s="11">
        <f t="shared" si="11"/>
        <v>46234</v>
      </c>
      <c r="HG7" s="11">
        <f t="shared" si="11"/>
        <v>46235</v>
      </c>
      <c r="HH7" s="11">
        <f t="shared" si="11"/>
        <v>46236</v>
      </c>
      <c r="HI7" s="11">
        <f t="shared" si="11"/>
        <v>46237</v>
      </c>
      <c r="HJ7" s="11">
        <f t="shared" si="11"/>
        <v>46238</v>
      </c>
      <c r="HK7" s="11">
        <f t="shared" si="11"/>
        <v>46239</v>
      </c>
      <c r="HL7" s="11">
        <f t="shared" si="11"/>
        <v>46240</v>
      </c>
      <c r="HM7" s="11">
        <f t="shared" si="11"/>
        <v>46241</v>
      </c>
      <c r="HN7" s="11">
        <f t="shared" si="11"/>
        <v>46242</v>
      </c>
      <c r="HO7" s="11">
        <f t="shared" si="11"/>
        <v>46243</v>
      </c>
      <c r="HP7" s="11">
        <f t="shared" si="11"/>
        <v>46244</v>
      </c>
      <c r="HQ7" s="11">
        <f t="shared" si="11"/>
        <v>46245</v>
      </c>
      <c r="HR7" s="11">
        <f t="shared" si="11"/>
        <v>46246</v>
      </c>
      <c r="HS7" s="11">
        <f t="shared" si="11"/>
        <v>46247</v>
      </c>
      <c r="HT7" s="11">
        <f t="shared" si="11"/>
        <v>46248</v>
      </c>
      <c r="HU7" s="11">
        <f t="shared" si="11"/>
        <v>46249</v>
      </c>
      <c r="HV7" s="11">
        <f t="shared" si="11"/>
        <v>46250</v>
      </c>
      <c r="HW7" s="11">
        <f t="shared" si="11"/>
        <v>46251</v>
      </c>
      <c r="HX7" s="11">
        <f t="shared" si="11"/>
        <v>46252</v>
      </c>
      <c r="HY7" s="11">
        <f t="shared" si="11"/>
        <v>46253</v>
      </c>
      <c r="HZ7" s="11">
        <f t="shared" si="11"/>
        <v>46254</v>
      </c>
      <c r="IA7" s="11">
        <f t="shared" si="11"/>
        <v>46255</v>
      </c>
      <c r="IB7" s="11">
        <f t="shared" si="11"/>
        <v>46256</v>
      </c>
      <c r="IC7" s="11">
        <f t="shared" si="11"/>
        <v>46257</v>
      </c>
      <c r="ID7" s="11">
        <f t="shared" si="11"/>
        <v>46258</v>
      </c>
      <c r="IE7" s="11">
        <f t="shared" si="11"/>
        <v>46259</v>
      </c>
      <c r="IF7" s="11">
        <f t="shared" si="11"/>
        <v>46260</v>
      </c>
      <c r="IG7" s="11">
        <f t="shared" si="11"/>
        <v>46261</v>
      </c>
      <c r="IH7" s="11">
        <f t="shared" si="11"/>
        <v>46262</v>
      </c>
      <c r="II7" s="11">
        <f t="shared" si="11"/>
        <v>46263</v>
      </c>
      <c r="IJ7" s="11">
        <f t="shared" si="11"/>
        <v>46264</v>
      </c>
      <c r="IK7" s="11">
        <f t="shared" si="11"/>
        <v>46265</v>
      </c>
      <c r="IL7" s="11">
        <f t="shared" si="11"/>
        <v>46266</v>
      </c>
      <c r="IM7" s="11">
        <f t="shared" si="11"/>
        <v>46267</v>
      </c>
      <c r="IN7" s="11">
        <f t="shared" si="11"/>
        <v>46268</v>
      </c>
      <c r="IO7" s="11">
        <f t="shared" si="11"/>
        <v>46269</v>
      </c>
      <c r="IP7" s="11">
        <f t="shared" si="11"/>
        <v>46270</v>
      </c>
      <c r="IQ7" s="11">
        <f t="shared" si="11"/>
        <v>46271</v>
      </c>
      <c r="IR7" s="11">
        <f t="shared" si="11"/>
        <v>46272</v>
      </c>
      <c r="IS7" s="11">
        <f t="shared" si="11"/>
        <v>46273</v>
      </c>
      <c r="IT7" s="11">
        <f t="shared" si="11"/>
        <v>46274</v>
      </c>
      <c r="IU7" s="11">
        <f t="shared" si="11"/>
        <v>46275</v>
      </c>
      <c r="IV7" s="11">
        <f t="shared" si="11"/>
        <v>46276</v>
      </c>
      <c r="IW7" s="11">
        <f t="shared" si="11"/>
        <v>46277</v>
      </c>
      <c r="IX7" s="11">
        <f t="shared" si="11"/>
        <v>46278</v>
      </c>
      <c r="IY7" s="11">
        <f t="shared" si="11"/>
        <v>46279</v>
      </c>
      <c r="IZ7" s="11">
        <f t="shared" si="11"/>
        <v>46280</v>
      </c>
      <c r="JA7" s="11">
        <f t="shared" ref="JA7:LL7" si="12">+IZ7+1</f>
        <v>46281</v>
      </c>
      <c r="JB7" s="11">
        <f t="shared" si="12"/>
        <v>46282</v>
      </c>
      <c r="JC7" s="11">
        <f t="shared" si="12"/>
        <v>46283</v>
      </c>
      <c r="JD7" s="11">
        <f t="shared" si="12"/>
        <v>46284</v>
      </c>
      <c r="JE7" s="11">
        <f t="shared" si="12"/>
        <v>46285</v>
      </c>
      <c r="JF7" s="11">
        <f t="shared" si="12"/>
        <v>46286</v>
      </c>
      <c r="JG7" s="11">
        <f t="shared" si="12"/>
        <v>46287</v>
      </c>
      <c r="JH7" s="11">
        <f t="shared" si="12"/>
        <v>46288</v>
      </c>
      <c r="JI7" s="11">
        <f t="shared" si="12"/>
        <v>46289</v>
      </c>
      <c r="JJ7" s="11">
        <f t="shared" si="12"/>
        <v>46290</v>
      </c>
      <c r="JK7" s="11">
        <f t="shared" si="12"/>
        <v>46291</v>
      </c>
      <c r="JL7" s="11">
        <f t="shared" si="12"/>
        <v>46292</v>
      </c>
      <c r="JM7" s="11">
        <f t="shared" si="12"/>
        <v>46293</v>
      </c>
      <c r="JN7" s="11">
        <f t="shared" si="12"/>
        <v>46294</v>
      </c>
      <c r="JO7" s="11">
        <f t="shared" si="12"/>
        <v>46295</v>
      </c>
      <c r="JP7" s="11">
        <f t="shared" si="12"/>
        <v>46296</v>
      </c>
      <c r="JQ7" s="11">
        <f t="shared" si="12"/>
        <v>46297</v>
      </c>
      <c r="JR7" s="11">
        <f t="shared" si="12"/>
        <v>46298</v>
      </c>
      <c r="JS7" s="11">
        <f t="shared" si="12"/>
        <v>46299</v>
      </c>
      <c r="JT7" s="11">
        <f t="shared" si="12"/>
        <v>46300</v>
      </c>
      <c r="JU7" s="11">
        <f t="shared" si="12"/>
        <v>46301</v>
      </c>
      <c r="JV7" s="11">
        <f t="shared" si="12"/>
        <v>46302</v>
      </c>
      <c r="JW7" s="11">
        <f t="shared" si="12"/>
        <v>46303</v>
      </c>
      <c r="JX7" s="11">
        <f t="shared" si="12"/>
        <v>46304</v>
      </c>
      <c r="JY7" s="11">
        <f t="shared" si="12"/>
        <v>46305</v>
      </c>
      <c r="JZ7" s="11">
        <f t="shared" si="12"/>
        <v>46306</v>
      </c>
      <c r="KA7" s="11">
        <f t="shared" si="12"/>
        <v>46307</v>
      </c>
      <c r="KB7" s="11">
        <f t="shared" si="12"/>
        <v>46308</v>
      </c>
      <c r="KC7" s="11">
        <f t="shared" si="12"/>
        <v>46309</v>
      </c>
      <c r="KD7" s="11">
        <f t="shared" si="12"/>
        <v>46310</v>
      </c>
      <c r="KE7" s="11">
        <f t="shared" si="12"/>
        <v>46311</v>
      </c>
      <c r="KF7" s="11">
        <f t="shared" si="12"/>
        <v>46312</v>
      </c>
      <c r="KG7" s="11">
        <f t="shared" si="12"/>
        <v>46313</v>
      </c>
      <c r="KH7" s="11">
        <f t="shared" si="12"/>
        <v>46314</v>
      </c>
      <c r="KI7" s="11">
        <f t="shared" si="12"/>
        <v>46315</v>
      </c>
      <c r="KJ7" s="11">
        <f t="shared" si="12"/>
        <v>46316</v>
      </c>
      <c r="KK7" s="11">
        <f t="shared" si="12"/>
        <v>46317</v>
      </c>
      <c r="KL7" s="11">
        <f t="shared" si="12"/>
        <v>46318</v>
      </c>
      <c r="KM7" s="11">
        <f t="shared" si="12"/>
        <v>46319</v>
      </c>
      <c r="KN7" s="11">
        <f t="shared" si="12"/>
        <v>46320</v>
      </c>
      <c r="KO7" s="11">
        <f t="shared" si="12"/>
        <v>46321</v>
      </c>
      <c r="KP7" s="11">
        <f t="shared" si="12"/>
        <v>46322</v>
      </c>
      <c r="KQ7" s="11">
        <f t="shared" si="12"/>
        <v>46323</v>
      </c>
      <c r="KR7" s="11">
        <f t="shared" si="12"/>
        <v>46324</v>
      </c>
      <c r="KS7" s="11">
        <f t="shared" si="12"/>
        <v>46325</v>
      </c>
      <c r="KT7" s="11">
        <f t="shared" si="12"/>
        <v>46326</v>
      </c>
      <c r="KU7" s="11">
        <f t="shared" si="12"/>
        <v>46327</v>
      </c>
      <c r="KV7" s="11">
        <f t="shared" si="12"/>
        <v>46328</v>
      </c>
      <c r="KW7" s="11">
        <f t="shared" si="12"/>
        <v>46329</v>
      </c>
      <c r="KX7" s="11">
        <f t="shared" si="12"/>
        <v>46330</v>
      </c>
      <c r="KY7" s="11">
        <f t="shared" si="12"/>
        <v>46331</v>
      </c>
      <c r="KZ7" s="11">
        <f t="shared" si="12"/>
        <v>46332</v>
      </c>
      <c r="LA7" s="11">
        <f t="shared" si="12"/>
        <v>46333</v>
      </c>
      <c r="LB7" s="11">
        <f t="shared" si="12"/>
        <v>46334</v>
      </c>
      <c r="LC7" s="11">
        <f t="shared" si="12"/>
        <v>46335</v>
      </c>
      <c r="LD7" s="11">
        <f t="shared" si="12"/>
        <v>46336</v>
      </c>
      <c r="LE7" s="11">
        <f t="shared" si="12"/>
        <v>46337</v>
      </c>
      <c r="LF7" s="11">
        <f t="shared" si="12"/>
        <v>46338</v>
      </c>
      <c r="LG7" s="11">
        <f t="shared" si="12"/>
        <v>46339</v>
      </c>
      <c r="LH7" s="11">
        <f t="shared" si="12"/>
        <v>46340</v>
      </c>
      <c r="LI7" s="11">
        <f t="shared" si="12"/>
        <v>46341</v>
      </c>
      <c r="LJ7" s="11">
        <f t="shared" si="12"/>
        <v>46342</v>
      </c>
      <c r="LK7" s="11">
        <f t="shared" si="12"/>
        <v>46343</v>
      </c>
      <c r="LL7" s="11">
        <f t="shared" si="12"/>
        <v>46344</v>
      </c>
      <c r="LM7" s="11">
        <f t="shared" ref="LM7:NC7" si="13">+LL7+1</f>
        <v>46345</v>
      </c>
      <c r="LN7" s="11">
        <f t="shared" si="13"/>
        <v>46346</v>
      </c>
      <c r="LO7" s="11">
        <f t="shared" si="13"/>
        <v>46347</v>
      </c>
      <c r="LP7" s="11">
        <f t="shared" si="13"/>
        <v>46348</v>
      </c>
      <c r="LQ7" s="11">
        <f t="shared" si="13"/>
        <v>46349</v>
      </c>
      <c r="LR7" s="11">
        <f t="shared" si="13"/>
        <v>46350</v>
      </c>
      <c r="LS7" s="11">
        <f t="shared" si="13"/>
        <v>46351</v>
      </c>
      <c r="LT7" s="11">
        <f t="shared" si="13"/>
        <v>46352</v>
      </c>
      <c r="LU7" s="11">
        <f t="shared" si="13"/>
        <v>46353</v>
      </c>
      <c r="LV7" s="11">
        <f t="shared" si="13"/>
        <v>46354</v>
      </c>
      <c r="LW7" s="11">
        <f t="shared" si="13"/>
        <v>46355</v>
      </c>
      <c r="LX7" s="11">
        <f t="shared" si="13"/>
        <v>46356</v>
      </c>
      <c r="LY7" s="11">
        <f t="shared" si="13"/>
        <v>46357</v>
      </c>
      <c r="LZ7" s="11">
        <f t="shared" si="13"/>
        <v>46358</v>
      </c>
      <c r="MA7" s="11">
        <f t="shared" si="13"/>
        <v>46359</v>
      </c>
      <c r="MB7" s="11">
        <f t="shared" si="13"/>
        <v>46360</v>
      </c>
      <c r="MC7" s="11">
        <f t="shared" si="13"/>
        <v>46361</v>
      </c>
      <c r="MD7" s="11">
        <f t="shared" si="13"/>
        <v>46362</v>
      </c>
      <c r="ME7" s="11">
        <f t="shared" si="13"/>
        <v>46363</v>
      </c>
      <c r="MF7" s="11">
        <f t="shared" si="13"/>
        <v>46364</v>
      </c>
      <c r="MG7" s="11">
        <f t="shared" si="13"/>
        <v>46365</v>
      </c>
      <c r="MH7" s="11">
        <f t="shared" si="13"/>
        <v>46366</v>
      </c>
      <c r="MI7" s="11">
        <f t="shared" si="13"/>
        <v>46367</v>
      </c>
      <c r="MJ7" s="11">
        <f t="shared" si="13"/>
        <v>46368</v>
      </c>
      <c r="MK7" s="11">
        <f t="shared" si="13"/>
        <v>46369</v>
      </c>
      <c r="ML7" s="11">
        <f t="shared" si="13"/>
        <v>46370</v>
      </c>
      <c r="MM7" s="11">
        <f t="shared" si="13"/>
        <v>46371</v>
      </c>
      <c r="MN7" s="11">
        <f t="shared" si="13"/>
        <v>46372</v>
      </c>
      <c r="MO7" s="11">
        <f t="shared" si="13"/>
        <v>46373</v>
      </c>
      <c r="MP7" s="11">
        <f t="shared" si="13"/>
        <v>46374</v>
      </c>
      <c r="MQ7" s="11">
        <f t="shared" si="13"/>
        <v>46375</v>
      </c>
      <c r="MR7" s="11">
        <f t="shared" si="13"/>
        <v>46376</v>
      </c>
      <c r="MS7" s="11">
        <f t="shared" si="13"/>
        <v>46377</v>
      </c>
      <c r="MT7" s="11">
        <f t="shared" si="13"/>
        <v>46378</v>
      </c>
      <c r="MU7" s="11">
        <f t="shared" si="13"/>
        <v>46379</v>
      </c>
      <c r="MV7" s="11">
        <f t="shared" si="13"/>
        <v>46380</v>
      </c>
      <c r="MW7" s="11">
        <f t="shared" si="13"/>
        <v>46381</v>
      </c>
      <c r="MX7" s="11">
        <f t="shared" si="13"/>
        <v>46382</v>
      </c>
      <c r="MY7" s="11">
        <f t="shared" si="13"/>
        <v>46383</v>
      </c>
      <c r="MZ7" s="11">
        <f t="shared" si="13"/>
        <v>46384</v>
      </c>
      <c r="NA7" s="11">
        <f t="shared" si="13"/>
        <v>46385</v>
      </c>
      <c r="NB7" s="11">
        <f t="shared" si="13"/>
        <v>46386</v>
      </c>
      <c r="NC7" s="11">
        <f t="shared" si="13"/>
        <v>46387</v>
      </c>
    </row>
    <row r="8" spans="1:367">
      <c r="A8" s="12"/>
      <c r="B8" s="12" t="s">
        <v>10</v>
      </c>
      <c r="C8" s="8" t="s">
        <v>54</v>
      </c>
      <c r="D8" s="8" t="s">
        <v>54</v>
      </c>
      <c r="E8" s="8" t="s">
        <v>54</v>
      </c>
      <c r="F8" s="8" t="s">
        <v>54</v>
      </c>
      <c r="G8" s="8" t="s">
        <v>425</v>
      </c>
      <c r="H8" s="8" t="s">
        <v>425</v>
      </c>
      <c r="I8" s="8" t="s">
        <v>425</v>
      </c>
      <c r="J8" s="8" t="s">
        <v>425</v>
      </c>
      <c r="K8" s="8" t="s">
        <v>425</v>
      </c>
      <c r="L8" s="8" t="s">
        <v>425</v>
      </c>
      <c r="M8" s="8" t="s">
        <v>425</v>
      </c>
      <c r="N8" s="8" t="s">
        <v>2</v>
      </c>
      <c r="O8" s="8" t="s">
        <v>2</v>
      </c>
      <c r="P8" s="8" t="s">
        <v>2</v>
      </c>
      <c r="Q8" s="8" t="s">
        <v>2</v>
      </c>
      <c r="R8" s="8" t="s">
        <v>2</v>
      </c>
      <c r="S8" s="8" t="s">
        <v>2</v>
      </c>
      <c r="T8" s="8" t="s">
        <v>2</v>
      </c>
      <c r="U8" s="8" t="s">
        <v>3</v>
      </c>
      <c r="V8" s="8" t="s">
        <v>3</v>
      </c>
      <c r="W8" s="8" t="s">
        <v>3</v>
      </c>
      <c r="X8" s="8" t="s">
        <v>3</v>
      </c>
      <c r="Y8" s="8" t="s">
        <v>3</v>
      </c>
      <c r="Z8" s="8" t="s">
        <v>3</v>
      </c>
      <c r="AA8" s="8" t="s">
        <v>3</v>
      </c>
      <c r="AB8" s="8" t="s">
        <v>4</v>
      </c>
      <c r="AC8" s="8" t="s">
        <v>4</v>
      </c>
      <c r="AD8" s="8" t="s">
        <v>4</v>
      </c>
      <c r="AE8" s="8" t="s">
        <v>4</v>
      </c>
      <c r="AF8" s="8" t="s">
        <v>4</v>
      </c>
      <c r="AG8" s="8" t="s">
        <v>4</v>
      </c>
      <c r="AH8" s="8" t="s">
        <v>4</v>
      </c>
      <c r="AI8" s="8" t="s">
        <v>5</v>
      </c>
      <c r="AJ8" s="8" t="s">
        <v>5</v>
      </c>
      <c r="AK8" s="8" t="s">
        <v>5</v>
      </c>
      <c r="AL8" s="8" t="s">
        <v>5</v>
      </c>
      <c r="AM8" s="8" t="s">
        <v>5</v>
      </c>
      <c r="AN8" s="8" t="s">
        <v>5</v>
      </c>
      <c r="AO8" s="8" t="s">
        <v>5</v>
      </c>
      <c r="AP8" s="8" t="s">
        <v>6</v>
      </c>
      <c r="AQ8" s="8" t="s">
        <v>6</v>
      </c>
      <c r="AR8" s="8" t="s">
        <v>6</v>
      </c>
      <c r="AS8" s="8" t="s">
        <v>6</v>
      </c>
      <c r="AT8" s="8" t="s">
        <v>6</v>
      </c>
      <c r="AU8" s="8" t="s">
        <v>6</v>
      </c>
      <c r="AV8" s="8" t="s">
        <v>6</v>
      </c>
      <c r="AW8" s="8" t="s">
        <v>7</v>
      </c>
      <c r="AX8" s="8" t="s">
        <v>7</v>
      </c>
      <c r="AY8" s="8" t="s">
        <v>7</v>
      </c>
      <c r="AZ8" s="8" t="s">
        <v>7</v>
      </c>
      <c r="BA8" s="8" t="s">
        <v>7</v>
      </c>
      <c r="BB8" s="8" t="s">
        <v>7</v>
      </c>
      <c r="BC8" s="8" t="s">
        <v>7</v>
      </c>
      <c r="BD8" s="8" t="s">
        <v>8</v>
      </c>
      <c r="BE8" s="8" t="s">
        <v>8</v>
      </c>
      <c r="BF8" s="8" t="s">
        <v>8</v>
      </c>
      <c r="BG8" s="8" t="s">
        <v>8</v>
      </c>
      <c r="BH8" s="8" t="s">
        <v>8</v>
      </c>
      <c r="BI8" s="8" t="s">
        <v>8</v>
      </c>
      <c r="BJ8" s="8" t="s">
        <v>8</v>
      </c>
      <c r="BK8" s="8" t="s">
        <v>11</v>
      </c>
      <c r="BL8" s="8" t="s">
        <v>11</v>
      </c>
      <c r="BM8" s="8" t="s">
        <v>11</v>
      </c>
      <c r="BN8" s="8" t="s">
        <v>11</v>
      </c>
      <c r="BO8" s="8" t="s">
        <v>11</v>
      </c>
      <c r="BP8" s="8" t="s">
        <v>11</v>
      </c>
      <c r="BQ8" s="8" t="s">
        <v>11</v>
      </c>
      <c r="BR8" s="8" t="s">
        <v>12</v>
      </c>
      <c r="BS8" s="8" t="s">
        <v>12</v>
      </c>
      <c r="BT8" s="8" t="s">
        <v>12</v>
      </c>
      <c r="BU8" s="8" t="s">
        <v>12</v>
      </c>
      <c r="BV8" s="8" t="s">
        <v>12</v>
      </c>
      <c r="BW8" s="8" t="s">
        <v>12</v>
      </c>
      <c r="BX8" s="8" t="s">
        <v>12</v>
      </c>
      <c r="BY8" s="8" t="s">
        <v>13</v>
      </c>
      <c r="BZ8" s="8" t="s">
        <v>13</v>
      </c>
      <c r="CA8" s="8" t="s">
        <v>13</v>
      </c>
      <c r="CB8" s="8" t="s">
        <v>13</v>
      </c>
      <c r="CC8" s="8" t="s">
        <v>13</v>
      </c>
      <c r="CD8" s="8" t="s">
        <v>13</v>
      </c>
      <c r="CE8" s="8" t="s">
        <v>13</v>
      </c>
      <c r="CF8" s="8" t="s">
        <v>14</v>
      </c>
      <c r="CG8" s="8" t="s">
        <v>14</v>
      </c>
      <c r="CH8" s="8" t="s">
        <v>14</v>
      </c>
      <c r="CI8" s="8" t="s">
        <v>14</v>
      </c>
      <c r="CJ8" s="8" t="s">
        <v>14</v>
      </c>
      <c r="CK8" s="8" t="s">
        <v>14</v>
      </c>
      <c r="CL8" s="8" t="s">
        <v>14</v>
      </c>
      <c r="CM8" s="8" t="s">
        <v>15</v>
      </c>
      <c r="CN8" s="8" t="s">
        <v>15</v>
      </c>
      <c r="CO8" s="8" t="s">
        <v>15</v>
      </c>
      <c r="CP8" s="8" t="s">
        <v>15</v>
      </c>
      <c r="CQ8" s="8" t="s">
        <v>15</v>
      </c>
      <c r="CR8" s="8" t="s">
        <v>15</v>
      </c>
      <c r="CS8" s="8" t="s">
        <v>15</v>
      </c>
      <c r="CT8" s="8" t="s">
        <v>16</v>
      </c>
      <c r="CU8" s="8" t="s">
        <v>16</v>
      </c>
      <c r="CV8" s="8" t="s">
        <v>16</v>
      </c>
      <c r="CW8" s="8" t="s">
        <v>16</v>
      </c>
      <c r="CX8" s="8" t="s">
        <v>16</v>
      </c>
      <c r="CY8" s="8" t="s">
        <v>16</v>
      </c>
      <c r="CZ8" s="8" t="s">
        <v>16</v>
      </c>
      <c r="DA8" s="8" t="s">
        <v>17</v>
      </c>
      <c r="DB8" s="8" t="s">
        <v>17</v>
      </c>
      <c r="DC8" s="8" t="s">
        <v>17</v>
      </c>
      <c r="DD8" s="8" t="s">
        <v>17</v>
      </c>
      <c r="DE8" s="8" t="s">
        <v>17</v>
      </c>
      <c r="DF8" s="8" t="s">
        <v>17</v>
      </c>
      <c r="DG8" s="8" t="s">
        <v>17</v>
      </c>
      <c r="DH8" s="8" t="s">
        <v>18</v>
      </c>
      <c r="DI8" s="8" t="s">
        <v>18</v>
      </c>
      <c r="DJ8" s="8" t="s">
        <v>18</v>
      </c>
      <c r="DK8" s="8" t="s">
        <v>18</v>
      </c>
      <c r="DL8" s="8" t="s">
        <v>18</v>
      </c>
      <c r="DM8" s="8" t="s">
        <v>18</v>
      </c>
      <c r="DN8" s="8" t="s">
        <v>18</v>
      </c>
      <c r="DO8" s="8" t="s">
        <v>19</v>
      </c>
      <c r="DP8" s="8" t="s">
        <v>19</v>
      </c>
      <c r="DQ8" s="8" t="s">
        <v>19</v>
      </c>
      <c r="DR8" s="8" t="s">
        <v>19</v>
      </c>
      <c r="DS8" s="8" t="s">
        <v>19</v>
      </c>
      <c r="DT8" s="8" t="s">
        <v>19</v>
      </c>
      <c r="DU8" s="8" t="s">
        <v>19</v>
      </c>
      <c r="DV8" s="8" t="s">
        <v>20</v>
      </c>
      <c r="DW8" s="8" t="s">
        <v>20</v>
      </c>
      <c r="DX8" s="8" t="s">
        <v>20</v>
      </c>
      <c r="DY8" s="8" t="s">
        <v>20</v>
      </c>
      <c r="DZ8" s="8" t="s">
        <v>20</v>
      </c>
      <c r="EA8" s="8" t="s">
        <v>20</v>
      </c>
      <c r="EB8" s="8" t="s">
        <v>20</v>
      </c>
      <c r="EC8" s="8" t="s">
        <v>21</v>
      </c>
      <c r="ED8" s="8" t="s">
        <v>21</v>
      </c>
      <c r="EE8" s="8" t="s">
        <v>21</v>
      </c>
      <c r="EF8" s="8" t="s">
        <v>21</v>
      </c>
      <c r="EG8" s="8" t="s">
        <v>21</v>
      </c>
      <c r="EH8" s="8" t="s">
        <v>21</v>
      </c>
      <c r="EI8" s="8" t="s">
        <v>21</v>
      </c>
      <c r="EJ8" s="8" t="s">
        <v>22</v>
      </c>
      <c r="EK8" s="8" t="s">
        <v>22</v>
      </c>
      <c r="EL8" s="8" t="s">
        <v>22</v>
      </c>
      <c r="EM8" s="8" t="s">
        <v>22</v>
      </c>
      <c r="EN8" s="8" t="s">
        <v>22</v>
      </c>
      <c r="EO8" s="8" t="s">
        <v>22</v>
      </c>
      <c r="EP8" s="8" t="s">
        <v>22</v>
      </c>
      <c r="EQ8" s="8" t="s">
        <v>23</v>
      </c>
      <c r="ER8" s="8" t="s">
        <v>23</v>
      </c>
      <c r="ES8" s="8" t="s">
        <v>23</v>
      </c>
      <c r="ET8" s="8" t="s">
        <v>23</v>
      </c>
      <c r="EU8" s="8" t="s">
        <v>23</v>
      </c>
      <c r="EV8" s="8" t="s">
        <v>23</v>
      </c>
      <c r="EW8" s="8" t="s">
        <v>23</v>
      </c>
      <c r="EX8" s="8" t="s">
        <v>24</v>
      </c>
      <c r="EY8" s="8" t="s">
        <v>24</v>
      </c>
      <c r="EZ8" s="8" t="s">
        <v>24</v>
      </c>
      <c r="FA8" s="8" t="s">
        <v>24</v>
      </c>
      <c r="FB8" s="8" t="s">
        <v>24</v>
      </c>
      <c r="FC8" s="8" t="s">
        <v>24</v>
      </c>
      <c r="FD8" s="8" t="s">
        <v>24</v>
      </c>
      <c r="FE8" s="8" t="s">
        <v>25</v>
      </c>
      <c r="FF8" s="8" t="s">
        <v>25</v>
      </c>
      <c r="FG8" s="8" t="s">
        <v>25</v>
      </c>
      <c r="FH8" s="8" t="s">
        <v>25</v>
      </c>
      <c r="FI8" s="8" t="s">
        <v>25</v>
      </c>
      <c r="FJ8" s="8" t="s">
        <v>25</v>
      </c>
      <c r="FK8" s="8" t="s">
        <v>25</v>
      </c>
      <c r="FL8" s="8" t="s">
        <v>26</v>
      </c>
      <c r="FM8" s="8" t="s">
        <v>26</v>
      </c>
      <c r="FN8" s="8" t="s">
        <v>26</v>
      </c>
      <c r="FO8" s="8" t="s">
        <v>26</v>
      </c>
      <c r="FP8" s="8" t="s">
        <v>26</v>
      </c>
      <c r="FQ8" s="8" t="s">
        <v>26</v>
      </c>
      <c r="FR8" s="8" t="s">
        <v>26</v>
      </c>
      <c r="FS8" s="8" t="s">
        <v>27</v>
      </c>
      <c r="FT8" s="8" t="s">
        <v>27</v>
      </c>
      <c r="FU8" s="8" t="s">
        <v>27</v>
      </c>
      <c r="FV8" s="8" t="s">
        <v>27</v>
      </c>
      <c r="FW8" s="8" t="s">
        <v>27</v>
      </c>
      <c r="FX8" s="8" t="s">
        <v>27</v>
      </c>
      <c r="FY8" s="8" t="s">
        <v>27</v>
      </c>
      <c r="FZ8" s="8" t="s">
        <v>28</v>
      </c>
      <c r="GA8" s="8" t="s">
        <v>28</v>
      </c>
      <c r="GB8" s="8" t="s">
        <v>28</v>
      </c>
      <c r="GC8" s="8" t="s">
        <v>28</v>
      </c>
      <c r="GD8" s="8" t="s">
        <v>28</v>
      </c>
      <c r="GE8" s="8" t="s">
        <v>28</v>
      </c>
      <c r="GF8" s="8" t="s">
        <v>28</v>
      </c>
      <c r="GG8" s="8" t="s">
        <v>29</v>
      </c>
      <c r="GH8" s="8" t="s">
        <v>29</v>
      </c>
      <c r="GI8" s="8" t="s">
        <v>29</v>
      </c>
      <c r="GJ8" s="8" t="s">
        <v>29</v>
      </c>
      <c r="GK8" s="8" t="s">
        <v>29</v>
      </c>
      <c r="GL8" s="8" t="s">
        <v>29</v>
      </c>
      <c r="GM8" s="8" t="s">
        <v>29</v>
      </c>
      <c r="GN8" s="8" t="s">
        <v>30</v>
      </c>
      <c r="GO8" s="8" t="s">
        <v>30</v>
      </c>
      <c r="GP8" s="8" t="s">
        <v>30</v>
      </c>
      <c r="GQ8" s="8" t="s">
        <v>30</v>
      </c>
      <c r="GR8" s="8" t="s">
        <v>30</v>
      </c>
      <c r="GS8" s="8" t="s">
        <v>30</v>
      </c>
      <c r="GT8" s="8" t="s">
        <v>30</v>
      </c>
      <c r="GU8" s="8" t="s">
        <v>31</v>
      </c>
      <c r="GV8" s="8" t="s">
        <v>31</v>
      </c>
      <c r="GW8" s="8" t="s">
        <v>31</v>
      </c>
      <c r="GX8" s="8" t="s">
        <v>31</v>
      </c>
      <c r="GY8" s="8" t="s">
        <v>31</v>
      </c>
      <c r="GZ8" s="8" t="s">
        <v>31</v>
      </c>
      <c r="HA8" s="8" t="s">
        <v>31</v>
      </c>
      <c r="HB8" s="8" t="s">
        <v>32</v>
      </c>
      <c r="HC8" s="8" t="s">
        <v>32</v>
      </c>
      <c r="HD8" s="8" t="s">
        <v>32</v>
      </c>
      <c r="HE8" s="8" t="s">
        <v>32</v>
      </c>
      <c r="HF8" s="8" t="s">
        <v>32</v>
      </c>
      <c r="HG8" s="8" t="s">
        <v>32</v>
      </c>
      <c r="HH8" s="8" t="s">
        <v>32</v>
      </c>
      <c r="HI8" s="8" t="s">
        <v>33</v>
      </c>
      <c r="HJ8" s="8" t="s">
        <v>33</v>
      </c>
      <c r="HK8" s="8" t="s">
        <v>33</v>
      </c>
      <c r="HL8" s="8" t="s">
        <v>33</v>
      </c>
      <c r="HM8" s="8" t="s">
        <v>33</v>
      </c>
      <c r="HN8" s="8" t="s">
        <v>33</v>
      </c>
      <c r="HO8" s="8" t="s">
        <v>33</v>
      </c>
      <c r="HP8" s="8" t="s">
        <v>34</v>
      </c>
      <c r="HQ8" s="8" t="s">
        <v>34</v>
      </c>
      <c r="HR8" s="8" t="s">
        <v>34</v>
      </c>
      <c r="HS8" s="8" t="s">
        <v>34</v>
      </c>
      <c r="HT8" s="8" t="s">
        <v>34</v>
      </c>
      <c r="HU8" s="8" t="s">
        <v>34</v>
      </c>
      <c r="HV8" s="8" t="s">
        <v>34</v>
      </c>
      <c r="HW8" s="8" t="s">
        <v>35</v>
      </c>
      <c r="HX8" s="8" t="s">
        <v>35</v>
      </c>
      <c r="HY8" s="8" t="s">
        <v>35</v>
      </c>
      <c r="HZ8" s="8" t="s">
        <v>35</v>
      </c>
      <c r="IA8" s="8" t="s">
        <v>35</v>
      </c>
      <c r="IB8" s="8" t="s">
        <v>35</v>
      </c>
      <c r="IC8" s="8" t="s">
        <v>35</v>
      </c>
      <c r="JU8" s="20"/>
      <c r="KB8" s="20"/>
      <c r="KI8" s="20"/>
      <c r="KU8" s="36"/>
      <c r="LE8" s="20"/>
      <c r="LF8" s="20"/>
      <c r="LK8" s="20"/>
      <c r="LR8" s="20"/>
      <c r="LY8" s="20"/>
      <c r="LZ8" s="1"/>
      <c r="MA8" s="1"/>
      <c r="MB8" s="1"/>
      <c r="MC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34"/>
      <c r="MQ8" s="1"/>
      <c r="MR8" s="1"/>
      <c r="MS8" s="1"/>
      <c r="MT8" s="20"/>
    </row>
    <row r="9" spans="1:367">
      <c r="A9" s="13">
        <f>+SUM(C9:NC9)</f>
        <v>852045.11755856115</v>
      </c>
      <c r="B9" s="14" t="s">
        <v>427</v>
      </c>
      <c r="C9" s="7"/>
      <c r="D9" s="7">
        <v>3441.3183516654672</v>
      </c>
      <c r="E9" s="7">
        <v>3569.9333314893702</v>
      </c>
      <c r="F9" s="7"/>
      <c r="G9" s="7">
        <v>3979.5588537430331</v>
      </c>
      <c r="H9" s="7">
        <v>4211.9801568782023</v>
      </c>
      <c r="I9" s="7">
        <v>3927.7253628930716</v>
      </c>
      <c r="J9" s="7">
        <v>3688.7481147433409</v>
      </c>
      <c r="K9" s="7">
        <v>3785.4502023318396</v>
      </c>
      <c r="L9" s="7">
        <v>3390.5039646761197</v>
      </c>
      <c r="M9" s="7">
        <v>0</v>
      </c>
      <c r="N9" s="7">
        <v>3994.0449072273768</v>
      </c>
      <c r="O9" s="7">
        <v>4176.8138009764589</v>
      </c>
      <c r="P9" s="7">
        <v>3613.8607737948714</v>
      </c>
      <c r="Q9" s="7">
        <v>4025.0435387274529</v>
      </c>
      <c r="R9" s="7">
        <v>4074.187793347859</v>
      </c>
      <c r="S9" s="7">
        <v>4038.1995137763943</v>
      </c>
      <c r="U9" s="7">
        <v>3709.6666666666665</v>
      </c>
      <c r="V9" s="7">
        <v>3951.8837445590743</v>
      </c>
      <c r="W9" s="7">
        <v>3814.4112611082214</v>
      </c>
      <c r="X9" s="7">
        <v>3700.9828396093003</v>
      </c>
      <c r="Y9" s="7">
        <v>3567.6099795080904</v>
      </c>
      <c r="Z9" s="7">
        <v>3871.4166666666674</v>
      </c>
      <c r="AB9" s="7">
        <v>3830.1565338232522</v>
      </c>
      <c r="AC9" s="7">
        <v>3908.5407282703577</v>
      </c>
      <c r="AD9" s="7">
        <v>3474.3603174401464</v>
      </c>
      <c r="AE9" s="7">
        <v>3755.3858885320324</v>
      </c>
      <c r="AF9" s="7">
        <v>3845.458333333333</v>
      </c>
      <c r="AG9" s="7">
        <v>3867.6666666666661</v>
      </c>
      <c r="AI9" s="7">
        <v>4150.0232194125701</v>
      </c>
      <c r="AJ9" s="7">
        <v>3817.9783159327135</v>
      </c>
      <c r="AK9" s="7">
        <v>3522.5884198742824</v>
      </c>
      <c r="AL9" s="7">
        <v>3560.8372306919136</v>
      </c>
      <c r="AM9" s="7">
        <v>4067.333333333333</v>
      </c>
      <c r="AN9" s="7">
        <v>3770.3333333333335</v>
      </c>
      <c r="AP9" s="7">
        <v>3850.7685351961109</v>
      </c>
      <c r="AQ9" s="7">
        <v>3931.2872074895718</v>
      </c>
      <c r="AR9" s="7">
        <v>3654.1930684014833</v>
      </c>
      <c r="AS9" s="7">
        <v>3782.9134072791708</v>
      </c>
      <c r="AT9" s="7">
        <v>4095.6666666666665</v>
      </c>
      <c r="AU9" s="7">
        <v>3879.333333333333</v>
      </c>
      <c r="AW9" s="7">
        <v>4073.4166666666665</v>
      </c>
      <c r="AX9" s="7">
        <v>3998.491169565842</v>
      </c>
      <c r="AY9" s="7">
        <v>3626.3744874916338</v>
      </c>
      <c r="AZ9" s="7">
        <v>3863.0284045043386</v>
      </c>
      <c r="BA9" s="7">
        <v>3934.25</v>
      </c>
      <c r="BB9" s="7">
        <v>4040.333333333333</v>
      </c>
      <c r="BD9" s="7">
        <v>3980.546148584981</v>
      </c>
      <c r="BE9" s="7">
        <v>3937.2626635732408</v>
      </c>
      <c r="BF9" s="7">
        <v>4006.590574034723</v>
      </c>
      <c r="BG9" s="7">
        <v>3674.0648887317961</v>
      </c>
      <c r="BH9" s="7">
        <v>4219.8318576544507</v>
      </c>
      <c r="BI9" s="7">
        <v>4001.7742206910098</v>
      </c>
      <c r="BK9" s="7">
        <v>5709.9166666666661</v>
      </c>
      <c r="BL9" s="7">
        <v>5618.75</v>
      </c>
      <c r="BM9" s="7">
        <v>4850.333333333333</v>
      </c>
      <c r="BN9" s="7">
        <v>4671.75</v>
      </c>
      <c r="BO9" s="7">
        <v>4427.6711125567872</v>
      </c>
      <c r="BP9" s="7">
        <v>4986.002042270391</v>
      </c>
      <c r="BR9" s="7">
        <v>5717.5666752881698</v>
      </c>
      <c r="BS9" s="7">
        <v>5903.25775807637</v>
      </c>
      <c r="BT9" s="7">
        <v>5997.6842170461814</v>
      </c>
      <c r="BU9" s="7">
        <v>5811.4779034750482</v>
      </c>
      <c r="BV9" s="7">
        <v>5880</v>
      </c>
      <c r="BW9" s="7">
        <v>5520.416666666667</v>
      </c>
      <c r="BX9" s="7">
        <v>4250.25</v>
      </c>
      <c r="BY9" s="7">
        <v>5287.166666666667</v>
      </c>
      <c r="BZ9" s="7">
        <v>4290.6666666666661</v>
      </c>
      <c r="CA9" s="7">
        <v>4149.416666666667</v>
      </c>
      <c r="CB9" s="7">
        <v>1315</v>
      </c>
      <c r="CF9" s="7">
        <v>4476.916666666667</v>
      </c>
      <c r="CG9" s="7">
        <v>4569.2500000000009</v>
      </c>
      <c r="CH9" s="7">
        <v>4488.1789411149502</v>
      </c>
      <c r="CI9" s="7">
        <v>3670.2918983684349</v>
      </c>
      <c r="CJ9" s="7">
        <v>3870.7188850507782</v>
      </c>
      <c r="CK9" s="7">
        <v>3838.1785078554285</v>
      </c>
      <c r="CM9" s="7">
        <v>4098.75</v>
      </c>
      <c r="CN9" s="7">
        <v>4021.0833333333335</v>
      </c>
      <c r="CO9" s="7">
        <v>3859.6598755537952</v>
      </c>
      <c r="CP9" s="7">
        <v>3967.6143791514301</v>
      </c>
      <c r="CQ9" s="7">
        <v>4136.5833333333339</v>
      </c>
      <c r="CR9" s="7">
        <v>3467.666666666667</v>
      </c>
      <c r="CT9" s="7">
        <v>4392.75</v>
      </c>
      <c r="CU9" s="7">
        <v>4303.3333333333339</v>
      </c>
      <c r="CV9" s="7">
        <v>4470.25</v>
      </c>
      <c r="CW9" s="7">
        <v>4571.083333333333</v>
      </c>
      <c r="CX9" s="7">
        <v>4209.4681405308793</v>
      </c>
      <c r="CY9" s="7">
        <v>3830.5469446339794</v>
      </c>
      <c r="DA9" s="7">
        <v>4031.583333333333</v>
      </c>
      <c r="DB9" s="7">
        <v>4157</v>
      </c>
      <c r="DC9" s="7">
        <v>3984.25</v>
      </c>
      <c r="DD9" s="7">
        <v>3986.25</v>
      </c>
      <c r="DE9" s="7">
        <v>3979.6980059303273</v>
      </c>
      <c r="DF9" s="7">
        <v>3686.3947130079341</v>
      </c>
      <c r="DG9" s="7">
        <v>2873.7761844867127</v>
      </c>
      <c r="DH9" s="7">
        <v>3739.6476501184725</v>
      </c>
      <c r="DI9" s="7">
        <v>3675.0299633834106</v>
      </c>
      <c r="DJ9" s="7">
        <v>3930.1383356145916</v>
      </c>
      <c r="DK9" s="46">
        <v>3503.2634245095419</v>
      </c>
      <c r="DL9" s="46">
        <v>3689.9743644836317</v>
      </c>
      <c r="DM9" s="7">
        <v>3633.4995074267235</v>
      </c>
      <c r="DO9" s="7">
        <v>3771.75</v>
      </c>
      <c r="DP9" s="7">
        <v>3969.3607574151656</v>
      </c>
      <c r="DQ9" s="7">
        <v>3948.1706048036895</v>
      </c>
      <c r="DR9" s="7">
        <v>3895.916666666667</v>
      </c>
      <c r="DS9" s="7"/>
      <c r="DT9" s="7">
        <v>3838.416666666667</v>
      </c>
      <c r="DU9" s="7">
        <v>3527.333333333333</v>
      </c>
      <c r="DV9" s="7">
        <v>3743.9103331774236</v>
      </c>
      <c r="DW9" s="7">
        <v>4383.9070404353888</v>
      </c>
      <c r="DX9" s="7">
        <v>4319.4185300827266</v>
      </c>
      <c r="DY9" s="7">
        <v>4116.5675478972971</v>
      </c>
      <c r="DZ9" s="7">
        <v>4235.1525035529958</v>
      </c>
      <c r="EA9" s="7">
        <v>3491.3553824837609</v>
      </c>
      <c r="EC9" s="7">
        <v>4879.9466984295241</v>
      </c>
      <c r="ED9" s="7">
        <v>4946.8302185782586</v>
      </c>
      <c r="EE9" s="7">
        <v>5029.875003388026</v>
      </c>
      <c r="EF9" s="7">
        <v>5220.0012420652829</v>
      </c>
      <c r="EG9" s="7">
        <v>5187.4466949384623</v>
      </c>
      <c r="EH9" s="7">
        <v>5200.8028917218944</v>
      </c>
      <c r="EI9" s="7">
        <v>5229.166666666667</v>
      </c>
      <c r="EJ9" s="7">
        <v>5360.9370576066503</v>
      </c>
      <c r="EK9" s="7">
        <v>5001.4046923419401</v>
      </c>
      <c r="EL9" s="7">
        <v>5433.711543278645</v>
      </c>
      <c r="EM9" s="7">
        <v>5128.139434526458</v>
      </c>
      <c r="EN9" s="7">
        <v>4831.298608539274</v>
      </c>
      <c r="EO9" s="7">
        <v>4755.7936459773318</v>
      </c>
      <c r="EP9" s="7"/>
      <c r="EQ9" s="7">
        <v>4302</v>
      </c>
      <c r="ER9" s="7">
        <v>1374.25</v>
      </c>
      <c r="ES9" s="7"/>
      <c r="ET9" s="7"/>
      <c r="EU9" s="7"/>
      <c r="EV9" s="7">
        <v>4077.3774398382529</v>
      </c>
      <c r="EW9" s="7"/>
      <c r="EX9" s="7">
        <v>4220.5535408477808</v>
      </c>
      <c r="EY9" s="7">
        <v>4689.3130532480518</v>
      </c>
      <c r="EZ9" s="7">
        <v>4489.7118460567763</v>
      </c>
      <c r="FA9" s="7">
        <v>4289.0213435479554</v>
      </c>
      <c r="FB9" s="7">
        <v>4431.0854135900581</v>
      </c>
      <c r="FC9" s="7">
        <v>4094.768308582893</v>
      </c>
      <c r="FE9" s="7">
        <v>4337.9171933177849</v>
      </c>
      <c r="FF9" s="7">
        <v>4448.5868342468739</v>
      </c>
      <c r="FG9" s="7">
        <v>4556.3840620299097</v>
      </c>
      <c r="FH9" s="7">
        <v>4719.019199617921</v>
      </c>
      <c r="FI9" s="7">
        <v>5085.8069637695689</v>
      </c>
      <c r="FJ9" s="7">
        <v>4554.3253547598943</v>
      </c>
      <c r="FK9" s="7">
        <v>3474.3615826420846</v>
      </c>
      <c r="FL9" s="7">
        <v>4436.6108156232094</v>
      </c>
      <c r="FM9" s="7">
        <v>4559.8630720083474</v>
      </c>
      <c r="FN9" s="7">
        <v>4248.1618823849522</v>
      </c>
      <c r="FO9" s="7">
        <v>4010.5376158702538</v>
      </c>
      <c r="FP9" s="7">
        <v>4042.0021077887577</v>
      </c>
      <c r="FQ9" s="7">
        <v>3492.0309045892186</v>
      </c>
      <c r="FS9" s="7">
        <v>4182.8613364337507</v>
      </c>
      <c r="FT9" s="7">
        <v>4398.1798753346975</v>
      </c>
      <c r="FU9" s="7">
        <v>4350.6096885643256</v>
      </c>
      <c r="FV9" s="7">
        <v>4373.237226440061</v>
      </c>
      <c r="FW9" s="7">
        <v>4289.2606457177617</v>
      </c>
      <c r="FX9" s="7">
        <v>4049.3084348173675</v>
      </c>
      <c r="FY9" s="7">
        <v>3190.816421866125</v>
      </c>
      <c r="FZ9" s="7">
        <v>4089.8222862245775</v>
      </c>
      <c r="GA9" s="7">
        <v>4001.621301538109</v>
      </c>
      <c r="GB9" s="7">
        <v>4187.7131031994131</v>
      </c>
      <c r="GC9" s="7">
        <v>4410.473736078673</v>
      </c>
      <c r="GD9" s="7">
        <v>4088.1477657759979</v>
      </c>
      <c r="GE9" s="7">
        <v>3892.5607515539859</v>
      </c>
      <c r="GF9" s="7"/>
      <c r="GG9" s="7">
        <v>3990.7084273241044</v>
      </c>
      <c r="GH9" s="7">
        <v>4520.2291762185578</v>
      </c>
      <c r="GI9" s="7">
        <v>4267.4727045778536</v>
      </c>
      <c r="GJ9" s="7">
        <v>4279.3001650449578</v>
      </c>
      <c r="GK9" s="7">
        <v>3996.6697133680887</v>
      </c>
      <c r="GL9" s="7">
        <v>3880.2921315591175</v>
      </c>
      <c r="GM9" s="7">
        <v>3522.5242753623183</v>
      </c>
      <c r="GN9" s="7">
        <v>3721.1983176322551</v>
      </c>
      <c r="GO9" s="7">
        <v>3486.7768560531576</v>
      </c>
      <c r="GP9" s="7">
        <v>3687.079122362622</v>
      </c>
      <c r="GQ9" s="7">
        <v>3932.3333333333335</v>
      </c>
      <c r="GR9" s="7">
        <v>3859.5418861423223</v>
      </c>
      <c r="GS9" s="7">
        <v>3536.833333333333</v>
      </c>
      <c r="GU9" s="7">
        <v>3839.2305579527183</v>
      </c>
      <c r="GV9" s="7">
        <v>4075.5833333333335</v>
      </c>
      <c r="GW9" s="7">
        <v>3981.2322780942632</v>
      </c>
      <c r="GX9" s="7">
        <v>3852.415013865223</v>
      </c>
      <c r="GY9" s="7">
        <v>4170.333333333333</v>
      </c>
      <c r="GZ9" s="7">
        <v>3876.916666666667</v>
      </c>
      <c r="HA9" s="7">
        <v>3248.8333333333335</v>
      </c>
      <c r="HB9" s="7">
        <v>3986.333333333333</v>
      </c>
      <c r="HC9" s="7">
        <v>4195.5</v>
      </c>
      <c r="HD9" s="7">
        <v>4133.6666666666661</v>
      </c>
      <c r="HE9" s="7">
        <v>4335.8333333333339</v>
      </c>
      <c r="HF9" s="7">
        <v>4404</v>
      </c>
      <c r="HG9" s="7">
        <v>4249.6666666666661</v>
      </c>
      <c r="HI9" s="7">
        <v>4163.1666666666661</v>
      </c>
      <c r="HJ9" s="7">
        <v>4161.583333333333</v>
      </c>
      <c r="HK9" s="7">
        <v>4165.9993272166112</v>
      </c>
      <c r="HL9" s="7">
        <v>4124.1252621424974</v>
      </c>
      <c r="HM9" s="7">
        <v>4067.0077256198283</v>
      </c>
      <c r="HN9" s="7">
        <v>4041</v>
      </c>
      <c r="HO9" s="7">
        <v>3121.5</v>
      </c>
      <c r="HP9" s="7">
        <v>4141.8325515059296</v>
      </c>
      <c r="HQ9" s="7">
        <v>4434.9476920729758</v>
      </c>
      <c r="HR9" s="7">
        <v>4665.9243190307971</v>
      </c>
      <c r="HS9" s="7">
        <v>5142.4686428493314</v>
      </c>
      <c r="HT9" s="7">
        <v>5398.6947271573981</v>
      </c>
      <c r="HU9" s="7">
        <v>5061.166666666667</v>
      </c>
      <c r="HV9" s="20"/>
      <c r="HW9" s="7">
        <v>5123.3928457594884</v>
      </c>
      <c r="HX9" s="7">
        <v>4827.8376601890213</v>
      </c>
      <c r="HY9" s="7">
        <v>4989.2023713339731</v>
      </c>
      <c r="HZ9" s="7">
        <v>5109.2293963700604</v>
      </c>
      <c r="IA9" s="7">
        <v>4982.7755516630014</v>
      </c>
      <c r="IB9" s="7">
        <v>4641.2858159549241</v>
      </c>
      <c r="IC9" s="7">
        <v>3612.2732968266387</v>
      </c>
      <c r="KU9" s="36"/>
      <c r="LE9" s="20"/>
      <c r="LF9" s="20"/>
      <c r="LY9" s="20"/>
      <c r="LZ9" s="190"/>
      <c r="MA9" s="190"/>
      <c r="MB9" s="190"/>
      <c r="MC9" s="190"/>
      <c r="MF9"/>
      <c r="MG9"/>
      <c r="MH9"/>
      <c r="MI9"/>
      <c r="MJ9"/>
      <c r="MK9"/>
      <c r="ML9"/>
      <c r="MM9" s="190"/>
      <c r="MN9" s="190"/>
      <c r="MO9" s="190"/>
      <c r="MP9" s="34"/>
      <c r="MQ9" s="190"/>
      <c r="MR9" s="190"/>
      <c r="MS9" s="190"/>
    </row>
    <row r="10" spans="1:367">
      <c r="A10" s="15">
        <f>+SUM(C10:NC10)</f>
        <v>30815775</v>
      </c>
      <c r="B10" s="16" t="s">
        <v>423</v>
      </c>
      <c r="C10" s="7"/>
      <c r="D10" s="7">
        <v>126338</v>
      </c>
      <c r="E10" s="7">
        <v>136579</v>
      </c>
      <c r="F10" s="7"/>
      <c r="G10" s="7">
        <v>134660</v>
      </c>
      <c r="H10" s="7">
        <v>146987</v>
      </c>
      <c r="I10" s="7">
        <v>165013</v>
      </c>
      <c r="J10" s="7">
        <v>145474</v>
      </c>
      <c r="K10" s="7">
        <v>123444</v>
      </c>
      <c r="L10" s="7">
        <v>128716</v>
      </c>
      <c r="M10" s="7">
        <v>0</v>
      </c>
      <c r="N10" s="7">
        <v>145114</v>
      </c>
      <c r="O10" s="7">
        <v>136417</v>
      </c>
      <c r="P10" s="7">
        <v>138323</v>
      </c>
      <c r="Q10" s="7">
        <v>129506</v>
      </c>
      <c r="R10" s="7">
        <v>116556</v>
      </c>
      <c r="S10" s="7">
        <v>109079</v>
      </c>
      <c r="U10" s="7">
        <v>128127</v>
      </c>
      <c r="V10" s="7">
        <v>131650</v>
      </c>
      <c r="W10" s="7">
        <v>126899</v>
      </c>
      <c r="X10" s="7">
        <v>122939</v>
      </c>
      <c r="Y10" s="7">
        <v>129787</v>
      </c>
      <c r="Z10" s="7">
        <v>133307</v>
      </c>
      <c r="AB10" s="7">
        <v>128220</v>
      </c>
      <c r="AC10" s="7">
        <v>144881</v>
      </c>
      <c r="AD10" s="7">
        <v>142720</v>
      </c>
      <c r="AE10" s="7">
        <v>122213</v>
      </c>
      <c r="AF10" s="7">
        <v>102208</v>
      </c>
      <c r="AG10" s="7">
        <v>97072</v>
      </c>
      <c r="AI10" s="7">
        <v>123248</v>
      </c>
      <c r="AJ10" s="7">
        <v>129340</v>
      </c>
      <c r="AK10" s="7">
        <v>89207</v>
      </c>
      <c r="AL10" s="7">
        <v>128014</v>
      </c>
      <c r="AM10" s="7">
        <v>109075</v>
      </c>
      <c r="AN10" s="7">
        <v>77314</v>
      </c>
      <c r="AP10" s="7">
        <v>131983</v>
      </c>
      <c r="AQ10" s="7">
        <v>128613</v>
      </c>
      <c r="AR10" s="7">
        <v>105712</v>
      </c>
      <c r="AS10" s="7">
        <v>96969</v>
      </c>
      <c r="AT10" s="7">
        <v>102963</v>
      </c>
      <c r="AU10" s="7">
        <v>98509</v>
      </c>
      <c r="AW10" s="7">
        <v>124046</v>
      </c>
      <c r="AX10" s="7">
        <v>126422</v>
      </c>
      <c r="AY10" s="7">
        <v>113553</v>
      </c>
      <c r="AZ10" s="7">
        <v>113413</v>
      </c>
      <c r="BA10" s="7">
        <v>138303</v>
      </c>
      <c r="BB10" s="7">
        <v>135570</v>
      </c>
      <c r="BD10" s="7">
        <v>138647</v>
      </c>
      <c r="BE10" s="7">
        <v>154719</v>
      </c>
      <c r="BF10" s="7">
        <v>158509</v>
      </c>
      <c r="BG10" s="7">
        <v>143141</v>
      </c>
      <c r="BH10" s="7">
        <v>151036</v>
      </c>
      <c r="BI10" s="7">
        <v>135208</v>
      </c>
      <c r="BK10" s="7">
        <v>170506</v>
      </c>
      <c r="BL10" s="7">
        <v>200581</v>
      </c>
      <c r="BM10" s="7">
        <v>187064</v>
      </c>
      <c r="BN10" s="7">
        <v>171305</v>
      </c>
      <c r="BO10" s="7">
        <v>154974</v>
      </c>
      <c r="BP10" s="7">
        <v>188394</v>
      </c>
      <c r="BR10" s="7">
        <v>196380</v>
      </c>
      <c r="BS10" s="7">
        <v>219045</v>
      </c>
      <c r="BT10" s="7">
        <v>227633</v>
      </c>
      <c r="BU10" s="7">
        <v>237710</v>
      </c>
      <c r="BV10" s="7">
        <v>236877</v>
      </c>
      <c r="BW10" s="7">
        <v>226868</v>
      </c>
      <c r="BX10" s="7">
        <v>161107</v>
      </c>
      <c r="BY10" s="7">
        <v>196826</v>
      </c>
      <c r="BZ10" s="7">
        <v>183886</v>
      </c>
      <c r="CA10" s="7">
        <v>129772</v>
      </c>
      <c r="CB10" s="7">
        <v>23290</v>
      </c>
      <c r="CF10" s="7">
        <v>140064</v>
      </c>
      <c r="CG10" s="7">
        <v>194351</v>
      </c>
      <c r="CH10" s="7">
        <v>197964</v>
      </c>
      <c r="CI10" s="7">
        <v>138247</v>
      </c>
      <c r="CJ10" s="7">
        <v>135013</v>
      </c>
      <c r="CK10" s="7">
        <v>133077</v>
      </c>
      <c r="CM10" s="7">
        <v>137391</v>
      </c>
      <c r="CN10" s="7">
        <v>150863</v>
      </c>
      <c r="CO10" s="7">
        <v>143333</v>
      </c>
      <c r="CP10" s="7">
        <v>157309</v>
      </c>
      <c r="CQ10" s="7">
        <v>156080</v>
      </c>
      <c r="CR10" s="7">
        <v>126619</v>
      </c>
      <c r="CT10" s="7">
        <v>141815</v>
      </c>
      <c r="CU10" s="7">
        <v>142688</v>
      </c>
      <c r="CV10" s="7">
        <v>173757</v>
      </c>
      <c r="CW10" s="7">
        <v>180019</v>
      </c>
      <c r="CX10" s="7">
        <v>159246</v>
      </c>
      <c r="CY10" s="7">
        <v>146791</v>
      </c>
      <c r="DA10" s="7">
        <v>134647</v>
      </c>
      <c r="DB10" s="7">
        <v>144859</v>
      </c>
      <c r="DC10" s="7">
        <v>158487</v>
      </c>
      <c r="DD10" s="7">
        <v>159831</v>
      </c>
      <c r="DE10" s="7">
        <v>158145</v>
      </c>
      <c r="DF10" s="7">
        <v>153334</v>
      </c>
      <c r="DG10" s="7">
        <v>107656</v>
      </c>
      <c r="DH10" s="7">
        <v>139615</v>
      </c>
      <c r="DI10" s="7">
        <v>145580</v>
      </c>
      <c r="DJ10" s="7">
        <v>154288</v>
      </c>
      <c r="DK10" s="7">
        <v>147698</v>
      </c>
      <c r="DL10" s="19">
        <v>133049</v>
      </c>
      <c r="DM10" s="7">
        <v>109755</v>
      </c>
      <c r="DO10" s="7">
        <v>136379</v>
      </c>
      <c r="DP10" s="7">
        <v>152181</v>
      </c>
      <c r="DQ10" s="7">
        <v>162660</v>
      </c>
      <c r="DR10" s="7">
        <v>163354</v>
      </c>
      <c r="DS10" s="7"/>
      <c r="DT10" s="7">
        <v>157855</v>
      </c>
      <c r="DU10" s="7">
        <v>161947</v>
      </c>
      <c r="DV10" s="7">
        <v>146182</v>
      </c>
      <c r="DW10" s="7">
        <v>165603</v>
      </c>
      <c r="DX10" s="7">
        <v>180723</v>
      </c>
      <c r="DY10" s="7">
        <v>185592</v>
      </c>
      <c r="DZ10" s="7">
        <v>153229</v>
      </c>
      <c r="EA10" s="7">
        <v>166271</v>
      </c>
      <c r="EC10" s="7">
        <v>177151</v>
      </c>
      <c r="ED10" s="7">
        <v>196332</v>
      </c>
      <c r="EE10" s="7">
        <v>203689</v>
      </c>
      <c r="EF10" s="7">
        <v>210230</v>
      </c>
      <c r="EG10" s="7">
        <v>185868</v>
      </c>
      <c r="EH10" s="7">
        <v>212415</v>
      </c>
      <c r="EI10" s="7">
        <v>227177</v>
      </c>
      <c r="EJ10" s="7">
        <v>213725</v>
      </c>
      <c r="EK10" s="7">
        <v>207388</v>
      </c>
      <c r="EL10" s="7">
        <v>205963</v>
      </c>
      <c r="EM10" s="7">
        <v>220286</v>
      </c>
      <c r="EN10" s="7">
        <v>215676</v>
      </c>
      <c r="EO10" s="7">
        <v>226799</v>
      </c>
      <c r="EP10" s="7"/>
      <c r="EQ10" s="7">
        <v>161649</v>
      </c>
      <c r="ER10" s="7">
        <v>50260</v>
      </c>
      <c r="ES10" s="7"/>
      <c r="ET10" s="7"/>
      <c r="EU10" s="7"/>
      <c r="EV10" s="7">
        <v>147491</v>
      </c>
      <c r="EW10" s="7"/>
      <c r="EX10" s="7">
        <v>163807</v>
      </c>
      <c r="EY10" s="7">
        <v>189558</v>
      </c>
      <c r="EZ10" s="7">
        <v>181480</v>
      </c>
      <c r="FA10" s="7">
        <v>171953</v>
      </c>
      <c r="FB10" s="7">
        <v>169528</v>
      </c>
      <c r="FC10" s="7">
        <v>171310</v>
      </c>
      <c r="FE10" s="7">
        <v>169567</v>
      </c>
      <c r="FF10" s="7">
        <v>161239</v>
      </c>
      <c r="FG10" s="7">
        <v>186071</v>
      </c>
      <c r="FH10" s="7">
        <v>194634</v>
      </c>
      <c r="FI10" s="7">
        <v>177235</v>
      </c>
      <c r="FJ10" s="7">
        <v>192614</v>
      </c>
      <c r="FK10" s="7">
        <v>160504</v>
      </c>
      <c r="FL10" s="7">
        <v>160278</v>
      </c>
      <c r="FM10" s="7">
        <v>167328</v>
      </c>
      <c r="FN10" s="7">
        <v>170370</v>
      </c>
      <c r="FO10" s="7">
        <v>171855</v>
      </c>
      <c r="FP10" s="7">
        <v>167235</v>
      </c>
      <c r="FQ10" s="7">
        <v>155802</v>
      </c>
      <c r="FS10" s="7">
        <v>147270</v>
      </c>
      <c r="FT10" s="7">
        <v>175624</v>
      </c>
      <c r="FU10" s="7">
        <v>161952</v>
      </c>
      <c r="FV10" s="7">
        <v>170065</v>
      </c>
      <c r="FW10" s="7">
        <v>155375</v>
      </c>
      <c r="FX10" s="7">
        <v>165915</v>
      </c>
      <c r="FY10" s="7">
        <v>150943</v>
      </c>
      <c r="FZ10" s="7">
        <v>161920</v>
      </c>
      <c r="GA10" s="7">
        <v>160346</v>
      </c>
      <c r="GB10" s="7">
        <v>164358</v>
      </c>
      <c r="GC10" s="7">
        <v>154137</v>
      </c>
      <c r="GD10" s="7">
        <v>122431</v>
      </c>
      <c r="GE10" s="7">
        <v>131026</v>
      </c>
      <c r="GF10" s="7"/>
      <c r="GG10" s="7">
        <v>128502</v>
      </c>
      <c r="GH10" s="7">
        <v>164771</v>
      </c>
      <c r="GI10" s="7">
        <v>105998</v>
      </c>
      <c r="GJ10" s="7">
        <v>123532</v>
      </c>
      <c r="GK10" s="7">
        <v>140487</v>
      </c>
      <c r="GL10" s="7">
        <v>140584</v>
      </c>
      <c r="GM10" s="7">
        <v>128818</v>
      </c>
      <c r="GN10" s="7">
        <v>127216</v>
      </c>
      <c r="GO10" s="7">
        <v>118359</v>
      </c>
      <c r="GP10" s="7">
        <v>142055</v>
      </c>
      <c r="GQ10" s="7">
        <v>143815</v>
      </c>
      <c r="GR10" s="7">
        <v>126686</v>
      </c>
      <c r="GS10" s="7">
        <v>131045</v>
      </c>
      <c r="GU10" s="7">
        <v>118754</v>
      </c>
      <c r="GV10" s="7">
        <v>133648</v>
      </c>
      <c r="GW10" s="7">
        <v>147108</v>
      </c>
      <c r="GX10" s="7">
        <v>136204</v>
      </c>
      <c r="GY10" s="7">
        <v>140157</v>
      </c>
      <c r="GZ10" s="7">
        <v>144687</v>
      </c>
      <c r="HA10" s="7">
        <v>118866</v>
      </c>
      <c r="HB10" s="7">
        <v>136140</v>
      </c>
      <c r="HC10" s="7">
        <v>129830</v>
      </c>
      <c r="HD10" s="7">
        <v>146201</v>
      </c>
      <c r="HE10" s="7">
        <v>136909</v>
      </c>
      <c r="HF10" s="7">
        <v>139121</v>
      </c>
      <c r="HG10" s="7">
        <v>131146</v>
      </c>
      <c r="HI10" s="7">
        <v>134306</v>
      </c>
      <c r="HJ10" s="7">
        <v>124051</v>
      </c>
      <c r="HK10" s="7">
        <v>149622</v>
      </c>
      <c r="HL10" s="7">
        <v>148576</v>
      </c>
      <c r="HM10" s="7">
        <v>131206</v>
      </c>
      <c r="HN10" s="7">
        <v>149623</v>
      </c>
      <c r="HO10" s="7">
        <v>120912</v>
      </c>
      <c r="HP10" s="7">
        <v>134438</v>
      </c>
      <c r="HQ10" s="7">
        <v>135871</v>
      </c>
      <c r="HR10" s="7">
        <v>140955</v>
      </c>
      <c r="HS10" s="7">
        <v>178642</v>
      </c>
      <c r="HT10" s="7">
        <v>157443</v>
      </c>
      <c r="HU10" s="7">
        <v>159734</v>
      </c>
      <c r="HW10" s="7">
        <v>166668</v>
      </c>
      <c r="HX10" s="7">
        <v>164161</v>
      </c>
      <c r="HY10" s="7">
        <v>156694</v>
      </c>
      <c r="HZ10" s="7">
        <v>140170</v>
      </c>
      <c r="IA10" s="7">
        <v>172935</v>
      </c>
      <c r="IB10" s="7">
        <v>173854</v>
      </c>
      <c r="IC10" s="7">
        <v>137938</v>
      </c>
      <c r="KB10" s="20"/>
      <c r="LE10" s="20"/>
      <c r="LY10" s="2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V10" s="7"/>
    </row>
    <row r="11" spans="1:367">
      <c r="A11" s="17">
        <f>+A10/A9</f>
        <v>36.166834789569734</v>
      </c>
      <c r="B11" s="18" t="s">
        <v>424</v>
      </c>
      <c r="C11" s="7"/>
      <c r="D11" s="7">
        <f t="shared" ref="D11:BO11" si="14">+IFERROR(D10/D9,"")</f>
        <v>36.712093183374684</v>
      </c>
      <c r="E11" s="7">
        <f t="shared" si="14"/>
        <v>38.258137426622326</v>
      </c>
      <c r="F11" s="7"/>
      <c r="G11" s="7">
        <f t="shared" si="14"/>
        <v>33.837921475478005</v>
      </c>
      <c r="H11" s="7">
        <f t="shared" si="14"/>
        <v>34.897362885237925</v>
      </c>
      <c r="I11" s="7">
        <f t="shared" si="14"/>
        <v>42.012356963383823</v>
      </c>
      <c r="J11" s="7">
        <f t="shared" si="14"/>
        <v>39.437227881883153</v>
      </c>
      <c r="K11" s="7">
        <f t="shared" si="14"/>
        <v>32.610123869535627</v>
      </c>
      <c r="L11" s="7">
        <f t="shared" si="14"/>
        <v>37.963677772102436</v>
      </c>
      <c r="M11" s="7" t="str">
        <f t="shared" si="14"/>
        <v/>
      </c>
      <c r="N11" s="7">
        <f t="shared" si="14"/>
        <v>36.332590987500083</v>
      </c>
      <c r="O11" s="7">
        <f t="shared" si="14"/>
        <v>32.660541383987081</v>
      </c>
      <c r="P11" s="7">
        <f t="shared" si="14"/>
        <v>38.275685937604258</v>
      </c>
      <c r="Q11" s="7">
        <f t="shared" si="14"/>
        <v>32.175055686712966</v>
      </c>
      <c r="R11" s="7">
        <f t="shared" si="14"/>
        <v>28.608401456188918</v>
      </c>
      <c r="S11" s="7">
        <f t="shared" si="14"/>
        <v>27.011790682425403</v>
      </c>
      <c r="T11" s="7" t="str">
        <f t="shared" si="14"/>
        <v/>
      </c>
      <c r="U11" s="7">
        <f t="shared" si="14"/>
        <v>34.53868272081948</v>
      </c>
      <c r="V11" s="7">
        <f t="shared" si="14"/>
        <v>33.31322693418165</v>
      </c>
      <c r="W11" s="7">
        <f t="shared" si="14"/>
        <v>33.268305726197795</v>
      </c>
      <c r="X11" s="7">
        <f t="shared" si="14"/>
        <v>33.217932999921238</v>
      </c>
      <c r="Y11" s="7">
        <f t="shared" si="14"/>
        <v>36.379256910222935</v>
      </c>
      <c r="Z11" s="7">
        <f t="shared" si="14"/>
        <v>34.433648319951779</v>
      </c>
      <c r="AA11" s="7" t="str">
        <f t="shared" si="14"/>
        <v/>
      </c>
      <c r="AB11" s="7">
        <f t="shared" si="14"/>
        <v>33.476438591404289</v>
      </c>
      <c r="AC11" s="7">
        <f t="shared" si="14"/>
        <v>37.06779846301206</v>
      </c>
      <c r="AD11" s="7">
        <f t="shared" si="14"/>
        <v>41.078065301285108</v>
      </c>
      <c r="AE11" s="7">
        <f t="shared" si="14"/>
        <v>32.543393309648039</v>
      </c>
      <c r="AF11" s="7">
        <f t="shared" si="14"/>
        <v>26.578886348614709</v>
      </c>
      <c r="AG11" s="7">
        <f t="shared" si="14"/>
        <v>25.098336637076621</v>
      </c>
      <c r="AH11" s="7" t="str">
        <f t="shared" si="14"/>
        <v/>
      </c>
      <c r="AI11" s="7">
        <f t="shared" si="14"/>
        <v>29.698147090715693</v>
      </c>
      <c r="AJ11" s="7">
        <f t="shared" si="14"/>
        <v>33.876567465104337</v>
      </c>
      <c r="AK11" s="7">
        <f t="shared" si="14"/>
        <v>25.32427560844128</v>
      </c>
      <c r="AL11" s="7">
        <f t="shared" si="14"/>
        <v>35.95053401953038</v>
      </c>
      <c r="AM11" s="7">
        <f t="shared" si="14"/>
        <v>26.817325028683825</v>
      </c>
      <c r="AN11" s="7">
        <f t="shared" si="14"/>
        <v>20.505879232605427</v>
      </c>
      <c r="AO11" s="7" t="str">
        <f t="shared" si="14"/>
        <v/>
      </c>
      <c r="AP11" s="7">
        <f t="shared" si="14"/>
        <v>34.27445685028129</v>
      </c>
      <c r="AQ11" s="7">
        <f t="shared" si="14"/>
        <v>32.715238854840436</v>
      </c>
      <c r="AR11" s="7">
        <f t="shared" si="14"/>
        <v>28.928958602136319</v>
      </c>
      <c r="AS11" s="7">
        <f t="shared" si="14"/>
        <v>25.633417834362788</v>
      </c>
      <c r="AT11" s="7">
        <f t="shared" si="14"/>
        <v>25.139497029380646</v>
      </c>
      <c r="AU11" s="7">
        <f t="shared" si="14"/>
        <v>25.39328063241107</v>
      </c>
      <c r="AV11" s="7" t="str">
        <f t="shared" si="14"/>
        <v/>
      </c>
      <c r="AW11" s="7">
        <f t="shared" si="14"/>
        <v>30.452568482641517</v>
      </c>
      <c r="AX11" s="7">
        <f t="shared" si="14"/>
        <v>31.617426333775537</v>
      </c>
      <c r="AY11" s="7">
        <f t="shared" si="14"/>
        <v>31.313092564398858</v>
      </c>
      <c r="AZ11" s="7">
        <f t="shared" si="14"/>
        <v>29.358572633781062</v>
      </c>
      <c r="BA11" s="7">
        <f t="shared" si="14"/>
        <v>35.153587087754971</v>
      </c>
      <c r="BB11" s="7">
        <f t="shared" si="14"/>
        <v>33.554162197838465</v>
      </c>
      <c r="BC11" s="7" t="str">
        <f t="shared" si="14"/>
        <v/>
      </c>
      <c r="BD11" s="7">
        <f t="shared" si="14"/>
        <v>34.831150004198982</v>
      </c>
      <c r="BE11" s="7">
        <f t="shared" si="14"/>
        <v>39.296082893180824</v>
      </c>
      <c r="BF11" s="7">
        <f t="shared" si="14"/>
        <v>39.562065819063221</v>
      </c>
      <c r="BG11" s="7">
        <f t="shared" si="14"/>
        <v>38.959845385150238</v>
      </c>
      <c r="BH11" s="7">
        <f t="shared" si="14"/>
        <v>35.79194742701236</v>
      </c>
      <c r="BI11" s="7">
        <f t="shared" si="14"/>
        <v>33.787013595347929</v>
      </c>
      <c r="BJ11" s="7" t="str">
        <f t="shared" si="14"/>
        <v/>
      </c>
      <c r="BK11" s="7">
        <f t="shared" si="14"/>
        <v>29.861381514616387</v>
      </c>
      <c r="BL11" s="7">
        <f t="shared" si="14"/>
        <v>35.698509454949942</v>
      </c>
      <c r="BM11" s="7">
        <f t="shared" si="14"/>
        <v>38.567246237372004</v>
      </c>
      <c r="BN11" s="7">
        <f t="shared" si="14"/>
        <v>36.668272060790926</v>
      </c>
      <c r="BO11" s="7">
        <f t="shared" si="14"/>
        <v>35.001244686060083</v>
      </c>
      <c r="BP11" s="7">
        <f t="shared" ref="BP11:EB11" si="15">+IFERROR(BP10/BP9,"")</f>
        <v>37.784581394638622</v>
      </c>
      <c r="BQ11" s="7" t="str">
        <f t="shared" si="15"/>
        <v/>
      </c>
      <c r="BR11" s="7">
        <f t="shared" si="15"/>
        <v>34.346779172470654</v>
      </c>
      <c r="BS11" s="7">
        <f t="shared" si="15"/>
        <v>37.105782768899083</v>
      </c>
      <c r="BT11" s="7">
        <f t="shared" si="15"/>
        <v>37.953482004443991</v>
      </c>
      <c r="BU11" s="7">
        <f t="shared" si="15"/>
        <v>40.903536750584259</v>
      </c>
      <c r="BV11" s="7">
        <f t="shared" si="15"/>
        <v>40.285204081632656</v>
      </c>
      <c r="BW11" s="7">
        <f t="shared" si="15"/>
        <v>41.096173296097817</v>
      </c>
      <c r="BX11" s="7">
        <f t="shared" si="15"/>
        <v>37.905299688253635</v>
      </c>
      <c r="BY11" s="7">
        <f t="shared" si="15"/>
        <v>37.227122277212118</v>
      </c>
      <c r="BZ11" s="7">
        <f t="shared" si="15"/>
        <v>42.857209446861411</v>
      </c>
      <c r="CA11" s="7">
        <f t="shared" si="15"/>
        <v>31.274757496033576</v>
      </c>
      <c r="CB11" s="7">
        <f t="shared" si="15"/>
        <v>17.711026615969583</v>
      </c>
      <c r="CC11" s="7" t="str">
        <f t="shared" si="15"/>
        <v/>
      </c>
      <c r="CD11" s="7" t="str">
        <f t="shared" si="15"/>
        <v/>
      </c>
      <c r="CE11" s="7" t="str">
        <f t="shared" si="15"/>
        <v/>
      </c>
      <c r="CF11" s="7">
        <f t="shared" si="15"/>
        <v>31.285817992293801</v>
      </c>
      <c r="CG11" s="7">
        <f t="shared" si="15"/>
        <v>42.534551622257474</v>
      </c>
      <c r="CH11" s="7">
        <f t="shared" si="15"/>
        <v>44.107867043024342</v>
      </c>
      <c r="CI11" s="7">
        <f t="shared" si="15"/>
        <v>37.666486434350176</v>
      </c>
      <c r="CJ11" s="7">
        <f t="shared" si="15"/>
        <v>34.880600738389411</v>
      </c>
      <c r="CK11" s="7">
        <f t="shared" si="15"/>
        <v>34.671915265962028</v>
      </c>
      <c r="CL11" s="7" t="str">
        <f t="shared" si="15"/>
        <v/>
      </c>
      <c r="CM11" s="7">
        <f t="shared" si="15"/>
        <v>33.520219579139983</v>
      </c>
      <c r="CN11" s="7">
        <f t="shared" si="15"/>
        <v>37.517998880898595</v>
      </c>
      <c r="CO11" s="7">
        <f t="shared" si="15"/>
        <v>37.13617381361464</v>
      </c>
      <c r="CP11" s="7">
        <f t="shared" si="15"/>
        <v>39.648258365684299</v>
      </c>
      <c r="CQ11" s="7">
        <f t="shared" si="15"/>
        <v>37.73162231310058</v>
      </c>
      <c r="CR11" s="7">
        <f t="shared" si="15"/>
        <v>36.514178602326247</v>
      </c>
      <c r="CS11" s="7" t="str">
        <f t="shared" si="15"/>
        <v/>
      </c>
      <c r="CT11" s="7">
        <f t="shared" si="15"/>
        <v>32.283876842524613</v>
      </c>
      <c r="CU11" s="7">
        <f t="shared" si="15"/>
        <v>33.157552285050343</v>
      </c>
      <c r="CV11" s="7">
        <f t="shared" si="15"/>
        <v>38.869638163413683</v>
      </c>
      <c r="CW11" s="7">
        <f t="shared" si="15"/>
        <v>39.382130421307863</v>
      </c>
      <c r="CX11" s="7">
        <f t="shared" si="15"/>
        <v>37.830432416556221</v>
      </c>
      <c r="CY11" s="7">
        <f t="shared" si="15"/>
        <v>38.321159385771821</v>
      </c>
      <c r="CZ11" s="7" t="str">
        <f t="shared" si="15"/>
        <v/>
      </c>
      <c r="DA11" s="7">
        <f t="shared" si="15"/>
        <v>33.39804460613076</v>
      </c>
      <c r="DB11" s="7">
        <f t="shared" si="15"/>
        <v>34.847005051719989</v>
      </c>
      <c r="DC11" s="7">
        <f t="shared" si="15"/>
        <v>39.778377360858379</v>
      </c>
      <c r="DD11" s="7">
        <f t="shared" si="15"/>
        <v>40.095578551269988</v>
      </c>
      <c r="DE11" s="7">
        <f t="shared" si="15"/>
        <v>39.737939854818386</v>
      </c>
      <c r="DF11" s="7">
        <f t="shared" si="15"/>
        <v>41.59456920305918</v>
      </c>
      <c r="DG11" s="7">
        <f t="shared" si="15"/>
        <v>37.461511644905123</v>
      </c>
      <c r="DH11" s="7">
        <f t="shared" si="15"/>
        <v>37.333731159291702</v>
      </c>
      <c r="DI11" s="7">
        <f t="shared" si="15"/>
        <v>39.613282463137253</v>
      </c>
      <c r="DJ11" s="7">
        <f t="shared" si="15"/>
        <v>39.257651213407627</v>
      </c>
      <c r="DK11" s="7">
        <f t="shared" si="15"/>
        <v>42.160118181999906</v>
      </c>
      <c r="DL11" s="7">
        <f t="shared" si="15"/>
        <v>36.056890064226401</v>
      </c>
      <c r="DM11" s="7">
        <f t="shared" si="15"/>
        <v>30.206416644798022</v>
      </c>
      <c r="DN11" s="7" t="str">
        <f t="shared" si="15"/>
        <v/>
      </c>
      <c r="DO11" s="7">
        <f t="shared" si="15"/>
        <v>36.158016835686354</v>
      </c>
      <c r="DP11" s="7">
        <f t="shared" si="15"/>
        <v>38.338918858839065</v>
      </c>
      <c r="DQ11" s="7">
        <f t="shared" si="15"/>
        <v>41.198827579054871</v>
      </c>
      <c r="DR11" s="7">
        <f t="shared" si="15"/>
        <v>41.929541614083121</v>
      </c>
      <c r="DS11" s="7" t="str">
        <f t="shared" si="15"/>
        <v/>
      </c>
      <c r="DT11" s="7">
        <f t="shared" si="15"/>
        <v>41.125029851718374</v>
      </c>
      <c r="DU11" s="7">
        <f t="shared" si="15"/>
        <v>45.912020412020418</v>
      </c>
      <c r="DV11" s="7">
        <f t="shared" si="15"/>
        <v>39.045272720497188</v>
      </c>
      <c r="DW11" s="7">
        <f t="shared" si="15"/>
        <v>37.775207930401983</v>
      </c>
      <c r="DX11" s="7">
        <f t="shared" si="15"/>
        <v>41.839659375758323</v>
      </c>
      <c r="DY11" s="7">
        <f t="shared" si="15"/>
        <v>45.08416243401583</v>
      </c>
      <c r="DZ11" s="7">
        <f t="shared" si="15"/>
        <v>36.180279192178233</v>
      </c>
      <c r="EA11" s="7">
        <f t="shared" si="15"/>
        <v>47.623625149758972</v>
      </c>
      <c r="EB11" s="7" t="str">
        <f t="shared" si="15"/>
        <v/>
      </c>
      <c r="EC11" s="7">
        <f t="shared" ref="EC11:GN11" si="16">+IFERROR(EC10/EC9,"")</f>
        <v>36.301830931270452</v>
      </c>
      <c r="ED11" s="7">
        <f t="shared" si="16"/>
        <v>39.688445191156511</v>
      </c>
      <c r="EE11" s="7">
        <f t="shared" si="16"/>
        <v>40.49583734442686</v>
      </c>
      <c r="EF11" s="7">
        <f t="shared" si="16"/>
        <v>40.273936777230141</v>
      </c>
      <c r="EG11" s="7">
        <f t="shared" si="16"/>
        <v>35.830344084567969</v>
      </c>
      <c r="EH11" s="7">
        <f t="shared" si="16"/>
        <v>40.842732251610698</v>
      </c>
      <c r="EI11" s="7">
        <f t="shared" si="16"/>
        <v>43.444207171314737</v>
      </c>
      <c r="EJ11" s="7">
        <f t="shared" si="16"/>
        <v>39.86709743154789</v>
      </c>
      <c r="EK11" s="7">
        <f t="shared" si="16"/>
        <v>41.465950619342749</v>
      </c>
      <c r="EL11" s="7">
        <f t="shared" si="16"/>
        <v>37.904662100580346</v>
      </c>
      <c r="EM11" s="7">
        <f t="shared" si="16"/>
        <v>42.956320281946788</v>
      </c>
      <c r="EN11" s="7">
        <f t="shared" si="16"/>
        <v>44.641413722346769</v>
      </c>
      <c r="EO11" s="7">
        <f t="shared" si="16"/>
        <v>47.688990919914488</v>
      </c>
      <c r="EP11" s="7" t="str">
        <f t="shared" si="16"/>
        <v/>
      </c>
      <c r="EQ11" s="7">
        <f t="shared" si="16"/>
        <v>37.57531380753138</v>
      </c>
      <c r="ER11" s="7">
        <f t="shared" si="16"/>
        <v>36.57267600509369</v>
      </c>
      <c r="ES11" s="7"/>
      <c r="ET11" s="7"/>
      <c r="EU11" s="7"/>
      <c r="EV11" s="7">
        <f t="shared" si="16"/>
        <v>36.173006344453327</v>
      </c>
      <c r="EW11" s="7" t="str">
        <f t="shared" si="16"/>
        <v/>
      </c>
      <c r="EX11" s="7">
        <f t="shared" si="16"/>
        <v>38.811733677733692</v>
      </c>
      <c r="EY11" s="7">
        <f t="shared" si="16"/>
        <v>40.423404845770037</v>
      </c>
      <c r="EZ11" s="7">
        <f t="shared" si="16"/>
        <v>40.42130235137256</v>
      </c>
      <c r="FA11" s="7">
        <f t="shared" si="16"/>
        <v>40.091430241696443</v>
      </c>
      <c r="FB11" s="7">
        <f t="shared" si="16"/>
        <v>38.258797602966695</v>
      </c>
      <c r="FC11" s="7">
        <f t="shared" si="16"/>
        <v>41.836310894788213</v>
      </c>
      <c r="FD11" s="7" t="str">
        <f t="shared" si="16"/>
        <v/>
      </c>
      <c r="FE11" s="7">
        <f t="shared" si="16"/>
        <v>39.089496743092383</v>
      </c>
      <c r="FF11" s="7">
        <f t="shared" si="16"/>
        <v>36.244993299607479</v>
      </c>
      <c r="FG11" s="7">
        <f t="shared" si="16"/>
        <v>40.837426667036425</v>
      </c>
      <c r="FH11" s="7">
        <f t="shared" si="16"/>
        <v>41.244587437948695</v>
      </c>
      <c r="FI11" s="7">
        <f t="shared" si="16"/>
        <v>34.848943591959397</v>
      </c>
      <c r="FJ11" s="7">
        <f t="shared" si="16"/>
        <v>42.29254280190851</v>
      </c>
      <c r="FK11" s="7">
        <f t="shared" si="16"/>
        <v>46.196688566290341</v>
      </c>
      <c r="FL11" s="7">
        <f t="shared" si="16"/>
        <v>36.12622487318302</v>
      </c>
      <c r="FM11" s="7">
        <f t="shared" si="16"/>
        <v>36.695838747259138</v>
      </c>
      <c r="FN11" s="7">
        <f t="shared" si="16"/>
        <v>40.104403908533001</v>
      </c>
      <c r="FO11" s="7">
        <f t="shared" si="16"/>
        <v>42.850863515142187</v>
      </c>
      <c r="FP11" s="7">
        <f t="shared" si="16"/>
        <v>41.374298068213676</v>
      </c>
      <c r="FQ11" s="7">
        <f t="shared" si="16"/>
        <v>44.616443627473451</v>
      </c>
      <c r="FR11" s="7" t="str">
        <f t="shared" si="16"/>
        <v/>
      </c>
      <c r="FS11" s="7">
        <f t="shared" si="16"/>
        <v>35.207956505094273</v>
      </c>
      <c r="FT11" s="7">
        <f t="shared" si="16"/>
        <v>39.931063525826161</v>
      </c>
      <c r="FU11" s="7">
        <f t="shared" si="16"/>
        <v>37.225127417358181</v>
      </c>
      <c r="FV11" s="7">
        <f t="shared" si="16"/>
        <v>38.887668606634847</v>
      </c>
      <c r="FW11" s="7">
        <f t="shared" si="16"/>
        <v>36.224191727569789</v>
      </c>
      <c r="FX11" s="7">
        <f t="shared" si="16"/>
        <v>40.973663199721933</v>
      </c>
      <c r="FY11" s="7">
        <f t="shared" si="16"/>
        <v>47.305447899043379</v>
      </c>
      <c r="FZ11" s="7">
        <f t="shared" si="16"/>
        <v>39.590962312808124</v>
      </c>
      <c r="GA11" s="7">
        <f t="shared" si="16"/>
        <v>40.070258507062519</v>
      </c>
      <c r="GB11" s="7">
        <f t="shared" si="16"/>
        <v>39.247674315231976</v>
      </c>
      <c r="GC11" s="7">
        <f t="shared" si="16"/>
        <v>34.947946461878793</v>
      </c>
      <c r="GD11" s="7">
        <f t="shared" si="16"/>
        <v>29.947792255684423</v>
      </c>
      <c r="GE11" s="7">
        <f t="shared" si="16"/>
        <v>33.660617871587974</v>
      </c>
      <c r="GF11" s="7" t="str">
        <f t="shared" si="16"/>
        <v/>
      </c>
      <c r="GG11" s="7">
        <f t="shared" si="16"/>
        <v>32.200297851919146</v>
      </c>
      <c r="GH11" s="7">
        <f t="shared" si="16"/>
        <v>36.451912851427771</v>
      </c>
      <c r="GI11" s="7">
        <f t="shared" si="16"/>
        <v>24.83858886462064</v>
      </c>
      <c r="GJ11" s="7">
        <f t="shared" si="16"/>
        <v>28.867337002685389</v>
      </c>
      <c r="GK11" s="7">
        <f t="shared" si="16"/>
        <v>35.151015739453804</v>
      </c>
      <c r="GL11" s="7">
        <f t="shared" si="16"/>
        <v>36.230261854927086</v>
      </c>
      <c r="GM11" s="7">
        <f t="shared" si="16"/>
        <v>36.569797659307852</v>
      </c>
      <c r="GN11" s="7">
        <f t="shared" si="16"/>
        <v>34.186836911434945</v>
      </c>
      <c r="GO11" s="7">
        <f t="shared" ref="GO11:IC11" si="17">+IFERROR(GO10/GO9,"")</f>
        <v>33.945103138597737</v>
      </c>
      <c r="GP11" s="7">
        <f t="shared" si="17"/>
        <v>38.527787249917601</v>
      </c>
      <c r="GQ11" s="7">
        <f t="shared" si="17"/>
        <v>36.572433669577009</v>
      </c>
      <c r="GR11" s="7">
        <f t="shared" si="17"/>
        <v>32.824102895440994</v>
      </c>
      <c r="GS11" s="7">
        <f t="shared" si="17"/>
        <v>37.051505584091231</v>
      </c>
      <c r="GT11" s="7" t="str">
        <f t="shared" si="17"/>
        <v/>
      </c>
      <c r="GU11" s="7">
        <f t="shared" si="17"/>
        <v>30.931718792977605</v>
      </c>
      <c r="GV11" s="7">
        <f t="shared" si="17"/>
        <v>32.79236101171611</v>
      </c>
      <c r="GW11" s="7">
        <f t="shared" si="17"/>
        <v>36.950368560363849</v>
      </c>
      <c r="GX11" s="7">
        <f t="shared" si="17"/>
        <v>35.35548467903596</v>
      </c>
      <c r="GY11" s="7">
        <f t="shared" si="17"/>
        <v>33.608104867716413</v>
      </c>
      <c r="GZ11" s="7">
        <f t="shared" si="17"/>
        <v>37.320121230359177</v>
      </c>
      <c r="HA11" s="7">
        <f t="shared" si="17"/>
        <v>36.587287744318473</v>
      </c>
      <c r="HB11" s="7">
        <f t="shared" si="17"/>
        <v>34.151684923488588</v>
      </c>
      <c r="HC11" s="7">
        <f t="shared" si="17"/>
        <v>30.945060183529971</v>
      </c>
      <c r="HD11" s="7">
        <f t="shared" si="17"/>
        <v>35.368357390533028</v>
      </c>
      <c r="HE11" s="7">
        <f t="shared" si="17"/>
        <v>31.576167595617907</v>
      </c>
      <c r="HF11" s="7">
        <f t="shared" si="17"/>
        <v>31.58969118982743</v>
      </c>
      <c r="HG11" s="7">
        <f t="shared" si="17"/>
        <v>30.860302768844619</v>
      </c>
      <c r="HH11" s="7" t="str">
        <f t="shared" si="17"/>
        <v/>
      </c>
      <c r="HI11" s="7">
        <f t="shared" si="17"/>
        <v>32.260538852636216</v>
      </c>
      <c r="HJ11" s="7">
        <f t="shared" si="17"/>
        <v>29.808606499929915</v>
      </c>
      <c r="HK11" s="7">
        <f t="shared" si="17"/>
        <v>35.91503220428158</v>
      </c>
      <c r="HL11" s="7">
        <f t="shared" si="17"/>
        <v>36.02606384530965</v>
      </c>
      <c r="HM11" s="7">
        <f t="shared" si="17"/>
        <v>32.261064854506436</v>
      </c>
      <c r="HN11" s="7">
        <f t="shared" si="17"/>
        <v>37.026231130908194</v>
      </c>
      <c r="HO11" s="7">
        <f t="shared" si="17"/>
        <v>38.735223450264293</v>
      </c>
      <c r="HP11" s="7">
        <f t="shared" si="17"/>
        <v>32.458579222648602</v>
      </c>
      <c r="HQ11" s="7">
        <f t="shared" si="17"/>
        <v>30.636437999676026</v>
      </c>
      <c r="HR11" s="7">
        <f t="shared" si="17"/>
        <v>30.209448409844565</v>
      </c>
      <c r="HS11" s="7">
        <f t="shared" si="17"/>
        <v>34.738568653870935</v>
      </c>
      <c r="HT11" s="7">
        <f t="shared" si="17"/>
        <v>29.163160348371697</v>
      </c>
      <c r="HU11" s="7">
        <f t="shared" si="17"/>
        <v>31.560707346790924</v>
      </c>
      <c r="HV11" s="7" t="str">
        <f t="shared" si="17"/>
        <v/>
      </c>
      <c r="HW11" s="7">
        <f t="shared" si="17"/>
        <v>32.530786730115217</v>
      </c>
      <c r="HX11" s="7">
        <f t="shared" si="17"/>
        <v>34.003007465162511</v>
      </c>
      <c r="HY11" s="7">
        <f t="shared" si="17"/>
        <v>31.406623411450116</v>
      </c>
      <c r="HZ11" s="7">
        <f t="shared" si="17"/>
        <v>27.434665607221742</v>
      </c>
      <c r="IA11" s="7">
        <f t="shared" si="17"/>
        <v>34.706560270868103</v>
      </c>
      <c r="IB11" s="7">
        <f t="shared" si="17"/>
        <v>37.458154247333354</v>
      </c>
      <c r="IC11" s="7">
        <f t="shared" si="17"/>
        <v>38.185925777315283</v>
      </c>
      <c r="JI11" s="71"/>
      <c r="JJ11" s="231"/>
      <c r="LY11" s="83"/>
      <c r="LZ11" s="34"/>
      <c r="MA11" s="34"/>
      <c r="MB11" s="34"/>
      <c r="MC11" s="34"/>
      <c r="MD11" s="34"/>
      <c r="ME11" s="34"/>
      <c r="MF11" s="34"/>
      <c r="MG11" s="34"/>
      <c r="MH11" s="34"/>
      <c r="MI11" s="34"/>
      <c r="MJ11" s="34"/>
      <c r="MK11" s="34"/>
      <c r="ML11" s="34"/>
      <c r="MM11" s="34"/>
      <c r="MN11" s="34"/>
      <c r="MO11" s="34"/>
      <c r="MP11" s="34"/>
      <c r="MQ11" s="34"/>
      <c r="MR11" s="34"/>
      <c r="MS11" s="34"/>
      <c r="MT11" s="20"/>
      <c r="MU11" s="34"/>
      <c r="MV11" s="34"/>
      <c r="MW11" s="20"/>
      <c r="MX11" s="7"/>
      <c r="MY11" s="20"/>
    </row>
    <row r="12" spans="1:367">
      <c r="G12" s="20"/>
      <c r="N12" s="20"/>
      <c r="U12" s="20"/>
      <c r="Y12" s="7"/>
      <c r="AB12" s="186"/>
      <c r="AI12" s="20"/>
      <c r="AP12" s="20"/>
      <c r="BD12" s="20"/>
      <c r="BK12" s="20"/>
      <c r="BY12" s="20"/>
      <c r="CF12" s="20"/>
      <c r="CM12" s="20"/>
      <c r="CT12" s="20"/>
      <c r="DA12" s="20"/>
      <c r="DH12" s="20"/>
      <c r="DO12" s="20"/>
      <c r="EC12" s="20"/>
      <c r="EJ12" s="20"/>
      <c r="EQ12" s="20"/>
      <c r="EX12" s="20"/>
      <c r="FS12" s="20"/>
      <c r="FZ12" s="20"/>
      <c r="GG12" s="20"/>
      <c r="GN12" s="20"/>
      <c r="GU12" s="20"/>
      <c r="HB12" s="20"/>
      <c r="HI12" s="20"/>
      <c r="HP12" s="20"/>
      <c r="HW12" s="20"/>
      <c r="KD12" s="20"/>
      <c r="MG12" s="34"/>
      <c r="MM12" s="34"/>
      <c r="MT12" s="20"/>
      <c r="MU12" s="34"/>
      <c r="MV12" s="34"/>
      <c r="MW12" s="20"/>
      <c r="MX12" s="7"/>
      <c r="MY12" s="20"/>
    </row>
    <row r="13" spans="1:367">
      <c r="G13" s="20"/>
      <c r="N13" s="20"/>
      <c r="U13" s="20"/>
      <c r="Y13" s="21"/>
      <c r="AB13" s="186"/>
      <c r="AG13" s="7"/>
      <c r="AI13" s="20"/>
      <c r="AP13" s="20"/>
      <c r="AX13" s="20"/>
      <c r="BD13" s="20"/>
      <c r="BK13" s="20"/>
      <c r="BY13" s="20"/>
      <c r="CF13" s="20"/>
      <c r="CM13" s="20"/>
      <c r="CT13" s="20"/>
      <c r="DA13" s="20"/>
      <c r="DH13" s="20"/>
      <c r="DO13" s="20"/>
      <c r="EC13" s="20"/>
      <c r="EJ13" s="20"/>
      <c r="EQ13" s="20"/>
      <c r="EX13" s="20"/>
      <c r="FS13" s="20"/>
      <c r="FZ13" s="20"/>
      <c r="GG13" s="20"/>
      <c r="GN13" s="20"/>
      <c r="GU13" s="20"/>
      <c r="HB13" s="20"/>
      <c r="HI13" s="20"/>
      <c r="HP13" s="20"/>
      <c r="HW13" s="20"/>
      <c r="MU13" s="20"/>
      <c r="MV13" s="20"/>
      <c r="MW13" s="20"/>
      <c r="MX13" s="7"/>
    </row>
    <row r="14" spans="1:367">
      <c r="G14" s="20"/>
      <c r="N14" s="20"/>
      <c r="U14" s="20"/>
      <c r="AB14" s="22"/>
      <c r="AG14" s="7"/>
      <c r="AI14" s="20"/>
      <c r="AP14" s="80"/>
      <c r="AX14" s="20"/>
      <c r="BD14" s="20"/>
      <c r="BK14" s="20"/>
      <c r="BY14" s="20"/>
      <c r="CF14" s="20"/>
      <c r="CM14" s="20"/>
      <c r="CT14" s="20"/>
      <c r="DA14" s="20"/>
      <c r="DH14" s="20"/>
      <c r="DO14" s="20"/>
      <c r="EC14" s="20"/>
      <c r="EJ14" s="20"/>
      <c r="EQ14" s="20"/>
      <c r="EX14" s="20"/>
      <c r="FS14" s="20"/>
      <c r="FZ14" s="20"/>
      <c r="GG14" s="20"/>
      <c r="GN14" s="20"/>
      <c r="GU14" s="20"/>
      <c r="HB14" s="20"/>
      <c r="HI14" s="20"/>
      <c r="HP14" s="20"/>
      <c r="HW14" s="20"/>
      <c r="MU14" s="20"/>
      <c r="MV14" s="20"/>
      <c r="MW14" s="20"/>
      <c r="MX14" s="7"/>
    </row>
    <row r="15" spans="1:367">
      <c r="AG15" s="7"/>
      <c r="AX15" s="20"/>
      <c r="BY15" s="20"/>
      <c r="HP15" s="80"/>
      <c r="HW15" s="20">
        <v>23027.85409233762</v>
      </c>
      <c r="HX15" s="20">
        <f>+SUM(HY16:HY21)-1052</f>
        <v>21975.85409233762</v>
      </c>
      <c r="HY15" s="7">
        <v>4382.8928457594884</v>
      </c>
      <c r="HZ15" s="8">
        <f>1052+71</f>
        <v>1123</v>
      </c>
      <c r="MW15" s="20"/>
      <c r="MX15" s="47"/>
    </row>
    <row r="16" spans="1:367">
      <c r="P16" s="22"/>
      <c r="V16" s="7"/>
      <c r="AG16" s="7"/>
      <c r="HW16" s="20">
        <f>+SUM(HW10:IC10)</f>
        <v>1112420</v>
      </c>
      <c r="HX16" s="20">
        <f>+SUM(HW10:IC10)-44617</f>
        <v>1067803</v>
      </c>
      <c r="HY16" s="7">
        <v>4010.8376601890213</v>
      </c>
      <c r="HZ16" s="8">
        <v>44617</v>
      </c>
      <c r="MV16" s="20"/>
      <c r="MW16" s="20"/>
      <c r="MX16" s="47"/>
    </row>
    <row r="17" spans="16:362">
      <c r="P17" s="22"/>
      <c r="V17" s="7"/>
      <c r="Y17" s="21"/>
      <c r="HW17" s="80">
        <f>+HW16/HW15</f>
        <v>48.307584177813212</v>
      </c>
      <c r="HX17" s="80">
        <f>+HX16/HX15</f>
        <v>48.58982934239237</v>
      </c>
      <c r="HY17" s="7">
        <v>4077.3690380006396</v>
      </c>
      <c r="HZ17" s="8">
        <f>+HZ16/HZ15</f>
        <v>39.730186999109527</v>
      </c>
      <c r="MW17" s="20"/>
      <c r="MX17" s="47"/>
    </row>
    <row r="18" spans="16:362">
      <c r="P18" s="22"/>
      <c r="V18" s="7"/>
      <c r="Y18" s="21"/>
      <c r="HY18" s="7">
        <v>4098.4793963700604</v>
      </c>
      <c r="IA18" s="20"/>
      <c r="IB18" s="20"/>
      <c r="IC18" s="8" t="s">
        <v>2577</v>
      </c>
      <c r="ID18" s="8" t="s">
        <v>2578</v>
      </c>
      <c r="MW18" s="20"/>
      <c r="MX18" s="7"/>
    </row>
    <row r="19" spans="16:362">
      <c r="P19" s="22"/>
      <c r="V19" s="7"/>
      <c r="Y19" s="21"/>
      <c r="EK19" s="7"/>
      <c r="HW19" s="31">
        <f>+HW17/HX17-1</f>
        <v>-5.8087292834534399E-3</v>
      </c>
      <c r="HX19" s="31"/>
      <c r="HY19" s="7">
        <v>4066.7755516630018</v>
      </c>
      <c r="IA19" s="20"/>
      <c r="IB19" s="80" t="s">
        <v>9</v>
      </c>
      <c r="IC19" s="8">
        <v>48.58982934239237</v>
      </c>
      <c r="ID19" s="8">
        <v>42.411596958174904</v>
      </c>
      <c r="MW19" s="20"/>
      <c r="MX19" s="47"/>
    </row>
    <row r="20" spans="16:362">
      <c r="P20" s="22"/>
      <c r="V20" s="7"/>
      <c r="Y20" s="21"/>
      <c r="HY20" s="7">
        <v>3737.2858159549237</v>
      </c>
      <c r="IA20" s="80"/>
      <c r="MW20" s="20"/>
      <c r="MX20" s="47"/>
    </row>
    <row r="21" spans="16:362">
      <c r="P21" s="22"/>
      <c r="V21" s="7"/>
      <c r="Y21" s="21"/>
      <c r="HY21" s="7">
        <v>3037.1066301599722</v>
      </c>
      <c r="MW21" s="20"/>
      <c r="MX21" s="47"/>
    </row>
    <row r="22" spans="16:362">
      <c r="P22" s="22"/>
      <c r="V22" s="7"/>
      <c r="Y22" s="21"/>
      <c r="IC22" s="20"/>
      <c r="MW22" s="20"/>
      <c r="MX22" s="47"/>
    </row>
    <row r="23" spans="16:362">
      <c r="P23" s="22"/>
      <c r="V23" s="7"/>
      <c r="Y23" s="21"/>
      <c r="IB23" s="103">
        <v>791</v>
      </c>
      <c r="IC23" s="103">
        <v>13553</v>
      </c>
      <c r="ID23" s="103">
        <v>9386</v>
      </c>
      <c r="IE23" s="103">
        <v>8696</v>
      </c>
      <c r="IF23" s="103">
        <v>6991</v>
      </c>
      <c r="IG23" s="103">
        <v>3194</v>
      </c>
      <c r="IH23" s="103">
        <v>2006</v>
      </c>
      <c r="MW23" s="20"/>
      <c r="MX23" s="47"/>
    </row>
    <row r="24" spans="16:362">
      <c r="P24" s="22"/>
      <c r="V24" s="7"/>
      <c r="Y24" s="21"/>
      <c r="IB24" s="8">
        <f>+IB23/625</f>
        <v>1.2656000000000001</v>
      </c>
      <c r="IC24" s="8">
        <f t="shared" ref="IC24:IH24" si="18">+IC23/625</f>
        <v>21.684799999999999</v>
      </c>
      <c r="ID24" s="8">
        <f t="shared" si="18"/>
        <v>15.0176</v>
      </c>
      <c r="IE24" s="8">
        <f t="shared" si="18"/>
        <v>13.913600000000001</v>
      </c>
      <c r="IF24" s="8">
        <f t="shared" si="18"/>
        <v>11.185600000000001</v>
      </c>
      <c r="IG24" s="8">
        <f t="shared" si="18"/>
        <v>5.1104000000000003</v>
      </c>
      <c r="IH24" s="8">
        <f t="shared" si="18"/>
        <v>3.2096</v>
      </c>
      <c r="MW24" s="20"/>
      <c r="MX24" s="47"/>
    </row>
    <row r="25" spans="16:362">
      <c r="MW25" s="20"/>
      <c r="MX25" s="47"/>
    </row>
    <row r="26" spans="16:362">
      <c r="MW26" s="20"/>
      <c r="MX26" s="47"/>
    </row>
    <row r="27" spans="16:362">
      <c r="MW27" s="20"/>
      <c r="MX27" s="47"/>
    </row>
    <row r="28" spans="16:362">
      <c r="MW28" s="20"/>
      <c r="MX28" s="47"/>
    </row>
    <row r="29" spans="16:362">
      <c r="MW29" s="20"/>
      <c r="MX29" s="47"/>
    </row>
    <row r="30" spans="16:362">
      <c r="MW30" s="20"/>
      <c r="MX30" s="47"/>
    </row>
  </sheetData>
  <pageMargins left="0.7" right="0.7" top="0.75" bottom="0.75" header="0.3" footer="0.3"/>
  <pageSetup paperSize="256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87971-FFF1-47FE-BB09-DF5F1E2629F1}">
  <dimension ref="A1:CF689"/>
  <sheetViews>
    <sheetView zoomScale="60" zoomScaleNormal="60" workbookViewId="0">
      <pane ySplit="1" topLeftCell="A635" activePane="bottomLeft" state="frozen"/>
      <selection activeCell="EH29" sqref="EH29"/>
      <selection pane="bottomLeft" activeCell="AA659" sqref="AA659"/>
    </sheetView>
  </sheetViews>
  <sheetFormatPr defaultColWidth="8.88671875" defaultRowHeight="14.4"/>
  <cols>
    <col min="1" max="1" width="39.44140625" style="8" bestFit="1" customWidth="1"/>
    <col min="2" max="2" width="34.5546875" style="7" bestFit="1" customWidth="1"/>
    <col min="3" max="4" width="39.44140625" style="7" bestFit="1" customWidth="1"/>
    <col min="5" max="5" width="19" style="7" customWidth="1"/>
    <col min="6" max="7" width="12.88671875" style="7" bestFit="1" customWidth="1"/>
    <col min="8" max="8" width="39.44140625" style="7" bestFit="1" customWidth="1"/>
    <col min="9" max="10" width="14.33203125" style="7" bestFit="1" customWidth="1"/>
    <col min="11" max="11" width="17.109375" style="7" bestFit="1" customWidth="1"/>
    <col min="12" max="12" width="18.44140625" style="7" bestFit="1" customWidth="1"/>
    <col min="13" max="13" width="12.88671875" style="7" bestFit="1" customWidth="1"/>
    <col min="14" max="14" width="16.109375" style="7" bestFit="1" customWidth="1"/>
    <col min="15" max="15" width="22.33203125" style="7" bestFit="1" customWidth="1"/>
    <col min="16" max="16" width="27" style="7" bestFit="1" customWidth="1"/>
    <col min="17" max="17" width="22.33203125" style="7" bestFit="1" customWidth="1"/>
    <col min="18" max="18" width="22.33203125" style="7" customWidth="1"/>
    <col min="19" max="19" width="11.21875" style="7" customWidth="1"/>
    <col min="20" max="20" width="18.6640625" style="8" bestFit="1" customWidth="1"/>
    <col min="21" max="21" width="14.21875" style="8" bestFit="1" customWidth="1"/>
    <col min="22" max="22" width="33.21875" style="8" bestFit="1" customWidth="1"/>
    <col min="23" max="23" width="12.109375" style="8" bestFit="1" customWidth="1"/>
    <col min="24" max="24" width="19.77734375" style="8" bestFit="1" customWidth="1"/>
    <col min="25" max="25" width="19.77734375" style="8" customWidth="1"/>
    <col min="26" max="30" width="31.5546875" style="7" customWidth="1"/>
    <col min="31" max="31" width="25.88671875" style="8" bestFit="1" customWidth="1"/>
    <col min="32" max="32" width="21.77734375" style="8" bestFit="1" customWidth="1"/>
    <col min="33" max="34" width="13.21875" style="8" bestFit="1" customWidth="1"/>
    <col min="35" max="35" width="9.88671875" style="8" bestFit="1" customWidth="1"/>
    <col min="36" max="36" width="8.88671875" style="8"/>
    <col min="37" max="37" width="11.44140625" style="8" bestFit="1" customWidth="1"/>
    <col min="38" max="38" width="11.109375" style="8" bestFit="1" customWidth="1"/>
    <col min="39" max="39" width="16.5546875" style="8" bestFit="1" customWidth="1"/>
    <col min="40" max="40" width="19.21875" style="8" bestFit="1" customWidth="1"/>
    <col min="41" max="41" width="6.77734375" style="8" bestFit="1" customWidth="1"/>
    <col min="42" max="42" width="23" style="8" bestFit="1" customWidth="1"/>
    <col min="43" max="16384" width="8.88671875" style="8"/>
  </cols>
  <sheetData>
    <row r="1" spans="1:44">
      <c r="A1" s="8" t="s">
        <v>56</v>
      </c>
      <c r="B1" s="39" t="s">
        <v>58</v>
      </c>
      <c r="C1" s="39" t="s">
        <v>59</v>
      </c>
      <c r="D1" s="39" t="s">
        <v>60</v>
      </c>
      <c r="E1" s="39" t="s">
        <v>61</v>
      </c>
      <c r="F1" s="39" t="s">
        <v>62</v>
      </c>
      <c r="G1" s="39" t="s">
        <v>63</v>
      </c>
      <c r="H1" s="39" t="s">
        <v>64</v>
      </c>
      <c r="I1" s="39" t="s">
        <v>65</v>
      </c>
      <c r="J1" s="39" t="s">
        <v>66</v>
      </c>
      <c r="K1" s="39" t="s">
        <v>67</v>
      </c>
      <c r="L1" s="39" t="s">
        <v>68</v>
      </c>
      <c r="M1" s="39" t="s">
        <v>1832</v>
      </c>
      <c r="N1" s="108" t="s">
        <v>1857</v>
      </c>
      <c r="O1" s="39" t="s">
        <v>1834</v>
      </c>
      <c r="P1" s="39" t="s">
        <v>1835</v>
      </c>
      <c r="Q1" s="39" t="s">
        <v>456</v>
      </c>
      <c r="R1" s="39" t="s">
        <v>1858</v>
      </c>
      <c r="S1" s="39" t="s">
        <v>454</v>
      </c>
      <c r="T1" s="39" t="s">
        <v>458</v>
      </c>
      <c r="U1" s="39" t="s">
        <v>457</v>
      </c>
      <c r="V1" s="39" t="s">
        <v>455</v>
      </c>
      <c r="W1" s="39" t="s">
        <v>429</v>
      </c>
      <c r="X1" s="108" t="s">
        <v>1859</v>
      </c>
      <c r="Y1" s="108" t="s">
        <v>2379</v>
      </c>
      <c r="Z1" s="39" t="s">
        <v>1849</v>
      </c>
      <c r="AA1" s="39" t="s">
        <v>2378</v>
      </c>
      <c r="AB1" s="39" t="s">
        <v>1850</v>
      </c>
      <c r="AC1" s="104" t="s">
        <v>1851</v>
      </c>
      <c r="AD1" s="104" t="s">
        <v>1852</v>
      </c>
      <c r="AE1" s="104" t="s">
        <v>1853</v>
      </c>
      <c r="AF1" s="104" t="s">
        <v>1854</v>
      </c>
      <c r="AG1" s="104" t="s">
        <v>1855</v>
      </c>
      <c r="AH1" s="104" t="s">
        <v>1856</v>
      </c>
      <c r="AI1" s="104"/>
      <c r="AM1" s="8" t="s">
        <v>1860</v>
      </c>
      <c r="AN1" s="8" t="s">
        <v>1861</v>
      </c>
      <c r="AP1" s="8" t="s">
        <v>1862</v>
      </c>
      <c r="AQ1" s="63" t="s">
        <v>1863</v>
      </c>
    </row>
    <row r="2" spans="1:44">
      <c r="A2" s="28">
        <v>45658</v>
      </c>
      <c r="B2" s="103"/>
      <c r="C2" s="103">
        <v>0</v>
      </c>
      <c r="D2" s="103">
        <v>0</v>
      </c>
      <c r="E2" s="6">
        <v>0</v>
      </c>
      <c r="F2" s="103">
        <v>0</v>
      </c>
      <c r="G2" s="103"/>
      <c r="H2" s="103">
        <v>0</v>
      </c>
      <c r="I2" s="103">
        <v>0</v>
      </c>
      <c r="J2" s="103">
        <v>0</v>
      </c>
      <c r="K2" s="103">
        <v>0</v>
      </c>
      <c r="L2" s="103">
        <v>0</v>
      </c>
      <c r="M2" s="103">
        <v>0</v>
      </c>
      <c r="N2" s="107">
        <f>+AH2+AG2</f>
        <v>0</v>
      </c>
      <c r="O2" s="7">
        <f t="shared" ref="O2:O65" si="0">+B2+C2+D2+F2+I2+K2+J2</f>
        <v>0</v>
      </c>
      <c r="P2" s="7">
        <f t="shared" ref="P2:P65" si="1">+B2+C2+D2+F2+J2+Q2+R2</f>
        <v>0</v>
      </c>
      <c r="Q2" s="7">
        <f t="shared" ref="Q2:Q65" si="2">+I2-AH2</f>
        <v>0</v>
      </c>
      <c r="R2" s="7">
        <f t="shared" ref="R2:R65" si="3">+K2-AG2</f>
        <v>0</v>
      </c>
      <c r="S2" s="39"/>
      <c r="T2" s="39"/>
      <c r="U2" s="39"/>
      <c r="V2" s="39"/>
      <c r="W2" s="7">
        <f t="shared" ref="W2" si="4">+V2-U2-S2+AA2</f>
        <v>0</v>
      </c>
      <c r="X2" s="103">
        <f t="shared" ref="X2" si="5">+V2+AB2+AA2</f>
        <v>0</v>
      </c>
      <c r="Y2" s="103"/>
      <c r="Z2" s="7">
        <v>0</v>
      </c>
      <c r="AB2" s="106">
        <v>0</v>
      </c>
      <c r="AC2" s="103">
        <v>0</v>
      </c>
      <c r="AD2" s="103">
        <v>0</v>
      </c>
      <c r="AE2" s="64" t="e">
        <f>+(Z2/AC2*0.92)</f>
        <v>#DIV/0!</v>
      </c>
      <c r="AF2" s="64"/>
      <c r="AG2" s="20"/>
      <c r="AH2" s="20"/>
      <c r="AI2" s="22"/>
      <c r="AM2" s="8">
        <v>18.57</v>
      </c>
      <c r="AN2" s="8">
        <v>19.559999999999999</v>
      </c>
      <c r="AO2" s="64">
        <f>+AM2/AN2-1</f>
        <v>-5.0613496932515267E-2</v>
      </c>
      <c r="AP2" s="8">
        <v>13.76</v>
      </c>
      <c r="AQ2" s="63">
        <v>22.95</v>
      </c>
      <c r="AR2" s="64">
        <f>+AP2/AQ2-1</f>
        <v>-0.40043572984749454</v>
      </c>
    </row>
    <row r="3" spans="1:44">
      <c r="A3" s="28">
        <v>45659</v>
      </c>
      <c r="B3" s="2">
        <v>142.5</v>
      </c>
      <c r="C3" s="2">
        <v>564</v>
      </c>
      <c r="D3" s="2">
        <v>96.583333333333329</v>
      </c>
      <c r="E3" s="6">
        <v>452.91666666666674</v>
      </c>
      <c r="F3" s="2">
        <v>283.08333333333337</v>
      </c>
      <c r="G3" s="2">
        <v>136</v>
      </c>
      <c r="H3" s="2">
        <v>56.5</v>
      </c>
      <c r="I3" s="2">
        <v>1470.0833333333333</v>
      </c>
      <c r="J3" s="2">
        <v>157.5</v>
      </c>
      <c r="K3" s="2">
        <v>956.16666666666663</v>
      </c>
      <c r="L3" s="2">
        <v>199.5</v>
      </c>
      <c r="M3" s="3">
        <v>292</v>
      </c>
      <c r="N3" s="107">
        <f t="shared" ref="N3:N66" si="6">+AH3+AG3</f>
        <v>39.228299025825621</v>
      </c>
      <c r="O3" s="7">
        <f t="shared" si="0"/>
        <v>3669.9166666666665</v>
      </c>
      <c r="P3" s="7">
        <f t="shared" si="1"/>
        <v>3630.6883676408411</v>
      </c>
      <c r="Q3" s="7">
        <f t="shared" si="2"/>
        <v>1456.2188102331836</v>
      </c>
      <c r="R3" s="7">
        <f t="shared" si="3"/>
        <v>930.80289074099062</v>
      </c>
      <c r="S3" s="39"/>
      <c r="T3" s="7">
        <v>11493</v>
      </c>
      <c r="U3" s="7"/>
      <c r="V3" s="7">
        <v>110643</v>
      </c>
      <c r="W3" s="7">
        <f t="shared" ref="W3:W66" si="7">+V3-U3-S3+AA3</f>
        <v>110643</v>
      </c>
      <c r="X3" s="103">
        <f t="shared" ref="X3:X66" si="8">+V3+AB3+AA3</f>
        <v>112272</v>
      </c>
      <c r="Y3" s="103"/>
      <c r="Z3" s="7">
        <v>3418</v>
      </c>
      <c r="AB3" s="2">
        <v>1629</v>
      </c>
      <c r="AC3" s="103">
        <v>118544</v>
      </c>
      <c r="AD3" s="103">
        <v>112272</v>
      </c>
      <c r="AE3" s="64">
        <f t="shared" ref="AE3:AE66" si="9">+(Z3/AC3*0.92)</f>
        <v>2.6526521797813472E-2</v>
      </c>
      <c r="AF3" s="64">
        <f t="shared" ref="AF3:AF66" si="10">+(AB3/AD3*0.65)</f>
        <v>9.4311137238135955E-3</v>
      </c>
      <c r="AG3" s="20">
        <f t="shared" ref="AG3:AG34" si="11">+AE3*K3</f>
        <v>25.363775925675981</v>
      </c>
      <c r="AH3" s="20">
        <f t="shared" ref="AH3:AH34" si="12">+AF3*I3</f>
        <v>13.864523100149636</v>
      </c>
      <c r="AI3" s="20"/>
      <c r="AJ3" s="20"/>
      <c r="AK3" s="20"/>
    </row>
    <row r="4" spans="1:44">
      <c r="A4" s="28">
        <v>45660</v>
      </c>
      <c r="B4" s="2">
        <v>147.08333333333334</v>
      </c>
      <c r="C4" s="2">
        <v>547.5</v>
      </c>
      <c r="D4" s="2">
        <v>97.5</v>
      </c>
      <c r="E4" s="6">
        <v>430.5</v>
      </c>
      <c r="F4" s="2">
        <v>302.83333333333337</v>
      </c>
      <c r="G4" s="2">
        <v>144</v>
      </c>
      <c r="H4" s="2">
        <v>54.166666666666671</v>
      </c>
      <c r="I4" s="2">
        <v>1438.6666666666667</v>
      </c>
      <c r="J4" s="2">
        <v>165</v>
      </c>
      <c r="K4" s="2">
        <v>921.5</v>
      </c>
      <c r="L4" s="2">
        <v>193.5</v>
      </c>
      <c r="M4" s="3">
        <v>291.83333333333331</v>
      </c>
      <c r="N4" s="107">
        <f t="shared" si="6"/>
        <v>276.60701377497054</v>
      </c>
      <c r="O4" s="7">
        <f t="shared" si="0"/>
        <v>3620.0833333333335</v>
      </c>
      <c r="P4" s="7">
        <f t="shared" si="1"/>
        <v>3343.4763195583628</v>
      </c>
      <c r="Q4" s="7">
        <f t="shared" si="2"/>
        <v>1315.0372625640923</v>
      </c>
      <c r="R4" s="7">
        <f t="shared" si="3"/>
        <v>768.52239032760383</v>
      </c>
      <c r="S4" s="39"/>
      <c r="T4" s="7">
        <v>12343</v>
      </c>
      <c r="U4" s="7"/>
      <c r="V4" s="7">
        <v>87275</v>
      </c>
      <c r="W4" s="7">
        <f t="shared" si="7"/>
        <v>87275</v>
      </c>
      <c r="X4" s="103">
        <f t="shared" si="8"/>
        <v>100571</v>
      </c>
      <c r="Y4" s="103"/>
      <c r="Z4" s="7">
        <v>18193</v>
      </c>
      <c r="AB4" s="2">
        <v>13296</v>
      </c>
      <c r="AC4" s="103">
        <v>100823</v>
      </c>
      <c r="AD4" s="103">
        <v>100571</v>
      </c>
      <c r="AE4" s="64">
        <f t="shared" si="9"/>
        <v>0.16600934310623569</v>
      </c>
      <c r="AF4" s="64">
        <f t="shared" si="10"/>
        <v>8.5933320738582702E-2</v>
      </c>
      <c r="AG4" s="20">
        <f t="shared" si="11"/>
        <v>152.9776096723962</v>
      </c>
      <c r="AH4" s="20">
        <f t="shared" si="12"/>
        <v>123.62940410257433</v>
      </c>
      <c r="AI4" s="22"/>
      <c r="AK4" s="31"/>
    </row>
    <row r="5" spans="1:44">
      <c r="A5" s="28">
        <v>45661</v>
      </c>
      <c r="B5" s="2">
        <v>135</v>
      </c>
      <c r="C5" s="2">
        <v>412.58333333333337</v>
      </c>
      <c r="D5" s="2">
        <v>52.5</v>
      </c>
      <c r="E5" s="6">
        <v>334.5</v>
      </c>
      <c r="F5" s="2">
        <v>201.41666666666669</v>
      </c>
      <c r="G5" s="2">
        <v>0</v>
      </c>
      <c r="H5" s="2">
        <v>7.5</v>
      </c>
      <c r="I5" s="2">
        <v>832.08333333333337</v>
      </c>
      <c r="J5" s="2">
        <v>81.583333333333329</v>
      </c>
      <c r="K5" s="2">
        <v>486.41666666666674</v>
      </c>
      <c r="L5" s="2">
        <v>150</v>
      </c>
      <c r="M5" s="3">
        <v>166.5</v>
      </c>
      <c r="N5" s="107">
        <f t="shared" si="6"/>
        <v>46.366690771229045</v>
      </c>
      <c r="O5" s="7">
        <f t="shared" si="0"/>
        <v>2201.5833333333335</v>
      </c>
      <c r="P5" s="7">
        <f t="shared" si="1"/>
        <v>2155.2166425621044</v>
      </c>
      <c r="Q5" s="7">
        <f t="shared" si="2"/>
        <v>823.07232245176283</v>
      </c>
      <c r="R5" s="7">
        <f t="shared" si="3"/>
        <v>449.06098677700822</v>
      </c>
      <c r="S5" s="39"/>
      <c r="T5" s="7">
        <v>6772</v>
      </c>
      <c r="U5" s="7"/>
      <c r="V5" s="7">
        <v>63212</v>
      </c>
      <c r="W5" s="7">
        <f t="shared" si="7"/>
        <v>63212</v>
      </c>
      <c r="X5" s="103">
        <f t="shared" si="8"/>
        <v>64283</v>
      </c>
      <c r="Y5" s="103"/>
      <c r="Z5" s="7">
        <v>4640</v>
      </c>
      <c r="AB5" s="2">
        <v>1071</v>
      </c>
      <c r="AC5" s="103">
        <v>55585</v>
      </c>
      <c r="AD5" s="103">
        <v>64283</v>
      </c>
      <c r="AE5" s="64">
        <f t="shared" si="9"/>
        <v>7.6797697220473152E-2</v>
      </c>
      <c r="AF5" s="64">
        <f t="shared" si="10"/>
        <v>1.0829457243750291E-2</v>
      </c>
      <c r="AG5" s="20">
        <f t="shared" si="11"/>
        <v>37.355679889658489</v>
      </c>
      <c r="AH5" s="20">
        <f t="shared" si="12"/>
        <v>9.0110108815705559</v>
      </c>
      <c r="AI5" s="22"/>
      <c r="AK5" s="103"/>
      <c r="AL5" s="20"/>
    </row>
    <row r="6" spans="1:44">
      <c r="A6" s="28">
        <v>45662</v>
      </c>
      <c r="B6" s="2"/>
      <c r="C6" s="2">
        <v>244.41666666666669</v>
      </c>
      <c r="D6" s="2">
        <v>36.75</v>
      </c>
      <c r="E6" s="6">
        <v>0</v>
      </c>
      <c r="F6" s="2">
        <v>150.41666666666669</v>
      </c>
      <c r="G6" s="2">
        <v>0</v>
      </c>
      <c r="H6" s="2">
        <v>15</v>
      </c>
      <c r="I6" s="2">
        <v>743.75</v>
      </c>
      <c r="J6" s="2">
        <v>81.833333333333329</v>
      </c>
      <c r="K6" s="2">
        <v>537.25</v>
      </c>
      <c r="L6" s="2">
        <v>0</v>
      </c>
      <c r="M6" s="3">
        <v>111.5</v>
      </c>
      <c r="N6" s="107">
        <f t="shared" si="6"/>
        <v>14.321740294199795</v>
      </c>
      <c r="O6" s="7">
        <f t="shared" si="0"/>
        <v>1794.4166666666667</v>
      </c>
      <c r="P6" s="7">
        <f t="shared" si="1"/>
        <v>1780.0949263724669</v>
      </c>
      <c r="Q6" s="7">
        <f t="shared" si="2"/>
        <v>729.4282597058002</v>
      </c>
      <c r="R6" s="7">
        <f t="shared" si="3"/>
        <v>537.25</v>
      </c>
      <c r="S6" s="39"/>
      <c r="T6" s="7">
        <v>5725</v>
      </c>
      <c r="U6" s="7"/>
      <c r="V6" s="7">
        <v>52114</v>
      </c>
      <c r="W6" s="7">
        <f t="shared" si="7"/>
        <v>52114</v>
      </c>
      <c r="X6" s="103">
        <f t="shared" si="8"/>
        <v>53705</v>
      </c>
      <c r="Y6" s="103"/>
      <c r="Z6" s="7">
        <v>0</v>
      </c>
      <c r="AB6" s="2">
        <v>1591</v>
      </c>
      <c r="AC6" s="103">
        <v>52974</v>
      </c>
      <c r="AD6" s="103">
        <v>53705</v>
      </c>
      <c r="AE6" s="64">
        <f t="shared" si="9"/>
        <v>0</v>
      </c>
      <c r="AF6" s="64">
        <f t="shared" si="10"/>
        <v>1.9256121403966112E-2</v>
      </c>
      <c r="AG6" s="20">
        <f t="shared" si="11"/>
        <v>0</v>
      </c>
      <c r="AH6" s="20">
        <f t="shared" si="12"/>
        <v>14.321740294199795</v>
      </c>
      <c r="AI6" s="22"/>
      <c r="AK6" s="7"/>
      <c r="AL6" s="20"/>
      <c r="AM6" s="31"/>
    </row>
    <row r="7" spans="1:44">
      <c r="A7" s="28">
        <v>45663</v>
      </c>
      <c r="B7" s="2">
        <v>157.5</v>
      </c>
      <c r="C7" s="2">
        <v>563.16666666666663</v>
      </c>
      <c r="D7" s="2">
        <v>82.5</v>
      </c>
      <c r="E7" s="6">
        <v>424</v>
      </c>
      <c r="F7" s="2">
        <v>279.25</v>
      </c>
      <c r="G7" s="2">
        <v>124.83333333333333</v>
      </c>
      <c r="H7" s="2">
        <v>47.083333333333329</v>
      </c>
      <c r="I7" s="2">
        <v>1308.8333333333335</v>
      </c>
      <c r="J7" s="2">
        <v>148.25</v>
      </c>
      <c r="K7" s="2">
        <v>979.16666666666674</v>
      </c>
      <c r="L7" s="2">
        <v>198.5</v>
      </c>
      <c r="M7" s="3">
        <v>289.75</v>
      </c>
      <c r="N7" s="107">
        <f t="shared" si="6"/>
        <v>26.814271835755186</v>
      </c>
      <c r="O7" s="7">
        <f t="shared" si="0"/>
        <v>3518.666666666667</v>
      </c>
      <c r="P7" s="7">
        <f t="shared" si="1"/>
        <v>3491.8523948309116</v>
      </c>
      <c r="Q7" s="7">
        <f t="shared" si="2"/>
        <v>1292.2876887480193</v>
      </c>
      <c r="R7" s="7">
        <f t="shared" si="3"/>
        <v>968.89803941622586</v>
      </c>
      <c r="S7" s="39"/>
      <c r="T7" s="7">
        <v>10763</v>
      </c>
      <c r="U7" s="7"/>
      <c r="V7" s="7">
        <v>77341</v>
      </c>
      <c r="W7" s="7">
        <f t="shared" si="7"/>
        <v>77341</v>
      </c>
      <c r="X7" s="103">
        <f t="shared" si="8"/>
        <v>78875</v>
      </c>
      <c r="Y7" s="103"/>
      <c r="Z7" s="7">
        <v>1226</v>
      </c>
      <c r="AB7" s="2">
        <v>1534</v>
      </c>
      <c r="AC7" s="103">
        <v>107553</v>
      </c>
      <c r="AD7" s="103">
        <v>78875</v>
      </c>
      <c r="AE7" s="64">
        <f t="shared" si="9"/>
        <v>1.0487108681301312E-2</v>
      </c>
      <c r="AF7" s="64">
        <f t="shared" si="10"/>
        <v>1.2641521394611726E-2</v>
      </c>
      <c r="AG7" s="20">
        <f t="shared" si="11"/>
        <v>10.268627250440868</v>
      </c>
      <c r="AH7" s="20">
        <f t="shared" si="12"/>
        <v>16.545644585314317</v>
      </c>
      <c r="AI7" s="22"/>
    </row>
    <row r="8" spans="1:44">
      <c r="A8" s="28">
        <v>45664</v>
      </c>
      <c r="B8" s="2">
        <v>260</v>
      </c>
      <c r="C8" s="2">
        <v>460.16666666666674</v>
      </c>
      <c r="D8" s="2">
        <v>82.5</v>
      </c>
      <c r="E8" s="6">
        <v>656.5</v>
      </c>
      <c r="F8" s="2">
        <v>301</v>
      </c>
      <c r="G8" s="2">
        <v>127.5</v>
      </c>
      <c r="H8" s="2">
        <v>49</v>
      </c>
      <c r="I8" s="2">
        <v>1312.8333333333335</v>
      </c>
      <c r="J8" s="2">
        <v>120</v>
      </c>
      <c r="K8" s="2">
        <v>826.66666666666674</v>
      </c>
      <c r="L8" s="2">
        <v>191</v>
      </c>
      <c r="M8" s="3">
        <v>316</v>
      </c>
      <c r="N8" s="107">
        <f t="shared" si="6"/>
        <v>203.50210779227893</v>
      </c>
      <c r="O8" s="7">
        <f t="shared" si="0"/>
        <v>3363.166666666667</v>
      </c>
      <c r="P8" s="7">
        <f t="shared" si="1"/>
        <v>3159.6645588743881</v>
      </c>
      <c r="Q8" s="7">
        <f t="shared" si="2"/>
        <v>1296.0810886843392</v>
      </c>
      <c r="R8" s="7">
        <f t="shared" si="3"/>
        <v>639.91680352338199</v>
      </c>
      <c r="S8" s="39"/>
      <c r="T8" s="7">
        <v>6612</v>
      </c>
      <c r="U8" s="7"/>
      <c r="V8" s="7">
        <v>84247</v>
      </c>
      <c r="W8" s="7">
        <f t="shared" si="7"/>
        <v>84247</v>
      </c>
      <c r="X8" s="103">
        <f t="shared" si="8"/>
        <v>85934</v>
      </c>
      <c r="Y8" s="103"/>
      <c r="Z8" s="7">
        <v>21112</v>
      </c>
      <c r="AB8" s="2">
        <v>1687</v>
      </c>
      <c r="AC8" s="103">
        <v>85978</v>
      </c>
      <c r="AD8" s="103">
        <v>85934</v>
      </c>
      <c r="AE8" s="64">
        <f t="shared" si="9"/>
        <v>0.22590709251203797</v>
      </c>
      <c r="AF8" s="64">
        <f t="shared" si="10"/>
        <v>1.276037424069635E-2</v>
      </c>
      <c r="AG8" s="20">
        <f t="shared" si="11"/>
        <v>186.74986314328473</v>
      </c>
      <c r="AH8" s="20">
        <f t="shared" si="12"/>
        <v>16.752244648994193</v>
      </c>
      <c r="AI8" s="22"/>
    </row>
    <row r="9" spans="1:44">
      <c r="A9" s="28">
        <v>45665</v>
      </c>
      <c r="B9" s="2">
        <v>225</v>
      </c>
      <c r="C9" s="2">
        <v>481.25</v>
      </c>
      <c r="D9" s="2">
        <v>82.5</v>
      </c>
      <c r="E9" s="6">
        <v>680.16666666666663</v>
      </c>
      <c r="F9" s="2">
        <v>214.75</v>
      </c>
      <c r="G9" s="2">
        <v>139.75</v>
      </c>
      <c r="H9" s="2">
        <v>56.5</v>
      </c>
      <c r="I9" s="2">
        <v>1330.0000000000002</v>
      </c>
      <c r="J9" s="2">
        <v>38.166666666666657</v>
      </c>
      <c r="K9" s="2">
        <v>1009.1666666666667</v>
      </c>
      <c r="L9" s="2">
        <v>174.91666666666666</v>
      </c>
      <c r="M9" s="3">
        <v>312.5</v>
      </c>
      <c r="N9" s="107">
        <f t="shared" si="6"/>
        <v>782.96736927096981</v>
      </c>
      <c r="O9" s="7">
        <f>+B9+C9+D9+F9+I9+K9+J9</f>
        <v>3380.8333333333335</v>
      </c>
      <c r="P9" s="7">
        <f t="shared" si="1"/>
        <v>2597.8659640623637</v>
      </c>
      <c r="Q9" s="7">
        <f t="shared" si="2"/>
        <v>887.5451762268865</v>
      </c>
      <c r="R9" s="7">
        <f t="shared" si="3"/>
        <v>668.65412116881066</v>
      </c>
      <c r="S9" s="39"/>
      <c r="T9" s="7">
        <v>3309</v>
      </c>
      <c r="U9" s="7"/>
      <c r="V9" s="7">
        <v>48078</v>
      </c>
      <c r="W9" s="7">
        <f t="shared" si="7"/>
        <v>48078</v>
      </c>
      <c r="X9" s="103">
        <f t="shared" si="8"/>
        <v>98481</v>
      </c>
      <c r="Y9" s="103"/>
      <c r="Z9" s="7">
        <v>76983</v>
      </c>
      <c r="AB9" s="2">
        <v>50403</v>
      </c>
      <c r="AC9" s="103">
        <v>209900</v>
      </c>
      <c r="AD9" s="103">
        <v>98481</v>
      </c>
      <c r="AE9" s="64">
        <f t="shared" si="9"/>
        <v>0.33741953311100525</v>
      </c>
      <c r="AF9" s="64">
        <f t="shared" si="10"/>
        <v>0.33267279982940878</v>
      </c>
      <c r="AG9" s="20">
        <f t="shared" si="11"/>
        <v>340.51254549785614</v>
      </c>
      <c r="AH9" s="20">
        <f t="shared" si="12"/>
        <v>442.45482377311373</v>
      </c>
      <c r="AI9" s="22"/>
    </row>
    <row r="10" spans="1:44">
      <c r="A10" s="28">
        <v>45666</v>
      </c>
      <c r="B10" s="2">
        <v>260</v>
      </c>
      <c r="C10" s="2">
        <v>375.33333333333326</v>
      </c>
      <c r="D10" s="2">
        <v>88.583333333333343</v>
      </c>
      <c r="E10" s="6">
        <v>636.25</v>
      </c>
      <c r="F10" s="2">
        <v>196</v>
      </c>
      <c r="G10" s="2">
        <v>144.5</v>
      </c>
      <c r="H10" s="2">
        <v>47.583333333333329</v>
      </c>
      <c r="I10" s="2">
        <v>1395.25</v>
      </c>
      <c r="J10" s="2">
        <v>60</v>
      </c>
      <c r="K10" s="2">
        <v>1028.9166666666667</v>
      </c>
      <c r="L10" s="2">
        <v>164.25</v>
      </c>
      <c r="M10" s="3">
        <v>312.41666666666663</v>
      </c>
      <c r="N10" s="107">
        <f t="shared" si="6"/>
        <v>704.115229291422</v>
      </c>
      <c r="O10" s="7">
        <f t="shared" si="0"/>
        <v>3404.083333333333</v>
      </c>
      <c r="P10" s="7">
        <f t="shared" si="1"/>
        <v>2699.9681040419114</v>
      </c>
      <c r="Q10" s="7">
        <f t="shared" si="2"/>
        <v>976.73860780845393</v>
      </c>
      <c r="R10" s="7">
        <f t="shared" si="3"/>
        <v>743.31282956679081</v>
      </c>
      <c r="S10" s="39"/>
      <c r="T10" s="7">
        <v>5821</v>
      </c>
      <c r="U10" s="7"/>
      <c r="V10" s="7">
        <v>59064</v>
      </c>
      <c r="W10" s="7">
        <f t="shared" si="7"/>
        <v>59064</v>
      </c>
      <c r="X10" s="103">
        <f t="shared" si="8"/>
        <v>109676</v>
      </c>
      <c r="Y10" s="103"/>
      <c r="Z10" s="7">
        <v>44244</v>
      </c>
      <c r="AB10" s="2">
        <v>50612</v>
      </c>
      <c r="AC10" s="103">
        <v>146642</v>
      </c>
      <c r="AD10" s="103">
        <v>109676</v>
      </c>
      <c r="AE10" s="64">
        <f t="shared" si="9"/>
        <v>0.27757722889758735</v>
      </c>
      <c r="AF10" s="64">
        <f t="shared" si="10"/>
        <v>0.29995441117473287</v>
      </c>
      <c r="AG10" s="20">
        <f t="shared" si="11"/>
        <v>285.60383709987593</v>
      </c>
      <c r="AH10" s="20">
        <f t="shared" si="12"/>
        <v>418.51139219154607</v>
      </c>
      <c r="AI10" s="22"/>
    </row>
    <row r="11" spans="1:44">
      <c r="A11" s="28">
        <v>45667</v>
      </c>
      <c r="B11" s="2">
        <v>247</v>
      </c>
      <c r="C11" s="2">
        <v>636.16666666666663</v>
      </c>
      <c r="D11" s="2">
        <v>90</v>
      </c>
      <c r="E11" s="6">
        <v>543.33333333333348</v>
      </c>
      <c r="F11" s="2">
        <v>219.75</v>
      </c>
      <c r="G11" s="2">
        <v>135</v>
      </c>
      <c r="H11" s="2">
        <v>56.5</v>
      </c>
      <c r="I11" s="2">
        <v>1256.1666666666665</v>
      </c>
      <c r="J11" s="2">
        <v>82.5</v>
      </c>
      <c r="K11" s="2">
        <v>811.99999999999989</v>
      </c>
      <c r="L11" s="2">
        <v>179.58333333333331</v>
      </c>
      <c r="M11" s="3">
        <v>318.5</v>
      </c>
      <c r="N11" s="107">
        <f t="shared" si="6"/>
        <v>429.52992233804099</v>
      </c>
      <c r="O11" s="7">
        <f t="shared" si="0"/>
        <v>3343.583333333333</v>
      </c>
      <c r="P11" s="7">
        <f t="shared" si="1"/>
        <v>2914.0534109952919</v>
      </c>
      <c r="Q11" s="7">
        <f t="shared" si="2"/>
        <v>902.38571368795692</v>
      </c>
      <c r="R11" s="7">
        <f t="shared" si="3"/>
        <v>736.25103064066843</v>
      </c>
      <c r="S11" s="39"/>
      <c r="T11" s="7">
        <v>6987</v>
      </c>
      <c r="U11" s="7"/>
      <c r="V11" s="7">
        <v>55304</v>
      </c>
      <c r="W11" s="7">
        <f t="shared" si="7"/>
        <v>55304</v>
      </c>
      <c r="X11" s="103">
        <f t="shared" si="8"/>
        <v>97587</v>
      </c>
      <c r="Y11" s="103"/>
      <c r="Z11" s="7">
        <v>6698</v>
      </c>
      <c r="AB11" s="2">
        <v>42283</v>
      </c>
      <c r="AC11" s="103">
        <v>66056</v>
      </c>
      <c r="AD11" s="103">
        <v>97587</v>
      </c>
      <c r="AE11" s="64">
        <f t="shared" si="9"/>
        <v>9.3286908077994432E-2</v>
      </c>
      <c r="AF11" s="64">
        <f t="shared" si="10"/>
        <v>0.28163536126738192</v>
      </c>
      <c r="AG11" s="20">
        <f t="shared" si="11"/>
        <v>75.748969359331468</v>
      </c>
      <c r="AH11" s="20">
        <f t="shared" si="12"/>
        <v>353.78095297870954</v>
      </c>
      <c r="AI11" s="22"/>
    </row>
    <row r="12" spans="1:44">
      <c r="A12" s="28">
        <v>45668</v>
      </c>
      <c r="B12" s="2">
        <v>267</v>
      </c>
      <c r="C12" s="2">
        <v>272.33333333333331</v>
      </c>
      <c r="D12" s="2">
        <v>60</v>
      </c>
      <c r="E12" s="6">
        <v>316</v>
      </c>
      <c r="F12" s="2">
        <v>162.33333333333334</v>
      </c>
      <c r="G12" s="2">
        <v>0</v>
      </c>
      <c r="H12" s="2">
        <v>7.5</v>
      </c>
      <c r="I12" s="2">
        <v>728.41666666666663</v>
      </c>
      <c r="J12" s="2">
        <v>67.5</v>
      </c>
      <c r="K12" s="2">
        <v>454.75</v>
      </c>
      <c r="L12" s="2">
        <v>172.5</v>
      </c>
      <c r="M12" s="3">
        <v>169.75</v>
      </c>
      <c r="N12" s="107">
        <f t="shared" si="6"/>
        <v>5.1169225095049216</v>
      </c>
      <c r="O12" s="7">
        <f t="shared" si="0"/>
        <v>2012.3333333333333</v>
      </c>
      <c r="P12" s="7">
        <f t="shared" si="1"/>
        <v>2007.2164108238285</v>
      </c>
      <c r="Q12" s="7">
        <f t="shared" si="2"/>
        <v>724.1180082136068</v>
      </c>
      <c r="R12" s="7">
        <f t="shared" si="3"/>
        <v>453.93173594355488</v>
      </c>
      <c r="S12" s="39"/>
      <c r="T12" s="7">
        <v>6919</v>
      </c>
      <c r="U12" s="7"/>
      <c r="V12" s="7">
        <v>62212</v>
      </c>
      <c r="W12" s="7">
        <f t="shared" si="7"/>
        <v>62212</v>
      </c>
      <c r="X12" s="103">
        <f t="shared" si="8"/>
        <v>62782</v>
      </c>
      <c r="Y12" s="103"/>
      <c r="Z12" s="7">
        <v>107</v>
      </c>
      <c r="AB12" s="2">
        <v>570</v>
      </c>
      <c r="AC12" s="103">
        <v>54708</v>
      </c>
      <c r="AD12" s="103">
        <v>62782</v>
      </c>
      <c r="AE12" s="64">
        <f t="shared" si="9"/>
        <v>1.7993712071360682E-3</v>
      </c>
      <c r="AF12" s="64">
        <f t="shared" si="10"/>
        <v>5.9013730050014339E-3</v>
      </c>
      <c r="AG12" s="20">
        <f t="shared" si="11"/>
        <v>0.81826405644512701</v>
      </c>
      <c r="AH12" s="20">
        <f t="shared" si="12"/>
        <v>4.2986584530597947</v>
      </c>
      <c r="AI12" s="22"/>
    </row>
    <row r="13" spans="1:44">
      <c r="A13" s="28">
        <v>45669</v>
      </c>
      <c r="B13" s="2"/>
      <c r="C13" s="2">
        <v>232.83333333333331</v>
      </c>
      <c r="D13" s="2">
        <v>37.5</v>
      </c>
      <c r="E13" s="6">
        <v>0</v>
      </c>
      <c r="F13" s="2">
        <v>142.5</v>
      </c>
      <c r="G13" s="2">
        <v>0</v>
      </c>
      <c r="H13" s="2">
        <v>15</v>
      </c>
      <c r="I13" s="2">
        <v>714.33333333333326</v>
      </c>
      <c r="J13" s="2">
        <v>82.5</v>
      </c>
      <c r="K13" s="2">
        <v>558.75</v>
      </c>
      <c r="L13" s="2">
        <v>0</v>
      </c>
      <c r="M13" s="3">
        <v>120</v>
      </c>
      <c r="N13" s="107">
        <f t="shared" si="6"/>
        <v>3.9221815844644738</v>
      </c>
      <c r="O13" s="7">
        <f t="shared" si="0"/>
        <v>1768.4166666666665</v>
      </c>
      <c r="P13" s="7">
        <f t="shared" si="1"/>
        <v>1764.4944850822021</v>
      </c>
      <c r="Q13" s="7">
        <f t="shared" si="2"/>
        <v>710.41115174886875</v>
      </c>
      <c r="R13" s="7">
        <f t="shared" si="3"/>
        <v>558.75</v>
      </c>
      <c r="S13" s="39"/>
      <c r="T13" s="7">
        <v>7052</v>
      </c>
      <c r="U13" s="7"/>
      <c r="V13" s="47">
        <v>64795</v>
      </c>
      <c r="W13" s="7">
        <f t="shared" si="7"/>
        <v>64795</v>
      </c>
      <c r="X13" s="103">
        <f t="shared" si="8"/>
        <v>65347</v>
      </c>
      <c r="Y13" s="103"/>
      <c r="Z13" s="7">
        <v>0</v>
      </c>
      <c r="AB13" s="2">
        <v>552</v>
      </c>
      <c r="AC13" s="103">
        <v>65466</v>
      </c>
      <c r="AD13" s="103">
        <v>65347</v>
      </c>
      <c r="AE13" s="64">
        <f t="shared" si="9"/>
        <v>0</v>
      </c>
      <c r="AF13" s="64">
        <f t="shared" si="10"/>
        <v>5.4906881723721058E-3</v>
      </c>
      <c r="AG13" s="20">
        <f t="shared" si="11"/>
        <v>0</v>
      </c>
      <c r="AH13" s="20">
        <f t="shared" si="12"/>
        <v>3.9221815844644738</v>
      </c>
      <c r="AI13" s="22"/>
    </row>
    <row r="14" spans="1:44">
      <c r="A14" s="28">
        <v>45670</v>
      </c>
      <c r="B14" s="7">
        <v>307.08333333333331</v>
      </c>
      <c r="C14" s="7">
        <v>355.41666666666674</v>
      </c>
      <c r="D14" s="7">
        <v>97.5</v>
      </c>
      <c r="E14" s="6">
        <v>378.75</v>
      </c>
      <c r="F14" s="7">
        <v>173.58333333333331</v>
      </c>
      <c r="G14" s="7">
        <v>142.58333333333334</v>
      </c>
      <c r="H14" s="7">
        <v>79.25</v>
      </c>
      <c r="I14" s="7">
        <v>1104.083333333333</v>
      </c>
      <c r="J14" s="7">
        <v>194.58333333333334</v>
      </c>
      <c r="K14" s="7">
        <v>843.58333333333348</v>
      </c>
      <c r="L14" s="7">
        <v>183.91666666666663</v>
      </c>
      <c r="M14" s="3">
        <v>313.75</v>
      </c>
      <c r="N14" s="107">
        <f t="shared" si="6"/>
        <v>138.04663785363158</v>
      </c>
      <c r="O14" s="7">
        <f t="shared" si="0"/>
        <v>3075.8333333333335</v>
      </c>
      <c r="P14" s="7">
        <f t="shared" si="1"/>
        <v>2937.7866954797014</v>
      </c>
      <c r="Q14" s="7">
        <f t="shared" si="2"/>
        <v>1042.4415809650518</v>
      </c>
      <c r="R14" s="7">
        <f t="shared" si="3"/>
        <v>767.17844784798308</v>
      </c>
      <c r="T14" s="7">
        <v>7497</v>
      </c>
      <c r="U14" s="7"/>
      <c r="V14" s="7">
        <v>76231</v>
      </c>
      <c r="W14" s="7">
        <f t="shared" si="7"/>
        <v>76231</v>
      </c>
      <c r="X14" s="103">
        <f t="shared" si="8"/>
        <v>83397</v>
      </c>
      <c r="Y14" s="103"/>
      <c r="Z14" s="7">
        <v>9481</v>
      </c>
      <c r="AB14" s="2">
        <v>7166</v>
      </c>
      <c r="AC14" s="103">
        <v>96305</v>
      </c>
      <c r="AD14" s="103">
        <v>83429</v>
      </c>
      <c r="AE14" s="64">
        <f t="shared" si="9"/>
        <v>9.0571829084678881E-2</v>
      </c>
      <c r="AF14" s="64">
        <f t="shared" si="10"/>
        <v>5.583070634911122E-2</v>
      </c>
      <c r="AG14" s="20">
        <f t="shared" si="11"/>
        <v>76.404885485350377</v>
      </c>
      <c r="AH14" s="20">
        <f t="shared" si="12"/>
        <v>61.641752368281196</v>
      </c>
      <c r="AI14" s="22"/>
    </row>
    <row r="15" spans="1:44">
      <c r="A15" s="28">
        <v>45671</v>
      </c>
      <c r="B15" s="7">
        <v>240</v>
      </c>
      <c r="C15" s="7">
        <v>430.58333333333337</v>
      </c>
      <c r="D15" s="7">
        <v>95.583333333333329</v>
      </c>
      <c r="E15" s="6">
        <v>369.41666666666674</v>
      </c>
      <c r="F15" s="7">
        <v>230</v>
      </c>
      <c r="G15" s="7">
        <v>126.25</v>
      </c>
      <c r="H15" s="7">
        <v>71.5</v>
      </c>
      <c r="I15" s="7">
        <v>1110</v>
      </c>
      <c r="J15" s="7">
        <v>199.5</v>
      </c>
      <c r="K15" s="7">
        <v>892.83333333333326</v>
      </c>
      <c r="L15" s="7">
        <v>191.5</v>
      </c>
      <c r="M15" s="3">
        <v>312.58333333333337</v>
      </c>
      <c r="N15" s="107">
        <f t="shared" si="6"/>
        <v>47.945909314933473</v>
      </c>
      <c r="O15" s="7">
        <f t="shared" si="0"/>
        <v>3198.5</v>
      </c>
      <c r="P15" s="7">
        <f t="shared" si="1"/>
        <v>3150.5540906850665</v>
      </c>
      <c r="Q15" s="7">
        <f t="shared" si="2"/>
        <v>1062.0540906850665</v>
      </c>
      <c r="R15" s="7">
        <f t="shared" si="3"/>
        <v>892.83333333333326</v>
      </c>
      <c r="T15" s="7">
        <v>8548</v>
      </c>
      <c r="U15" s="7"/>
      <c r="V15" s="7">
        <v>71610</v>
      </c>
      <c r="W15" s="7">
        <f t="shared" si="7"/>
        <v>71610</v>
      </c>
      <c r="X15" s="103">
        <f t="shared" si="8"/>
        <v>76464</v>
      </c>
      <c r="Y15" s="103"/>
      <c r="Z15" s="7">
        <v>0</v>
      </c>
      <c r="AB15" s="2">
        <v>4854</v>
      </c>
      <c r="AC15" s="103">
        <v>92969</v>
      </c>
      <c r="AD15" s="103">
        <v>73044</v>
      </c>
      <c r="AE15" s="64">
        <f t="shared" si="9"/>
        <v>0</v>
      </c>
      <c r="AF15" s="64">
        <f t="shared" si="10"/>
        <v>4.3194512896336461E-2</v>
      </c>
      <c r="AG15" s="20">
        <f t="shared" si="11"/>
        <v>0</v>
      </c>
      <c r="AH15" s="20">
        <f t="shared" si="12"/>
        <v>47.945909314933473</v>
      </c>
      <c r="AI15" s="22"/>
    </row>
    <row r="16" spans="1:44">
      <c r="A16" s="28">
        <v>45672</v>
      </c>
      <c r="B16" s="7">
        <v>283.91666666666663</v>
      </c>
      <c r="C16" s="7">
        <v>358.75</v>
      </c>
      <c r="D16" s="7">
        <v>97.5</v>
      </c>
      <c r="E16" s="6">
        <v>367.91666666666663</v>
      </c>
      <c r="F16" s="7">
        <v>185.41666666666666</v>
      </c>
      <c r="G16" s="7">
        <v>147.33333333333334</v>
      </c>
      <c r="H16" s="7">
        <v>53</v>
      </c>
      <c r="I16" s="7">
        <v>1442.6666666666665</v>
      </c>
      <c r="J16" s="7">
        <v>198.91666666666666</v>
      </c>
      <c r="K16" s="7">
        <v>1053.1666666666665</v>
      </c>
      <c r="L16" s="7">
        <v>177</v>
      </c>
      <c r="M16" s="3">
        <v>307.16666666666663</v>
      </c>
      <c r="N16" s="107">
        <f t="shared" si="6"/>
        <v>391.72770599416259</v>
      </c>
      <c r="O16" s="7">
        <f t="shared" si="0"/>
        <v>3620.333333333333</v>
      </c>
      <c r="P16" s="7">
        <f t="shared" si="1"/>
        <v>3228.6056273391705</v>
      </c>
      <c r="Q16" s="7">
        <f t="shared" si="2"/>
        <v>1393.9071305953462</v>
      </c>
      <c r="R16" s="7">
        <f t="shared" si="3"/>
        <v>710.19849674382431</v>
      </c>
      <c r="T16" s="7">
        <v>8345</v>
      </c>
      <c r="U16" s="7"/>
      <c r="V16" s="7">
        <v>90966</v>
      </c>
      <c r="W16" s="7">
        <f t="shared" si="7"/>
        <v>90966</v>
      </c>
      <c r="X16" s="103">
        <f t="shared" si="8"/>
        <v>95772</v>
      </c>
      <c r="Y16" s="103"/>
      <c r="Z16" s="7">
        <v>76476</v>
      </c>
      <c r="AB16" s="2">
        <v>4806</v>
      </c>
      <c r="AC16" s="103">
        <v>216051</v>
      </c>
      <c r="AD16" s="103">
        <v>92428</v>
      </c>
      <c r="AE16" s="64">
        <f t="shared" si="9"/>
        <v>0.32565422053126342</v>
      </c>
      <c r="AF16" s="64">
        <f t="shared" si="10"/>
        <v>3.3798199679750722E-2</v>
      </c>
      <c r="AG16" s="20">
        <f t="shared" si="11"/>
        <v>342.96816992284221</v>
      </c>
      <c r="AH16" s="20">
        <f t="shared" si="12"/>
        <v>48.759536071320369</v>
      </c>
      <c r="AI16" s="22"/>
    </row>
    <row r="17" spans="1:35">
      <c r="A17" s="28">
        <v>45673</v>
      </c>
      <c r="B17" s="7">
        <v>270.5</v>
      </c>
      <c r="C17" s="7">
        <v>274</v>
      </c>
      <c r="D17" s="7">
        <v>97</v>
      </c>
      <c r="E17" s="6">
        <v>339.91666666666669</v>
      </c>
      <c r="F17" s="7">
        <v>195</v>
      </c>
      <c r="G17" s="7">
        <v>17</v>
      </c>
      <c r="H17" s="7">
        <v>55.5</v>
      </c>
      <c r="I17" s="7">
        <v>1700.9166666666667</v>
      </c>
      <c r="J17" s="7">
        <v>103</v>
      </c>
      <c r="K17" s="7">
        <v>1170.5</v>
      </c>
      <c r="L17" s="7">
        <v>172.83333333333331</v>
      </c>
      <c r="M17" s="3">
        <v>303.58333333333337</v>
      </c>
      <c r="N17" s="107">
        <f t="shared" si="6"/>
        <v>614.09031234310419</v>
      </c>
      <c r="O17" s="7">
        <f t="shared" si="0"/>
        <v>3810.916666666667</v>
      </c>
      <c r="P17" s="7">
        <f t="shared" si="1"/>
        <v>3196.8263543235626</v>
      </c>
      <c r="Q17" s="7">
        <f t="shared" si="2"/>
        <v>1393.9540414252488</v>
      </c>
      <c r="R17" s="7">
        <f t="shared" si="3"/>
        <v>863.37231289831368</v>
      </c>
      <c r="T17" s="7">
        <v>5192</v>
      </c>
      <c r="U17" s="7"/>
      <c r="V17" s="7">
        <v>102665</v>
      </c>
      <c r="W17" s="7">
        <f t="shared" si="7"/>
        <v>102665</v>
      </c>
      <c r="X17" s="103">
        <f t="shared" si="8"/>
        <v>163666</v>
      </c>
      <c r="Y17" s="103"/>
      <c r="Z17" s="7">
        <v>55627</v>
      </c>
      <c r="AB17" s="2">
        <v>61001</v>
      </c>
      <c r="AC17" s="103">
        <v>195041</v>
      </c>
      <c r="AD17" s="103">
        <v>219709</v>
      </c>
      <c r="AE17" s="64">
        <f t="shared" si="9"/>
        <v>0.26239016411933902</v>
      </c>
      <c r="AF17" s="64">
        <f t="shared" si="10"/>
        <v>0.18046893845950782</v>
      </c>
      <c r="AG17" s="20">
        <f t="shared" si="11"/>
        <v>307.12768710168632</v>
      </c>
      <c r="AH17" s="20">
        <f t="shared" si="12"/>
        <v>306.96262524141787</v>
      </c>
      <c r="AI17" s="22"/>
    </row>
    <row r="18" spans="1:35">
      <c r="A18" s="28">
        <v>45674</v>
      </c>
      <c r="B18" s="7">
        <v>218</v>
      </c>
      <c r="C18" s="7">
        <v>512.5</v>
      </c>
      <c r="D18" s="7">
        <v>97.5</v>
      </c>
      <c r="E18" s="6">
        <v>358.66666666666663</v>
      </c>
      <c r="F18" s="7">
        <v>293</v>
      </c>
      <c r="G18" s="7">
        <v>16.083333333333332</v>
      </c>
      <c r="H18" s="7">
        <v>64</v>
      </c>
      <c r="I18" s="7">
        <v>1433.5</v>
      </c>
      <c r="J18" s="7">
        <v>180</v>
      </c>
      <c r="K18" s="7">
        <v>775.58333333333337</v>
      </c>
      <c r="L18" s="7">
        <v>183.58333333333337</v>
      </c>
      <c r="M18" s="3">
        <v>289.33333333333331</v>
      </c>
      <c r="N18" s="107">
        <f t="shared" si="6"/>
        <v>384.88370317250195</v>
      </c>
      <c r="O18" s="7">
        <f t="shared" si="0"/>
        <v>3510.0833333333335</v>
      </c>
      <c r="P18" s="7">
        <f t="shared" si="1"/>
        <v>3125.1996301608315</v>
      </c>
      <c r="Q18" s="7">
        <f t="shared" si="2"/>
        <v>1332.6563446792593</v>
      </c>
      <c r="R18" s="7">
        <f t="shared" si="3"/>
        <v>491.54328548157201</v>
      </c>
      <c r="T18" s="7">
        <v>12838</v>
      </c>
      <c r="U18" s="7"/>
      <c r="V18" s="7">
        <v>121547</v>
      </c>
      <c r="W18" s="7">
        <f t="shared" si="7"/>
        <v>121547</v>
      </c>
      <c r="X18" s="103">
        <f t="shared" si="8"/>
        <v>136593</v>
      </c>
      <c r="Y18" s="103"/>
      <c r="Z18" s="7">
        <v>53435</v>
      </c>
      <c r="AB18" s="2">
        <v>15046</v>
      </c>
      <c r="AC18" s="103">
        <v>134234</v>
      </c>
      <c r="AD18" s="103">
        <v>139022</v>
      </c>
      <c r="AE18" s="64">
        <f t="shared" si="9"/>
        <v>0.36622763234351952</v>
      </c>
      <c r="AF18" s="64">
        <f t="shared" si="10"/>
        <v>7.0347858612305969E-2</v>
      </c>
      <c r="AG18" s="20">
        <f t="shared" si="11"/>
        <v>284.04004785176136</v>
      </c>
      <c r="AH18" s="20">
        <f t="shared" si="12"/>
        <v>100.84365532074061</v>
      </c>
      <c r="AI18" s="22"/>
    </row>
    <row r="19" spans="1:35">
      <c r="A19" s="28">
        <v>45675</v>
      </c>
      <c r="B19" s="7">
        <v>186.58333333333334</v>
      </c>
      <c r="C19" s="7">
        <v>277.5</v>
      </c>
      <c r="D19" s="7">
        <v>60</v>
      </c>
      <c r="E19" s="6">
        <v>252</v>
      </c>
      <c r="F19" s="7">
        <v>125.83333333333334</v>
      </c>
      <c r="G19" s="7">
        <v>0</v>
      </c>
      <c r="H19" s="7">
        <v>7.5</v>
      </c>
      <c r="I19" s="7">
        <v>767.00000000000011</v>
      </c>
      <c r="J19" s="7">
        <v>103.16666666666667</v>
      </c>
      <c r="K19" s="7">
        <v>545.16666666666663</v>
      </c>
      <c r="L19" s="7">
        <v>119.5</v>
      </c>
      <c r="M19" s="3">
        <v>157.25</v>
      </c>
      <c r="N19" s="107">
        <f t="shared" si="6"/>
        <v>36.450085711836813</v>
      </c>
      <c r="O19" s="7">
        <f t="shared" si="0"/>
        <v>2065.25</v>
      </c>
      <c r="P19" s="7">
        <f t="shared" si="1"/>
        <v>2028.7999142881631</v>
      </c>
      <c r="Q19" s="7">
        <f t="shared" si="2"/>
        <v>730.54991428816334</v>
      </c>
      <c r="R19" s="7">
        <f t="shared" si="3"/>
        <v>545.16666666666663</v>
      </c>
      <c r="T19" s="7">
        <v>6893</v>
      </c>
      <c r="U19" s="7"/>
      <c r="V19" s="7">
        <v>66659</v>
      </c>
      <c r="W19" s="7">
        <f t="shared" si="7"/>
        <v>66659</v>
      </c>
      <c r="X19" s="103">
        <f t="shared" si="8"/>
        <v>71777</v>
      </c>
      <c r="Y19" s="103"/>
      <c r="Z19" s="7">
        <v>0</v>
      </c>
      <c r="AB19" s="2">
        <v>5118</v>
      </c>
      <c r="AC19" s="103">
        <v>62881</v>
      </c>
      <c r="AD19" s="103">
        <v>70002</v>
      </c>
      <c r="AE19" s="64">
        <f t="shared" si="9"/>
        <v>0</v>
      </c>
      <c r="AF19" s="64">
        <f t="shared" si="10"/>
        <v>4.7522927916345249E-2</v>
      </c>
      <c r="AG19" s="20">
        <f t="shared" si="11"/>
        <v>0</v>
      </c>
      <c r="AH19" s="20">
        <f t="shared" si="12"/>
        <v>36.450085711836813</v>
      </c>
      <c r="AI19" s="22"/>
    </row>
    <row r="20" spans="1:35">
      <c r="A20" s="28">
        <v>45676</v>
      </c>
      <c r="C20" s="7">
        <v>256.41666666666663</v>
      </c>
      <c r="D20" s="7">
        <v>30</v>
      </c>
      <c r="E20" s="6">
        <v>0</v>
      </c>
      <c r="F20" s="7">
        <v>142</v>
      </c>
      <c r="G20" s="7">
        <v>0</v>
      </c>
      <c r="H20" s="7">
        <v>22.5</v>
      </c>
      <c r="I20" s="7">
        <v>686.5</v>
      </c>
      <c r="J20" s="7">
        <v>87.083333333333343</v>
      </c>
      <c r="K20" s="7">
        <v>522</v>
      </c>
      <c r="L20" s="7">
        <v>0</v>
      </c>
      <c r="M20" s="3">
        <v>132.66666666666669</v>
      </c>
      <c r="N20" s="107">
        <f t="shared" si="6"/>
        <v>6.3142023416175839</v>
      </c>
      <c r="O20" s="7">
        <f t="shared" si="0"/>
        <v>1723.9999999999998</v>
      </c>
      <c r="P20" s="7">
        <f t="shared" si="1"/>
        <v>1717.6857976583824</v>
      </c>
      <c r="Q20" s="7">
        <f t="shared" si="2"/>
        <v>680.1857976583824</v>
      </c>
      <c r="R20" s="7">
        <f t="shared" si="3"/>
        <v>522</v>
      </c>
      <c r="T20" s="7">
        <v>5639</v>
      </c>
      <c r="U20" s="7"/>
      <c r="V20" s="7">
        <v>72913</v>
      </c>
      <c r="W20" s="7">
        <f t="shared" si="7"/>
        <v>72913</v>
      </c>
      <c r="X20" s="103">
        <f t="shared" si="8"/>
        <v>73898</v>
      </c>
      <c r="Y20" s="103"/>
      <c r="Z20" s="7">
        <v>0</v>
      </c>
      <c r="AB20" s="2">
        <v>985</v>
      </c>
      <c r="AC20" s="103">
        <v>63104</v>
      </c>
      <c r="AD20" s="103">
        <v>69610</v>
      </c>
      <c r="AE20" s="64">
        <f t="shared" si="9"/>
        <v>0</v>
      </c>
      <c r="AF20" s="64">
        <f t="shared" si="10"/>
        <v>9.1976727481683663E-3</v>
      </c>
      <c r="AG20" s="20">
        <f t="shared" si="11"/>
        <v>0</v>
      </c>
      <c r="AH20" s="20">
        <f t="shared" si="12"/>
        <v>6.3142023416175839</v>
      </c>
      <c r="AI20" s="22"/>
    </row>
    <row r="21" spans="1:35">
      <c r="A21" s="28">
        <v>45677</v>
      </c>
      <c r="B21" s="7">
        <v>232.5</v>
      </c>
      <c r="C21" s="7">
        <v>439.16666666666674</v>
      </c>
      <c r="D21" s="7">
        <v>90</v>
      </c>
      <c r="E21" s="6">
        <v>388.16666666666669</v>
      </c>
      <c r="F21" s="7">
        <v>254.74999999999997</v>
      </c>
      <c r="G21" s="7">
        <v>17</v>
      </c>
      <c r="H21" s="7">
        <v>80</v>
      </c>
      <c r="I21" s="7">
        <v>1334.6666666666665</v>
      </c>
      <c r="J21" s="7">
        <v>164.25</v>
      </c>
      <c r="K21" s="7">
        <v>918.66666666666686</v>
      </c>
      <c r="L21" s="7">
        <v>181.58333333333331</v>
      </c>
      <c r="M21" s="3">
        <v>325.58333333333337</v>
      </c>
      <c r="N21" s="107">
        <f t="shared" si="6"/>
        <v>20.119361293004882</v>
      </c>
      <c r="O21" s="7">
        <f t="shared" si="0"/>
        <v>3434</v>
      </c>
      <c r="P21" s="7">
        <f t="shared" si="1"/>
        <v>3413.8806387069953</v>
      </c>
      <c r="Q21" s="7">
        <f t="shared" si="2"/>
        <v>1314.5473053736616</v>
      </c>
      <c r="R21" s="7">
        <f t="shared" si="3"/>
        <v>918.66666666666686</v>
      </c>
      <c r="T21" s="7">
        <v>9397</v>
      </c>
      <c r="U21" s="7"/>
      <c r="V21" s="7">
        <v>82607</v>
      </c>
      <c r="W21" s="7">
        <f t="shared" si="7"/>
        <v>82607</v>
      </c>
      <c r="X21" s="103">
        <f t="shared" si="8"/>
        <v>84392</v>
      </c>
      <c r="Y21" s="103"/>
      <c r="Z21" s="7">
        <v>0</v>
      </c>
      <c r="AB21" s="2">
        <v>1785</v>
      </c>
      <c r="AC21" s="103">
        <v>90936</v>
      </c>
      <c r="AD21" s="103">
        <v>76968</v>
      </c>
      <c r="AE21" s="64">
        <f t="shared" si="9"/>
        <v>0</v>
      </c>
      <c r="AF21" s="64">
        <f t="shared" si="10"/>
        <v>1.5074446523230433E-2</v>
      </c>
      <c r="AG21" s="20">
        <f t="shared" si="11"/>
        <v>0</v>
      </c>
      <c r="AH21" s="20">
        <f t="shared" si="12"/>
        <v>20.119361293004882</v>
      </c>
      <c r="AI21" s="22"/>
    </row>
    <row r="22" spans="1:35">
      <c r="A22" s="28">
        <v>45678</v>
      </c>
      <c r="B22" s="7">
        <v>240</v>
      </c>
      <c r="C22" s="7">
        <v>542.58333333333326</v>
      </c>
      <c r="D22" s="7">
        <v>94.583333333333329</v>
      </c>
      <c r="E22" s="6">
        <v>400.41666666666674</v>
      </c>
      <c r="F22" s="7">
        <v>200.08333333333331</v>
      </c>
      <c r="G22" s="7">
        <v>13</v>
      </c>
      <c r="H22" s="7">
        <v>80</v>
      </c>
      <c r="I22" s="7">
        <v>1454.6666666666667</v>
      </c>
      <c r="J22" s="7">
        <v>165</v>
      </c>
      <c r="K22" s="7">
        <v>865.75</v>
      </c>
      <c r="L22" s="7">
        <v>189</v>
      </c>
      <c r="M22" s="3">
        <v>321.00000000000006</v>
      </c>
      <c r="N22" s="107">
        <f t="shared" si="6"/>
        <v>349.41363674569254</v>
      </c>
      <c r="O22" s="7">
        <f t="shared" si="0"/>
        <v>3562.666666666667</v>
      </c>
      <c r="P22" s="7">
        <f t="shared" si="1"/>
        <v>3213.2530299209739</v>
      </c>
      <c r="Q22" s="7">
        <f t="shared" si="2"/>
        <v>1426.8543973806611</v>
      </c>
      <c r="R22" s="7">
        <f t="shared" si="3"/>
        <v>544.14863254031297</v>
      </c>
      <c r="T22" s="7">
        <v>6246</v>
      </c>
      <c r="U22" s="7"/>
      <c r="V22" s="7">
        <v>112240</v>
      </c>
      <c r="W22" s="7">
        <f t="shared" si="7"/>
        <v>112240</v>
      </c>
      <c r="X22" s="103">
        <f t="shared" si="8"/>
        <v>115558</v>
      </c>
      <c r="Y22" s="103"/>
      <c r="Z22" s="7">
        <v>66581</v>
      </c>
      <c r="AB22" s="2">
        <v>3318</v>
      </c>
      <c r="AC22" s="103">
        <v>164897</v>
      </c>
      <c r="AD22" s="103">
        <v>112802</v>
      </c>
      <c r="AE22" s="64">
        <f t="shared" si="9"/>
        <v>0.37147140336088591</v>
      </c>
      <c r="AF22" s="64">
        <f t="shared" si="10"/>
        <v>1.9119341855640858E-2</v>
      </c>
      <c r="AG22" s="20">
        <f t="shared" si="11"/>
        <v>321.60136745968697</v>
      </c>
      <c r="AH22" s="20">
        <f t="shared" si="12"/>
        <v>27.81226928600557</v>
      </c>
      <c r="AI22" s="22"/>
    </row>
    <row r="23" spans="1:35">
      <c r="A23" s="28">
        <v>45679</v>
      </c>
      <c r="B23" s="7">
        <v>247.5</v>
      </c>
      <c r="C23" s="7">
        <v>541.08333333333337</v>
      </c>
      <c r="D23" s="7">
        <v>92.166666666666657</v>
      </c>
      <c r="E23" s="6">
        <v>361.00000000000006</v>
      </c>
      <c r="F23" s="7">
        <v>140.75</v>
      </c>
      <c r="G23" s="7">
        <v>4.416666666666667</v>
      </c>
      <c r="H23" s="7">
        <v>72.5</v>
      </c>
      <c r="I23" s="7">
        <v>1380.75</v>
      </c>
      <c r="J23" s="7">
        <v>172.25</v>
      </c>
      <c r="K23" s="7">
        <v>860.66666666666674</v>
      </c>
      <c r="L23" s="7">
        <v>180.91666666666669</v>
      </c>
      <c r="M23" s="3">
        <v>312.5</v>
      </c>
      <c r="N23" s="107">
        <f t="shared" si="6"/>
        <v>208.49165641230184</v>
      </c>
      <c r="O23" s="7">
        <f t="shared" si="0"/>
        <v>3435.166666666667</v>
      </c>
      <c r="P23" s="7">
        <f t="shared" si="1"/>
        <v>3226.6750102543647</v>
      </c>
      <c r="Q23" s="7">
        <f t="shared" si="2"/>
        <v>1172.2583435876982</v>
      </c>
      <c r="R23" s="7">
        <f t="shared" si="3"/>
        <v>860.66666666666674</v>
      </c>
      <c r="T23" s="7">
        <v>4572</v>
      </c>
      <c r="U23" s="7"/>
      <c r="V23" s="7">
        <v>67455</v>
      </c>
      <c r="W23" s="7">
        <f t="shared" si="7"/>
        <v>67455</v>
      </c>
      <c r="X23" s="103">
        <f t="shared" si="8"/>
        <v>94829</v>
      </c>
      <c r="Y23" s="103"/>
      <c r="Z23" s="7">
        <v>0</v>
      </c>
      <c r="AB23" s="2">
        <v>27374</v>
      </c>
      <c r="AC23" s="103">
        <v>90384</v>
      </c>
      <c r="AD23" s="103">
        <v>117836</v>
      </c>
      <c r="AE23" s="64">
        <f t="shared" si="9"/>
        <v>0</v>
      </c>
      <c r="AF23" s="64">
        <f t="shared" si="10"/>
        <v>0.15099884585355919</v>
      </c>
      <c r="AG23" s="20">
        <f t="shared" si="11"/>
        <v>0</v>
      </c>
      <c r="AH23" s="20">
        <f t="shared" si="12"/>
        <v>208.49165641230184</v>
      </c>
      <c r="AI23" s="22"/>
    </row>
    <row r="24" spans="1:35">
      <c r="A24" s="28">
        <v>45680</v>
      </c>
      <c r="B24" s="7">
        <v>246.91666666666669</v>
      </c>
      <c r="C24" s="7">
        <v>548.16666666666674</v>
      </c>
      <c r="D24" s="7">
        <v>97.5</v>
      </c>
      <c r="E24" s="6">
        <v>365.91666666666663</v>
      </c>
      <c r="F24" s="7">
        <v>169.66666666666663</v>
      </c>
      <c r="G24" s="7">
        <v>15.833333333333332</v>
      </c>
      <c r="H24" s="7">
        <v>57.5</v>
      </c>
      <c r="I24" s="7">
        <v>976.41666666666629</v>
      </c>
      <c r="J24" s="7">
        <v>177.91666666666666</v>
      </c>
      <c r="K24" s="7">
        <v>647.66666666666652</v>
      </c>
      <c r="L24" s="7">
        <v>157</v>
      </c>
      <c r="M24" s="3">
        <v>312.41666666666669</v>
      </c>
      <c r="N24" s="107">
        <f t="shared" si="6"/>
        <v>87.820902105957529</v>
      </c>
      <c r="O24" s="7">
        <f t="shared" si="0"/>
        <v>2864.2499999999995</v>
      </c>
      <c r="P24" s="7">
        <f t="shared" si="1"/>
        <v>2776.4290978940421</v>
      </c>
      <c r="Q24" s="7">
        <f t="shared" si="2"/>
        <v>888.59576456070874</v>
      </c>
      <c r="R24" s="7">
        <f t="shared" si="3"/>
        <v>647.66666666666652</v>
      </c>
      <c r="T24" s="7">
        <v>5634</v>
      </c>
      <c r="U24" s="7"/>
      <c r="V24" s="7">
        <v>77349</v>
      </c>
      <c r="W24" s="7">
        <f t="shared" si="7"/>
        <v>77349</v>
      </c>
      <c r="X24" s="103">
        <f t="shared" si="8"/>
        <v>91123</v>
      </c>
      <c r="Y24" s="103"/>
      <c r="Z24" s="7">
        <v>0</v>
      </c>
      <c r="AB24" s="2">
        <v>13774</v>
      </c>
      <c r="AC24" s="103">
        <v>55790</v>
      </c>
      <c r="AD24" s="103">
        <v>99543</v>
      </c>
      <c r="AE24" s="64">
        <f t="shared" si="9"/>
        <v>0</v>
      </c>
      <c r="AF24" s="64">
        <f t="shared" si="10"/>
        <v>8.9942035100408865E-2</v>
      </c>
      <c r="AG24" s="20">
        <f t="shared" si="11"/>
        <v>0</v>
      </c>
      <c r="AH24" s="20">
        <f t="shared" si="12"/>
        <v>87.820902105957529</v>
      </c>
      <c r="AI24" s="22"/>
    </row>
    <row r="25" spans="1:35">
      <c r="A25" s="28">
        <v>45681</v>
      </c>
      <c r="B25" s="7">
        <v>217.58333333333334</v>
      </c>
      <c r="C25" s="7">
        <v>460.5</v>
      </c>
      <c r="D25" s="7">
        <v>90</v>
      </c>
      <c r="E25" s="6">
        <v>354</v>
      </c>
      <c r="F25" s="7">
        <v>225</v>
      </c>
      <c r="G25" s="7">
        <v>17</v>
      </c>
      <c r="H25" s="7">
        <v>62.083333333333329</v>
      </c>
      <c r="I25" s="7">
        <v>1011.1666666666666</v>
      </c>
      <c r="J25" s="7">
        <v>157.5</v>
      </c>
      <c r="K25" s="7">
        <v>847.5</v>
      </c>
      <c r="L25" s="7">
        <v>147.08333333333331</v>
      </c>
      <c r="M25" s="3">
        <v>299.25</v>
      </c>
      <c r="N25" s="107">
        <f t="shared" si="6"/>
        <v>12.561457045608137</v>
      </c>
      <c r="O25" s="7">
        <f t="shared" si="0"/>
        <v>3009.25</v>
      </c>
      <c r="P25" s="7">
        <f t="shared" si="1"/>
        <v>2996.6885429543918</v>
      </c>
      <c r="Q25" s="7">
        <f t="shared" si="2"/>
        <v>998.60520962105852</v>
      </c>
      <c r="R25" s="7">
        <f t="shared" si="3"/>
        <v>847.5</v>
      </c>
      <c r="T25" s="7">
        <v>5837</v>
      </c>
      <c r="U25" s="7"/>
      <c r="V25" s="7">
        <v>83403</v>
      </c>
      <c r="W25" s="7">
        <f t="shared" si="7"/>
        <v>83403</v>
      </c>
      <c r="X25" s="103">
        <f t="shared" si="8"/>
        <v>84949</v>
      </c>
      <c r="Y25" s="103"/>
      <c r="Z25" s="7">
        <v>0</v>
      </c>
      <c r="AB25" s="2">
        <v>1546</v>
      </c>
      <c r="AC25" s="103">
        <v>71415</v>
      </c>
      <c r="AD25" s="103">
        <v>80892</v>
      </c>
      <c r="AE25" s="64">
        <f t="shared" si="9"/>
        <v>0</v>
      </c>
      <c r="AF25" s="64">
        <f t="shared" si="10"/>
        <v>1.242273648815705E-2</v>
      </c>
      <c r="AG25" s="20">
        <f t="shared" si="11"/>
        <v>0</v>
      </c>
      <c r="AH25" s="20">
        <f t="shared" si="12"/>
        <v>12.561457045608137</v>
      </c>
      <c r="AI25" s="22"/>
    </row>
    <row r="26" spans="1:35">
      <c r="A26" s="28">
        <v>45682</v>
      </c>
      <c r="B26" s="7">
        <v>177.08333333333331</v>
      </c>
      <c r="C26" s="7">
        <v>280.41666666666663</v>
      </c>
      <c r="D26" s="7">
        <v>60</v>
      </c>
      <c r="E26" s="6">
        <v>226.5</v>
      </c>
      <c r="F26" s="7">
        <v>129.5</v>
      </c>
      <c r="G26" s="7">
        <v>0</v>
      </c>
      <c r="H26" s="7">
        <v>15</v>
      </c>
      <c r="I26" s="7">
        <v>784.83333333333326</v>
      </c>
      <c r="J26" s="7">
        <v>97.5</v>
      </c>
      <c r="K26" s="7">
        <v>508.08333333333331</v>
      </c>
      <c r="L26" s="7">
        <v>146.75</v>
      </c>
      <c r="M26" s="3">
        <v>179.41666666666669</v>
      </c>
      <c r="N26" s="107">
        <f t="shared" si="6"/>
        <v>12.68483859350113</v>
      </c>
      <c r="O26" s="7">
        <f t="shared" si="0"/>
        <v>2037.4166666666665</v>
      </c>
      <c r="P26" s="7">
        <f t="shared" si="1"/>
        <v>2024.7318280731654</v>
      </c>
      <c r="Q26" s="7">
        <f t="shared" si="2"/>
        <v>772.14849473983213</v>
      </c>
      <c r="R26" s="7">
        <f t="shared" si="3"/>
        <v>508.08333333333331</v>
      </c>
      <c r="T26" s="7">
        <v>2842</v>
      </c>
      <c r="U26" s="7"/>
      <c r="V26" s="7">
        <v>65075</v>
      </c>
      <c r="W26" s="7">
        <f t="shared" si="7"/>
        <v>65075</v>
      </c>
      <c r="X26" s="103">
        <f t="shared" si="8"/>
        <v>66709</v>
      </c>
      <c r="Y26" s="103"/>
      <c r="Z26" s="7">
        <v>0</v>
      </c>
      <c r="AB26" s="2">
        <v>1634</v>
      </c>
      <c r="AC26" s="103">
        <v>57757</v>
      </c>
      <c r="AD26" s="103">
        <v>65714</v>
      </c>
      <c r="AE26" s="64">
        <f t="shared" si="9"/>
        <v>0</v>
      </c>
      <c r="AF26" s="64">
        <f t="shared" si="10"/>
        <v>1.6162461575919895E-2</v>
      </c>
      <c r="AG26" s="20">
        <f t="shared" si="11"/>
        <v>0</v>
      </c>
      <c r="AH26" s="20">
        <f t="shared" si="12"/>
        <v>12.68483859350113</v>
      </c>
      <c r="AI26" s="22"/>
    </row>
    <row r="27" spans="1:35">
      <c r="A27" s="28">
        <v>45683</v>
      </c>
      <c r="C27" s="7">
        <v>247.91666666666663</v>
      </c>
      <c r="D27" s="7">
        <v>31.5</v>
      </c>
      <c r="E27" s="6">
        <v>0</v>
      </c>
      <c r="F27" s="7">
        <v>157.50000000000003</v>
      </c>
      <c r="G27" s="7">
        <v>0</v>
      </c>
      <c r="H27" s="7">
        <v>22.5</v>
      </c>
      <c r="I27" s="7">
        <v>721.66666666666663</v>
      </c>
      <c r="J27" s="7">
        <v>82.5</v>
      </c>
      <c r="K27" s="7">
        <v>562.33333333333337</v>
      </c>
      <c r="L27" s="7">
        <v>0</v>
      </c>
      <c r="M27" s="3">
        <v>134.16666666666669</v>
      </c>
      <c r="N27" s="107">
        <f t="shared" si="6"/>
        <v>7.8702623426273801</v>
      </c>
      <c r="O27" s="7">
        <f t="shared" si="0"/>
        <v>1803.4166666666665</v>
      </c>
      <c r="P27" s="7">
        <f t="shared" si="1"/>
        <v>1795.5464043240395</v>
      </c>
      <c r="Q27" s="7">
        <f t="shared" si="2"/>
        <v>713.79640432403926</v>
      </c>
      <c r="R27" s="7">
        <f t="shared" si="3"/>
        <v>562.33333333333337</v>
      </c>
      <c r="T27" s="7">
        <v>4493</v>
      </c>
      <c r="U27" s="7"/>
      <c r="V27" s="7">
        <v>67819</v>
      </c>
      <c r="W27" s="7">
        <f t="shared" si="7"/>
        <v>67819</v>
      </c>
      <c r="X27" s="103">
        <f t="shared" si="8"/>
        <v>68922</v>
      </c>
      <c r="Y27" s="103"/>
      <c r="Z27" s="7">
        <v>0</v>
      </c>
      <c r="AB27" s="2">
        <v>1103</v>
      </c>
      <c r="AC27" s="103">
        <v>63970</v>
      </c>
      <c r="AD27" s="103">
        <v>65741</v>
      </c>
      <c r="AE27" s="64">
        <f t="shared" si="9"/>
        <v>0</v>
      </c>
      <c r="AF27" s="64">
        <f t="shared" si="10"/>
        <v>1.090567530156219E-2</v>
      </c>
      <c r="AG27" s="20">
        <f t="shared" si="11"/>
        <v>0</v>
      </c>
      <c r="AH27" s="20">
        <f t="shared" si="12"/>
        <v>7.8702623426273801</v>
      </c>
      <c r="AI27" s="22"/>
    </row>
    <row r="28" spans="1:35">
      <c r="A28" s="28">
        <v>45684</v>
      </c>
      <c r="B28" s="7">
        <v>210</v>
      </c>
      <c r="C28" s="7">
        <v>540</v>
      </c>
      <c r="D28" s="7">
        <v>88.583333333333343</v>
      </c>
      <c r="E28" s="6">
        <v>390.91666666666669</v>
      </c>
      <c r="F28" s="7">
        <v>286</v>
      </c>
      <c r="G28" s="7">
        <v>90.5</v>
      </c>
      <c r="H28" s="7">
        <v>72.5</v>
      </c>
      <c r="I28" s="7">
        <v>975.66666666666652</v>
      </c>
      <c r="J28" s="7">
        <v>67.5</v>
      </c>
      <c r="K28" s="7">
        <v>696.41666666666652</v>
      </c>
      <c r="L28" s="7">
        <v>173.83333333333331</v>
      </c>
      <c r="M28" s="3">
        <v>322.5</v>
      </c>
      <c r="N28" s="107">
        <f t="shared" si="6"/>
        <v>38.795787588036546</v>
      </c>
      <c r="O28" s="7">
        <f t="shared" si="0"/>
        <v>2864.1666666666665</v>
      </c>
      <c r="P28" s="7">
        <f t="shared" si="1"/>
        <v>2825.3708790786304</v>
      </c>
      <c r="Q28" s="7">
        <f t="shared" si="2"/>
        <v>956.16026838120456</v>
      </c>
      <c r="R28" s="7">
        <f t="shared" si="3"/>
        <v>677.12727736409192</v>
      </c>
      <c r="T28" s="7">
        <v>3328</v>
      </c>
      <c r="U28" s="7"/>
      <c r="V28" s="7">
        <v>61208</v>
      </c>
      <c r="W28" s="7">
        <f t="shared" si="7"/>
        <v>61208</v>
      </c>
      <c r="X28" s="103">
        <f t="shared" si="8"/>
        <v>63112</v>
      </c>
      <c r="Y28" s="103"/>
      <c r="Z28" s="7">
        <v>2062</v>
      </c>
      <c r="AB28" s="2">
        <v>1904</v>
      </c>
      <c r="AC28" s="103">
        <v>68490</v>
      </c>
      <c r="AD28" s="103">
        <v>61902</v>
      </c>
      <c r="AE28" s="64">
        <f t="shared" si="9"/>
        <v>2.7698058110673093E-2</v>
      </c>
      <c r="AF28" s="64">
        <f t="shared" si="10"/>
        <v>1.9992891990565732E-2</v>
      </c>
      <c r="AG28" s="20">
        <f t="shared" si="11"/>
        <v>19.289389302574584</v>
      </c>
      <c r="AH28" s="20">
        <f t="shared" si="12"/>
        <v>19.506398285461962</v>
      </c>
      <c r="AI28" s="22"/>
    </row>
    <row r="29" spans="1:35">
      <c r="A29" s="28">
        <v>45685</v>
      </c>
      <c r="B29" s="7">
        <v>342.66666666666669</v>
      </c>
      <c r="C29" s="7">
        <v>355.91666666666674</v>
      </c>
      <c r="D29" s="7">
        <v>90</v>
      </c>
      <c r="E29" s="6">
        <v>408.41666666666663</v>
      </c>
      <c r="F29" s="7">
        <v>245.91666666666663</v>
      </c>
      <c r="G29" s="7">
        <v>101.41666666666666</v>
      </c>
      <c r="H29" s="7">
        <v>80</v>
      </c>
      <c r="I29" s="7">
        <v>1022.6666666666669</v>
      </c>
      <c r="J29" s="7">
        <v>82.5</v>
      </c>
      <c r="K29" s="7">
        <v>635.25</v>
      </c>
      <c r="L29" s="7">
        <v>178.25</v>
      </c>
      <c r="M29" s="3">
        <v>319.66666666666663</v>
      </c>
      <c r="N29" s="107">
        <f t="shared" si="6"/>
        <v>147.33256929757403</v>
      </c>
      <c r="O29" s="7">
        <f t="shared" si="0"/>
        <v>2774.916666666667</v>
      </c>
      <c r="P29" s="7">
        <f t="shared" si="1"/>
        <v>2627.5840973690929</v>
      </c>
      <c r="Q29" s="7">
        <f t="shared" si="2"/>
        <v>995.10422860698191</v>
      </c>
      <c r="R29" s="7">
        <f t="shared" si="3"/>
        <v>515.47986876211087</v>
      </c>
      <c r="T29" s="7">
        <v>5247</v>
      </c>
      <c r="U29" s="7"/>
      <c r="V29" s="7">
        <v>73830</v>
      </c>
      <c r="W29" s="7">
        <f t="shared" si="7"/>
        <v>73830</v>
      </c>
      <c r="X29" s="103">
        <f t="shared" si="8"/>
        <v>76940</v>
      </c>
      <c r="Y29" s="103"/>
      <c r="Z29" s="7">
        <v>16287</v>
      </c>
      <c r="AB29" s="2">
        <v>3110</v>
      </c>
      <c r="AC29" s="103">
        <v>79474</v>
      </c>
      <c r="AD29" s="103">
        <v>75005</v>
      </c>
      <c r="AE29" s="64">
        <f t="shared" si="9"/>
        <v>0.18854015149608677</v>
      </c>
      <c r="AF29" s="64">
        <f t="shared" si="10"/>
        <v>2.6951536564229054E-2</v>
      </c>
      <c r="AG29" s="20">
        <f t="shared" si="11"/>
        <v>119.77013123788912</v>
      </c>
      <c r="AH29" s="20">
        <f t="shared" si="12"/>
        <v>27.562438059684919</v>
      </c>
      <c r="AI29" s="22"/>
    </row>
    <row r="30" spans="1:35">
      <c r="A30" s="28">
        <v>45686</v>
      </c>
      <c r="B30" s="7">
        <v>262.5</v>
      </c>
      <c r="C30" s="7">
        <v>272</v>
      </c>
      <c r="D30" s="7">
        <v>97.5</v>
      </c>
      <c r="E30" s="6">
        <v>385.16666666666663</v>
      </c>
      <c r="F30" s="7">
        <v>221.66666666666663</v>
      </c>
      <c r="G30" s="7">
        <v>131.16666666666669</v>
      </c>
      <c r="H30" s="7">
        <v>71.5</v>
      </c>
      <c r="I30" s="7">
        <v>1223.1666666666667</v>
      </c>
      <c r="J30" s="7">
        <v>127.5</v>
      </c>
      <c r="K30" s="7">
        <v>722.25</v>
      </c>
      <c r="L30" s="7">
        <v>173.08333333333337</v>
      </c>
      <c r="M30" s="3">
        <v>312</v>
      </c>
      <c r="N30" s="107">
        <f t="shared" si="6"/>
        <v>257.30234800406936</v>
      </c>
      <c r="O30" s="7">
        <f t="shared" si="0"/>
        <v>2926.5833333333335</v>
      </c>
      <c r="P30" s="7">
        <f t="shared" si="1"/>
        <v>2669.2809853292642</v>
      </c>
      <c r="Q30" s="7">
        <f t="shared" si="2"/>
        <v>1075.4879874998767</v>
      </c>
      <c r="R30" s="7">
        <f t="shared" si="3"/>
        <v>612.6263311627207</v>
      </c>
      <c r="T30" s="7">
        <v>7124</v>
      </c>
      <c r="U30" s="7"/>
      <c r="V30" s="7">
        <v>70622</v>
      </c>
      <c r="W30" s="7">
        <f t="shared" si="7"/>
        <v>70622</v>
      </c>
      <c r="X30" s="103">
        <f t="shared" si="8"/>
        <v>89449</v>
      </c>
      <c r="Y30" s="103"/>
      <c r="Z30" s="7">
        <v>17532</v>
      </c>
      <c r="AB30" s="2">
        <v>18827</v>
      </c>
      <c r="AC30" s="103">
        <v>106268</v>
      </c>
      <c r="AD30" s="103">
        <v>101359</v>
      </c>
      <c r="AE30" s="64">
        <f t="shared" si="9"/>
        <v>0.1517807806677457</v>
      </c>
      <c r="AF30" s="64">
        <f t="shared" si="10"/>
        <v>0.12073471522015805</v>
      </c>
      <c r="AG30" s="20">
        <f t="shared" si="11"/>
        <v>109.62366883727933</v>
      </c>
      <c r="AH30" s="20">
        <f t="shared" si="12"/>
        <v>147.67867916679</v>
      </c>
      <c r="AI30" s="22"/>
    </row>
    <row r="31" spans="1:35">
      <c r="A31" s="28">
        <v>45687</v>
      </c>
      <c r="B31" s="6">
        <v>300.83333333333331</v>
      </c>
      <c r="C31" s="6">
        <v>307</v>
      </c>
      <c r="D31" s="6">
        <v>97.5</v>
      </c>
      <c r="E31" s="6">
        <v>387.5</v>
      </c>
      <c r="F31" s="6">
        <v>305.33333333333331</v>
      </c>
      <c r="G31" s="6">
        <v>131.08333333333331</v>
      </c>
      <c r="H31" s="6">
        <v>80</v>
      </c>
      <c r="I31" s="6">
        <v>1250.5833333333333</v>
      </c>
      <c r="J31" s="6">
        <v>102.5</v>
      </c>
      <c r="K31" s="6">
        <v>596.5</v>
      </c>
      <c r="L31" s="6">
        <v>180.33333333333337</v>
      </c>
      <c r="M31" s="3">
        <v>292.83333333333331</v>
      </c>
      <c r="N31" s="107">
        <f t="shared" si="6"/>
        <v>124.36224498437788</v>
      </c>
      <c r="O31" s="7">
        <f t="shared" si="0"/>
        <v>2960.25</v>
      </c>
      <c r="P31" s="7">
        <f t="shared" si="1"/>
        <v>2835.8877550156221</v>
      </c>
      <c r="Q31" s="7">
        <f t="shared" si="2"/>
        <v>1126.2210883489554</v>
      </c>
      <c r="R31" s="7">
        <f t="shared" si="3"/>
        <v>596.5</v>
      </c>
      <c r="T31" s="7">
        <v>3201</v>
      </c>
      <c r="U31" s="7"/>
      <c r="V31" s="7">
        <v>91810</v>
      </c>
      <c r="W31" s="7">
        <f t="shared" si="7"/>
        <v>91810</v>
      </c>
      <c r="X31" s="103">
        <f t="shared" si="8"/>
        <v>111380</v>
      </c>
      <c r="Y31" s="103"/>
      <c r="Z31" s="7">
        <v>0</v>
      </c>
      <c r="AB31" s="2">
        <v>19570</v>
      </c>
      <c r="AC31" s="103">
        <v>63895</v>
      </c>
      <c r="AD31" s="103">
        <v>127917</v>
      </c>
      <c r="AE31" s="64">
        <f t="shared" si="9"/>
        <v>0</v>
      </c>
      <c r="AF31" s="64">
        <f t="shared" si="10"/>
        <v>9.9443389072601765E-2</v>
      </c>
      <c r="AG31" s="20">
        <f t="shared" si="11"/>
        <v>0</v>
      </c>
      <c r="AH31" s="20">
        <f t="shared" si="12"/>
        <v>124.36224498437788</v>
      </c>
      <c r="AI31" s="22"/>
    </row>
    <row r="32" spans="1:35">
      <c r="A32" s="28">
        <v>45688</v>
      </c>
      <c r="B32" s="6">
        <v>195.5</v>
      </c>
      <c r="C32" s="6">
        <v>312</v>
      </c>
      <c r="D32" s="6">
        <v>89.416666666666671</v>
      </c>
      <c r="E32" s="6">
        <v>360.00000000000006</v>
      </c>
      <c r="F32" s="6">
        <v>244</v>
      </c>
      <c r="G32" s="6">
        <v>129.58333333333331</v>
      </c>
      <c r="H32" s="6">
        <v>69.75</v>
      </c>
      <c r="I32" s="6">
        <v>1009.4166666666666</v>
      </c>
      <c r="J32" s="6">
        <v>75.5</v>
      </c>
      <c r="K32" s="6">
        <v>672</v>
      </c>
      <c r="L32" s="6">
        <v>187.16666666666669</v>
      </c>
      <c r="M32" s="3">
        <v>290.41666666666669</v>
      </c>
      <c r="N32" s="107">
        <f t="shared" si="6"/>
        <v>13.218657044651998</v>
      </c>
      <c r="O32" s="7">
        <f t="shared" si="0"/>
        <v>2597.833333333333</v>
      </c>
      <c r="P32" s="7">
        <f t="shared" si="1"/>
        <v>2584.614676288681</v>
      </c>
      <c r="Q32" s="7">
        <f t="shared" si="2"/>
        <v>996.19800962201464</v>
      </c>
      <c r="R32" s="7">
        <f t="shared" si="3"/>
        <v>672</v>
      </c>
      <c r="T32" s="7">
        <v>2943</v>
      </c>
      <c r="U32" s="7"/>
      <c r="V32" s="7">
        <v>79330</v>
      </c>
      <c r="W32" s="7">
        <f t="shared" si="7"/>
        <v>79330</v>
      </c>
      <c r="X32" s="103">
        <f t="shared" si="8"/>
        <v>80937</v>
      </c>
      <c r="Y32" s="103"/>
      <c r="Z32" s="7">
        <v>0</v>
      </c>
      <c r="AB32" s="2">
        <v>1607</v>
      </c>
      <c r="AC32" s="103">
        <v>75454</v>
      </c>
      <c r="AD32" s="103">
        <v>79765</v>
      </c>
      <c r="AE32" s="64">
        <f t="shared" si="9"/>
        <v>0</v>
      </c>
      <c r="AF32" s="64">
        <f t="shared" si="10"/>
        <v>1.3095342568795838E-2</v>
      </c>
      <c r="AG32" s="20">
        <f t="shared" si="11"/>
        <v>0</v>
      </c>
      <c r="AH32" s="20">
        <f t="shared" si="12"/>
        <v>13.218657044651998</v>
      </c>
      <c r="AI32" s="22"/>
    </row>
    <row r="33" spans="1:35">
      <c r="A33" s="28">
        <v>45689</v>
      </c>
      <c r="B33" s="6">
        <v>185</v>
      </c>
      <c r="C33" s="6">
        <v>233.41666666666666</v>
      </c>
      <c r="D33" s="6">
        <v>57.5</v>
      </c>
      <c r="E33" s="6">
        <v>263</v>
      </c>
      <c r="F33" s="6">
        <v>150</v>
      </c>
      <c r="G33" s="6">
        <v>105</v>
      </c>
      <c r="H33" s="6">
        <v>15</v>
      </c>
      <c r="I33" s="6">
        <v>658</v>
      </c>
      <c r="J33" s="6">
        <v>82.5</v>
      </c>
      <c r="K33" s="6">
        <v>456</v>
      </c>
      <c r="L33" s="6">
        <v>153</v>
      </c>
      <c r="M33" s="3">
        <v>172.08333333333334</v>
      </c>
      <c r="N33" s="107">
        <f t="shared" si="6"/>
        <v>4.0402964429983816</v>
      </c>
      <c r="O33" s="7">
        <f t="shared" si="0"/>
        <v>1822.4166666666665</v>
      </c>
      <c r="P33" s="7">
        <f t="shared" si="1"/>
        <v>1818.3763702236683</v>
      </c>
      <c r="Q33" s="7">
        <f t="shared" si="2"/>
        <v>653.9597035570016</v>
      </c>
      <c r="R33" s="7">
        <f t="shared" si="3"/>
        <v>456</v>
      </c>
      <c r="T33" s="7">
        <v>5774</v>
      </c>
      <c r="U33" s="7"/>
      <c r="V33" s="7">
        <v>68062</v>
      </c>
      <c r="W33" s="7">
        <f t="shared" si="7"/>
        <v>68062</v>
      </c>
      <c r="X33" s="103">
        <f t="shared" si="8"/>
        <v>68663</v>
      </c>
      <c r="Y33" s="103"/>
      <c r="Z33" s="7">
        <v>0</v>
      </c>
      <c r="AB33" s="2">
        <v>601</v>
      </c>
      <c r="AC33" s="103">
        <v>64142</v>
      </c>
      <c r="AD33" s="103">
        <v>63621</v>
      </c>
      <c r="AE33" s="64">
        <f t="shared" si="9"/>
        <v>0</v>
      </c>
      <c r="AF33" s="64">
        <f t="shared" si="10"/>
        <v>6.1402681504534673E-3</v>
      </c>
      <c r="AG33" s="20">
        <f t="shared" si="11"/>
        <v>0</v>
      </c>
      <c r="AH33" s="20">
        <f t="shared" si="12"/>
        <v>4.0402964429983816</v>
      </c>
      <c r="AI33" s="22"/>
    </row>
    <row r="34" spans="1:35">
      <c r="A34" s="28">
        <v>45690</v>
      </c>
      <c r="B34" s="6"/>
      <c r="C34" s="6">
        <v>240</v>
      </c>
      <c r="D34" s="6">
        <v>37.5</v>
      </c>
      <c r="E34" s="6">
        <v>0</v>
      </c>
      <c r="F34" s="6">
        <v>164.41666666666666</v>
      </c>
      <c r="G34" s="6">
        <v>104.41666666666667</v>
      </c>
      <c r="H34" s="6">
        <v>22.5</v>
      </c>
      <c r="I34" s="6">
        <v>696.83333333333326</v>
      </c>
      <c r="J34" s="6">
        <v>90</v>
      </c>
      <c r="K34" s="6">
        <v>494.41666666666674</v>
      </c>
      <c r="L34" s="6">
        <v>0</v>
      </c>
      <c r="M34" s="3">
        <v>119.75</v>
      </c>
      <c r="N34" s="107">
        <f t="shared" si="6"/>
        <v>15.318672097272479</v>
      </c>
      <c r="O34" s="7">
        <f t="shared" si="0"/>
        <v>1723.1666666666667</v>
      </c>
      <c r="P34" s="7">
        <f t="shared" si="1"/>
        <v>1707.8479945693941</v>
      </c>
      <c r="Q34" s="7">
        <f t="shared" si="2"/>
        <v>681.51466123606076</v>
      </c>
      <c r="R34" s="7">
        <f t="shared" si="3"/>
        <v>494.41666666666674</v>
      </c>
      <c r="T34" s="7">
        <v>5357</v>
      </c>
      <c r="U34" s="7"/>
      <c r="V34" s="7">
        <v>66284</v>
      </c>
      <c r="W34" s="7">
        <f t="shared" si="7"/>
        <v>66284</v>
      </c>
      <c r="X34" s="103">
        <f t="shared" si="8"/>
        <v>68499</v>
      </c>
      <c r="Y34" s="103"/>
      <c r="Z34" s="7">
        <v>0</v>
      </c>
      <c r="AB34" s="2">
        <v>2215</v>
      </c>
      <c r="AC34" s="103">
        <v>70854</v>
      </c>
      <c r="AD34" s="103">
        <v>65493</v>
      </c>
      <c r="AE34" s="64">
        <f t="shared" si="9"/>
        <v>0</v>
      </c>
      <c r="AF34" s="64">
        <f t="shared" si="10"/>
        <v>2.198326538714061E-2</v>
      </c>
      <c r="AG34" s="20">
        <f t="shared" si="11"/>
        <v>0</v>
      </c>
      <c r="AH34" s="20">
        <f t="shared" si="12"/>
        <v>15.318672097272479</v>
      </c>
      <c r="AI34" s="22"/>
    </row>
    <row r="35" spans="1:35">
      <c r="A35" s="28">
        <v>45691</v>
      </c>
      <c r="B35" s="6">
        <v>192.08333333333334</v>
      </c>
      <c r="C35" s="6">
        <v>358.41666666666669</v>
      </c>
      <c r="D35" s="6">
        <v>94</v>
      </c>
      <c r="E35" s="6">
        <v>389.83333333333337</v>
      </c>
      <c r="F35" s="6">
        <v>243.24999999999994</v>
      </c>
      <c r="G35" s="6">
        <v>136</v>
      </c>
      <c r="H35" s="6">
        <v>70.5</v>
      </c>
      <c r="I35" s="6">
        <v>965.41666666666674</v>
      </c>
      <c r="J35" s="6">
        <v>97.5</v>
      </c>
      <c r="K35" s="6">
        <v>573.25</v>
      </c>
      <c r="L35" s="6">
        <v>171.75</v>
      </c>
      <c r="M35" s="3">
        <v>288.58333333333337</v>
      </c>
      <c r="N35" s="107">
        <f t="shared" si="6"/>
        <v>18.012779408217419</v>
      </c>
      <c r="O35" s="7">
        <f t="shared" si="0"/>
        <v>2523.916666666667</v>
      </c>
      <c r="P35" s="7">
        <f t="shared" si="1"/>
        <v>2505.9038872584492</v>
      </c>
      <c r="Q35" s="7">
        <f t="shared" si="2"/>
        <v>947.40388725844934</v>
      </c>
      <c r="R35" s="7">
        <f t="shared" si="3"/>
        <v>573.25</v>
      </c>
      <c r="T35" s="7">
        <v>5036</v>
      </c>
      <c r="U35" s="7"/>
      <c r="V35" s="7">
        <v>63491</v>
      </c>
      <c r="W35" s="7">
        <f t="shared" si="7"/>
        <v>63491</v>
      </c>
      <c r="X35" s="103">
        <f t="shared" si="8"/>
        <v>65276</v>
      </c>
      <c r="Y35" s="103"/>
      <c r="Z35" s="7">
        <v>0</v>
      </c>
      <c r="AB35" s="2">
        <v>1785</v>
      </c>
      <c r="AC35" s="103">
        <v>70876</v>
      </c>
      <c r="AD35" s="103">
        <v>62185</v>
      </c>
      <c r="AE35" s="64">
        <f t="shared" si="9"/>
        <v>0</v>
      </c>
      <c r="AF35" s="64">
        <f t="shared" si="10"/>
        <v>1.8658036503980062E-2</v>
      </c>
      <c r="AG35" s="20">
        <f t="shared" ref="AG35:AG66" si="13">+AE35*K35</f>
        <v>0</v>
      </c>
      <c r="AH35" s="20">
        <f t="shared" ref="AH35:AH66" si="14">+AF35*I35</f>
        <v>18.012779408217419</v>
      </c>
      <c r="AI35" s="22"/>
    </row>
    <row r="36" spans="1:35">
      <c r="A36" s="28">
        <v>45692</v>
      </c>
      <c r="B36" s="6">
        <v>195</v>
      </c>
      <c r="C36" s="6">
        <v>329.66666666666663</v>
      </c>
      <c r="D36" s="6">
        <v>83.666666666666657</v>
      </c>
      <c r="E36" s="6">
        <v>374.66666666666674</v>
      </c>
      <c r="F36" s="6">
        <v>239.41666666666666</v>
      </c>
      <c r="G36" s="6">
        <v>153</v>
      </c>
      <c r="H36" s="6">
        <v>71.5</v>
      </c>
      <c r="I36" s="6">
        <v>1182.25</v>
      </c>
      <c r="J36" s="6">
        <v>116.08333333333331</v>
      </c>
      <c r="K36" s="6">
        <v>577.91666666666674</v>
      </c>
      <c r="L36" s="6">
        <v>197.5</v>
      </c>
      <c r="M36" s="3">
        <v>307.08333333333337</v>
      </c>
      <c r="N36" s="107">
        <f t="shared" si="6"/>
        <v>96.37522399723585</v>
      </c>
      <c r="O36" s="7">
        <f t="shared" si="0"/>
        <v>2724.0000000000005</v>
      </c>
      <c r="P36" s="7">
        <f t="shared" si="1"/>
        <v>2627.6247760027636</v>
      </c>
      <c r="Q36" s="7">
        <f t="shared" si="2"/>
        <v>1167.5870342060261</v>
      </c>
      <c r="R36" s="7">
        <f t="shared" si="3"/>
        <v>496.20440846340466</v>
      </c>
      <c r="T36" s="7">
        <v>5470</v>
      </c>
      <c r="U36" s="7"/>
      <c r="V36" s="7">
        <v>94199</v>
      </c>
      <c r="W36" s="7">
        <f t="shared" si="7"/>
        <v>94199</v>
      </c>
      <c r="X36" s="103">
        <f t="shared" si="8"/>
        <v>95962</v>
      </c>
      <c r="Y36" s="103"/>
      <c r="Z36" s="7">
        <v>13578</v>
      </c>
      <c r="AB36" s="2">
        <v>1763</v>
      </c>
      <c r="AC36" s="103">
        <v>88349</v>
      </c>
      <c r="AD36" s="103">
        <v>92396</v>
      </c>
      <c r="AE36" s="64">
        <f t="shared" si="9"/>
        <v>0.14139107403592571</v>
      </c>
      <c r="AF36" s="64">
        <f t="shared" si="10"/>
        <v>1.2402593185852202E-2</v>
      </c>
      <c r="AG36" s="20">
        <f t="shared" si="13"/>
        <v>81.712258203262081</v>
      </c>
      <c r="AH36" s="20">
        <f t="shared" si="14"/>
        <v>14.662965793973765</v>
      </c>
      <c r="AI36" s="22"/>
    </row>
    <row r="37" spans="1:35">
      <c r="A37" s="28">
        <v>45693</v>
      </c>
      <c r="B37" s="6">
        <v>201.25</v>
      </c>
      <c r="C37" s="6">
        <v>261.91666666666663</v>
      </c>
      <c r="D37" s="6">
        <v>94.333333333333329</v>
      </c>
      <c r="E37" s="6">
        <v>375.83333333333337</v>
      </c>
      <c r="F37" s="6">
        <v>255</v>
      </c>
      <c r="G37" s="6">
        <v>152.41666666666666</v>
      </c>
      <c r="H37" s="6">
        <v>70.75</v>
      </c>
      <c r="I37" s="6">
        <v>1429.166666666667</v>
      </c>
      <c r="J37" s="6">
        <v>95.333333333333343</v>
      </c>
      <c r="K37" s="6">
        <v>832.41666666666674</v>
      </c>
      <c r="L37" s="6">
        <v>199.33333333333337</v>
      </c>
      <c r="M37" s="3">
        <v>296.75</v>
      </c>
      <c r="N37" s="107">
        <f t="shared" si="6"/>
        <v>29.123244075432538</v>
      </c>
      <c r="O37" s="7">
        <f t="shared" si="0"/>
        <v>3169.4166666666674</v>
      </c>
      <c r="P37" s="7">
        <f t="shared" si="1"/>
        <v>3140.293422591235</v>
      </c>
      <c r="Q37" s="7">
        <f t="shared" si="2"/>
        <v>1419.0856436083373</v>
      </c>
      <c r="R37" s="7">
        <f t="shared" si="3"/>
        <v>813.374445649564</v>
      </c>
      <c r="T37" s="7">
        <v>4411</v>
      </c>
      <c r="U37" s="7"/>
      <c r="V37" s="7">
        <v>101409</v>
      </c>
      <c r="W37" s="7">
        <f t="shared" si="7"/>
        <v>101409</v>
      </c>
      <c r="X37" s="103">
        <f t="shared" si="8"/>
        <v>102488</v>
      </c>
      <c r="Y37" s="103"/>
      <c r="Z37" s="7">
        <v>3072</v>
      </c>
      <c r="AB37" s="2">
        <v>1079</v>
      </c>
      <c r="AC37" s="103">
        <v>123547</v>
      </c>
      <c r="AD37" s="103">
        <v>99429</v>
      </c>
      <c r="AE37" s="64">
        <f t="shared" si="9"/>
        <v>2.2875828632018584E-2</v>
      </c>
      <c r="AF37" s="64">
        <f t="shared" si="10"/>
        <v>7.0537770670528726E-3</v>
      </c>
      <c r="AG37" s="20">
        <f t="shared" si="13"/>
        <v>19.042221017102804</v>
      </c>
      <c r="AH37" s="20">
        <f t="shared" si="14"/>
        <v>10.081023058329732</v>
      </c>
      <c r="AI37" s="22"/>
    </row>
    <row r="38" spans="1:35">
      <c r="A38" s="28">
        <v>45694</v>
      </c>
      <c r="B38" s="6">
        <v>60</v>
      </c>
      <c r="C38" s="6">
        <v>322.5</v>
      </c>
      <c r="D38" s="6">
        <v>97.5</v>
      </c>
      <c r="E38" s="6">
        <v>333.83333333333337</v>
      </c>
      <c r="F38" s="6">
        <v>264.83333333333337</v>
      </c>
      <c r="G38" s="6">
        <v>151.91666666666669</v>
      </c>
      <c r="H38" s="6">
        <v>77.666666666666671</v>
      </c>
      <c r="I38" s="6">
        <v>1377.6666666666667</v>
      </c>
      <c r="J38" s="6">
        <v>89.333333333333343</v>
      </c>
      <c r="K38" s="6">
        <v>842.33333333333326</v>
      </c>
      <c r="L38" s="6">
        <v>194.16666666666663</v>
      </c>
      <c r="M38" s="3">
        <v>304.25</v>
      </c>
      <c r="N38" s="107">
        <f t="shared" si="6"/>
        <v>117.62809897269354</v>
      </c>
      <c r="O38" s="7">
        <f t="shared" si="0"/>
        <v>3054.1666666666665</v>
      </c>
      <c r="P38" s="7">
        <f t="shared" si="1"/>
        <v>2936.5385676939732</v>
      </c>
      <c r="Q38" s="7">
        <f t="shared" si="2"/>
        <v>1359.1759279634275</v>
      </c>
      <c r="R38" s="7">
        <f t="shared" si="3"/>
        <v>743.19597306387902</v>
      </c>
      <c r="T38" s="7">
        <v>8042</v>
      </c>
      <c r="U38" s="7"/>
      <c r="V38" s="7">
        <v>119888</v>
      </c>
      <c r="W38" s="7">
        <f t="shared" si="7"/>
        <v>119888</v>
      </c>
      <c r="X38" s="103">
        <f t="shared" si="8"/>
        <v>122309</v>
      </c>
      <c r="Y38" s="103"/>
      <c r="Z38" s="7">
        <v>18345</v>
      </c>
      <c r="AB38" s="2">
        <v>2421</v>
      </c>
      <c r="AC38" s="103">
        <v>143401</v>
      </c>
      <c r="AD38" s="103">
        <v>117246</v>
      </c>
      <c r="AE38" s="64">
        <f t="shared" si="9"/>
        <v>0.11769373993207859</v>
      </c>
      <c r="AF38" s="64">
        <f t="shared" si="10"/>
        <v>1.3421779847500127E-2</v>
      </c>
      <c r="AG38" s="20">
        <f t="shared" si="13"/>
        <v>99.137360269454192</v>
      </c>
      <c r="AH38" s="20">
        <f t="shared" si="14"/>
        <v>18.490738703239344</v>
      </c>
      <c r="AI38" s="22"/>
    </row>
    <row r="39" spans="1:35">
      <c r="A39" s="28">
        <v>45695</v>
      </c>
      <c r="B39" s="6">
        <v>67.5</v>
      </c>
      <c r="C39" s="6">
        <v>421.08333333333326</v>
      </c>
      <c r="D39" s="6">
        <v>97.5</v>
      </c>
      <c r="E39" s="6">
        <v>309.33333333333331</v>
      </c>
      <c r="F39" s="6">
        <v>244.08333333333334</v>
      </c>
      <c r="G39" s="6">
        <v>146.08333333333334</v>
      </c>
      <c r="H39" s="6">
        <v>78.916666666666671</v>
      </c>
      <c r="I39" s="6">
        <v>1426</v>
      </c>
      <c r="J39" s="6">
        <v>119.33333333333334</v>
      </c>
      <c r="K39" s="6">
        <v>805.83333333333348</v>
      </c>
      <c r="L39" s="6">
        <v>179.41666666666663</v>
      </c>
      <c r="M39" s="3">
        <v>288.83333333333337</v>
      </c>
      <c r="N39" s="107">
        <f t="shared" si="6"/>
        <v>205.53151975348351</v>
      </c>
      <c r="O39" s="7">
        <f t="shared" si="0"/>
        <v>3181.3333333333335</v>
      </c>
      <c r="P39" s="7">
        <f t="shared" si="1"/>
        <v>2975.8018135798502</v>
      </c>
      <c r="Q39" s="7">
        <f t="shared" si="2"/>
        <v>1327.2315467625899</v>
      </c>
      <c r="R39" s="7">
        <f t="shared" si="3"/>
        <v>699.07026681726006</v>
      </c>
      <c r="T39" s="7">
        <v>8134</v>
      </c>
      <c r="U39" s="7"/>
      <c r="V39" s="7">
        <v>121421</v>
      </c>
      <c r="W39" s="7">
        <f t="shared" si="7"/>
        <v>121421</v>
      </c>
      <c r="X39" s="103">
        <f t="shared" si="8"/>
        <v>136825</v>
      </c>
      <c r="Y39" s="103"/>
      <c r="Z39" s="7">
        <v>19763</v>
      </c>
      <c r="AB39" s="2">
        <v>15404</v>
      </c>
      <c r="AC39" s="103">
        <v>137235</v>
      </c>
      <c r="AD39" s="103">
        <v>144560</v>
      </c>
      <c r="AE39" s="64">
        <f t="shared" si="9"/>
        <v>0.13248777644186979</v>
      </c>
      <c r="AF39" s="64">
        <f t="shared" si="10"/>
        <v>6.9262589928057561E-2</v>
      </c>
      <c r="AG39" s="20">
        <f t="shared" si="13"/>
        <v>106.76306651607342</v>
      </c>
      <c r="AH39" s="20">
        <f t="shared" si="14"/>
        <v>98.768453237410085</v>
      </c>
      <c r="AI39" s="22"/>
    </row>
    <row r="40" spans="1:35">
      <c r="A40" s="28">
        <v>45696</v>
      </c>
      <c r="B40" s="6">
        <v>88.666666666666686</v>
      </c>
      <c r="C40" s="6">
        <v>210</v>
      </c>
      <c r="D40" s="6">
        <v>52.5</v>
      </c>
      <c r="E40" s="6">
        <v>239.91666666666663</v>
      </c>
      <c r="F40" s="6">
        <v>164.66666666666666</v>
      </c>
      <c r="G40" s="6">
        <v>111.16666666666667</v>
      </c>
      <c r="H40" s="6">
        <v>14.583333333333336</v>
      </c>
      <c r="I40" s="6">
        <v>763.25</v>
      </c>
      <c r="J40" s="6">
        <v>117</v>
      </c>
      <c r="K40" s="6">
        <v>448.33333333333337</v>
      </c>
      <c r="L40" s="6">
        <v>192.41666666666669</v>
      </c>
      <c r="M40" s="3">
        <v>164.75</v>
      </c>
      <c r="N40" s="107">
        <f t="shared" si="6"/>
        <v>130.25827211220991</v>
      </c>
      <c r="O40" s="7">
        <f t="shared" si="0"/>
        <v>1844.416666666667</v>
      </c>
      <c r="P40" s="7">
        <f t="shared" si="1"/>
        <v>1714.1583945544569</v>
      </c>
      <c r="Q40" s="7">
        <f t="shared" si="2"/>
        <v>639.84455080506348</v>
      </c>
      <c r="R40" s="7">
        <f t="shared" si="3"/>
        <v>441.48051041605999</v>
      </c>
      <c r="T40" s="7">
        <v>7884</v>
      </c>
      <c r="U40" s="7"/>
      <c r="V40" s="7">
        <v>63936</v>
      </c>
      <c r="W40" s="7">
        <f t="shared" si="7"/>
        <v>63936</v>
      </c>
      <c r="X40" s="103">
        <f t="shared" si="8"/>
        <v>91682</v>
      </c>
      <c r="Y40" s="103"/>
      <c r="Z40" s="7">
        <v>1141</v>
      </c>
      <c r="AB40" s="2">
        <v>27746</v>
      </c>
      <c r="AC40" s="103">
        <v>68676</v>
      </c>
      <c r="AD40" s="103">
        <v>111544</v>
      </c>
      <c r="AE40" s="64">
        <f t="shared" si="9"/>
        <v>1.5285106878676683E-2</v>
      </c>
      <c r="AF40" s="64">
        <f t="shared" si="10"/>
        <v>0.16168417844079466</v>
      </c>
      <c r="AG40" s="20">
        <f t="shared" si="13"/>
        <v>6.8528229172733806</v>
      </c>
      <c r="AH40" s="20">
        <f t="shared" si="14"/>
        <v>123.40544919493652</v>
      </c>
      <c r="AI40" s="22"/>
    </row>
    <row r="41" spans="1:35">
      <c r="A41" s="28">
        <v>45697</v>
      </c>
      <c r="B41" s="6"/>
      <c r="C41" s="6">
        <v>236.66666666666669</v>
      </c>
      <c r="D41" s="6">
        <v>37.5</v>
      </c>
      <c r="E41" s="6">
        <v>0</v>
      </c>
      <c r="F41" s="6">
        <v>150</v>
      </c>
      <c r="G41" s="6">
        <v>112.5</v>
      </c>
      <c r="H41" s="6">
        <v>22.5</v>
      </c>
      <c r="I41" s="6">
        <v>666.08333333333337</v>
      </c>
      <c r="J41" s="6">
        <v>75</v>
      </c>
      <c r="K41" s="6">
        <v>419</v>
      </c>
      <c r="L41" s="6">
        <v>0</v>
      </c>
      <c r="M41" s="3">
        <v>120</v>
      </c>
      <c r="N41" s="107">
        <f t="shared" si="6"/>
        <v>30.237853872948865</v>
      </c>
      <c r="O41" s="7">
        <f t="shared" si="0"/>
        <v>1584.25</v>
      </c>
      <c r="P41" s="7">
        <f t="shared" si="1"/>
        <v>1554.0121461270512</v>
      </c>
      <c r="Q41" s="7">
        <f t="shared" si="2"/>
        <v>635.84547946038447</v>
      </c>
      <c r="R41" s="7">
        <f t="shared" si="3"/>
        <v>419</v>
      </c>
      <c r="S41" s="40"/>
      <c r="T41" s="7">
        <v>6092</v>
      </c>
      <c r="U41" s="7"/>
      <c r="V41" s="7">
        <v>72118</v>
      </c>
      <c r="W41" s="7">
        <f t="shared" si="7"/>
        <v>72118</v>
      </c>
      <c r="X41" s="103">
        <f t="shared" si="8"/>
        <v>77478</v>
      </c>
      <c r="Y41" s="103"/>
      <c r="Z41" s="7">
        <v>0</v>
      </c>
      <c r="AB41" s="2">
        <v>5360</v>
      </c>
      <c r="AC41" s="103">
        <v>76840</v>
      </c>
      <c r="AD41" s="103">
        <v>76746</v>
      </c>
      <c r="AE41" s="64">
        <f t="shared" si="9"/>
        <v>0</v>
      </c>
      <c r="AF41" s="64">
        <f t="shared" si="10"/>
        <v>4.5396502749328958E-2</v>
      </c>
      <c r="AG41" s="20">
        <f t="shared" si="13"/>
        <v>0</v>
      </c>
      <c r="AH41" s="20">
        <f t="shared" si="14"/>
        <v>30.237853872948865</v>
      </c>
      <c r="AI41" s="22"/>
    </row>
    <row r="42" spans="1:35">
      <c r="A42" s="28">
        <v>45698</v>
      </c>
      <c r="B42" s="6">
        <v>15</v>
      </c>
      <c r="C42" s="6">
        <v>293.58333333333337</v>
      </c>
      <c r="D42" s="6">
        <v>95.750000000000014</v>
      </c>
      <c r="E42" s="6">
        <v>371.83333333333331</v>
      </c>
      <c r="F42" s="6">
        <v>225</v>
      </c>
      <c r="G42" s="6">
        <v>0</v>
      </c>
      <c r="H42" s="6">
        <v>63</v>
      </c>
      <c r="I42" s="6">
        <v>1399.5</v>
      </c>
      <c r="J42" s="6">
        <v>134.5</v>
      </c>
      <c r="K42" s="6">
        <v>734.08333333333326</v>
      </c>
      <c r="L42" s="6">
        <v>195.58333333333337</v>
      </c>
      <c r="M42" s="3">
        <v>297</v>
      </c>
      <c r="N42" s="107">
        <f t="shared" si="6"/>
        <v>55.247130225579156</v>
      </c>
      <c r="O42" s="7">
        <f t="shared" si="0"/>
        <v>2897.416666666667</v>
      </c>
      <c r="P42" s="7">
        <f t="shared" si="1"/>
        <v>2842.1695364410875</v>
      </c>
      <c r="Q42" s="7">
        <f t="shared" si="2"/>
        <v>1358.743205606077</v>
      </c>
      <c r="R42" s="7">
        <f t="shared" si="3"/>
        <v>719.59299750167713</v>
      </c>
      <c r="T42" s="7">
        <v>9041</v>
      </c>
      <c r="U42" s="7"/>
      <c r="V42" s="7">
        <v>116466</v>
      </c>
      <c r="W42" s="7">
        <f t="shared" si="7"/>
        <v>116466</v>
      </c>
      <c r="X42" s="103">
        <f t="shared" si="8"/>
        <v>121851</v>
      </c>
      <c r="Y42" s="103"/>
      <c r="Z42" s="7">
        <v>2356</v>
      </c>
      <c r="AB42" s="2">
        <v>5385</v>
      </c>
      <c r="AC42" s="103">
        <v>109807</v>
      </c>
      <c r="AD42" s="103">
        <v>120191</v>
      </c>
      <c r="AE42" s="64">
        <f t="shared" si="9"/>
        <v>1.9739360878632511E-2</v>
      </c>
      <c r="AF42" s="64">
        <f t="shared" si="10"/>
        <v>2.9122396851677747E-2</v>
      </c>
      <c r="AG42" s="20">
        <f t="shared" si="13"/>
        <v>14.490335831656148</v>
      </c>
      <c r="AH42" s="20">
        <f t="shared" si="14"/>
        <v>40.756794393923009</v>
      </c>
      <c r="AI42" s="22"/>
    </row>
    <row r="43" spans="1:35">
      <c r="A43" s="28">
        <v>45699</v>
      </c>
      <c r="B43" s="6">
        <v>7</v>
      </c>
      <c r="C43" s="6">
        <v>276.25</v>
      </c>
      <c r="D43" s="6">
        <v>92.166666666666657</v>
      </c>
      <c r="E43" s="6">
        <v>355.58333333333331</v>
      </c>
      <c r="F43" s="6">
        <v>268.41666666666663</v>
      </c>
      <c r="G43" s="6">
        <v>0</v>
      </c>
      <c r="H43" s="6">
        <v>67.5</v>
      </c>
      <c r="I43" s="6">
        <v>2136.5</v>
      </c>
      <c r="J43" s="6">
        <v>66.5</v>
      </c>
      <c r="K43" s="6">
        <v>628.83333333333337</v>
      </c>
      <c r="L43" s="6">
        <v>134</v>
      </c>
      <c r="M43" s="3">
        <v>314.75</v>
      </c>
      <c r="N43" s="107">
        <f t="shared" si="6"/>
        <v>27.561171818810983</v>
      </c>
      <c r="O43" s="7">
        <f t="shared" si="0"/>
        <v>3475.6666666666665</v>
      </c>
      <c r="P43" s="7">
        <f t="shared" si="1"/>
        <v>3448.1054948478554</v>
      </c>
      <c r="Q43" s="7">
        <f t="shared" si="2"/>
        <v>2108.9388281811889</v>
      </c>
      <c r="R43" s="7">
        <f t="shared" si="3"/>
        <v>628.83333333333337</v>
      </c>
      <c r="S43" s="8"/>
      <c r="T43" s="7">
        <v>3069</v>
      </c>
      <c r="U43" s="7"/>
      <c r="V43" s="7">
        <v>144028</v>
      </c>
      <c r="W43" s="7">
        <f t="shared" si="7"/>
        <v>144028</v>
      </c>
      <c r="X43" s="103">
        <f t="shared" si="8"/>
        <v>146953</v>
      </c>
      <c r="Y43" s="103"/>
      <c r="Z43" s="7">
        <v>0</v>
      </c>
      <c r="AB43" s="2">
        <v>2925</v>
      </c>
      <c r="AC43" s="103">
        <v>85363</v>
      </c>
      <c r="AD43" s="103">
        <v>147382</v>
      </c>
      <c r="AE43" s="64">
        <f t="shared" si="9"/>
        <v>0</v>
      </c>
      <c r="AF43" s="64">
        <f t="shared" si="10"/>
        <v>1.290015062897776E-2</v>
      </c>
      <c r="AG43" s="20">
        <f t="shared" si="13"/>
        <v>0</v>
      </c>
      <c r="AH43" s="20">
        <f t="shared" si="14"/>
        <v>27.561171818810983</v>
      </c>
      <c r="AI43" s="22"/>
    </row>
    <row r="44" spans="1:35">
      <c r="A44" s="28">
        <v>45700</v>
      </c>
      <c r="B44" s="6">
        <v>177.5</v>
      </c>
      <c r="C44" s="6">
        <v>469.41666666666663</v>
      </c>
      <c r="D44" s="6">
        <v>97.5</v>
      </c>
      <c r="E44" s="6">
        <v>318</v>
      </c>
      <c r="F44" s="6">
        <v>247.5</v>
      </c>
      <c r="G44" s="6">
        <v>0</v>
      </c>
      <c r="H44" s="6">
        <v>37.5</v>
      </c>
      <c r="I44" s="6">
        <v>1397.25</v>
      </c>
      <c r="J44" s="6">
        <v>135</v>
      </c>
      <c r="K44" s="6">
        <v>730</v>
      </c>
      <c r="L44" s="6">
        <v>172.83333333333331</v>
      </c>
      <c r="M44" s="3">
        <v>314.25</v>
      </c>
      <c r="N44" s="107">
        <f t="shared" si="6"/>
        <v>43.641423316976947</v>
      </c>
      <c r="O44" s="7">
        <f t="shared" si="0"/>
        <v>3254.1666666666665</v>
      </c>
      <c r="P44" s="7">
        <f t="shared" si="1"/>
        <v>3210.5252433496898</v>
      </c>
      <c r="Q44" s="7">
        <f t="shared" si="2"/>
        <v>1378.423773666093</v>
      </c>
      <c r="R44" s="7">
        <f t="shared" si="3"/>
        <v>705.18480301693012</v>
      </c>
      <c r="S44" s="8"/>
      <c r="T44" s="7">
        <v>11453</v>
      </c>
      <c r="U44" s="7"/>
      <c r="V44" s="7">
        <v>125887</v>
      </c>
      <c r="W44" s="7">
        <f t="shared" si="7"/>
        <v>125887</v>
      </c>
      <c r="X44" s="103">
        <f t="shared" si="8"/>
        <v>128380</v>
      </c>
      <c r="Y44" s="103"/>
      <c r="Z44" s="7">
        <v>3684</v>
      </c>
      <c r="AB44" s="2">
        <v>2493</v>
      </c>
      <c r="AC44" s="103">
        <v>99704</v>
      </c>
      <c r="AD44" s="103">
        <v>120267</v>
      </c>
      <c r="AE44" s="64">
        <f t="shared" si="9"/>
        <v>3.3993420524753272E-2</v>
      </c>
      <c r="AF44" s="64">
        <f t="shared" si="10"/>
        <v>1.3473770859836864E-2</v>
      </c>
      <c r="AG44" s="20">
        <f t="shared" si="13"/>
        <v>24.815196983069889</v>
      </c>
      <c r="AH44" s="20">
        <f t="shared" si="14"/>
        <v>18.826226333907059</v>
      </c>
      <c r="AI44" s="22"/>
    </row>
    <row r="45" spans="1:35">
      <c r="A45" s="28">
        <v>45701</v>
      </c>
      <c r="B45" s="6">
        <v>172.5</v>
      </c>
      <c r="C45" s="6">
        <v>448.58333333333331</v>
      </c>
      <c r="D45" s="6">
        <v>97.5</v>
      </c>
      <c r="E45" s="6">
        <v>324.58333333333337</v>
      </c>
      <c r="F45" s="6">
        <v>202.5</v>
      </c>
      <c r="G45" s="6">
        <v>0</v>
      </c>
      <c r="H45" s="6">
        <v>55.5</v>
      </c>
      <c r="I45" s="6">
        <v>1378.4166666666665</v>
      </c>
      <c r="J45" s="6">
        <v>97.5</v>
      </c>
      <c r="K45" s="6">
        <v>677.83333333333337</v>
      </c>
      <c r="L45" s="6">
        <v>160.83333333333337</v>
      </c>
      <c r="M45" s="3">
        <v>316.75</v>
      </c>
      <c r="N45" s="107">
        <f t="shared" si="6"/>
        <v>39.933695212436298</v>
      </c>
      <c r="O45" s="7">
        <f t="shared" si="0"/>
        <v>3074.8333333333335</v>
      </c>
      <c r="P45" s="7">
        <f t="shared" si="1"/>
        <v>3034.8996381208967</v>
      </c>
      <c r="Q45" s="7">
        <f t="shared" si="2"/>
        <v>1338.4829714542302</v>
      </c>
      <c r="R45" s="7">
        <f t="shared" si="3"/>
        <v>677.83333333333337</v>
      </c>
      <c r="S45" s="8"/>
      <c r="T45" s="7">
        <v>8671</v>
      </c>
      <c r="U45" s="7"/>
      <c r="V45" s="7">
        <v>113816</v>
      </c>
      <c r="W45" s="7">
        <f t="shared" si="7"/>
        <v>113816</v>
      </c>
      <c r="X45" s="103">
        <f t="shared" si="8"/>
        <v>118994</v>
      </c>
      <c r="Y45" s="103"/>
      <c r="Z45" s="7">
        <v>0</v>
      </c>
      <c r="AB45" s="2">
        <v>5178</v>
      </c>
      <c r="AC45" s="103">
        <v>94242</v>
      </c>
      <c r="AD45" s="103">
        <v>116176</v>
      </c>
      <c r="AE45" s="64">
        <f t="shared" si="9"/>
        <v>0</v>
      </c>
      <c r="AF45" s="64">
        <f t="shared" si="10"/>
        <v>2.8970699628150392E-2</v>
      </c>
      <c r="AG45" s="20">
        <f t="shared" si="13"/>
        <v>0</v>
      </c>
      <c r="AH45" s="20">
        <f t="shared" si="14"/>
        <v>39.933695212436298</v>
      </c>
      <c r="AI45" s="22"/>
    </row>
    <row r="46" spans="1:35">
      <c r="A46" s="28">
        <v>45702</v>
      </c>
      <c r="B46" s="6">
        <v>164.66666666666669</v>
      </c>
      <c r="C46" s="6">
        <v>435</v>
      </c>
      <c r="D46" s="6">
        <v>97.5</v>
      </c>
      <c r="E46" s="6">
        <v>319.25</v>
      </c>
      <c r="F46" s="6">
        <v>168.41666666666666</v>
      </c>
      <c r="G46" s="6">
        <v>0</v>
      </c>
      <c r="H46" s="6">
        <v>64</v>
      </c>
      <c r="I46" s="6">
        <v>964.4166666666664</v>
      </c>
      <c r="J46" s="6">
        <v>134.66666666666669</v>
      </c>
      <c r="K46" s="6">
        <v>556</v>
      </c>
      <c r="L46" s="6">
        <v>165.25</v>
      </c>
      <c r="M46" s="3">
        <v>310.91666666666663</v>
      </c>
      <c r="N46" s="107">
        <f t="shared" si="6"/>
        <v>50.652297105748701</v>
      </c>
      <c r="O46" s="7">
        <f t="shared" si="0"/>
        <v>2520.6666666666665</v>
      </c>
      <c r="P46" s="7">
        <f t="shared" si="1"/>
        <v>2470.0143695609177</v>
      </c>
      <c r="Q46" s="7">
        <f t="shared" si="2"/>
        <v>933.38082429402471</v>
      </c>
      <c r="R46" s="7">
        <f t="shared" si="3"/>
        <v>536.38354526689295</v>
      </c>
      <c r="S46" s="8"/>
      <c r="T46" s="7">
        <v>8094</v>
      </c>
      <c r="U46" s="7"/>
      <c r="V46" s="7">
        <v>81952</v>
      </c>
      <c r="W46" s="7">
        <f t="shared" si="7"/>
        <v>81952</v>
      </c>
      <c r="X46" s="103">
        <f t="shared" si="8"/>
        <v>86037</v>
      </c>
      <c r="Y46" s="103"/>
      <c r="Z46" s="7">
        <v>2248</v>
      </c>
      <c r="AB46" s="2">
        <v>4085</v>
      </c>
      <c r="AC46" s="103">
        <v>58619</v>
      </c>
      <c r="AD46" s="103">
        <v>82510</v>
      </c>
      <c r="AE46" s="64">
        <f t="shared" si="9"/>
        <v>3.528139340486873E-2</v>
      </c>
      <c r="AF46" s="64">
        <f t="shared" si="10"/>
        <v>3.2180947763907404E-2</v>
      </c>
      <c r="AG46" s="20">
        <f t="shared" si="13"/>
        <v>19.616454733107012</v>
      </c>
      <c r="AH46" s="20">
        <f t="shared" si="14"/>
        <v>31.035842372641689</v>
      </c>
      <c r="AI46" s="22"/>
    </row>
    <row r="47" spans="1:35">
      <c r="A47" s="28">
        <v>45703</v>
      </c>
      <c r="B47" s="6">
        <v>145.75</v>
      </c>
      <c r="C47" s="6">
        <v>152.41666666666669</v>
      </c>
      <c r="D47" s="6">
        <v>46.666666666666671</v>
      </c>
      <c r="E47" s="6">
        <v>217.75000000000003</v>
      </c>
      <c r="F47" s="6">
        <v>104.24999999999999</v>
      </c>
      <c r="G47" s="6">
        <v>0</v>
      </c>
      <c r="H47" s="6">
        <v>12.5</v>
      </c>
      <c r="I47" s="6">
        <v>552.08333333333326</v>
      </c>
      <c r="J47" s="6">
        <v>60.166666666666671</v>
      </c>
      <c r="K47" s="6">
        <v>278.25</v>
      </c>
      <c r="L47" s="6">
        <v>132.08333333333334</v>
      </c>
      <c r="M47" s="3">
        <v>176.83333333333331</v>
      </c>
      <c r="N47" s="107">
        <f t="shared" si="6"/>
        <v>12.647541074110059</v>
      </c>
      <c r="O47" s="7">
        <f t="shared" si="0"/>
        <v>1339.5833333333333</v>
      </c>
      <c r="P47" s="7">
        <f t="shared" si="1"/>
        <v>1326.9357922592233</v>
      </c>
      <c r="Q47" s="7">
        <f t="shared" si="2"/>
        <v>539.43579225922315</v>
      </c>
      <c r="R47" s="7">
        <f t="shared" si="3"/>
        <v>278.25</v>
      </c>
      <c r="S47" s="8"/>
      <c r="T47" s="7">
        <v>3889</v>
      </c>
      <c r="U47" s="7"/>
      <c r="V47" s="7">
        <v>45981</v>
      </c>
      <c r="W47" s="7">
        <f t="shared" si="7"/>
        <v>45981</v>
      </c>
      <c r="X47" s="103">
        <f t="shared" si="8"/>
        <v>47577</v>
      </c>
      <c r="Y47" s="103"/>
      <c r="Z47" s="7">
        <v>0</v>
      </c>
      <c r="AB47" s="2">
        <v>1596</v>
      </c>
      <c r="AC47" s="103">
        <v>44228</v>
      </c>
      <c r="AD47" s="103">
        <v>45284</v>
      </c>
      <c r="AE47" s="64">
        <f t="shared" si="9"/>
        <v>0</v>
      </c>
      <c r="AF47" s="64">
        <f t="shared" si="10"/>
        <v>2.2908753643671054E-2</v>
      </c>
      <c r="AG47" s="20">
        <f t="shared" si="13"/>
        <v>0</v>
      </c>
      <c r="AH47" s="20">
        <f t="shared" si="14"/>
        <v>12.647541074110059</v>
      </c>
      <c r="AI47" s="22"/>
    </row>
    <row r="48" spans="1:35">
      <c r="A48" s="28">
        <v>45704</v>
      </c>
      <c r="B48" s="6"/>
      <c r="C48" s="6">
        <v>246.25000000000006</v>
      </c>
      <c r="D48" s="6">
        <v>37.583333333333329</v>
      </c>
      <c r="E48" s="6">
        <v>0</v>
      </c>
      <c r="F48" s="6">
        <v>150.75</v>
      </c>
      <c r="G48" s="6">
        <v>0</v>
      </c>
      <c r="H48" s="6">
        <v>16</v>
      </c>
      <c r="I48" s="6">
        <v>685</v>
      </c>
      <c r="J48" s="6">
        <v>80</v>
      </c>
      <c r="K48" s="6">
        <v>347</v>
      </c>
      <c r="L48" s="6">
        <v>0</v>
      </c>
      <c r="M48" s="3">
        <v>124.25</v>
      </c>
      <c r="N48" s="107">
        <f t="shared" si="6"/>
        <v>18.433283693224126</v>
      </c>
      <c r="O48" s="7">
        <f t="shared" si="0"/>
        <v>1546.5833333333335</v>
      </c>
      <c r="P48" s="7">
        <f t="shared" si="1"/>
        <v>1528.1500496401093</v>
      </c>
      <c r="Q48" s="7">
        <f t="shared" si="2"/>
        <v>666.5667163067759</v>
      </c>
      <c r="R48" s="7">
        <f t="shared" si="3"/>
        <v>347</v>
      </c>
      <c r="S48" s="8"/>
      <c r="T48" s="7">
        <v>4796</v>
      </c>
      <c r="U48" s="7"/>
      <c r="V48" s="7">
        <v>59650</v>
      </c>
      <c r="W48" s="7">
        <f t="shared" si="7"/>
        <v>59650</v>
      </c>
      <c r="X48" s="103">
        <f t="shared" si="8"/>
        <v>62152</v>
      </c>
      <c r="Y48" s="103"/>
      <c r="Z48" s="7">
        <v>0</v>
      </c>
      <c r="AB48" s="2">
        <v>2502</v>
      </c>
      <c r="AC48" s="103">
        <v>58600</v>
      </c>
      <c r="AD48" s="103">
        <v>60435</v>
      </c>
      <c r="AE48" s="64">
        <f t="shared" si="9"/>
        <v>0</v>
      </c>
      <c r="AF48" s="64">
        <f t="shared" si="10"/>
        <v>2.6909903201787044E-2</v>
      </c>
      <c r="AG48" s="20">
        <f t="shared" si="13"/>
        <v>0</v>
      </c>
      <c r="AH48" s="20">
        <f t="shared" si="14"/>
        <v>18.433283693224126</v>
      </c>
      <c r="AI48" s="22"/>
    </row>
    <row r="49" spans="1:35">
      <c r="A49" s="28">
        <v>45705</v>
      </c>
      <c r="B49" s="6">
        <v>180</v>
      </c>
      <c r="C49" s="6">
        <v>403.83333333333337</v>
      </c>
      <c r="D49" s="6">
        <v>97.166666666666657</v>
      </c>
      <c r="E49" s="6">
        <v>341.66666666666663</v>
      </c>
      <c r="F49" s="7">
        <v>274.16666666666669</v>
      </c>
      <c r="G49" s="6">
        <v>85</v>
      </c>
      <c r="H49" s="6">
        <v>45</v>
      </c>
      <c r="I49" s="6">
        <v>1147.5</v>
      </c>
      <c r="J49" s="6">
        <v>101</v>
      </c>
      <c r="K49" s="6">
        <v>798.5</v>
      </c>
      <c r="L49" s="6">
        <v>189.08333333333337</v>
      </c>
      <c r="M49" s="3">
        <v>290</v>
      </c>
      <c r="N49" s="107">
        <f t="shared" si="6"/>
        <v>29.745032609457912</v>
      </c>
      <c r="O49" s="7">
        <f t="shared" si="0"/>
        <v>3002.166666666667</v>
      </c>
      <c r="P49" s="7">
        <f t="shared" si="1"/>
        <v>2972.4216340572088</v>
      </c>
      <c r="Q49" s="7">
        <f t="shared" si="2"/>
        <v>1117.7549673905421</v>
      </c>
      <c r="R49" s="7">
        <f t="shared" si="3"/>
        <v>798.5</v>
      </c>
      <c r="S49" s="7">
        <v>5587</v>
      </c>
      <c r="T49" s="7">
        <v>7094</v>
      </c>
      <c r="U49" s="7">
        <v>147</v>
      </c>
      <c r="V49" s="7">
        <v>84244</v>
      </c>
      <c r="W49" s="7">
        <f t="shared" si="7"/>
        <v>78510</v>
      </c>
      <c r="X49" s="103">
        <f t="shared" si="8"/>
        <v>87656</v>
      </c>
      <c r="Y49" s="103"/>
      <c r="Z49" s="7">
        <v>0</v>
      </c>
      <c r="AB49" s="2">
        <v>3412</v>
      </c>
      <c r="AC49" s="103">
        <v>103518</v>
      </c>
      <c r="AD49" s="103">
        <v>85558</v>
      </c>
      <c r="AE49" s="64">
        <f t="shared" si="9"/>
        <v>0</v>
      </c>
      <c r="AF49" s="64">
        <f t="shared" si="10"/>
        <v>2.5921597045279226E-2</v>
      </c>
      <c r="AG49" s="20">
        <f t="shared" si="13"/>
        <v>0</v>
      </c>
      <c r="AH49" s="20">
        <f t="shared" si="14"/>
        <v>29.745032609457912</v>
      </c>
      <c r="AI49" s="22"/>
    </row>
    <row r="50" spans="1:35">
      <c r="A50" s="28">
        <v>45706</v>
      </c>
      <c r="B50" s="6">
        <v>180</v>
      </c>
      <c r="C50" s="6">
        <v>448.41666666666669</v>
      </c>
      <c r="D50" s="6">
        <v>92.833333333333329</v>
      </c>
      <c r="E50" s="6">
        <v>350.41666666666663</v>
      </c>
      <c r="F50" s="7">
        <v>253</v>
      </c>
      <c r="G50" s="6">
        <v>85</v>
      </c>
      <c r="H50" s="6">
        <v>64</v>
      </c>
      <c r="I50" s="6">
        <v>1340.3333333333335</v>
      </c>
      <c r="J50" s="6">
        <v>101</v>
      </c>
      <c r="K50" s="6">
        <v>783.5</v>
      </c>
      <c r="L50" s="6">
        <v>206.83333333333337</v>
      </c>
      <c r="M50" s="3">
        <v>307.08333333333337</v>
      </c>
      <c r="N50" s="107">
        <f t="shared" si="6"/>
        <v>82.107428301174096</v>
      </c>
      <c r="O50" s="7">
        <f t="shared" si="0"/>
        <v>3199.0833333333335</v>
      </c>
      <c r="P50" s="7">
        <f t="shared" si="1"/>
        <v>3116.97590503216</v>
      </c>
      <c r="Q50" s="7">
        <f t="shared" si="2"/>
        <v>1317.42918404237</v>
      </c>
      <c r="R50" s="7">
        <f t="shared" si="3"/>
        <v>724.29672098978949</v>
      </c>
      <c r="S50" s="7">
        <v>4662</v>
      </c>
      <c r="T50" s="7">
        <v>6803</v>
      </c>
      <c r="U50" s="7">
        <v>160</v>
      </c>
      <c r="V50" s="7">
        <v>121710</v>
      </c>
      <c r="W50" s="7">
        <f t="shared" si="7"/>
        <v>116888</v>
      </c>
      <c r="X50" s="103">
        <f t="shared" si="8"/>
        <v>124963</v>
      </c>
      <c r="Y50" s="103"/>
      <c r="Z50" s="7">
        <v>9878</v>
      </c>
      <c r="AB50" s="2">
        <v>3253</v>
      </c>
      <c r="AC50" s="103">
        <v>120268</v>
      </c>
      <c r="AD50" s="103">
        <v>123736</v>
      </c>
      <c r="AE50" s="64">
        <f t="shared" si="9"/>
        <v>7.5562576911564178E-2</v>
      </c>
      <c r="AF50" s="64">
        <f t="shared" si="10"/>
        <v>1.7088397879356048E-2</v>
      </c>
      <c r="AG50" s="20">
        <f t="shared" si="13"/>
        <v>59.203279010210537</v>
      </c>
      <c r="AH50" s="20">
        <f t="shared" si="14"/>
        <v>22.904149290963559</v>
      </c>
      <c r="AI50" s="22"/>
    </row>
    <row r="51" spans="1:35">
      <c r="A51" s="28">
        <v>45707</v>
      </c>
      <c r="B51" s="6">
        <v>180</v>
      </c>
      <c r="C51" s="6">
        <v>455.5</v>
      </c>
      <c r="D51" s="6">
        <v>90</v>
      </c>
      <c r="E51" s="6">
        <v>338</v>
      </c>
      <c r="F51" s="7">
        <v>188.25</v>
      </c>
      <c r="G51" s="6">
        <v>67.333333333333329</v>
      </c>
      <c r="H51" s="6">
        <v>49.916666666666671</v>
      </c>
      <c r="I51" s="6">
        <v>1357.0833333333335</v>
      </c>
      <c r="J51" s="6">
        <v>67.5</v>
      </c>
      <c r="K51" s="6">
        <v>755.75</v>
      </c>
      <c r="L51" s="6">
        <v>180.75</v>
      </c>
      <c r="M51" s="3">
        <v>312.08333333333331</v>
      </c>
      <c r="N51" s="107">
        <f t="shared" si="6"/>
        <v>216.76136960299297</v>
      </c>
      <c r="O51" s="7">
        <f t="shared" si="0"/>
        <v>3094.0833333333335</v>
      </c>
      <c r="P51" s="7">
        <f t="shared" si="1"/>
        <v>2877.32196373034</v>
      </c>
      <c r="Q51" s="7">
        <f t="shared" si="2"/>
        <v>1217.0967340489772</v>
      </c>
      <c r="R51" s="7">
        <f t="shared" si="3"/>
        <v>678.97522968136332</v>
      </c>
      <c r="S51" s="7">
        <v>2697</v>
      </c>
      <c r="T51" s="7">
        <v>4588</v>
      </c>
      <c r="U51" s="7">
        <v>169</v>
      </c>
      <c r="V51" s="7">
        <v>109208</v>
      </c>
      <c r="W51" s="7">
        <f t="shared" si="7"/>
        <v>106342</v>
      </c>
      <c r="X51" s="103">
        <f t="shared" si="8"/>
        <v>134000</v>
      </c>
      <c r="Y51" s="103"/>
      <c r="Z51" s="7">
        <v>12680</v>
      </c>
      <c r="AB51" s="2">
        <v>24792</v>
      </c>
      <c r="AC51" s="103">
        <v>114833</v>
      </c>
      <c r="AD51" s="103">
        <v>156223</v>
      </c>
      <c r="AE51" s="64">
        <f t="shared" si="9"/>
        <v>0.10158752275042889</v>
      </c>
      <c r="AF51" s="64">
        <f t="shared" si="10"/>
        <v>0.10315254475973448</v>
      </c>
      <c r="AG51" s="20">
        <f t="shared" si="13"/>
        <v>76.774770318636627</v>
      </c>
      <c r="AH51" s="20">
        <f t="shared" si="14"/>
        <v>139.98659928435634</v>
      </c>
      <c r="AI51" s="22"/>
    </row>
    <row r="52" spans="1:35">
      <c r="A52" s="28">
        <v>45708</v>
      </c>
      <c r="B52" s="6">
        <v>177.5</v>
      </c>
      <c r="C52" s="6">
        <v>505.5</v>
      </c>
      <c r="D52" s="6">
        <v>81.333333333333329</v>
      </c>
      <c r="E52" s="6">
        <v>277.25</v>
      </c>
      <c r="F52" s="6">
        <v>217.5</v>
      </c>
      <c r="G52" s="6">
        <v>67.083333333333329</v>
      </c>
      <c r="H52" s="6">
        <v>30</v>
      </c>
      <c r="I52" s="6">
        <v>1293.4166666666667</v>
      </c>
      <c r="J52" s="6">
        <v>102.33333333333331</v>
      </c>
      <c r="K52" s="6">
        <v>587.5</v>
      </c>
      <c r="L52" s="6">
        <v>134.5</v>
      </c>
      <c r="M52" s="3">
        <v>298.41666666666669</v>
      </c>
      <c r="N52" s="107">
        <f t="shared" si="6"/>
        <v>95.979081840689304</v>
      </c>
      <c r="O52" s="7">
        <f t="shared" si="0"/>
        <v>2965.0833333333335</v>
      </c>
      <c r="P52" s="7">
        <f t="shared" si="1"/>
        <v>2869.1042514926439</v>
      </c>
      <c r="Q52" s="7">
        <f t="shared" si="2"/>
        <v>1235.1971752873565</v>
      </c>
      <c r="R52" s="7">
        <f t="shared" si="3"/>
        <v>549.74040953862107</v>
      </c>
      <c r="S52" s="7">
        <v>5458</v>
      </c>
      <c r="T52" s="7">
        <v>8124</v>
      </c>
      <c r="U52" s="7">
        <v>224</v>
      </c>
      <c r="V52" s="7">
        <v>112908</v>
      </c>
      <c r="W52" s="7">
        <f t="shared" si="7"/>
        <v>107226</v>
      </c>
      <c r="X52" s="103">
        <f t="shared" si="8"/>
        <v>121443</v>
      </c>
      <c r="Y52" s="103"/>
      <c r="Z52" s="7">
        <v>6199</v>
      </c>
      <c r="AB52" s="2">
        <v>8535</v>
      </c>
      <c r="AC52" s="103">
        <v>88734</v>
      </c>
      <c r="AD52" s="103">
        <v>123250</v>
      </c>
      <c r="AE52" s="64">
        <f t="shared" si="9"/>
        <v>6.427164333851737E-2</v>
      </c>
      <c r="AF52" s="64">
        <f t="shared" si="10"/>
        <v>4.5012170385395539E-2</v>
      </c>
      <c r="AG52" s="20">
        <f t="shared" si="13"/>
        <v>37.759590461378956</v>
      </c>
      <c r="AH52" s="20">
        <f t="shared" si="14"/>
        <v>58.219491379310348</v>
      </c>
      <c r="AI52" s="22"/>
    </row>
    <row r="53" spans="1:35">
      <c r="A53" s="28">
        <v>45709</v>
      </c>
      <c r="B53" s="6">
        <v>180</v>
      </c>
      <c r="C53" s="6">
        <v>539</v>
      </c>
      <c r="D53" s="6">
        <v>82.5</v>
      </c>
      <c r="E53" s="6">
        <v>239.33333333333337</v>
      </c>
      <c r="F53" s="6">
        <v>194.75</v>
      </c>
      <c r="G53" s="6">
        <v>65.25</v>
      </c>
      <c r="H53" s="6">
        <v>22.5</v>
      </c>
      <c r="I53" s="6">
        <v>897.66666666666652</v>
      </c>
      <c r="J53" s="6">
        <v>105</v>
      </c>
      <c r="K53" s="6">
        <v>537.83333333333337</v>
      </c>
      <c r="L53" s="6">
        <v>149.5</v>
      </c>
      <c r="M53" s="3">
        <v>292.25</v>
      </c>
      <c r="N53" s="107">
        <f t="shared" si="6"/>
        <v>14.4813108618843</v>
      </c>
      <c r="O53" s="7">
        <f t="shared" si="0"/>
        <v>2536.75</v>
      </c>
      <c r="P53" s="7">
        <f t="shared" si="1"/>
        <v>2522.2686891381159</v>
      </c>
      <c r="Q53" s="7">
        <f t="shared" si="2"/>
        <v>883.18535580478226</v>
      </c>
      <c r="R53" s="7">
        <f t="shared" si="3"/>
        <v>537.83333333333337</v>
      </c>
      <c r="S53" s="7">
        <v>4916</v>
      </c>
      <c r="T53" s="7">
        <v>7285</v>
      </c>
      <c r="U53" s="7">
        <v>243</v>
      </c>
      <c r="V53" s="7">
        <v>81941</v>
      </c>
      <c r="W53" s="7">
        <f t="shared" si="7"/>
        <v>76782</v>
      </c>
      <c r="X53" s="103">
        <f t="shared" si="8"/>
        <v>83957</v>
      </c>
      <c r="Y53" s="103"/>
      <c r="Z53" s="7">
        <v>0</v>
      </c>
      <c r="AB53" s="2">
        <v>2016</v>
      </c>
      <c r="AC53" s="103">
        <v>67985</v>
      </c>
      <c r="AD53" s="103">
        <v>81229</v>
      </c>
      <c r="AE53" s="64">
        <f t="shared" si="9"/>
        <v>0</v>
      </c>
      <c r="AF53" s="64">
        <f t="shared" si="10"/>
        <v>1.6132169545359416E-2</v>
      </c>
      <c r="AG53" s="20">
        <f t="shared" si="13"/>
        <v>0</v>
      </c>
      <c r="AH53" s="20">
        <f t="shared" si="14"/>
        <v>14.4813108618843</v>
      </c>
      <c r="AI53" s="22"/>
    </row>
    <row r="54" spans="1:35">
      <c r="A54" s="28">
        <v>45710</v>
      </c>
      <c r="B54" s="6">
        <v>102.16666666666667</v>
      </c>
      <c r="C54" s="6">
        <v>128</v>
      </c>
      <c r="D54" s="6">
        <v>15</v>
      </c>
      <c r="E54" s="6">
        <v>188</v>
      </c>
      <c r="F54" s="6">
        <v>60</v>
      </c>
      <c r="G54" s="6">
        <v>50.5</v>
      </c>
      <c r="H54" s="6">
        <v>7.5</v>
      </c>
      <c r="I54" s="6">
        <v>337.08333333333331</v>
      </c>
      <c r="J54" s="6">
        <v>37.5</v>
      </c>
      <c r="K54" s="6">
        <v>180</v>
      </c>
      <c r="L54" s="6">
        <v>0</v>
      </c>
      <c r="M54" s="3">
        <v>86.5</v>
      </c>
      <c r="N54" s="107">
        <f t="shared" si="6"/>
        <v>6.9240134780890692</v>
      </c>
      <c r="O54" s="7">
        <f t="shared" si="0"/>
        <v>859.75</v>
      </c>
      <c r="P54" s="7">
        <f t="shared" si="1"/>
        <v>852.82598652191086</v>
      </c>
      <c r="Q54" s="7">
        <f t="shared" si="2"/>
        <v>330.15931985524423</v>
      </c>
      <c r="R54" s="7">
        <f t="shared" si="3"/>
        <v>180</v>
      </c>
      <c r="S54" s="7">
        <v>2108</v>
      </c>
      <c r="T54" s="7">
        <v>3383</v>
      </c>
      <c r="U54" s="7">
        <v>45</v>
      </c>
      <c r="V54" s="7">
        <v>34554</v>
      </c>
      <c r="W54" s="7">
        <f t="shared" si="7"/>
        <v>32401</v>
      </c>
      <c r="X54" s="103">
        <f t="shared" si="8"/>
        <v>35647</v>
      </c>
      <c r="Y54" s="103"/>
      <c r="Z54" s="7">
        <v>0</v>
      </c>
      <c r="AB54" s="2">
        <v>1093</v>
      </c>
      <c r="AC54" s="103">
        <v>32951</v>
      </c>
      <c r="AD54" s="103">
        <v>34587</v>
      </c>
      <c r="AE54" s="64">
        <f t="shared" si="9"/>
        <v>0</v>
      </c>
      <c r="AF54" s="64">
        <f t="shared" si="10"/>
        <v>2.0540954693960157E-2</v>
      </c>
      <c r="AG54" s="20">
        <f t="shared" si="13"/>
        <v>0</v>
      </c>
      <c r="AH54" s="20">
        <f t="shared" si="14"/>
        <v>6.9240134780890692</v>
      </c>
      <c r="AI54" s="22"/>
    </row>
    <row r="55" spans="1:35">
      <c r="A55" s="28">
        <v>45711</v>
      </c>
      <c r="B55" s="6"/>
      <c r="C55" s="6">
        <v>167.16666666666669</v>
      </c>
      <c r="D55" s="6">
        <v>27.500000000000004</v>
      </c>
      <c r="E55" s="6">
        <v>0</v>
      </c>
      <c r="F55" s="6">
        <v>98.916666666666671</v>
      </c>
      <c r="G55" s="6">
        <v>75</v>
      </c>
      <c r="H55" s="6">
        <v>0</v>
      </c>
      <c r="I55" s="6">
        <v>470.33333333333331</v>
      </c>
      <c r="J55" s="6">
        <v>67.75</v>
      </c>
      <c r="K55" s="6">
        <v>266.91666666666663</v>
      </c>
      <c r="L55" s="6">
        <v>0</v>
      </c>
      <c r="M55" s="3">
        <v>119.16666666666667</v>
      </c>
      <c r="N55" s="107">
        <f t="shared" si="6"/>
        <v>22.332184652541439</v>
      </c>
      <c r="O55" s="7">
        <f t="shared" si="0"/>
        <v>1098.5833333333335</v>
      </c>
      <c r="P55" s="7">
        <f t="shared" si="1"/>
        <v>1076.2511486807919</v>
      </c>
      <c r="Q55" s="7">
        <f t="shared" si="2"/>
        <v>448.00114868079186</v>
      </c>
      <c r="R55" s="7">
        <f t="shared" si="3"/>
        <v>266.91666666666663</v>
      </c>
      <c r="S55" s="7">
        <v>3734</v>
      </c>
      <c r="T55" s="7">
        <v>5032</v>
      </c>
      <c r="U55" s="7">
        <v>84</v>
      </c>
      <c r="V55" s="7">
        <v>42709</v>
      </c>
      <c r="W55" s="7">
        <f t="shared" si="7"/>
        <v>38891</v>
      </c>
      <c r="X55" s="103">
        <f t="shared" si="8"/>
        <v>46036</v>
      </c>
      <c r="Y55" s="103"/>
      <c r="Z55" s="7">
        <v>0</v>
      </c>
      <c r="AB55" s="2">
        <v>3327</v>
      </c>
      <c r="AC55" s="103">
        <v>53688</v>
      </c>
      <c r="AD55" s="103">
        <v>45545</v>
      </c>
      <c r="AE55" s="64">
        <f t="shared" si="9"/>
        <v>0</v>
      </c>
      <c r="AF55" s="64">
        <f t="shared" si="10"/>
        <v>4.7481611592930066E-2</v>
      </c>
      <c r="AG55" s="20">
        <f t="shared" si="13"/>
        <v>0</v>
      </c>
      <c r="AH55" s="20">
        <f t="shared" si="14"/>
        <v>22.332184652541439</v>
      </c>
      <c r="AI55" s="22"/>
    </row>
    <row r="56" spans="1:35">
      <c r="A56" s="28">
        <v>45712</v>
      </c>
      <c r="B56" s="6">
        <v>21</v>
      </c>
      <c r="C56" s="6">
        <v>342.16666666666669</v>
      </c>
      <c r="D56" s="6">
        <v>80.5</v>
      </c>
      <c r="E56" s="6">
        <v>343.5</v>
      </c>
      <c r="F56" s="6">
        <v>263.5</v>
      </c>
      <c r="G56" s="6">
        <v>153.25</v>
      </c>
      <c r="H56" s="6">
        <v>71.5</v>
      </c>
      <c r="I56" s="6">
        <v>1594</v>
      </c>
      <c r="J56" s="6">
        <v>60</v>
      </c>
      <c r="K56" s="6">
        <v>879.66666666666663</v>
      </c>
      <c r="L56" s="6">
        <v>190.75</v>
      </c>
      <c r="M56" s="3">
        <v>295.5</v>
      </c>
      <c r="N56" s="107">
        <f t="shared" si="6"/>
        <v>14.454104806403603</v>
      </c>
      <c r="O56" s="7">
        <f t="shared" si="0"/>
        <v>3240.8333333333335</v>
      </c>
      <c r="P56" s="7">
        <f t="shared" si="1"/>
        <v>3226.3792285269296</v>
      </c>
      <c r="Q56" s="7">
        <f t="shared" si="2"/>
        <v>1579.5458951935964</v>
      </c>
      <c r="R56" s="7">
        <f t="shared" si="3"/>
        <v>879.66666666666663</v>
      </c>
      <c r="S56" s="7">
        <v>5063</v>
      </c>
      <c r="T56" s="7">
        <v>7229</v>
      </c>
      <c r="U56" s="7">
        <v>279</v>
      </c>
      <c r="V56" s="7">
        <v>135248</v>
      </c>
      <c r="W56" s="7">
        <f t="shared" si="7"/>
        <v>129906</v>
      </c>
      <c r="X56" s="103">
        <f t="shared" si="8"/>
        <v>137132</v>
      </c>
      <c r="Y56" s="103"/>
      <c r="Z56" s="7">
        <v>0</v>
      </c>
      <c r="AB56" s="2">
        <v>1884</v>
      </c>
      <c r="AC56" s="103">
        <v>109438</v>
      </c>
      <c r="AD56" s="103">
        <v>135049</v>
      </c>
      <c r="AE56" s="64">
        <f t="shared" si="9"/>
        <v>0</v>
      </c>
      <c r="AF56" s="64">
        <f t="shared" si="10"/>
        <v>9.0678198283585965E-3</v>
      </c>
      <c r="AG56" s="20">
        <f t="shared" si="13"/>
        <v>0</v>
      </c>
      <c r="AH56" s="20">
        <f t="shared" si="14"/>
        <v>14.454104806403603</v>
      </c>
      <c r="AI56" s="22"/>
    </row>
    <row r="57" spans="1:35">
      <c r="A57" s="28">
        <v>45713</v>
      </c>
      <c r="B57" s="6">
        <v>35</v>
      </c>
      <c r="C57" s="6">
        <v>320.33333333333337</v>
      </c>
      <c r="D57" s="6">
        <v>80.083333333333329</v>
      </c>
      <c r="E57" s="6">
        <v>328.50000000000006</v>
      </c>
      <c r="F57" s="6">
        <v>231.08333333333331</v>
      </c>
      <c r="G57" s="6">
        <v>139.33333333333334</v>
      </c>
      <c r="H57" s="6">
        <v>63</v>
      </c>
      <c r="I57" s="6">
        <v>1343.9166666666665</v>
      </c>
      <c r="J57" s="6">
        <v>67.5</v>
      </c>
      <c r="K57" s="6">
        <v>948</v>
      </c>
      <c r="L57" s="6">
        <v>189.91666666666669</v>
      </c>
      <c r="M57" s="3">
        <v>313.41666666666663</v>
      </c>
      <c r="N57" s="107">
        <f t="shared" si="6"/>
        <v>12.210886665239723</v>
      </c>
      <c r="O57" s="7">
        <f t="shared" si="0"/>
        <v>3025.9166666666665</v>
      </c>
      <c r="P57" s="7">
        <f t="shared" si="1"/>
        <v>3013.7057800014268</v>
      </c>
      <c r="Q57" s="7">
        <f t="shared" si="2"/>
        <v>1331.7057800014268</v>
      </c>
      <c r="R57" s="7">
        <f t="shared" si="3"/>
        <v>948</v>
      </c>
      <c r="S57" s="7">
        <v>2363</v>
      </c>
      <c r="T57" s="7">
        <v>4520</v>
      </c>
      <c r="U57" s="7">
        <v>223</v>
      </c>
      <c r="V57" s="7">
        <v>120267</v>
      </c>
      <c r="W57" s="7">
        <f t="shared" si="7"/>
        <v>117681</v>
      </c>
      <c r="X57" s="103">
        <f t="shared" si="8"/>
        <v>121965</v>
      </c>
      <c r="Y57" s="103"/>
      <c r="Z57" s="7">
        <v>0</v>
      </c>
      <c r="AB57" s="2">
        <v>1698</v>
      </c>
      <c r="AC57" s="103">
        <v>123377</v>
      </c>
      <c r="AD57" s="103">
        <v>121472</v>
      </c>
      <c r="AE57" s="64">
        <f t="shared" si="9"/>
        <v>0</v>
      </c>
      <c r="AF57" s="64">
        <f t="shared" si="10"/>
        <v>9.0860445205479447E-3</v>
      </c>
      <c r="AG57" s="20">
        <f t="shared" si="13"/>
        <v>0</v>
      </c>
      <c r="AH57" s="20">
        <f t="shared" si="14"/>
        <v>12.210886665239723</v>
      </c>
      <c r="AI57" s="22"/>
    </row>
    <row r="58" spans="1:35">
      <c r="A58" s="28">
        <v>45714</v>
      </c>
      <c r="B58" s="6">
        <v>165</v>
      </c>
      <c r="C58" s="6">
        <v>377.24999999999994</v>
      </c>
      <c r="D58" s="6">
        <v>97.5</v>
      </c>
      <c r="E58" s="6">
        <v>348.83333333333326</v>
      </c>
      <c r="F58" s="6">
        <v>281.83333333333337</v>
      </c>
      <c r="G58" s="6">
        <v>144.5</v>
      </c>
      <c r="H58" s="6">
        <v>63</v>
      </c>
      <c r="I58" s="6">
        <v>1329.9166666666665</v>
      </c>
      <c r="J58" s="6">
        <v>112.5</v>
      </c>
      <c r="K58" s="6">
        <v>765.25</v>
      </c>
      <c r="L58" s="6">
        <v>176</v>
      </c>
      <c r="M58" s="3">
        <v>308.08333333333337</v>
      </c>
      <c r="N58" s="107">
        <f t="shared" si="6"/>
        <v>112.29004493320146</v>
      </c>
      <c r="O58" s="7">
        <f t="shared" si="0"/>
        <v>3129.25</v>
      </c>
      <c r="P58" s="7">
        <f t="shared" si="1"/>
        <v>3016.959955066799</v>
      </c>
      <c r="Q58" s="7">
        <f t="shared" si="2"/>
        <v>1314.9125228025862</v>
      </c>
      <c r="R58" s="7">
        <f t="shared" si="3"/>
        <v>667.96409893087889</v>
      </c>
      <c r="S58" s="7">
        <v>3829</v>
      </c>
      <c r="T58" s="7">
        <v>9682</v>
      </c>
      <c r="U58" s="7">
        <v>336</v>
      </c>
      <c r="V58" s="7">
        <v>123095</v>
      </c>
      <c r="W58" s="7">
        <f t="shared" si="7"/>
        <v>118930</v>
      </c>
      <c r="X58" s="103">
        <f t="shared" si="8"/>
        <v>125239</v>
      </c>
      <c r="Y58" s="103"/>
      <c r="Z58" s="7">
        <v>16725</v>
      </c>
      <c r="AB58" s="2">
        <v>2144</v>
      </c>
      <c r="AC58" s="103">
        <v>121034</v>
      </c>
      <c r="AD58" s="103">
        <v>123524</v>
      </c>
      <c r="AE58" s="64">
        <f t="shared" si="9"/>
        <v>0.12712956689855742</v>
      </c>
      <c r="AF58" s="64">
        <f t="shared" si="10"/>
        <v>1.1282018069363039E-2</v>
      </c>
      <c r="AG58" s="20">
        <f t="shared" si="13"/>
        <v>97.285901069121067</v>
      </c>
      <c r="AH58" s="20">
        <f t="shared" si="14"/>
        <v>15.004143864080394</v>
      </c>
      <c r="AI58" s="22"/>
    </row>
    <row r="59" spans="1:35">
      <c r="A59" s="28">
        <v>45715</v>
      </c>
      <c r="B59" s="6">
        <v>164.33333333333331</v>
      </c>
      <c r="C59" s="6">
        <v>370.83333333333337</v>
      </c>
      <c r="D59" s="6">
        <v>97.5</v>
      </c>
      <c r="E59" s="6">
        <v>370.83333333333326</v>
      </c>
      <c r="F59" s="6">
        <v>266.41666666666663</v>
      </c>
      <c r="G59" s="6">
        <v>141.08333333333331</v>
      </c>
      <c r="H59" s="6">
        <v>63</v>
      </c>
      <c r="I59" s="6">
        <v>1147.8333333333333</v>
      </c>
      <c r="J59" s="6">
        <v>127.5</v>
      </c>
      <c r="K59" s="6">
        <v>607.58333333333337</v>
      </c>
      <c r="L59" s="6">
        <v>168.5</v>
      </c>
      <c r="M59" s="3">
        <v>296.16666666666669</v>
      </c>
      <c r="N59" s="107">
        <f t="shared" si="6"/>
        <v>145.28737490784022</v>
      </c>
      <c r="O59" s="7">
        <f t="shared" si="0"/>
        <v>2782</v>
      </c>
      <c r="P59" s="7">
        <f t="shared" si="1"/>
        <v>2636.7126250921597</v>
      </c>
      <c r="Q59" s="7">
        <f t="shared" si="2"/>
        <v>1031.2864459049676</v>
      </c>
      <c r="R59" s="7">
        <f t="shared" si="3"/>
        <v>578.84284585385876</v>
      </c>
      <c r="S59" s="7">
        <v>6206</v>
      </c>
      <c r="T59" s="7">
        <v>8226</v>
      </c>
      <c r="U59" s="7">
        <v>174</v>
      </c>
      <c r="V59" s="7">
        <v>93960</v>
      </c>
      <c r="W59" s="7">
        <f t="shared" si="7"/>
        <v>87580</v>
      </c>
      <c r="X59" s="103">
        <f t="shared" si="8"/>
        <v>113913</v>
      </c>
      <c r="Y59" s="103"/>
      <c r="Z59" s="7">
        <v>4175</v>
      </c>
      <c r="AB59" s="2">
        <v>19953</v>
      </c>
      <c r="AC59" s="103">
        <v>81200</v>
      </c>
      <c r="AD59" s="103">
        <v>127732</v>
      </c>
      <c r="AE59" s="64">
        <f t="shared" si="9"/>
        <v>4.7302955665024633E-2</v>
      </c>
      <c r="AF59" s="64">
        <f t="shared" si="10"/>
        <v>0.10153642000438419</v>
      </c>
      <c r="AG59" s="20">
        <f t="shared" si="13"/>
        <v>28.740487479474552</v>
      </c>
      <c r="AH59" s="20">
        <f t="shared" si="14"/>
        <v>116.54688742836565</v>
      </c>
      <c r="AI59" s="22"/>
    </row>
    <row r="60" spans="1:35">
      <c r="A60" s="28">
        <v>45716</v>
      </c>
      <c r="B60" s="6">
        <v>172.5</v>
      </c>
      <c r="C60" s="6">
        <v>359.83333333333331</v>
      </c>
      <c r="D60" s="6">
        <v>97.5</v>
      </c>
      <c r="E60" s="6">
        <v>355.25</v>
      </c>
      <c r="F60" s="6">
        <v>281.08333333333337</v>
      </c>
      <c r="G60" s="6">
        <v>152.08333333333331</v>
      </c>
      <c r="H60" s="6">
        <v>63</v>
      </c>
      <c r="I60" s="6">
        <v>920.91666666666674</v>
      </c>
      <c r="J60" s="6">
        <v>90</v>
      </c>
      <c r="K60" s="6">
        <v>648.66666666666663</v>
      </c>
      <c r="L60" s="6">
        <v>175</v>
      </c>
      <c r="M60" s="3">
        <v>298.33333333333337</v>
      </c>
      <c r="N60" s="107">
        <f t="shared" si="6"/>
        <v>27.821003989053299</v>
      </c>
      <c r="O60" s="7">
        <f t="shared" si="0"/>
        <v>2570.5</v>
      </c>
      <c r="P60" s="7">
        <f t="shared" si="1"/>
        <v>2542.6789960109468</v>
      </c>
      <c r="Q60" s="7">
        <f t="shared" si="2"/>
        <v>893.0956626776134</v>
      </c>
      <c r="R60" s="7">
        <f t="shared" si="3"/>
        <v>648.66666666666663</v>
      </c>
      <c r="S60" s="7">
        <v>4291</v>
      </c>
      <c r="T60" s="7">
        <v>6471</v>
      </c>
      <c r="U60" s="7">
        <v>151</v>
      </c>
      <c r="V60" s="7">
        <v>82351</v>
      </c>
      <c r="W60" s="7">
        <f t="shared" si="7"/>
        <v>77909</v>
      </c>
      <c r="X60" s="103">
        <f t="shared" si="8"/>
        <v>86359</v>
      </c>
      <c r="Y60" s="103"/>
      <c r="Z60" s="7">
        <v>0</v>
      </c>
      <c r="AB60" s="2">
        <v>4008</v>
      </c>
      <c r="AC60" s="103">
        <v>83156</v>
      </c>
      <c r="AD60" s="103">
        <v>86236</v>
      </c>
      <c r="AE60" s="64">
        <f t="shared" si="9"/>
        <v>0</v>
      </c>
      <c r="AF60" s="64">
        <f t="shared" si="10"/>
        <v>3.0210121063129088E-2</v>
      </c>
      <c r="AG60" s="20">
        <f t="shared" si="13"/>
        <v>0</v>
      </c>
      <c r="AH60" s="20">
        <f t="shared" si="14"/>
        <v>27.821003989053299</v>
      </c>
      <c r="AI60" s="22"/>
    </row>
    <row r="61" spans="1:35">
      <c r="A61" s="28">
        <v>45717</v>
      </c>
      <c r="B61" s="6">
        <v>160</v>
      </c>
      <c r="C61" s="6">
        <v>157.58333333333334</v>
      </c>
      <c r="D61" s="6">
        <v>47</v>
      </c>
      <c r="E61" s="6">
        <v>188</v>
      </c>
      <c r="F61" s="6">
        <v>112.58333333333331</v>
      </c>
      <c r="G61" s="6">
        <v>102.66666666666667</v>
      </c>
      <c r="H61" s="6">
        <v>20</v>
      </c>
      <c r="I61" s="6">
        <v>528.58333333333337</v>
      </c>
      <c r="J61" s="6">
        <v>79.833333333333329</v>
      </c>
      <c r="K61" s="6">
        <v>325.08333333333326</v>
      </c>
      <c r="L61" s="6">
        <v>146</v>
      </c>
      <c r="M61" s="3">
        <v>179.66666666666666</v>
      </c>
      <c r="N61" s="107">
        <f t="shared" si="6"/>
        <v>4.873384445991678</v>
      </c>
      <c r="O61" s="7">
        <f t="shared" si="0"/>
        <v>1410.6666666666665</v>
      </c>
      <c r="P61" s="7">
        <f t="shared" si="1"/>
        <v>1405.7932822206751</v>
      </c>
      <c r="Q61" s="7">
        <f t="shared" si="2"/>
        <v>523.70994888734174</v>
      </c>
      <c r="R61" s="7">
        <f t="shared" si="3"/>
        <v>325.08333333333326</v>
      </c>
      <c r="S61" s="7">
        <v>4605</v>
      </c>
      <c r="T61" s="7">
        <v>5899</v>
      </c>
      <c r="U61" s="7">
        <v>91</v>
      </c>
      <c r="V61" s="7">
        <v>64175</v>
      </c>
      <c r="W61" s="7">
        <f t="shared" si="7"/>
        <v>59479</v>
      </c>
      <c r="X61" s="103">
        <f t="shared" si="8"/>
        <v>65051</v>
      </c>
      <c r="Y61" s="103"/>
      <c r="Z61" s="7">
        <v>0</v>
      </c>
      <c r="AB61" s="2">
        <v>876</v>
      </c>
      <c r="AC61" s="103">
        <v>52769</v>
      </c>
      <c r="AD61" s="103">
        <v>61759</v>
      </c>
      <c r="AE61" s="64">
        <f t="shared" si="9"/>
        <v>0</v>
      </c>
      <c r="AF61" s="64">
        <f t="shared" si="10"/>
        <v>9.2197088683430763E-3</v>
      </c>
      <c r="AG61" s="20">
        <f t="shared" si="13"/>
        <v>0</v>
      </c>
      <c r="AH61" s="20">
        <f t="shared" si="14"/>
        <v>4.873384445991678</v>
      </c>
      <c r="AI61" s="22"/>
    </row>
    <row r="62" spans="1:35">
      <c r="A62" s="28">
        <v>45718</v>
      </c>
      <c r="B62" s="6"/>
      <c r="C62" s="6">
        <v>124.5</v>
      </c>
      <c r="D62" s="6">
        <v>22.5</v>
      </c>
      <c r="E62" s="6">
        <v>0</v>
      </c>
      <c r="F62" s="6">
        <v>67.5</v>
      </c>
      <c r="G62" s="6">
        <v>105</v>
      </c>
      <c r="H62" s="6">
        <v>7.5</v>
      </c>
      <c r="I62" s="6">
        <v>285</v>
      </c>
      <c r="J62" s="6">
        <v>37.5</v>
      </c>
      <c r="K62" s="6">
        <v>195</v>
      </c>
      <c r="L62" s="6">
        <v>0</v>
      </c>
      <c r="M62" s="3">
        <v>52.5</v>
      </c>
      <c r="N62" s="107">
        <f t="shared" si="6"/>
        <v>2.6348300669808982</v>
      </c>
      <c r="O62" s="7">
        <f t="shared" si="0"/>
        <v>732</v>
      </c>
      <c r="P62" s="7">
        <f t="shared" si="1"/>
        <v>729.36516993301916</v>
      </c>
      <c r="Q62" s="7">
        <f t="shared" si="2"/>
        <v>282.3651699330191</v>
      </c>
      <c r="R62" s="7">
        <f t="shared" si="3"/>
        <v>195</v>
      </c>
      <c r="S62" s="7">
        <v>1787</v>
      </c>
      <c r="T62" s="7">
        <v>2434</v>
      </c>
      <c r="U62" s="7">
        <v>10</v>
      </c>
      <c r="V62" s="7">
        <v>24525</v>
      </c>
      <c r="W62" s="7">
        <f t="shared" si="7"/>
        <v>22728</v>
      </c>
      <c r="X62" s="103">
        <f t="shared" si="8"/>
        <v>24869</v>
      </c>
      <c r="Y62" s="103"/>
      <c r="Z62" s="7">
        <v>0</v>
      </c>
      <c r="AB62" s="2">
        <v>344</v>
      </c>
      <c r="AC62" s="103">
        <v>32841</v>
      </c>
      <c r="AD62" s="103">
        <v>24186</v>
      </c>
      <c r="AE62" s="64">
        <f t="shared" si="9"/>
        <v>0</v>
      </c>
      <c r="AF62" s="64">
        <f t="shared" si="10"/>
        <v>9.2450177788803451E-3</v>
      </c>
      <c r="AG62" s="20">
        <f t="shared" si="13"/>
        <v>0</v>
      </c>
      <c r="AH62" s="20">
        <f t="shared" si="14"/>
        <v>2.6348300669808982</v>
      </c>
      <c r="AI62" s="22"/>
    </row>
    <row r="63" spans="1:35">
      <c r="A63" s="28">
        <v>45719</v>
      </c>
      <c r="B63" s="7">
        <v>120</v>
      </c>
      <c r="C63" s="7">
        <v>275.91666666666663</v>
      </c>
      <c r="D63" s="7">
        <v>90</v>
      </c>
      <c r="E63" s="6">
        <v>347.74999999999989</v>
      </c>
      <c r="F63" s="7">
        <v>231.58333333333337</v>
      </c>
      <c r="G63" s="7">
        <v>144.16666666666669</v>
      </c>
      <c r="H63" s="7">
        <v>59.666666666666671</v>
      </c>
      <c r="I63" s="7">
        <v>1314.0833333333335</v>
      </c>
      <c r="J63" s="7">
        <v>97.5</v>
      </c>
      <c r="K63" s="7">
        <v>763.58333333333326</v>
      </c>
      <c r="L63" s="7">
        <v>149.08333333333334</v>
      </c>
      <c r="M63" s="3">
        <v>292.5</v>
      </c>
      <c r="N63" s="107">
        <f t="shared" si="6"/>
        <v>13.184015253563503</v>
      </c>
      <c r="O63" s="7">
        <f t="shared" si="0"/>
        <v>2892.666666666667</v>
      </c>
      <c r="P63" s="7">
        <f t="shared" si="1"/>
        <v>2879.4826514131028</v>
      </c>
      <c r="Q63" s="7">
        <f t="shared" si="2"/>
        <v>1300.89931807977</v>
      </c>
      <c r="R63" s="7">
        <f t="shared" si="3"/>
        <v>763.58333333333326</v>
      </c>
      <c r="S63" s="7">
        <v>4731</v>
      </c>
      <c r="T63" s="7">
        <v>7260</v>
      </c>
      <c r="U63" s="7">
        <v>260</v>
      </c>
      <c r="V63" s="7">
        <v>117118</v>
      </c>
      <c r="W63" s="7">
        <f t="shared" si="7"/>
        <v>112127</v>
      </c>
      <c r="X63" s="103">
        <f t="shared" si="8"/>
        <v>118917</v>
      </c>
      <c r="Y63" s="103"/>
      <c r="Z63" s="7">
        <v>0</v>
      </c>
      <c r="AB63" s="2">
        <v>1799</v>
      </c>
      <c r="AC63" s="103">
        <v>109558</v>
      </c>
      <c r="AD63" s="103">
        <v>116552</v>
      </c>
      <c r="AE63" s="64">
        <f t="shared" si="9"/>
        <v>0</v>
      </c>
      <c r="AF63" s="64">
        <f t="shared" si="10"/>
        <v>1.0032860868968357E-2</v>
      </c>
      <c r="AG63" s="20">
        <f t="shared" si="13"/>
        <v>0</v>
      </c>
      <c r="AH63" s="20">
        <f t="shared" si="14"/>
        <v>13.184015253563503</v>
      </c>
      <c r="AI63" s="22"/>
    </row>
    <row r="64" spans="1:35">
      <c r="A64" s="28">
        <v>45720</v>
      </c>
      <c r="B64" s="7">
        <v>83.916666666666686</v>
      </c>
      <c r="C64" s="7">
        <v>285</v>
      </c>
      <c r="D64" s="7">
        <v>97.5</v>
      </c>
      <c r="E64" s="6">
        <v>359.66666666666663</v>
      </c>
      <c r="F64" s="7">
        <v>206.91666666666669</v>
      </c>
      <c r="G64" s="7">
        <v>144.16666666666666</v>
      </c>
      <c r="H64" s="7">
        <v>67</v>
      </c>
      <c r="I64" s="7">
        <v>1272.1666666666667</v>
      </c>
      <c r="J64" s="7">
        <v>97.5</v>
      </c>
      <c r="K64" s="7">
        <v>755.91666666666674</v>
      </c>
      <c r="L64" s="7">
        <v>163.16666666666666</v>
      </c>
      <c r="M64" s="3">
        <v>304.41666666666669</v>
      </c>
      <c r="N64" s="107">
        <f t="shared" si="6"/>
        <v>32.96043607782525</v>
      </c>
      <c r="O64" s="7">
        <f t="shared" si="0"/>
        <v>2798.916666666667</v>
      </c>
      <c r="P64" s="7">
        <f t="shared" si="1"/>
        <v>2765.9562305888412</v>
      </c>
      <c r="Q64" s="7">
        <f t="shared" si="2"/>
        <v>1252.4006841606445</v>
      </c>
      <c r="R64" s="7">
        <f t="shared" si="3"/>
        <v>742.72221309486372</v>
      </c>
      <c r="S64" s="7">
        <v>5959</v>
      </c>
      <c r="T64" s="7">
        <v>9055</v>
      </c>
      <c r="U64" s="7">
        <v>275</v>
      </c>
      <c r="V64" s="7">
        <v>109830</v>
      </c>
      <c r="W64" s="7">
        <f t="shared" si="7"/>
        <v>103596</v>
      </c>
      <c r="X64" s="103">
        <f t="shared" si="8"/>
        <v>112453</v>
      </c>
      <c r="Y64" s="103"/>
      <c r="Z64" s="7">
        <v>2111</v>
      </c>
      <c r="AB64" s="2">
        <v>2623</v>
      </c>
      <c r="AC64" s="103">
        <v>111265</v>
      </c>
      <c r="AD64" s="103">
        <v>109733</v>
      </c>
      <c r="AE64" s="64">
        <f t="shared" si="9"/>
        <v>1.745490495663506E-2</v>
      </c>
      <c r="AF64" s="64">
        <f t="shared" si="10"/>
        <v>1.553725861864708E-2</v>
      </c>
      <c r="AG64" s="20">
        <f t="shared" si="13"/>
        <v>13.194453571803054</v>
      </c>
      <c r="AH64" s="20">
        <f t="shared" si="14"/>
        <v>19.765982506022194</v>
      </c>
      <c r="AI64" s="22"/>
    </row>
    <row r="65" spans="1:35">
      <c r="A65" s="28">
        <v>45721</v>
      </c>
      <c r="B65" s="7">
        <v>30</v>
      </c>
      <c r="C65" s="7">
        <v>379.16666666666669</v>
      </c>
      <c r="D65" s="7">
        <v>68.666666666666657</v>
      </c>
      <c r="E65" s="6">
        <v>318.99999999999994</v>
      </c>
      <c r="F65" s="7">
        <v>216.75</v>
      </c>
      <c r="G65" s="7">
        <v>145.66666666666669</v>
      </c>
      <c r="H65" s="7">
        <v>67.083333333333329</v>
      </c>
      <c r="I65" s="7">
        <v>1279.4166666666665</v>
      </c>
      <c r="J65" s="7">
        <v>96.25</v>
      </c>
      <c r="K65" s="7">
        <v>722.83333333333337</v>
      </c>
      <c r="L65" s="7">
        <v>179.08333333333337</v>
      </c>
      <c r="M65" s="3">
        <v>285</v>
      </c>
      <c r="N65" s="107">
        <f t="shared" si="6"/>
        <v>137.82200596792325</v>
      </c>
      <c r="O65" s="7">
        <f t="shared" si="0"/>
        <v>2793.0833333333335</v>
      </c>
      <c r="P65" s="7">
        <f t="shared" si="1"/>
        <v>2655.2613273654101</v>
      </c>
      <c r="Q65" s="7">
        <f t="shared" si="2"/>
        <v>1267.0893717703998</v>
      </c>
      <c r="R65" s="7">
        <f t="shared" si="3"/>
        <v>597.33862226167685</v>
      </c>
      <c r="S65" s="7">
        <v>4331</v>
      </c>
      <c r="T65" s="7">
        <v>7688</v>
      </c>
      <c r="U65" s="7">
        <v>246</v>
      </c>
      <c r="V65" s="7">
        <v>124806</v>
      </c>
      <c r="W65" s="7">
        <f t="shared" si="7"/>
        <v>120229</v>
      </c>
      <c r="X65" s="103">
        <f t="shared" si="8"/>
        <v>126662</v>
      </c>
      <c r="Y65" s="103"/>
      <c r="Z65" s="7">
        <v>27210</v>
      </c>
      <c r="AB65" s="2">
        <v>1856</v>
      </c>
      <c r="AC65" s="103">
        <v>144188</v>
      </c>
      <c r="AD65" s="103">
        <v>125209</v>
      </c>
      <c r="AE65" s="64">
        <f t="shared" si="9"/>
        <v>0.17361500263544818</v>
      </c>
      <c r="AF65" s="64">
        <f t="shared" si="10"/>
        <v>9.6350901293038044E-3</v>
      </c>
      <c r="AG65" s="20">
        <f t="shared" si="13"/>
        <v>125.49471107165647</v>
      </c>
      <c r="AH65" s="20">
        <f t="shared" si="14"/>
        <v>12.327294896266775</v>
      </c>
      <c r="AI65" s="22"/>
    </row>
    <row r="66" spans="1:35">
      <c r="A66" s="28">
        <v>45722</v>
      </c>
      <c r="B66" s="7">
        <v>15</v>
      </c>
      <c r="C66" s="7">
        <v>306.41666666666669</v>
      </c>
      <c r="D66" s="7">
        <v>82.5</v>
      </c>
      <c r="E66" s="6">
        <v>316.49999999999989</v>
      </c>
      <c r="F66" s="7">
        <v>232.25</v>
      </c>
      <c r="G66" s="7">
        <v>145.25</v>
      </c>
      <c r="H66" s="7">
        <v>66.916666666666671</v>
      </c>
      <c r="I66" s="7">
        <v>1346.9166666666667</v>
      </c>
      <c r="J66" s="7">
        <v>100.33333333333334</v>
      </c>
      <c r="K66" s="7">
        <v>738.58333333333348</v>
      </c>
      <c r="L66" s="7">
        <v>126.75</v>
      </c>
      <c r="M66" s="3">
        <v>308.58333333333331</v>
      </c>
      <c r="N66" s="107">
        <f t="shared" si="6"/>
        <v>87.215455225475552</v>
      </c>
      <c r="O66" s="7">
        <f t="shared" ref="O66:O129" si="15">+B66+C66+D66+F66+I66+K66+J66</f>
        <v>2822.0000000000005</v>
      </c>
      <c r="P66" s="7">
        <f t="shared" ref="P66:P129" si="16">+B66+C66+D66+F66+J66+Q66+R66</f>
        <v>2734.7845447745249</v>
      </c>
      <c r="Q66" s="7">
        <f t="shared" ref="Q66:Q129" si="17">+I66-AH66</f>
        <v>1259.7012114411912</v>
      </c>
      <c r="R66" s="7">
        <f t="shared" ref="R66:R129" si="18">+K66-AG66</f>
        <v>738.58333333333348</v>
      </c>
      <c r="S66" s="7">
        <v>1896</v>
      </c>
      <c r="T66" s="7">
        <v>5625</v>
      </c>
      <c r="U66" s="7">
        <v>354</v>
      </c>
      <c r="V66" s="7">
        <v>133387</v>
      </c>
      <c r="W66" s="7">
        <f t="shared" si="7"/>
        <v>131137</v>
      </c>
      <c r="X66" s="103">
        <f t="shared" si="8"/>
        <v>149701</v>
      </c>
      <c r="Y66" s="103"/>
      <c r="Z66" s="7">
        <v>0</v>
      </c>
      <c r="AB66" s="2">
        <v>16314</v>
      </c>
      <c r="AC66" s="103">
        <v>125027</v>
      </c>
      <c r="AD66" s="103">
        <v>163765</v>
      </c>
      <c r="AE66" s="64">
        <f t="shared" si="9"/>
        <v>0</v>
      </c>
      <c r="AF66" s="64">
        <f t="shared" si="10"/>
        <v>6.4751931120813372E-2</v>
      </c>
      <c r="AG66" s="20">
        <f t="shared" si="13"/>
        <v>0</v>
      </c>
      <c r="AH66" s="20">
        <f t="shared" si="14"/>
        <v>87.215455225475552</v>
      </c>
      <c r="AI66" s="22"/>
    </row>
    <row r="67" spans="1:35">
      <c r="A67" s="28">
        <v>45723</v>
      </c>
      <c r="B67" s="7">
        <v>30</v>
      </c>
      <c r="C67" s="7">
        <v>454.5</v>
      </c>
      <c r="D67" s="7">
        <v>90</v>
      </c>
      <c r="E67" s="6">
        <v>371.16666666666652</v>
      </c>
      <c r="F67" s="7">
        <v>262.5</v>
      </c>
      <c r="G67" s="7">
        <v>135.83333333333337</v>
      </c>
      <c r="H67" s="7">
        <v>64.833333333333343</v>
      </c>
      <c r="I67" s="7">
        <v>1322.0833333333335</v>
      </c>
      <c r="J67" s="7">
        <v>120</v>
      </c>
      <c r="K67" s="7">
        <v>874.25000000000011</v>
      </c>
      <c r="L67" s="7">
        <v>168.58333333333334</v>
      </c>
      <c r="M67" s="3">
        <v>279.91666666666663</v>
      </c>
      <c r="N67" s="107">
        <f t="shared" ref="N67:N130" si="19">+AH67+AG67</f>
        <v>106.87654997376815</v>
      </c>
      <c r="O67" s="7">
        <f t="shared" si="15"/>
        <v>3153.3333333333335</v>
      </c>
      <c r="P67" s="7">
        <f t="shared" si="16"/>
        <v>3046.4567833595656</v>
      </c>
      <c r="Q67" s="7">
        <f t="shared" si="17"/>
        <v>1232.1172599463787</v>
      </c>
      <c r="R67" s="7">
        <f t="shared" si="18"/>
        <v>857.33952341318673</v>
      </c>
      <c r="S67" s="7">
        <v>5382</v>
      </c>
      <c r="T67" s="7">
        <v>6957</v>
      </c>
      <c r="U67" s="7">
        <v>131</v>
      </c>
      <c r="V67" s="7">
        <v>113264</v>
      </c>
      <c r="W67" s="7">
        <f t="shared" ref="W67:W130" si="20">+V67-U67-S67+AA67</f>
        <v>107751</v>
      </c>
      <c r="X67" s="103">
        <f t="shared" ref="X67:X130" si="21">+V67+AB67+AA67</f>
        <v>127933</v>
      </c>
      <c r="Y67" s="103"/>
      <c r="Z67" s="7">
        <v>2324</v>
      </c>
      <c r="AB67" s="2">
        <v>14669</v>
      </c>
      <c r="AC67" s="103">
        <v>110536</v>
      </c>
      <c r="AD67" s="103">
        <v>140118</v>
      </c>
      <c r="AE67" s="64">
        <f t="shared" ref="AE67:AE130" si="22">+(Z67/AC67*0.92)</f>
        <v>1.934283853224289E-2</v>
      </c>
      <c r="AF67" s="64">
        <f t="shared" ref="AF67:AF130" si="23">+(AB67/AD67*0.65)</f>
        <v>6.8048716082159316E-2</v>
      </c>
      <c r="AG67" s="20">
        <f t="shared" ref="AG67:AG89" si="24">+AE67*K67</f>
        <v>16.910476586813349</v>
      </c>
      <c r="AH67" s="20">
        <f t="shared" ref="AH67:AH89" si="25">+AF67*I67</f>
        <v>89.966073386954804</v>
      </c>
      <c r="AI67" s="22"/>
    </row>
    <row r="68" spans="1:35">
      <c r="A68" s="28">
        <v>45724</v>
      </c>
      <c r="B68" s="7">
        <v>25</v>
      </c>
      <c r="C68" s="7">
        <v>205.33333333333334</v>
      </c>
      <c r="D68" s="7">
        <v>52.5</v>
      </c>
      <c r="E68" s="6">
        <v>254.83333333333331</v>
      </c>
      <c r="F68" s="7">
        <v>209.25</v>
      </c>
      <c r="G68" s="7">
        <v>129</v>
      </c>
      <c r="H68" s="7">
        <v>22.5</v>
      </c>
      <c r="I68" s="7">
        <v>1436.92</v>
      </c>
      <c r="J68" s="7">
        <v>90</v>
      </c>
      <c r="K68" s="7">
        <v>652.5</v>
      </c>
      <c r="L68" s="7">
        <v>142</v>
      </c>
      <c r="M68" s="3">
        <v>172.5</v>
      </c>
      <c r="N68" s="107">
        <f t="shared" si="19"/>
        <v>16.630331009476432</v>
      </c>
      <c r="O68" s="7">
        <f t="shared" si="15"/>
        <v>2671.5033333333336</v>
      </c>
      <c r="P68" s="7">
        <f t="shared" si="16"/>
        <v>2654.8730023238572</v>
      </c>
      <c r="Q68" s="7">
        <f t="shared" si="17"/>
        <v>1420.2896689905238</v>
      </c>
      <c r="R68" s="7">
        <f t="shared" si="18"/>
        <v>652.5</v>
      </c>
      <c r="S68" s="7">
        <v>5608</v>
      </c>
      <c r="T68" s="7">
        <v>7221</v>
      </c>
      <c r="U68" s="7">
        <v>166</v>
      </c>
      <c r="V68" s="7">
        <v>114516</v>
      </c>
      <c r="W68" s="7">
        <f t="shared" si="20"/>
        <v>108742</v>
      </c>
      <c r="X68" s="103">
        <f t="shared" si="21"/>
        <v>116549</v>
      </c>
      <c r="Y68" s="103"/>
      <c r="Z68" s="7">
        <v>0</v>
      </c>
      <c r="AB68" s="2">
        <v>2033</v>
      </c>
      <c r="AC68" s="103">
        <v>81448</v>
      </c>
      <c r="AD68" s="103">
        <v>114178</v>
      </c>
      <c r="AE68" s="64">
        <f t="shared" si="22"/>
        <v>0</v>
      </c>
      <c r="AF68" s="64">
        <f t="shared" si="23"/>
        <v>1.1573595613866068E-2</v>
      </c>
      <c r="AG68" s="20">
        <f t="shared" si="24"/>
        <v>0</v>
      </c>
      <c r="AH68" s="20">
        <f t="shared" si="25"/>
        <v>16.630331009476432</v>
      </c>
      <c r="AI68" s="22"/>
    </row>
    <row r="69" spans="1:35">
      <c r="A69" s="28">
        <v>45725</v>
      </c>
      <c r="C69" s="7">
        <v>207.83333333333331</v>
      </c>
      <c r="D69" s="7">
        <v>37.5</v>
      </c>
      <c r="E69" s="6">
        <v>0</v>
      </c>
      <c r="F69" s="7">
        <v>141.75</v>
      </c>
      <c r="G69" s="7">
        <v>105</v>
      </c>
      <c r="H69" s="7">
        <v>15</v>
      </c>
      <c r="I69" s="7">
        <v>620.91666666666663</v>
      </c>
      <c r="J69" s="7">
        <v>67.5</v>
      </c>
      <c r="K69" s="7">
        <v>427.83333333333331</v>
      </c>
      <c r="L69" s="7">
        <v>0</v>
      </c>
      <c r="M69" s="3">
        <v>112</v>
      </c>
      <c r="N69" s="107">
        <f t="shared" si="19"/>
        <v>14.465409957335536</v>
      </c>
      <c r="O69" s="7">
        <f t="shared" si="15"/>
        <v>1503.3333333333333</v>
      </c>
      <c r="P69" s="7">
        <f t="shared" si="16"/>
        <v>1488.8679233759976</v>
      </c>
      <c r="Q69" s="7">
        <f t="shared" si="17"/>
        <v>606.45125670933112</v>
      </c>
      <c r="R69" s="7">
        <f t="shared" si="18"/>
        <v>427.83333333333331</v>
      </c>
      <c r="S69" s="7">
        <v>4184</v>
      </c>
      <c r="T69" s="7">
        <v>6717</v>
      </c>
      <c r="U69" s="7">
        <v>210</v>
      </c>
      <c r="V69" s="7">
        <v>62852</v>
      </c>
      <c r="W69" s="7">
        <f t="shared" si="20"/>
        <v>58458</v>
      </c>
      <c r="X69" s="103">
        <f t="shared" si="21"/>
        <v>65109</v>
      </c>
      <c r="Y69" s="103"/>
      <c r="Z69" s="7">
        <v>0</v>
      </c>
      <c r="AB69" s="2">
        <v>2257</v>
      </c>
      <c r="AC69" s="103">
        <v>70293</v>
      </c>
      <c r="AD69" s="103">
        <v>62972</v>
      </c>
      <c r="AE69" s="64">
        <f t="shared" si="22"/>
        <v>0</v>
      </c>
      <c r="AF69" s="64">
        <f t="shared" si="23"/>
        <v>2.3296862097440134E-2</v>
      </c>
      <c r="AG69" s="20">
        <f t="shared" si="24"/>
        <v>0</v>
      </c>
      <c r="AH69" s="20">
        <f t="shared" si="25"/>
        <v>14.465409957335536</v>
      </c>
      <c r="AI69" s="22"/>
    </row>
    <row r="70" spans="1:35">
      <c r="A70" s="28">
        <v>45726</v>
      </c>
      <c r="B70" s="6">
        <v>21.5</v>
      </c>
      <c r="C70" s="7">
        <v>396.08333333333331</v>
      </c>
      <c r="D70" s="6">
        <v>97.5</v>
      </c>
      <c r="E70" s="6">
        <v>184.8333333333332</v>
      </c>
      <c r="F70" s="6">
        <v>292.00000000000006</v>
      </c>
      <c r="G70" s="6">
        <v>75.416666666666657</v>
      </c>
      <c r="H70" s="6">
        <v>44.833333333333336</v>
      </c>
      <c r="I70" s="6">
        <v>2174.833333333333</v>
      </c>
      <c r="J70" s="6">
        <v>157.25</v>
      </c>
      <c r="K70" s="6">
        <v>1274</v>
      </c>
      <c r="L70" s="6">
        <v>127.75</v>
      </c>
      <c r="M70" s="3">
        <v>306.83333333333337</v>
      </c>
      <c r="N70" s="107">
        <f t="shared" si="19"/>
        <v>61.525231501673858</v>
      </c>
      <c r="O70" s="7">
        <f t="shared" si="15"/>
        <v>4413.1666666666661</v>
      </c>
      <c r="P70" s="7">
        <f t="shared" si="16"/>
        <v>4351.6414351649928</v>
      </c>
      <c r="Q70" s="7">
        <f t="shared" si="17"/>
        <v>2113.3081018316593</v>
      </c>
      <c r="R70" s="7">
        <f t="shared" si="18"/>
        <v>1274</v>
      </c>
      <c r="S70" s="7">
        <v>11255</v>
      </c>
      <c r="T70" s="7">
        <v>13936</v>
      </c>
      <c r="U70" s="7">
        <v>340</v>
      </c>
      <c r="V70" s="7">
        <v>176068</v>
      </c>
      <c r="W70" s="7">
        <f t="shared" si="20"/>
        <v>164473</v>
      </c>
      <c r="X70" s="103">
        <f t="shared" si="21"/>
        <v>183552</v>
      </c>
      <c r="Y70" s="103"/>
      <c r="Z70" s="7">
        <v>0</v>
      </c>
      <c r="AB70" s="2">
        <v>7484</v>
      </c>
      <c r="AC70" s="103">
        <v>154478</v>
      </c>
      <c r="AD70" s="103">
        <v>171957</v>
      </c>
      <c r="AE70" s="64">
        <f t="shared" si="22"/>
        <v>0</v>
      </c>
      <c r="AF70" s="64">
        <f t="shared" si="23"/>
        <v>2.8289630547171676E-2</v>
      </c>
      <c r="AG70" s="20">
        <f t="shared" si="24"/>
        <v>0</v>
      </c>
      <c r="AH70" s="20">
        <f t="shared" si="25"/>
        <v>61.525231501673858</v>
      </c>
      <c r="AI70" s="22"/>
    </row>
    <row r="71" spans="1:35">
      <c r="A71" s="28">
        <v>45727</v>
      </c>
      <c r="B71" s="6">
        <v>30</v>
      </c>
      <c r="C71" s="7">
        <v>402.08333333333337</v>
      </c>
      <c r="D71" s="6">
        <v>86.833333333333343</v>
      </c>
      <c r="E71" s="6">
        <v>186.74999999999994</v>
      </c>
      <c r="F71" s="6">
        <v>289.99999999999994</v>
      </c>
      <c r="G71" s="6">
        <v>76</v>
      </c>
      <c r="H71" s="6">
        <v>59.833333333333343</v>
      </c>
      <c r="I71" s="6">
        <v>1875.0833333333335</v>
      </c>
      <c r="J71" s="6">
        <v>135</v>
      </c>
      <c r="K71" s="6">
        <v>1099.5</v>
      </c>
      <c r="L71" s="6">
        <v>155.58333333333337</v>
      </c>
      <c r="M71" s="3">
        <v>306.66666666666669</v>
      </c>
      <c r="N71" s="107">
        <f t="shared" si="19"/>
        <v>22.292499697415419</v>
      </c>
      <c r="O71" s="7">
        <f t="shared" si="15"/>
        <v>3918.5</v>
      </c>
      <c r="P71" s="7">
        <f t="shared" si="16"/>
        <v>3896.2075003025848</v>
      </c>
      <c r="Q71" s="7">
        <f t="shared" si="17"/>
        <v>1852.790833635918</v>
      </c>
      <c r="R71" s="7">
        <f t="shared" si="18"/>
        <v>1099.5</v>
      </c>
      <c r="S71" s="7">
        <v>7367</v>
      </c>
      <c r="T71" s="7">
        <v>10911</v>
      </c>
      <c r="U71" s="7">
        <v>514</v>
      </c>
      <c r="V71" s="7">
        <v>167398</v>
      </c>
      <c r="W71" s="7">
        <f t="shared" si="20"/>
        <v>159517</v>
      </c>
      <c r="X71" s="103">
        <f t="shared" si="21"/>
        <v>170370</v>
      </c>
      <c r="Y71" s="103"/>
      <c r="Z71" s="7">
        <v>0</v>
      </c>
      <c r="AB71" s="2">
        <v>2972</v>
      </c>
      <c r="AC71" s="103">
        <v>135916</v>
      </c>
      <c r="AD71" s="103">
        <v>162489</v>
      </c>
      <c r="AE71" s="64">
        <f t="shared" si="22"/>
        <v>0</v>
      </c>
      <c r="AF71" s="64">
        <f t="shared" si="23"/>
        <v>1.1888804780631305E-2</v>
      </c>
      <c r="AG71" s="20">
        <f t="shared" si="24"/>
        <v>0</v>
      </c>
      <c r="AH71" s="20">
        <f t="shared" si="25"/>
        <v>22.292499697415419</v>
      </c>
      <c r="AI71" s="22"/>
    </row>
    <row r="72" spans="1:35">
      <c r="A72" s="28">
        <v>45728</v>
      </c>
      <c r="B72" s="6">
        <v>20</v>
      </c>
      <c r="C72" s="7">
        <v>449.16666666666669</v>
      </c>
      <c r="D72" s="6">
        <v>88.75</v>
      </c>
      <c r="E72" s="6">
        <v>169.41666666666649</v>
      </c>
      <c r="F72" s="6">
        <v>300</v>
      </c>
      <c r="G72" s="6">
        <v>98.5</v>
      </c>
      <c r="H72" s="6">
        <v>67.083333333333329</v>
      </c>
      <c r="I72" s="6">
        <v>1772.25</v>
      </c>
      <c r="J72" s="6">
        <v>120</v>
      </c>
      <c r="K72" s="6">
        <v>1057.5000000000002</v>
      </c>
      <c r="L72" s="6">
        <v>157.75000000000003</v>
      </c>
      <c r="M72" s="3">
        <v>311.91666666666663</v>
      </c>
      <c r="N72" s="107">
        <f t="shared" si="19"/>
        <v>26.590597106752973</v>
      </c>
      <c r="O72" s="7">
        <f t="shared" si="15"/>
        <v>3807.666666666667</v>
      </c>
      <c r="P72" s="7">
        <f t="shared" si="16"/>
        <v>3781.0760695599138</v>
      </c>
      <c r="Q72" s="7">
        <f t="shared" si="17"/>
        <v>1755.377622107367</v>
      </c>
      <c r="R72" s="7">
        <f t="shared" si="18"/>
        <v>1047.7817807858803</v>
      </c>
      <c r="S72" s="7">
        <v>5257</v>
      </c>
      <c r="T72" s="7">
        <v>8987</v>
      </c>
      <c r="U72" s="7">
        <v>467</v>
      </c>
      <c r="V72" s="7">
        <v>163484</v>
      </c>
      <c r="W72" s="7">
        <f t="shared" si="20"/>
        <v>157760</v>
      </c>
      <c r="X72" s="103">
        <f t="shared" si="21"/>
        <v>165829</v>
      </c>
      <c r="Y72" s="103"/>
      <c r="Z72" s="7">
        <v>1253</v>
      </c>
      <c r="AB72" s="2">
        <v>2345</v>
      </c>
      <c r="AC72" s="103">
        <v>125439</v>
      </c>
      <c r="AD72" s="103">
        <v>160105</v>
      </c>
      <c r="AE72" s="64">
        <f t="shared" si="22"/>
        <v>9.1898054034231774E-3</v>
      </c>
      <c r="AF72" s="64">
        <f t="shared" si="23"/>
        <v>9.5203147934168203E-3</v>
      </c>
      <c r="AG72" s="20">
        <f t="shared" si="24"/>
        <v>9.7182192141200119</v>
      </c>
      <c r="AH72" s="20">
        <f t="shared" si="25"/>
        <v>16.872377892632962</v>
      </c>
      <c r="AI72" s="22"/>
    </row>
    <row r="73" spans="1:35">
      <c r="A73" s="28">
        <v>45729</v>
      </c>
      <c r="B73" s="6">
        <v>27.5</v>
      </c>
      <c r="C73" s="7">
        <v>435.16666666666663</v>
      </c>
      <c r="D73" s="6">
        <v>90</v>
      </c>
      <c r="E73" s="6">
        <v>210.25</v>
      </c>
      <c r="F73" s="6">
        <v>292.24999999999994</v>
      </c>
      <c r="G73" s="6">
        <v>77.333333333333329</v>
      </c>
      <c r="H73" s="6">
        <v>57.75</v>
      </c>
      <c r="I73" s="6">
        <v>1908.1666666666665</v>
      </c>
      <c r="J73" s="6">
        <v>90</v>
      </c>
      <c r="K73" s="6">
        <v>1147.5</v>
      </c>
      <c r="L73" s="6">
        <v>164.33333333333337</v>
      </c>
      <c r="M73" s="3">
        <v>312.91666666666669</v>
      </c>
      <c r="N73" s="107">
        <f t="shared" si="19"/>
        <v>50.597760238706769</v>
      </c>
      <c r="O73" s="7">
        <f t="shared" si="15"/>
        <v>3990.583333333333</v>
      </c>
      <c r="P73" s="7">
        <f t="shared" si="16"/>
        <v>3939.985573094626</v>
      </c>
      <c r="Q73" s="7">
        <f t="shared" si="17"/>
        <v>1888.1998977864112</v>
      </c>
      <c r="R73" s="7">
        <f t="shared" si="18"/>
        <v>1116.8690086415486</v>
      </c>
      <c r="S73" s="7">
        <v>5173</v>
      </c>
      <c r="T73" s="7">
        <v>8869</v>
      </c>
      <c r="U73" s="7">
        <v>431</v>
      </c>
      <c r="V73" s="7">
        <v>155528</v>
      </c>
      <c r="W73" s="7">
        <f t="shared" si="20"/>
        <v>149924</v>
      </c>
      <c r="X73" s="103">
        <f t="shared" si="21"/>
        <v>157981</v>
      </c>
      <c r="Y73" s="103"/>
      <c r="Z73" s="7">
        <v>4197</v>
      </c>
      <c r="AB73" s="2">
        <v>2453</v>
      </c>
      <c r="AC73" s="103">
        <v>144650</v>
      </c>
      <c r="AD73" s="103">
        <v>152377</v>
      </c>
      <c r="AE73" s="64">
        <f t="shared" si="22"/>
        <v>2.6693674386450053E-2</v>
      </c>
      <c r="AF73" s="64">
        <f t="shared" si="23"/>
        <v>1.0463849531097214E-2</v>
      </c>
      <c r="AG73" s="20">
        <f t="shared" si="24"/>
        <v>30.630991358451436</v>
      </c>
      <c r="AH73" s="20">
        <f t="shared" si="25"/>
        <v>19.966768880255334</v>
      </c>
      <c r="AI73" s="22"/>
    </row>
    <row r="74" spans="1:35">
      <c r="A74" s="28">
        <v>45730</v>
      </c>
      <c r="B74" s="6">
        <v>22.5</v>
      </c>
      <c r="C74" s="7">
        <v>432.08333333333337</v>
      </c>
      <c r="D74" s="6">
        <v>89.25</v>
      </c>
      <c r="E74" s="6">
        <v>207.16666666666663</v>
      </c>
      <c r="F74" s="6">
        <v>285</v>
      </c>
      <c r="G74" s="6">
        <v>65.583333333333329</v>
      </c>
      <c r="H74" s="6">
        <v>64.25</v>
      </c>
      <c r="I74" s="6">
        <v>1860.1666666666667</v>
      </c>
      <c r="J74" s="6">
        <v>127.5</v>
      </c>
      <c r="K74" s="6">
        <v>1072.0833333333335</v>
      </c>
      <c r="L74" s="6">
        <v>164.33333333333337</v>
      </c>
      <c r="M74" s="3">
        <v>299.41666666666669</v>
      </c>
      <c r="N74" s="107">
        <f t="shared" si="19"/>
        <v>222.93834283967141</v>
      </c>
      <c r="O74" s="7">
        <f t="shared" si="15"/>
        <v>3888.5833333333335</v>
      </c>
      <c r="P74" s="7">
        <f t="shared" si="16"/>
        <v>3665.6449904936621</v>
      </c>
      <c r="Q74" s="7">
        <f t="shared" si="17"/>
        <v>1721.5519862760855</v>
      </c>
      <c r="R74" s="7">
        <f t="shared" si="18"/>
        <v>987.75967088424329</v>
      </c>
      <c r="S74" s="7">
        <v>5275</v>
      </c>
      <c r="T74" s="7">
        <v>11528</v>
      </c>
      <c r="U74" s="7">
        <v>588</v>
      </c>
      <c r="V74" s="7">
        <v>136973</v>
      </c>
      <c r="W74" s="7">
        <f t="shared" si="20"/>
        <v>131110</v>
      </c>
      <c r="X74" s="103">
        <f t="shared" si="21"/>
        <v>153950</v>
      </c>
      <c r="Y74" s="103"/>
      <c r="Z74" s="7">
        <v>12203</v>
      </c>
      <c r="AB74" s="2">
        <v>16977</v>
      </c>
      <c r="AC74" s="103">
        <v>142736</v>
      </c>
      <c r="AD74" s="103">
        <v>148087</v>
      </c>
      <c r="AE74" s="64">
        <f t="shared" si="22"/>
        <v>7.8654018607779402E-2</v>
      </c>
      <c r="AF74" s="64">
        <f t="shared" si="23"/>
        <v>7.4517344533956392E-2</v>
      </c>
      <c r="AG74" s="20">
        <f t="shared" si="24"/>
        <v>84.323662449090179</v>
      </c>
      <c r="AH74" s="20">
        <f t="shared" si="25"/>
        <v>138.61468039058121</v>
      </c>
      <c r="AI74" s="22"/>
    </row>
    <row r="75" spans="1:35">
      <c r="A75" s="28">
        <v>45731</v>
      </c>
      <c r="B75" s="6">
        <v>21.833333333333314</v>
      </c>
      <c r="C75" s="7">
        <v>177.25</v>
      </c>
      <c r="D75" s="6">
        <v>52.5</v>
      </c>
      <c r="E75" s="6">
        <v>119.83333333333331</v>
      </c>
      <c r="F75" s="6">
        <v>194.66666666666666</v>
      </c>
      <c r="G75" s="6">
        <v>97.5</v>
      </c>
      <c r="H75" s="6">
        <v>22.5</v>
      </c>
      <c r="I75" s="6">
        <v>1177.5</v>
      </c>
      <c r="J75" s="6">
        <v>90</v>
      </c>
      <c r="K75" s="6">
        <v>846.24999999999989</v>
      </c>
      <c r="L75" s="6">
        <v>127</v>
      </c>
      <c r="M75" s="3">
        <v>187.08333333333334</v>
      </c>
      <c r="N75" s="107">
        <f t="shared" si="19"/>
        <v>15.826506338982751</v>
      </c>
      <c r="O75" s="7">
        <f t="shared" si="15"/>
        <v>2560</v>
      </c>
      <c r="P75" s="7">
        <f t="shared" si="16"/>
        <v>2544.1734936610173</v>
      </c>
      <c r="Q75" s="7">
        <f t="shared" si="17"/>
        <v>1161.6734936610173</v>
      </c>
      <c r="R75" s="7">
        <f t="shared" si="18"/>
        <v>846.24999999999989</v>
      </c>
      <c r="S75" s="7">
        <v>5328</v>
      </c>
      <c r="T75" s="7">
        <v>7903</v>
      </c>
      <c r="U75" s="7">
        <v>315</v>
      </c>
      <c r="V75" s="7">
        <v>116182</v>
      </c>
      <c r="W75" s="7">
        <f t="shared" si="20"/>
        <v>110539</v>
      </c>
      <c r="X75" s="103">
        <f t="shared" si="21"/>
        <v>118516</v>
      </c>
      <c r="Y75" s="103"/>
      <c r="Z75" s="7">
        <v>0</v>
      </c>
      <c r="AB75" s="2">
        <v>2334</v>
      </c>
      <c r="AC75" s="103">
        <v>101039</v>
      </c>
      <c r="AD75" s="103">
        <v>112873</v>
      </c>
      <c r="AE75" s="64">
        <f t="shared" si="22"/>
        <v>0</v>
      </c>
      <c r="AF75" s="64">
        <f t="shared" si="23"/>
        <v>1.3440769714635033E-2</v>
      </c>
      <c r="AG75" s="20">
        <f t="shared" si="24"/>
        <v>0</v>
      </c>
      <c r="AH75" s="20">
        <f t="shared" si="25"/>
        <v>15.826506338982751</v>
      </c>
      <c r="AI75" s="22"/>
    </row>
    <row r="76" spans="1:35">
      <c r="A76" s="28">
        <v>45732</v>
      </c>
      <c r="B76" s="6"/>
      <c r="C76" s="7">
        <v>218.83333333333331</v>
      </c>
      <c r="D76" s="6">
        <v>34.916666666666671</v>
      </c>
      <c r="E76" s="6">
        <v>0</v>
      </c>
      <c r="F76" s="6">
        <v>119.33333333333334</v>
      </c>
      <c r="G76" s="6">
        <v>112.5</v>
      </c>
      <c r="H76" s="6">
        <v>15</v>
      </c>
      <c r="I76" s="6">
        <v>607.16666666666663</v>
      </c>
      <c r="J76" s="6">
        <v>67.5</v>
      </c>
      <c r="K76" s="6">
        <v>364.33333333333331</v>
      </c>
      <c r="L76" s="6">
        <v>0</v>
      </c>
      <c r="M76" s="3">
        <v>102.83333333333333</v>
      </c>
      <c r="N76" s="107">
        <f t="shared" si="19"/>
        <v>3.5720972046964001</v>
      </c>
      <c r="O76" s="7">
        <f t="shared" si="15"/>
        <v>1412.0833333333333</v>
      </c>
      <c r="P76" s="7">
        <f t="shared" si="16"/>
        <v>1408.5112361286367</v>
      </c>
      <c r="Q76" s="7">
        <f t="shared" si="17"/>
        <v>603.5945694619702</v>
      </c>
      <c r="R76" s="7">
        <f t="shared" si="18"/>
        <v>364.33333333333331</v>
      </c>
      <c r="S76" s="7">
        <v>2235</v>
      </c>
      <c r="T76" s="7">
        <v>4992</v>
      </c>
      <c r="U76" s="7">
        <v>308</v>
      </c>
      <c r="V76" s="7">
        <v>66153</v>
      </c>
      <c r="W76" s="7">
        <f t="shared" si="20"/>
        <v>63610</v>
      </c>
      <c r="X76" s="103">
        <f t="shared" si="21"/>
        <v>66734</v>
      </c>
      <c r="Y76" s="103"/>
      <c r="Z76" s="7">
        <v>0</v>
      </c>
      <c r="AB76" s="2">
        <v>581</v>
      </c>
      <c r="AC76" s="103">
        <v>57796</v>
      </c>
      <c r="AD76" s="103">
        <v>64191</v>
      </c>
      <c r="AE76" s="64">
        <f t="shared" si="22"/>
        <v>0</v>
      </c>
      <c r="AF76" s="64">
        <f t="shared" si="23"/>
        <v>5.8832235048527047E-3</v>
      </c>
      <c r="AG76" s="20">
        <f t="shared" si="24"/>
        <v>0</v>
      </c>
      <c r="AH76" s="20">
        <f t="shared" si="25"/>
        <v>3.5720972046964001</v>
      </c>
      <c r="AI76" s="22"/>
    </row>
    <row r="77" spans="1:35" s="45" customFormat="1">
      <c r="A77" s="43">
        <v>45733</v>
      </c>
      <c r="B77" s="6">
        <v>52.5</v>
      </c>
      <c r="C77" s="44">
        <v>447.58333333333331</v>
      </c>
      <c r="D77" s="44">
        <v>97.5</v>
      </c>
      <c r="E77" s="6">
        <v>359.41666666666663</v>
      </c>
      <c r="F77" s="44">
        <v>352.5</v>
      </c>
      <c r="G77" s="44">
        <v>144.33333333333334</v>
      </c>
      <c r="H77" s="44">
        <v>67.333333333333329</v>
      </c>
      <c r="I77" s="44">
        <v>2091.25</v>
      </c>
      <c r="J77" s="44">
        <v>135</v>
      </c>
      <c r="K77" s="44">
        <v>1578.75</v>
      </c>
      <c r="L77" s="44">
        <v>181.83333333333337</v>
      </c>
      <c r="M77" s="3">
        <v>327.33333333333331</v>
      </c>
      <c r="N77" s="107">
        <f t="shared" si="19"/>
        <v>28.539345800656882</v>
      </c>
      <c r="O77" s="7">
        <f t="shared" si="15"/>
        <v>4755.083333333333</v>
      </c>
      <c r="P77" s="7">
        <f t="shared" si="16"/>
        <v>4726.5439875326765</v>
      </c>
      <c r="Q77" s="7">
        <f t="shared" si="17"/>
        <v>2062.710654199343</v>
      </c>
      <c r="R77" s="7">
        <f t="shared" si="18"/>
        <v>1578.75</v>
      </c>
      <c r="S77" s="30">
        <v>8293</v>
      </c>
      <c r="T77" s="30">
        <v>8657</v>
      </c>
      <c r="U77" s="30">
        <v>260</v>
      </c>
      <c r="V77" s="30">
        <v>191236</v>
      </c>
      <c r="W77" s="7">
        <f t="shared" si="20"/>
        <v>182683</v>
      </c>
      <c r="X77" s="103">
        <f t="shared" si="21"/>
        <v>195308</v>
      </c>
      <c r="Y77" s="103"/>
      <c r="Z77" s="7">
        <v>0</v>
      </c>
      <c r="AA77" s="7"/>
      <c r="AB77" s="2">
        <v>4072</v>
      </c>
      <c r="AC77" s="103">
        <v>177836</v>
      </c>
      <c r="AD77" s="103">
        <v>193947</v>
      </c>
      <c r="AE77" s="64">
        <f t="shared" si="22"/>
        <v>0</v>
      </c>
      <c r="AF77" s="64">
        <f t="shared" si="23"/>
        <v>1.3647027280648838E-2</v>
      </c>
      <c r="AG77" s="20">
        <f t="shared" si="24"/>
        <v>0</v>
      </c>
      <c r="AH77" s="20">
        <f t="shared" si="25"/>
        <v>28.539345800656882</v>
      </c>
      <c r="AI77" s="22"/>
    </row>
    <row r="78" spans="1:35">
      <c r="A78" s="28">
        <v>45734</v>
      </c>
      <c r="B78" s="6">
        <v>65</v>
      </c>
      <c r="C78" s="6">
        <v>445.91666666666663</v>
      </c>
      <c r="D78" s="6">
        <v>97.5</v>
      </c>
      <c r="E78" s="6">
        <v>350.41666666666669</v>
      </c>
      <c r="F78" s="6">
        <v>381.91666666666663</v>
      </c>
      <c r="G78" s="6">
        <v>144.58333333333334</v>
      </c>
      <c r="H78" s="6">
        <v>67.416666666666671</v>
      </c>
      <c r="I78" s="6">
        <v>2261.5</v>
      </c>
      <c r="J78" s="6">
        <v>163.83333333333331</v>
      </c>
      <c r="K78" s="6">
        <v>1878.6666666666667</v>
      </c>
      <c r="L78" s="6">
        <v>186.41666666666669</v>
      </c>
      <c r="M78" s="3">
        <v>330.58333333333331</v>
      </c>
      <c r="N78" s="107">
        <f t="shared" si="19"/>
        <v>73.649794280340913</v>
      </c>
      <c r="O78" s="7">
        <f t="shared" si="15"/>
        <v>5294.333333333333</v>
      </c>
      <c r="P78" s="7">
        <f t="shared" si="16"/>
        <v>5220.6835390529923</v>
      </c>
      <c r="Q78" s="7">
        <f t="shared" si="17"/>
        <v>2239.9147558075497</v>
      </c>
      <c r="R78" s="7">
        <f t="shared" si="18"/>
        <v>1826.6021165787761</v>
      </c>
      <c r="S78" s="7">
        <v>11769</v>
      </c>
      <c r="T78" s="7">
        <v>12489</v>
      </c>
      <c r="U78" s="7">
        <v>543</v>
      </c>
      <c r="V78" s="7">
        <v>205049</v>
      </c>
      <c r="W78" s="7">
        <f t="shared" si="20"/>
        <v>192737</v>
      </c>
      <c r="X78" s="103">
        <f t="shared" si="21"/>
        <v>207982</v>
      </c>
      <c r="Y78" s="103"/>
      <c r="Z78" s="7">
        <v>6135</v>
      </c>
      <c r="AB78" s="2">
        <v>2933</v>
      </c>
      <c r="AC78" s="103">
        <v>203662</v>
      </c>
      <c r="AD78" s="103">
        <v>199740</v>
      </c>
      <c r="AE78" s="64">
        <f t="shared" si="22"/>
        <v>2.7713564631595487E-2</v>
      </c>
      <c r="AF78" s="64">
        <f t="shared" si="23"/>
        <v>9.544658055472114E-3</v>
      </c>
      <c r="AG78" s="20">
        <f t="shared" si="24"/>
        <v>52.064550087890723</v>
      </c>
      <c r="AH78" s="20">
        <f t="shared" si="25"/>
        <v>21.585244192450187</v>
      </c>
      <c r="AI78" s="22"/>
    </row>
    <row r="79" spans="1:35">
      <c r="A79" s="28">
        <v>45735</v>
      </c>
      <c r="B79" s="6">
        <v>70</v>
      </c>
      <c r="C79" s="6">
        <v>388.66666666666663</v>
      </c>
      <c r="D79" s="6">
        <v>97.5</v>
      </c>
      <c r="E79" s="6">
        <v>367.99999999999994</v>
      </c>
      <c r="F79" s="6">
        <v>357.75</v>
      </c>
      <c r="G79" s="6">
        <v>120.16666666666669</v>
      </c>
      <c r="H79" s="6">
        <v>67.083333333333343</v>
      </c>
      <c r="I79" s="6">
        <v>2138.3333333333335</v>
      </c>
      <c r="J79" s="6">
        <v>164.5</v>
      </c>
      <c r="K79" s="6">
        <v>1837.4999999999998</v>
      </c>
      <c r="L79" s="6">
        <v>186.16666666666669</v>
      </c>
      <c r="M79" s="3">
        <v>329.66666666666663</v>
      </c>
      <c r="N79" s="107">
        <f t="shared" si="19"/>
        <v>36.184467206528652</v>
      </c>
      <c r="O79" s="7">
        <f t="shared" si="15"/>
        <v>5054.25</v>
      </c>
      <c r="P79" s="7">
        <f t="shared" si="16"/>
        <v>5018.065532793471</v>
      </c>
      <c r="Q79" s="7">
        <f t="shared" si="17"/>
        <v>2102.1488661268049</v>
      </c>
      <c r="R79" s="7">
        <f t="shared" si="18"/>
        <v>1837.4999999999998</v>
      </c>
      <c r="S79" s="7">
        <v>10464</v>
      </c>
      <c r="T79" s="7">
        <v>11071</v>
      </c>
      <c r="U79" s="7">
        <v>442</v>
      </c>
      <c r="V79" s="7">
        <v>145045</v>
      </c>
      <c r="W79" s="7">
        <f t="shared" si="20"/>
        <v>134139</v>
      </c>
      <c r="X79" s="103">
        <f t="shared" si="21"/>
        <v>148771</v>
      </c>
      <c r="Y79" s="103"/>
      <c r="Z79" s="7">
        <v>0</v>
      </c>
      <c r="AB79" s="2">
        <v>3726</v>
      </c>
      <c r="AC79" s="103">
        <v>193563</v>
      </c>
      <c r="AD79" s="103">
        <v>143123</v>
      </c>
      <c r="AE79" s="64">
        <f t="shared" si="22"/>
        <v>0</v>
      </c>
      <c r="AF79" s="64">
        <f t="shared" si="23"/>
        <v>1.6921808514354784E-2</v>
      </c>
      <c r="AG79" s="20">
        <f t="shared" si="24"/>
        <v>0</v>
      </c>
      <c r="AH79" s="20">
        <f t="shared" si="25"/>
        <v>36.184467206528652</v>
      </c>
      <c r="AI79" s="22"/>
    </row>
    <row r="80" spans="1:35">
      <c r="A80" s="28">
        <v>45736</v>
      </c>
      <c r="B80" s="6">
        <v>75</v>
      </c>
      <c r="C80" s="6">
        <v>439.16666666666669</v>
      </c>
      <c r="D80" s="6">
        <v>97.5</v>
      </c>
      <c r="E80" s="6">
        <v>359.08333333333331</v>
      </c>
      <c r="F80" s="6">
        <v>336.91666666666669</v>
      </c>
      <c r="G80" s="6">
        <v>146.58333333333334</v>
      </c>
      <c r="H80" s="6">
        <v>66.5</v>
      </c>
      <c r="I80" s="6">
        <v>2401.1666666666665</v>
      </c>
      <c r="J80" s="6">
        <v>165</v>
      </c>
      <c r="K80" s="6">
        <v>1707.0833333333333</v>
      </c>
      <c r="L80" s="6">
        <v>187.16666666666669</v>
      </c>
      <c r="M80" s="3">
        <v>329.66666666666663</v>
      </c>
      <c r="N80" s="107">
        <f t="shared" si="19"/>
        <v>62.801462903805877</v>
      </c>
      <c r="O80" s="7">
        <f t="shared" si="15"/>
        <v>5221.833333333333</v>
      </c>
      <c r="P80" s="7">
        <f t="shared" si="16"/>
        <v>5159.0318704295278</v>
      </c>
      <c r="Q80" s="7">
        <f t="shared" si="17"/>
        <v>2338.3652037628608</v>
      </c>
      <c r="R80" s="7">
        <f t="shared" si="18"/>
        <v>1707.0833333333333</v>
      </c>
      <c r="S80" s="7">
        <v>9218</v>
      </c>
      <c r="T80" s="7">
        <v>10261</v>
      </c>
      <c r="U80" s="7">
        <v>248</v>
      </c>
      <c r="V80" s="7">
        <v>225363</v>
      </c>
      <c r="W80" s="7">
        <f t="shared" si="20"/>
        <v>215897</v>
      </c>
      <c r="X80" s="103">
        <f t="shared" si="21"/>
        <v>234873</v>
      </c>
      <c r="Y80" s="103"/>
      <c r="Z80" s="7">
        <v>0</v>
      </c>
      <c r="AB80" s="2">
        <v>9510</v>
      </c>
      <c r="AC80" s="103">
        <v>183430</v>
      </c>
      <c r="AD80" s="103">
        <v>236345</v>
      </c>
      <c r="AE80" s="64">
        <f t="shared" si="22"/>
        <v>0</v>
      </c>
      <c r="AF80" s="64">
        <f t="shared" si="23"/>
        <v>2.6154562186633947E-2</v>
      </c>
      <c r="AG80" s="20">
        <f t="shared" si="24"/>
        <v>0</v>
      </c>
      <c r="AH80" s="20">
        <f t="shared" si="25"/>
        <v>62.801462903805877</v>
      </c>
      <c r="AI80" s="22"/>
    </row>
    <row r="81" spans="1:35">
      <c r="A81" s="28">
        <v>45737</v>
      </c>
      <c r="B81" s="6">
        <v>45</v>
      </c>
      <c r="C81" s="6">
        <v>508.5</v>
      </c>
      <c r="D81" s="6">
        <v>81.166666666666671</v>
      </c>
      <c r="E81" s="6">
        <v>380.58333333333337</v>
      </c>
      <c r="F81" s="6">
        <v>381.83333333333331</v>
      </c>
      <c r="G81" s="6">
        <v>135.24999999999997</v>
      </c>
      <c r="H81" s="6">
        <v>66</v>
      </c>
      <c r="I81" s="6">
        <v>2402.416666666667</v>
      </c>
      <c r="J81" s="6">
        <v>142.5</v>
      </c>
      <c r="K81" s="6">
        <v>1621.0833333333333</v>
      </c>
      <c r="L81" s="6">
        <v>187.25</v>
      </c>
      <c r="M81" s="3">
        <v>327.25</v>
      </c>
      <c r="N81" s="107">
        <f t="shared" si="19"/>
        <v>23.686809260027598</v>
      </c>
      <c r="O81" s="7">
        <f t="shared" si="15"/>
        <v>5182.5</v>
      </c>
      <c r="P81" s="7">
        <f t="shared" si="16"/>
        <v>5158.8131907399729</v>
      </c>
      <c r="Q81" s="7">
        <f t="shared" si="17"/>
        <v>2378.7298574066394</v>
      </c>
      <c r="R81" s="7">
        <f t="shared" si="18"/>
        <v>1621.0833333333333</v>
      </c>
      <c r="S81" s="7">
        <v>8022</v>
      </c>
      <c r="T81" s="7">
        <v>8302</v>
      </c>
      <c r="U81" s="7">
        <v>273</v>
      </c>
      <c r="V81" s="7">
        <v>203259</v>
      </c>
      <c r="W81" s="7">
        <f t="shared" si="20"/>
        <v>194964</v>
      </c>
      <c r="X81" s="103">
        <f t="shared" si="21"/>
        <v>206330</v>
      </c>
      <c r="Y81" s="103"/>
      <c r="Z81" s="7">
        <v>0</v>
      </c>
      <c r="AB81" s="2">
        <v>3071</v>
      </c>
      <c r="AC81" s="103">
        <v>170675</v>
      </c>
      <c r="AD81" s="103">
        <v>202458</v>
      </c>
      <c r="AE81" s="64">
        <f t="shared" si="22"/>
        <v>0</v>
      </c>
      <c r="AF81" s="64">
        <f t="shared" si="23"/>
        <v>9.8595758132550958E-3</v>
      </c>
      <c r="AG81" s="20">
        <f t="shared" si="24"/>
        <v>0</v>
      </c>
      <c r="AH81" s="20">
        <f t="shared" si="25"/>
        <v>23.686809260027598</v>
      </c>
      <c r="AI81" s="22"/>
    </row>
    <row r="82" spans="1:35">
      <c r="A82" s="28">
        <v>45738</v>
      </c>
      <c r="B82" s="6">
        <v>65</v>
      </c>
      <c r="C82" s="6">
        <v>472.16666666666669</v>
      </c>
      <c r="D82" s="6">
        <v>82.5</v>
      </c>
      <c r="E82" s="6">
        <v>274.33333333333331</v>
      </c>
      <c r="F82" s="6">
        <v>345</v>
      </c>
      <c r="G82" s="6">
        <v>170.33333333333331</v>
      </c>
      <c r="H82" s="6">
        <v>37.5</v>
      </c>
      <c r="I82" s="6">
        <v>2081.333333333333</v>
      </c>
      <c r="J82" s="6">
        <v>127.5</v>
      </c>
      <c r="K82" s="6">
        <v>1309.3333333333333</v>
      </c>
      <c r="L82" s="6">
        <v>146</v>
      </c>
      <c r="M82" s="3">
        <v>311.66666666666669</v>
      </c>
      <c r="N82" s="107">
        <f t="shared" si="19"/>
        <v>17.012291285066119</v>
      </c>
      <c r="O82" s="7">
        <f t="shared" si="15"/>
        <v>4482.833333333333</v>
      </c>
      <c r="P82" s="7">
        <f t="shared" si="16"/>
        <v>4465.8210420482665</v>
      </c>
      <c r="Q82" s="7">
        <f t="shared" si="17"/>
        <v>2064.3210420482669</v>
      </c>
      <c r="R82" s="7">
        <f t="shared" si="18"/>
        <v>1309.3333333333333</v>
      </c>
      <c r="S82" s="7">
        <v>6259</v>
      </c>
      <c r="T82" s="7">
        <v>6775</v>
      </c>
      <c r="U82" s="7">
        <v>436</v>
      </c>
      <c r="V82" s="7">
        <v>183680</v>
      </c>
      <c r="W82" s="7">
        <f t="shared" si="20"/>
        <v>176985</v>
      </c>
      <c r="X82" s="103">
        <f t="shared" si="21"/>
        <v>185973</v>
      </c>
      <c r="Y82" s="103"/>
      <c r="Z82" s="7">
        <v>0</v>
      </c>
      <c r="AB82" s="2">
        <v>2293</v>
      </c>
      <c r="AC82" s="103">
        <v>160613</v>
      </c>
      <c r="AD82" s="103">
        <v>182346</v>
      </c>
      <c r="AE82" s="64">
        <f t="shared" si="22"/>
        <v>0</v>
      </c>
      <c r="AF82" s="64">
        <f t="shared" si="23"/>
        <v>8.1737466135807756E-3</v>
      </c>
      <c r="AG82" s="20">
        <f t="shared" si="24"/>
        <v>0</v>
      </c>
      <c r="AH82" s="20">
        <f t="shared" si="25"/>
        <v>17.012291285066119</v>
      </c>
      <c r="AI82" s="22"/>
    </row>
    <row r="83" spans="1:35" s="45" customFormat="1">
      <c r="A83" s="43">
        <v>45739</v>
      </c>
      <c r="B83" s="6">
        <v>60</v>
      </c>
      <c r="C83" s="44">
        <v>346.25</v>
      </c>
      <c r="D83" s="44">
        <v>82.5</v>
      </c>
      <c r="E83" s="6">
        <v>0</v>
      </c>
      <c r="F83" s="44">
        <v>289.58333333333337</v>
      </c>
      <c r="G83" s="44">
        <v>120</v>
      </c>
      <c r="H83" s="44">
        <v>37.5</v>
      </c>
      <c r="I83" s="44">
        <v>2167.7499999999995</v>
      </c>
      <c r="J83" s="44">
        <v>157.25</v>
      </c>
      <c r="K83" s="44">
        <v>1304.6666666666667</v>
      </c>
      <c r="L83" s="44">
        <v>98</v>
      </c>
      <c r="M83" s="3">
        <v>316.25</v>
      </c>
      <c r="N83" s="107">
        <f t="shared" si="19"/>
        <v>16.071483192649005</v>
      </c>
      <c r="O83" s="7">
        <f t="shared" si="15"/>
        <v>4408</v>
      </c>
      <c r="P83" s="7">
        <f t="shared" si="16"/>
        <v>4391.9285168073511</v>
      </c>
      <c r="Q83" s="7">
        <f t="shared" si="17"/>
        <v>2151.6785168073507</v>
      </c>
      <c r="R83" s="7">
        <f t="shared" si="18"/>
        <v>1304.6666666666667</v>
      </c>
      <c r="S83" s="30">
        <v>9343</v>
      </c>
      <c r="T83" s="30">
        <v>10039</v>
      </c>
      <c r="U83" s="30">
        <v>448</v>
      </c>
      <c r="V83" s="30">
        <v>198523</v>
      </c>
      <c r="W83" s="7">
        <f t="shared" si="20"/>
        <v>188732</v>
      </c>
      <c r="X83" s="103">
        <f t="shared" si="21"/>
        <v>200735</v>
      </c>
      <c r="Y83" s="103"/>
      <c r="Z83" s="7">
        <v>0</v>
      </c>
      <c r="AA83" s="7"/>
      <c r="AB83" s="2">
        <v>2212</v>
      </c>
      <c r="AC83" s="103">
        <v>149608</v>
      </c>
      <c r="AD83" s="103">
        <v>193933</v>
      </c>
      <c r="AE83" s="64">
        <f t="shared" si="22"/>
        <v>0</v>
      </c>
      <c r="AF83" s="64">
        <f t="shared" si="23"/>
        <v>7.4139006770379458E-3</v>
      </c>
      <c r="AG83" s="20">
        <f t="shared" si="24"/>
        <v>0</v>
      </c>
      <c r="AH83" s="20">
        <f t="shared" si="25"/>
        <v>16.071483192649005</v>
      </c>
      <c r="AI83" s="22"/>
    </row>
    <row r="84" spans="1:35">
      <c r="A84" s="28">
        <v>45740</v>
      </c>
      <c r="B84" s="6">
        <v>65</v>
      </c>
      <c r="C84" s="6">
        <v>318.91666666666669</v>
      </c>
      <c r="D84" s="6">
        <v>82.5</v>
      </c>
      <c r="E84" s="6">
        <v>388.49999999999989</v>
      </c>
      <c r="F84" s="6">
        <v>362.16666666666663</v>
      </c>
      <c r="G84" s="6">
        <v>140.58333333333334</v>
      </c>
      <c r="H84" s="6">
        <v>67.166666666666671</v>
      </c>
      <c r="I84" s="7">
        <v>2631.0833333333335</v>
      </c>
      <c r="J84" s="6">
        <v>165</v>
      </c>
      <c r="K84" s="7">
        <v>1627</v>
      </c>
      <c r="L84" s="7">
        <v>172.16666666666663</v>
      </c>
      <c r="M84" s="3">
        <v>329.58333333333331</v>
      </c>
      <c r="N84" s="107">
        <f t="shared" si="19"/>
        <v>11.041254384197659</v>
      </c>
      <c r="O84" s="7">
        <f t="shared" si="15"/>
        <v>5251.666666666667</v>
      </c>
      <c r="P84" s="7">
        <f t="shared" si="16"/>
        <v>5240.6254122824694</v>
      </c>
      <c r="Q84" s="7">
        <f t="shared" si="17"/>
        <v>2620.0420789491359</v>
      </c>
      <c r="R84" s="7">
        <f t="shared" si="18"/>
        <v>1627</v>
      </c>
      <c r="S84" s="7">
        <v>11430</v>
      </c>
      <c r="T84" s="7">
        <v>15442</v>
      </c>
      <c r="U84" s="7">
        <v>2114</v>
      </c>
      <c r="V84" s="7">
        <v>228130</v>
      </c>
      <c r="W84" s="7">
        <f t="shared" si="20"/>
        <v>214586</v>
      </c>
      <c r="X84" s="103">
        <f t="shared" si="21"/>
        <v>229540</v>
      </c>
      <c r="Y84" s="103"/>
      <c r="Z84" s="7">
        <v>0</v>
      </c>
      <c r="AB84" s="2">
        <v>1410</v>
      </c>
      <c r="AC84" s="103">
        <v>172650</v>
      </c>
      <c r="AD84" s="103">
        <v>218398</v>
      </c>
      <c r="AE84" s="64">
        <f t="shared" si="22"/>
        <v>0</v>
      </c>
      <c r="AF84" s="64">
        <f t="shared" si="23"/>
        <v>4.1964670006135593E-3</v>
      </c>
      <c r="AG84" s="20">
        <f t="shared" si="24"/>
        <v>0</v>
      </c>
      <c r="AH84" s="20">
        <f t="shared" si="25"/>
        <v>11.041254384197659</v>
      </c>
      <c r="AI84" s="22"/>
    </row>
    <row r="85" spans="1:35">
      <c r="A85" s="28">
        <v>45741</v>
      </c>
      <c r="B85" s="6">
        <v>120</v>
      </c>
      <c r="C85" s="6">
        <v>360.16666666666657</v>
      </c>
      <c r="D85" s="6">
        <v>82.5</v>
      </c>
      <c r="E85" s="6">
        <v>386.25</v>
      </c>
      <c r="F85" s="6">
        <v>394.24999999999994</v>
      </c>
      <c r="G85" s="6">
        <v>146.58333333333331</v>
      </c>
      <c r="H85" s="6">
        <v>67.416666666666671</v>
      </c>
      <c r="I85" s="7">
        <v>2698.416666666667</v>
      </c>
      <c r="J85" s="6">
        <v>165</v>
      </c>
      <c r="K85" s="7">
        <v>1465.75</v>
      </c>
      <c r="L85" s="7">
        <v>179.66666666666674</v>
      </c>
      <c r="M85" s="3">
        <v>324.41666666666669</v>
      </c>
      <c r="N85" s="107">
        <f t="shared" si="19"/>
        <v>74.786124438838385</v>
      </c>
      <c r="O85" s="7">
        <f t="shared" si="15"/>
        <v>5286.0833333333339</v>
      </c>
      <c r="P85" s="7">
        <f t="shared" si="16"/>
        <v>5211.2972088944953</v>
      </c>
      <c r="Q85" s="7">
        <f t="shared" si="17"/>
        <v>2665.4638754855159</v>
      </c>
      <c r="R85" s="7">
        <f t="shared" si="18"/>
        <v>1423.9166667423126</v>
      </c>
      <c r="S85" s="7">
        <v>9590</v>
      </c>
      <c r="T85" s="7">
        <v>15826</v>
      </c>
      <c r="U85" s="7">
        <v>4661</v>
      </c>
      <c r="V85" s="7">
        <v>219831</v>
      </c>
      <c r="W85" s="7">
        <f t="shared" si="20"/>
        <v>205580</v>
      </c>
      <c r="X85" s="103">
        <f t="shared" si="21"/>
        <v>223857</v>
      </c>
      <c r="Y85" s="103"/>
      <c r="Z85" s="7">
        <v>5468</v>
      </c>
      <c r="AB85" s="2">
        <v>4026</v>
      </c>
      <c r="AC85" s="103">
        <v>176260</v>
      </c>
      <c r="AD85" s="103">
        <v>214291</v>
      </c>
      <c r="AE85" s="64">
        <f t="shared" si="22"/>
        <v>2.8540565074322025E-2</v>
      </c>
      <c r="AF85" s="64">
        <f t="shared" si="23"/>
        <v>1.2211898773163596E-2</v>
      </c>
      <c r="AG85" s="20">
        <f t="shared" si="24"/>
        <v>41.833333257687507</v>
      </c>
      <c r="AH85" s="20">
        <f t="shared" si="25"/>
        <v>32.952791181150872</v>
      </c>
      <c r="AI85" s="22"/>
    </row>
    <row r="86" spans="1:35">
      <c r="A86" s="28">
        <v>45742</v>
      </c>
      <c r="B86" s="6">
        <v>190</v>
      </c>
      <c r="C86" s="6">
        <v>330.5</v>
      </c>
      <c r="D86" s="6">
        <v>82.5</v>
      </c>
      <c r="E86" s="6">
        <v>388.33333333333326</v>
      </c>
      <c r="F86" s="6">
        <v>307</v>
      </c>
      <c r="G86" s="6">
        <v>147</v>
      </c>
      <c r="H86" s="6">
        <v>67.166666666666671</v>
      </c>
      <c r="I86" s="7">
        <v>2111.25</v>
      </c>
      <c r="J86" s="6">
        <v>165</v>
      </c>
      <c r="K86" s="7">
        <v>1005.1666666666665</v>
      </c>
      <c r="L86" s="7">
        <v>179.33333333333337</v>
      </c>
      <c r="M86" s="3">
        <v>330</v>
      </c>
      <c r="N86" s="107">
        <f t="shared" si="19"/>
        <v>80.625784270042303</v>
      </c>
      <c r="O86" s="7">
        <f t="shared" si="15"/>
        <v>4191.4166666666661</v>
      </c>
      <c r="P86" s="7">
        <f t="shared" si="16"/>
        <v>4110.7908823966245</v>
      </c>
      <c r="Q86" s="7">
        <f t="shared" si="17"/>
        <v>2054.9506960700273</v>
      </c>
      <c r="R86" s="7">
        <f t="shared" si="18"/>
        <v>980.84018632659684</v>
      </c>
      <c r="S86" s="7">
        <v>10879</v>
      </c>
      <c r="T86" s="7">
        <v>16575</v>
      </c>
      <c r="U86" s="7">
        <v>3882</v>
      </c>
      <c r="V86" s="7">
        <v>181071</v>
      </c>
      <c r="W86" s="7">
        <f t="shared" si="20"/>
        <v>166310</v>
      </c>
      <c r="X86" s="103">
        <f t="shared" si="21"/>
        <v>188537</v>
      </c>
      <c r="Y86" s="103"/>
      <c r="Z86" s="7">
        <v>3154</v>
      </c>
      <c r="AB86" s="2">
        <v>7466</v>
      </c>
      <c r="AC86" s="103">
        <v>119897</v>
      </c>
      <c r="AD86" s="103">
        <v>181986</v>
      </c>
      <c r="AE86" s="64">
        <f t="shared" si="22"/>
        <v>2.4201439568963361E-2</v>
      </c>
      <c r="AF86" s="64">
        <f t="shared" si="23"/>
        <v>2.6666336970975788E-2</v>
      </c>
      <c r="AG86" s="20">
        <f t="shared" si="24"/>
        <v>24.326480340069669</v>
      </c>
      <c r="AH86" s="20">
        <f t="shared" si="25"/>
        <v>56.299303929972631</v>
      </c>
      <c r="AI86" s="22"/>
    </row>
    <row r="87" spans="1:35">
      <c r="A87" s="28">
        <v>45743</v>
      </c>
      <c r="B87" s="6">
        <v>187.5</v>
      </c>
      <c r="C87" s="6">
        <v>434.91666666666674</v>
      </c>
      <c r="D87" s="6">
        <v>82.5</v>
      </c>
      <c r="E87" s="6">
        <v>398.24999999999989</v>
      </c>
      <c r="F87" s="6">
        <v>268.5</v>
      </c>
      <c r="G87" s="6">
        <v>152.66666666666671</v>
      </c>
      <c r="H87" s="6">
        <v>67.166666666666657</v>
      </c>
      <c r="I87" s="7">
        <v>1325.666666666667</v>
      </c>
      <c r="J87" s="6">
        <v>165</v>
      </c>
      <c r="K87" s="7">
        <v>783.5</v>
      </c>
      <c r="L87" s="7">
        <v>179.08333333333337</v>
      </c>
      <c r="M87" s="3">
        <v>327.33333333333331</v>
      </c>
      <c r="N87" s="107">
        <f t="shared" si="19"/>
        <v>64.510522184091329</v>
      </c>
      <c r="O87" s="7">
        <f t="shared" si="15"/>
        <v>3247.5833333333339</v>
      </c>
      <c r="P87" s="7">
        <f t="shared" si="16"/>
        <v>3183.0728111492426</v>
      </c>
      <c r="Q87" s="7">
        <f t="shared" si="17"/>
        <v>1292.2427417040687</v>
      </c>
      <c r="R87" s="7">
        <f t="shared" si="18"/>
        <v>752.41340277850702</v>
      </c>
      <c r="S87" s="7">
        <v>8808</v>
      </c>
      <c r="T87" s="7">
        <v>13220</v>
      </c>
      <c r="U87" s="7">
        <v>2750</v>
      </c>
      <c r="V87" s="7">
        <v>120700</v>
      </c>
      <c r="W87" s="7">
        <f t="shared" si="20"/>
        <v>109142</v>
      </c>
      <c r="X87" s="103">
        <f t="shared" si="21"/>
        <v>125341</v>
      </c>
      <c r="Y87" s="103"/>
      <c r="Z87" s="7">
        <v>4107</v>
      </c>
      <c r="AB87" s="2">
        <v>4641</v>
      </c>
      <c r="AC87" s="103">
        <v>95231</v>
      </c>
      <c r="AD87" s="103">
        <v>119647</v>
      </c>
      <c r="AE87" s="64">
        <f t="shared" si="22"/>
        <v>3.967657590490492E-2</v>
      </c>
      <c r="AF87" s="64">
        <f t="shared" si="23"/>
        <v>2.5212918000451327E-2</v>
      </c>
      <c r="AG87" s="20">
        <f t="shared" si="24"/>
        <v>31.086597221493005</v>
      </c>
      <c r="AH87" s="20">
        <f t="shared" si="25"/>
        <v>33.423924962598321</v>
      </c>
      <c r="AI87" s="22"/>
    </row>
    <row r="88" spans="1:35">
      <c r="A88" s="28">
        <v>45744</v>
      </c>
      <c r="B88" s="6">
        <v>187.5</v>
      </c>
      <c r="C88" s="6">
        <v>481.83333333333326</v>
      </c>
      <c r="D88" s="6">
        <v>82.5</v>
      </c>
      <c r="E88" s="6">
        <v>384.99999999999989</v>
      </c>
      <c r="F88" s="6">
        <v>257.83333333333337</v>
      </c>
      <c r="G88" s="6">
        <v>143.83333333333334</v>
      </c>
      <c r="H88" s="6">
        <v>66.999999999999986</v>
      </c>
      <c r="I88" s="7">
        <v>1277.8333333333333</v>
      </c>
      <c r="J88" s="6">
        <v>162.41666666666666</v>
      </c>
      <c r="K88" s="7">
        <v>745.99999999999989</v>
      </c>
      <c r="L88" s="7">
        <v>179.08333333333337</v>
      </c>
      <c r="M88" s="3">
        <v>326.33333333333337</v>
      </c>
      <c r="N88" s="107">
        <f t="shared" si="19"/>
        <v>46.904084053732461</v>
      </c>
      <c r="O88" s="7">
        <f t="shared" si="15"/>
        <v>3195.9166666666665</v>
      </c>
      <c r="P88" s="7">
        <f t="shared" si="16"/>
        <v>3149.0125826129342</v>
      </c>
      <c r="Q88" s="7">
        <f t="shared" si="17"/>
        <v>1230.9292492796008</v>
      </c>
      <c r="R88" s="7">
        <f t="shared" si="18"/>
        <v>745.99999999999989</v>
      </c>
      <c r="S88" s="7">
        <v>7251</v>
      </c>
      <c r="T88" s="7">
        <v>9710</v>
      </c>
      <c r="U88" s="7">
        <v>1457</v>
      </c>
      <c r="V88" s="7">
        <v>90268</v>
      </c>
      <c r="W88" s="7">
        <f t="shared" si="20"/>
        <v>81560</v>
      </c>
      <c r="X88" s="103">
        <f t="shared" si="21"/>
        <v>95520</v>
      </c>
      <c r="Y88" s="103"/>
      <c r="Z88" s="7">
        <v>0</v>
      </c>
      <c r="AB88" s="2">
        <v>5252</v>
      </c>
      <c r="AC88" s="103">
        <v>63408</v>
      </c>
      <c r="AD88" s="103">
        <v>93004</v>
      </c>
      <c r="AE88" s="64">
        <f t="shared" si="22"/>
        <v>0</v>
      </c>
      <c r="AF88" s="64">
        <f t="shared" si="23"/>
        <v>3.6705948131263176E-2</v>
      </c>
      <c r="AG88" s="20">
        <f t="shared" si="24"/>
        <v>0</v>
      </c>
      <c r="AH88" s="20">
        <f t="shared" si="25"/>
        <v>46.904084053732461</v>
      </c>
      <c r="AI88" s="22"/>
    </row>
    <row r="89" spans="1:35">
      <c r="A89" s="28">
        <v>45745</v>
      </c>
      <c r="B89" s="6">
        <v>27.75</v>
      </c>
      <c r="C89" s="6">
        <v>95.166666666666671</v>
      </c>
      <c r="D89" s="6">
        <v>23</v>
      </c>
      <c r="E89" s="6">
        <v>138.66666666666669</v>
      </c>
      <c r="F89" s="6">
        <v>62</v>
      </c>
      <c r="G89" s="6">
        <v>120</v>
      </c>
      <c r="H89" s="6">
        <v>8</v>
      </c>
      <c r="I89" s="7">
        <v>429.24999999999994</v>
      </c>
      <c r="J89" s="6">
        <v>46</v>
      </c>
      <c r="K89" s="7">
        <v>186.58333333333334</v>
      </c>
      <c r="L89" s="7">
        <v>123.25</v>
      </c>
      <c r="M89" s="3">
        <v>96.666666666666671</v>
      </c>
      <c r="N89" s="107">
        <f t="shared" si="19"/>
        <v>3.3634524247722464</v>
      </c>
      <c r="O89" s="7">
        <f t="shared" si="15"/>
        <v>869.75</v>
      </c>
      <c r="P89" s="7">
        <f t="shared" si="16"/>
        <v>866.38654757522784</v>
      </c>
      <c r="Q89" s="7">
        <f t="shared" si="17"/>
        <v>425.88654757522772</v>
      </c>
      <c r="R89" s="7">
        <f t="shared" si="18"/>
        <v>186.58333333333334</v>
      </c>
      <c r="S89" s="7">
        <v>1688</v>
      </c>
      <c r="T89" s="7">
        <v>2314</v>
      </c>
      <c r="U89" s="7">
        <v>260</v>
      </c>
      <c r="V89" s="7">
        <v>33763</v>
      </c>
      <c r="W89" s="7">
        <f t="shared" si="20"/>
        <v>31815</v>
      </c>
      <c r="X89" s="103">
        <f t="shared" si="21"/>
        <v>34156</v>
      </c>
      <c r="Y89" s="103"/>
      <c r="Z89" s="7">
        <v>0</v>
      </c>
      <c r="AB89" s="2">
        <v>393</v>
      </c>
      <c r="AC89" s="103">
        <v>27247</v>
      </c>
      <c r="AD89" s="103">
        <v>32601</v>
      </c>
      <c r="AE89" s="64">
        <f t="shared" si="22"/>
        <v>0</v>
      </c>
      <c r="AF89" s="64">
        <f t="shared" si="23"/>
        <v>7.8356492132143196E-3</v>
      </c>
      <c r="AG89" s="20">
        <f t="shared" si="24"/>
        <v>0</v>
      </c>
      <c r="AH89" s="20">
        <f t="shared" si="25"/>
        <v>3.3634524247722464</v>
      </c>
      <c r="AI89" s="22"/>
    </row>
    <row r="90" spans="1:35">
      <c r="A90" s="28">
        <v>45746</v>
      </c>
      <c r="B90" s="102"/>
      <c r="C90" s="102">
        <v>0</v>
      </c>
      <c r="D90" s="102">
        <v>0</v>
      </c>
      <c r="E90" s="6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3">
        <v>0</v>
      </c>
      <c r="N90" s="107">
        <f t="shared" si="19"/>
        <v>0</v>
      </c>
      <c r="O90" s="7">
        <f t="shared" si="15"/>
        <v>0</v>
      </c>
      <c r="P90" s="7">
        <f t="shared" si="16"/>
        <v>0</v>
      </c>
      <c r="Q90" s="7">
        <f t="shared" si="17"/>
        <v>0</v>
      </c>
      <c r="R90" s="7">
        <f t="shared" si="18"/>
        <v>0</v>
      </c>
      <c r="T90" s="7"/>
      <c r="U90" s="7"/>
      <c r="V90" s="7"/>
      <c r="W90" s="7">
        <f t="shared" si="20"/>
        <v>0</v>
      </c>
      <c r="X90" s="103">
        <f t="shared" si="21"/>
        <v>0</v>
      </c>
      <c r="Y90" s="103"/>
      <c r="Z90" s="7">
        <v>0</v>
      </c>
      <c r="AB90" s="2">
        <v>0</v>
      </c>
      <c r="AC90" s="103">
        <v>0</v>
      </c>
      <c r="AD90" s="103">
        <v>0</v>
      </c>
      <c r="AE90" s="64" t="e">
        <f t="shared" si="22"/>
        <v>#DIV/0!</v>
      </c>
      <c r="AF90" s="64"/>
      <c r="AG90" s="20"/>
      <c r="AH90" s="20"/>
      <c r="AI90" s="22"/>
    </row>
    <row r="91" spans="1:35">
      <c r="A91" s="28">
        <v>45747</v>
      </c>
      <c r="B91" s="102"/>
      <c r="C91" s="102">
        <v>0</v>
      </c>
      <c r="D91" s="102">
        <v>0</v>
      </c>
      <c r="E91" s="6">
        <v>0</v>
      </c>
      <c r="F91" s="102">
        <v>0</v>
      </c>
      <c r="G91" s="102">
        <v>0</v>
      </c>
      <c r="H91" s="102">
        <v>0</v>
      </c>
      <c r="I91" s="102">
        <v>0</v>
      </c>
      <c r="J91" s="102">
        <v>0</v>
      </c>
      <c r="K91" s="102">
        <v>0</v>
      </c>
      <c r="L91" s="102">
        <v>0</v>
      </c>
      <c r="M91" s="3">
        <v>0</v>
      </c>
      <c r="N91" s="107">
        <f t="shared" si="19"/>
        <v>0</v>
      </c>
      <c r="O91" s="7">
        <f t="shared" si="15"/>
        <v>0</v>
      </c>
      <c r="P91" s="7">
        <f t="shared" si="16"/>
        <v>0</v>
      </c>
      <c r="Q91" s="7">
        <f t="shared" si="17"/>
        <v>0</v>
      </c>
      <c r="R91" s="7">
        <f t="shared" si="18"/>
        <v>0</v>
      </c>
      <c r="T91" s="7"/>
      <c r="U91" s="7"/>
      <c r="V91" s="7"/>
      <c r="W91" s="7">
        <f t="shared" si="20"/>
        <v>0</v>
      </c>
      <c r="X91" s="103">
        <f t="shared" si="21"/>
        <v>0</v>
      </c>
      <c r="Y91" s="103"/>
      <c r="Z91" s="7">
        <v>0</v>
      </c>
      <c r="AB91" s="2">
        <v>0</v>
      </c>
      <c r="AC91" s="103">
        <v>0</v>
      </c>
      <c r="AD91" s="103">
        <v>0</v>
      </c>
      <c r="AE91" s="64" t="e">
        <f t="shared" si="22"/>
        <v>#DIV/0!</v>
      </c>
      <c r="AF91" s="64"/>
      <c r="AG91" s="20"/>
      <c r="AH91" s="20"/>
      <c r="AI91" s="22"/>
    </row>
    <row r="92" spans="1:35">
      <c r="A92" s="28">
        <v>45748</v>
      </c>
      <c r="B92" s="102"/>
      <c r="C92" s="102">
        <v>0</v>
      </c>
      <c r="D92" s="102">
        <v>0</v>
      </c>
      <c r="E92" s="6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3">
        <v>0</v>
      </c>
      <c r="N92" s="107">
        <f t="shared" si="19"/>
        <v>0</v>
      </c>
      <c r="O92" s="7">
        <f t="shared" si="15"/>
        <v>0</v>
      </c>
      <c r="P92" s="7">
        <f t="shared" si="16"/>
        <v>0</v>
      </c>
      <c r="Q92" s="7">
        <f t="shared" si="17"/>
        <v>0</v>
      </c>
      <c r="R92" s="7">
        <f t="shared" si="18"/>
        <v>0</v>
      </c>
      <c r="T92" s="7"/>
      <c r="U92" s="7"/>
      <c r="W92" s="7">
        <f t="shared" si="20"/>
        <v>0</v>
      </c>
      <c r="X92" s="103">
        <f t="shared" si="21"/>
        <v>0</v>
      </c>
      <c r="Y92" s="103"/>
      <c r="Z92" s="7">
        <v>0</v>
      </c>
      <c r="AB92" s="2">
        <v>0</v>
      </c>
      <c r="AC92" s="103">
        <v>0</v>
      </c>
      <c r="AD92" s="103">
        <v>0</v>
      </c>
      <c r="AE92" s="64" t="e">
        <f t="shared" si="22"/>
        <v>#DIV/0!</v>
      </c>
      <c r="AF92" s="64"/>
      <c r="AG92" s="20"/>
      <c r="AH92" s="20"/>
      <c r="AI92" s="22"/>
    </row>
    <row r="93" spans="1:35">
      <c r="A93" s="28">
        <v>45749</v>
      </c>
      <c r="B93" s="6">
        <v>165</v>
      </c>
      <c r="C93" s="6">
        <v>414.08333333333337</v>
      </c>
      <c r="D93" s="6">
        <v>79.5</v>
      </c>
      <c r="E93" s="6">
        <v>429.25</v>
      </c>
      <c r="F93" s="6">
        <v>257.5</v>
      </c>
      <c r="G93" s="6">
        <v>68</v>
      </c>
      <c r="H93" s="6">
        <v>55.5</v>
      </c>
      <c r="I93" s="6">
        <v>1079.9166666666667</v>
      </c>
      <c r="J93" s="6">
        <v>150</v>
      </c>
      <c r="K93" s="6">
        <v>687.08333333333326</v>
      </c>
      <c r="L93" s="6">
        <v>161</v>
      </c>
      <c r="M93" s="3">
        <v>291.91666666666669</v>
      </c>
      <c r="N93" s="107">
        <f t="shared" si="19"/>
        <v>38.716496967922119</v>
      </c>
      <c r="O93" s="7">
        <f t="shared" si="15"/>
        <v>2833.083333333333</v>
      </c>
      <c r="P93" s="7">
        <f t="shared" si="16"/>
        <v>2794.3668363654115</v>
      </c>
      <c r="Q93" s="7">
        <f t="shared" si="17"/>
        <v>1041.2001696987447</v>
      </c>
      <c r="R93" s="7">
        <f t="shared" si="18"/>
        <v>687.08333333333326</v>
      </c>
      <c r="S93" s="7">
        <v>9695</v>
      </c>
      <c r="T93" s="7">
        <v>12399</v>
      </c>
      <c r="U93" s="7">
        <v>1437</v>
      </c>
      <c r="V93" s="7">
        <v>143413</v>
      </c>
      <c r="W93" s="7">
        <f t="shared" si="20"/>
        <v>132281</v>
      </c>
      <c r="X93" s="103">
        <f t="shared" si="21"/>
        <v>151135</v>
      </c>
      <c r="Y93" s="103"/>
      <c r="Z93" s="7">
        <v>0</v>
      </c>
      <c r="AB93" s="2">
        <v>7722</v>
      </c>
      <c r="AC93" s="103">
        <v>182899</v>
      </c>
      <c r="AD93" s="103">
        <v>140003</v>
      </c>
      <c r="AE93" s="64">
        <f t="shared" si="22"/>
        <v>0</v>
      </c>
      <c r="AF93" s="64">
        <f t="shared" si="23"/>
        <v>3.5851374613401141E-2</v>
      </c>
      <c r="AG93" s="20">
        <f t="shared" ref="AG93:AG114" si="26">+AE93*K93</f>
        <v>0</v>
      </c>
      <c r="AH93" s="20">
        <f t="shared" ref="AH93:AH114" si="27">+AF93*I93</f>
        <v>38.716496967922119</v>
      </c>
      <c r="AI93" s="22"/>
    </row>
    <row r="94" spans="1:35">
      <c r="A94" s="28">
        <v>45750</v>
      </c>
      <c r="B94" s="6">
        <v>170.08333333333331</v>
      </c>
      <c r="C94" s="6">
        <v>432.16666666666669</v>
      </c>
      <c r="D94" s="6">
        <v>71.916666666666657</v>
      </c>
      <c r="E94" s="6">
        <v>454</v>
      </c>
      <c r="F94" s="6">
        <v>277.5</v>
      </c>
      <c r="G94" s="6">
        <v>68</v>
      </c>
      <c r="H94" s="6">
        <v>54.5</v>
      </c>
      <c r="I94" s="6">
        <v>1639</v>
      </c>
      <c r="J94" s="6">
        <v>148.16666666666666</v>
      </c>
      <c r="K94" s="6">
        <v>940.58333333333326</v>
      </c>
      <c r="L94" s="6">
        <v>168.5</v>
      </c>
      <c r="M94" s="3">
        <v>313.41666666666663</v>
      </c>
      <c r="N94" s="107">
        <f t="shared" si="19"/>
        <v>87.192158998192326</v>
      </c>
      <c r="O94" s="7">
        <f t="shared" si="15"/>
        <v>3679.4166666666665</v>
      </c>
      <c r="P94" s="7">
        <f t="shared" si="16"/>
        <v>3592.2245076684744</v>
      </c>
      <c r="Q94" s="7">
        <f t="shared" si="17"/>
        <v>1601.3989680685359</v>
      </c>
      <c r="R94" s="7">
        <f t="shared" si="18"/>
        <v>890.99220626660508</v>
      </c>
      <c r="S94" s="7">
        <v>8919</v>
      </c>
      <c r="T94" s="7">
        <v>12633</v>
      </c>
      <c r="U94" s="7">
        <v>3290</v>
      </c>
      <c r="V94" s="7">
        <v>175715</v>
      </c>
      <c r="W94" s="7">
        <f t="shared" si="20"/>
        <v>163506</v>
      </c>
      <c r="X94" s="103">
        <f t="shared" si="21"/>
        <v>181697</v>
      </c>
      <c r="Y94" s="103"/>
      <c r="Z94" s="7">
        <v>6090</v>
      </c>
      <c r="AB94" s="2">
        <v>5982</v>
      </c>
      <c r="AC94" s="103">
        <v>106267</v>
      </c>
      <c r="AD94" s="103">
        <v>169488</v>
      </c>
      <c r="AE94" s="64">
        <f t="shared" si="22"/>
        <v>5.272379948619986E-2</v>
      </c>
      <c r="AF94" s="64">
        <f t="shared" si="23"/>
        <v>2.2941447182101386E-2</v>
      </c>
      <c r="AG94" s="20">
        <f t="shared" si="26"/>
        <v>49.591127066728149</v>
      </c>
      <c r="AH94" s="20">
        <f t="shared" si="27"/>
        <v>37.601031931464171</v>
      </c>
      <c r="AI94" s="22"/>
    </row>
    <row r="95" spans="1:35">
      <c r="A95" s="28">
        <v>45751</v>
      </c>
      <c r="B95" s="6">
        <v>417.5</v>
      </c>
      <c r="C95" s="6">
        <v>432.5</v>
      </c>
      <c r="D95" s="6">
        <v>82.25</v>
      </c>
      <c r="E95" s="6">
        <v>448</v>
      </c>
      <c r="F95" s="6">
        <v>224.75</v>
      </c>
      <c r="G95" s="6">
        <v>68</v>
      </c>
      <c r="H95" s="6">
        <v>63</v>
      </c>
      <c r="I95" s="6">
        <v>1162.0833333333335</v>
      </c>
      <c r="J95" s="6">
        <v>165</v>
      </c>
      <c r="K95" s="6">
        <v>646.16666666666663</v>
      </c>
      <c r="L95" s="6">
        <v>161</v>
      </c>
      <c r="M95" s="3">
        <v>306.75</v>
      </c>
      <c r="N95" s="107">
        <f t="shared" si="19"/>
        <v>28.626748872534982</v>
      </c>
      <c r="O95" s="7">
        <f t="shared" si="15"/>
        <v>3130.25</v>
      </c>
      <c r="P95" s="7">
        <f t="shared" si="16"/>
        <v>3101.6232511274652</v>
      </c>
      <c r="Q95" s="7">
        <f t="shared" si="17"/>
        <v>1133.4565844607985</v>
      </c>
      <c r="R95" s="7">
        <f t="shared" si="18"/>
        <v>646.16666666666663</v>
      </c>
      <c r="S95" s="7">
        <v>6291</v>
      </c>
      <c r="T95" s="7">
        <v>11528</v>
      </c>
      <c r="U95" s="7">
        <v>2681</v>
      </c>
      <c r="V95" s="7">
        <v>119834</v>
      </c>
      <c r="W95" s="7">
        <f t="shared" si="20"/>
        <v>110862</v>
      </c>
      <c r="X95" s="103">
        <f t="shared" si="21"/>
        <v>124201</v>
      </c>
      <c r="Y95" s="103"/>
      <c r="Z95" s="7">
        <v>0</v>
      </c>
      <c r="AB95" s="2">
        <v>4367</v>
      </c>
      <c r="AC95" s="103">
        <v>75019</v>
      </c>
      <c r="AD95" s="103">
        <v>115229</v>
      </c>
      <c r="AE95" s="64">
        <f t="shared" si="22"/>
        <v>0</v>
      </c>
      <c r="AF95" s="64">
        <f t="shared" si="23"/>
        <v>2.4633989707452116E-2</v>
      </c>
      <c r="AG95" s="20">
        <f t="shared" si="26"/>
        <v>0</v>
      </c>
      <c r="AH95" s="20">
        <f t="shared" si="27"/>
        <v>28.626748872534982</v>
      </c>
      <c r="AI95" s="22"/>
    </row>
    <row r="96" spans="1:35">
      <c r="A96" s="28">
        <v>45752</v>
      </c>
      <c r="B96" s="6">
        <v>136</v>
      </c>
      <c r="C96" s="6">
        <v>196.41666666666666</v>
      </c>
      <c r="D96" s="6">
        <v>27</v>
      </c>
      <c r="E96" s="6">
        <v>338.5</v>
      </c>
      <c r="F96" s="6">
        <v>200</v>
      </c>
      <c r="G96" s="6">
        <v>105</v>
      </c>
      <c r="H96" s="6">
        <v>22.5</v>
      </c>
      <c r="I96" s="6">
        <v>873.25</v>
      </c>
      <c r="J96" s="6">
        <v>75</v>
      </c>
      <c r="K96" s="6">
        <v>514.16666666666674</v>
      </c>
      <c r="L96" s="6">
        <v>195</v>
      </c>
      <c r="M96" s="3">
        <v>152.58333333333331</v>
      </c>
      <c r="N96" s="107">
        <f t="shared" si="19"/>
        <v>16.708814413326127</v>
      </c>
      <c r="O96" s="7">
        <f t="shared" si="15"/>
        <v>2021.8333333333333</v>
      </c>
      <c r="P96" s="7">
        <f t="shared" si="16"/>
        <v>2005.1245189200074</v>
      </c>
      <c r="Q96" s="7">
        <f t="shared" si="17"/>
        <v>856.54118558667392</v>
      </c>
      <c r="R96" s="7">
        <f t="shared" si="18"/>
        <v>514.16666666666674</v>
      </c>
      <c r="S96" s="7">
        <v>3200</v>
      </c>
      <c r="T96" s="7">
        <v>7154</v>
      </c>
      <c r="U96" s="7">
        <v>1465</v>
      </c>
      <c r="V96" s="7">
        <v>96258</v>
      </c>
      <c r="W96" s="7">
        <f t="shared" si="20"/>
        <v>91593</v>
      </c>
      <c r="X96" s="103">
        <f t="shared" si="21"/>
        <v>99036</v>
      </c>
      <c r="Y96" s="103"/>
      <c r="Z96" s="7">
        <v>0</v>
      </c>
      <c r="AB96" s="2">
        <v>2778</v>
      </c>
      <c r="AC96" s="103">
        <v>65877</v>
      </c>
      <c r="AD96" s="103">
        <v>94371</v>
      </c>
      <c r="AE96" s="64">
        <f t="shared" si="22"/>
        <v>0</v>
      </c>
      <c r="AF96" s="64">
        <f t="shared" si="23"/>
        <v>1.9134056012970087E-2</v>
      </c>
      <c r="AG96" s="20">
        <f t="shared" si="26"/>
        <v>0</v>
      </c>
      <c r="AH96" s="20">
        <f t="shared" si="27"/>
        <v>16.708814413326127</v>
      </c>
      <c r="AI96" s="22"/>
    </row>
    <row r="97" spans="1:35">
      <c r="A97" s="28">
        <v>45753</v>
      </c>
      <c r="B97" s="6"/>
      <c r="C97" s="6">
        <v>195</v>
      </c>
      <c r="D97" s="6">
        <v>52</v>
      </c>
      <c r="E97" s="6">
        <v>0</v>
      </c>
      <c r="F97" s="6">
        <v>187.5</v>
      </c>
      <c r="G97" s="6">
        <v>120</v>
      </c>
      <c r="H97" s="6">
        <v>15</v>
      </c>
      <c r="I97" s="6">
        <v>697.08333333333326</v>
      </c>
      <c r="J97" s="6">
        <v>90</v>
      </c>
      <c r="K97" s="6">
        <v>558.33333333333326</v>
      </c>
      <c r="L97" s="6">
        <v>0</v>
      </c>
      <c r="M97" s="3">
        <v>124.33333333333333</v>
      </c>
      <c r="N97" s="107">
        <f t="shared" si="19"/>
        <v>14.677903999443878</v>
      </c>
      <c r="O97" s="7">
        <f t="shared" si="15"/>
        <v>1779.9166666666665</v>
      </c>
      <c r="P97" s="7">
        <f t="shared" si="16"/>
        <v>1765.2387626672228</v>
      </c>
      <c r="Q97" s="7">
        <f t="shared" si="17"/>
        <v>682.4054293338894</v>
      </c>
      <c r="R97" s="7">
        <f t="shared" si="18"/>
        <v>558.33333333333326</v>
      </c>
      <c r="S97" s="7">
        <v>4912</v>
      </c>
      <c r="T97" s="7">
        <v>6708</v>
      </c>
      <c r="U97" s="7">
        <v>941</v>
      </c>
      <c r="V97" s="7">
        <v>68490</v>
      </c>
      <c r="W97" s="7">
        <f t="shared" si="20"/>
        <v>62637</v>
      </c>
      <c r="X97" s="103">
        <f t="shared" si="21"/>
        <v>70587</v>
      </c>
      <c r="Y97" s="103"/>
      <c r="Z97" s="7">
        <v>0</v>
      </c>
      <c r="AB97" s="2">
        <v>2097</v>
      </c>
      <c r="AC97" s="103">
        <v>74151</v>
      </c>
      <c r="AD97" s="103">
        <v>64734</v>
      </c>
      <c r="AE97" s="64">
        <f t="shared" si="22"/>
        <v>0</v>
      </c>
      <c r="AF97" s="64">
        <f t="shared" si="23"/>
        <v>2.1056168319584765E-2</v>
      </c>
      <c r="AG97" s="20">
        <f t="shared" si="26"/>
        <v>0</v>
      </c>
      <c r="AH97" s="20">
        <f t="shared" si="27"/>
        <v>14.677903999443878</v>
      </c>
      <c r="AI97" s="22"/>
    </row>
    <row r="98" spans="1:35">
      <c r="A98" s="28">
        <v>45754</v>
      </c>
      <c r="B98" s="6">
        <v>240</v>
      </c>
      <c r="C98" s="6">
        <v>365</v>
      </c>
      <c r="D98" s="6">
        <v>90</v>
      </c>
      <c r="E98" s="6">
        <v>327.25</v>
      </c>
      <c r="F98" s="6">
        <v>281.75</v>
      </c>
      <c r="G98" s="6">
        <v>142.41666666666666</v>
      </c>
      <c r="H98" s="6">
        <v>64</v>
      </c>
      <c r="I98" s="6">
        <v>1151.9166666666665</v>
      </c>
      <c r="J98" s="6">
        <v>165</v>
      </c>
      <c r="K98" s="6">
        <v>686.66666666666663</v>
      </c>
      <c r="L98" s="6">
        <v>130</v>
      </c>
      <c r="M98" s="3">
        <v>303.75</v>
      </c>
      <c r="N98" s="107">
        <f t="shared" si="19"/>
        <v>17.345494747503295</v>
      </c>
      <c r="O98" s="7">
        <f t="shared" si="15"/>
        <v>2980.333333333333</v>
      </c>
      <c r="P98" s="7">
        <f t="shared" si="16"/>
        <v>2962.9878385858296</v>
      </c>
      <c r="Q98" s="7">
        <f t="shared" si="17"/>
        <v>1134.5711719191631</v>
      </c>
      <c r="R98" s="7">
        <f t="shared" si="18"/>
        <v>686.66666666666663</v>
      </c>
      <c r="S98" s="7">
        <v>9433</v>
      </c>
      <c r="T98" s="7">
        <v>11249</v>
      </c>
      <c r="U98" s="7">
        <v>572</v>
      </c>
      <c r="V98" s="7">
        <v>99862</v>
      </c>
      <c r="W98" s="7">
        <f t="shared" si="20"/>
        <v>89857</v>
      </c>
      <c r="X98" s="103">
        <f t="shared" si="21"/>
        <v>101993</v>
      </c>
      <c r="Y98" s="103"/>
      <c r="Z98" s="7">
        <v>0</v>
      </c>
      <c r="AB98" s="2">
        <v>2131</v>
      </c>
      <c r="AC98" s="103">
        <v>110181</v>
      </c>
      <c r="AD98" s="103">
        <v>91988</v>
      </c>
      <c r="AE98" s="64">
        <f t="shared" si="22"/>
        <v>0</v>
      </c>
      <c r="AF98" s="64">
        <f t="shared" si="23"/>
        <v>1.5057942340305257E-2</v>
      </c>
      <c r="AG98" s="20">
        <f t="shared" si="26"/>
        <v>0</v>
      </c>
      <c r="AH98" s="20">
        <f t="shared" si="27"/>
        <v>17.345494747503295</v>
      </c>
      <c r="AI98" s="22"/>
    </row>
    <row r="99" spans="1:35">
      <c r="A99" s="28">
        <v>45755</v>
      </c>
      <c r="B99" s="6">
        <v>239.58333333333331</v>
      </c>
      <c r="C99" s="6">
        <v>295.33333333333331</v>
      </c>
      <c r="D99" s="6">
        <v>79.583333333333329</v>
      </c>
      <c r="E99" s="6">
        <v>381</v>
      </c>
      <c r="F99" s="6">
        <v>269.58333333333337</v>
      </c>
      <c r="G99" s="6">
        <v>136</v>
      </c>
      <c r="H99" s="6">
        <v>71.5</v>
      </c>
      <c r="I99" s="6">
        <v>1152.6666666666667</v>
      </c>
      <c r="J99" s="6">
        <v>164.66666666666666</v>
      </c>
      <c r="K99" s="6">
        <v>727.5</v>
      </c>
      <c r="L99" s="6">
        <v>138.5</v>
      </c>
      <c r="M99" s="3">
        <v>321</v>
      </c>
      <c r="N99" s="107">
        <f t="shared" si="19"/>
        <v>12.800877224369067</v>
      </c>
      <c r="O99" s="7">
        <f t="shared" si="15"/>
        <v>2928.9166666666665</v>
      </c>
      <c r="P99" s="7">
        <f t="shared" si="16"/>
        <v>2916.1157894422977</v>
      </c>
      <c r="Q99" s="7">
        <f t="shared" si="17"/>
        <v>1139.8657894422977</v>
      </c>
      <c r="R99" s="7">
        <f t="shared" si="18"/>
        <v>727.5</v>
      </c>
      <c r="S99" s="7">
        <v>6070</v>
      </c>
      <c r="T99" s="7">
        <v>8734</v>
      </c>
      <c r="U99" s="7">
        <v>1781</v>
      </c>
      <c r="V99" s="7">
        <v>117733</v>
      </c>
      <c r="W99" s="7">
        <f t="shared" si="20"/>
        <v>109882</v>
      </c>
      <c r="X99" s="103">
        <f t="shared" si="21"/>
        <v>119643</v>
      </c>
      <c r="Y99" s="103"/>
      <c r="Z99" s="7">
        <v>0</v>
      </c>
      <c r="AB99" s="2">
        <v>1910</v>
      </c>
      <c r="AC99" s="103">
        <v>103249</v>
      </c>
      <c r="AD99" s="103">
        <v>111792</v>
      </c>
      <c r="AE99" s="64">
        <f t="shared" si="22"/>
        <v>0</v>
      </c>
      <c r="AF99" s="64">
        <f t="shared" si="23"/>
        <v>1.1105445827966224E-2</v>
      </c>
      <c r="AG99" s="20">
        <f t="shared" si="26"/>
        <v>0</v>
      </c>
      <c r="AH99" s="20">
        <f t="shared" si="27"/>
        <v>12.800877224369067</v>
      </c>
      <c r="AI99" s="22"/>
    </row>
    <row r="100" spans="1:35">
      <c r="A100" s="28">
        <v>45756</v>
      </c>
      <c r="B100" s="6">
        <v>225.5</v>
      </c>
      <c r="C100" s="6">
        <v>344.83333333333337</v>
      </c>
      <c r="D100" s="6">
        <v>80</v>
      </c>
      <c r="E100" s="6">
        <v>340.66666666666663</v>
      </c>
      <c r="F100" s="6">
        <v>261.5</v>
      </c>
      <c r="G100" s="6">
        <v>143.08333333333331</v>
      </c>
      <c r="H100" s="6">
        <v>69.25</v>
      </c>
      <c r="I100" s="6">
        <v>1146.9166666666667</v>
      </c>
      <c r="J100" s="6">
        <v>157.5</v>
      </c>
      <c r="K100" s="6">
        <v>743.08333333333326</v>
      </c>
      <c r="L100" s="6">
        <v>122.5</v>
      </c>
      <c r="M100" s="3">
        <v>284.58333333333337</v>
      </c>
      <c r="N100" s="107">
        <f t="shared" si="19"/>
        <v>182.25719959214069</v>
      </c>
      <c r="O100" s="7">
        <f t="shared" si="15"/>
        <v>2959.333333333333</v>
      </c>
      <c r="P100" s="7">
        <f t="shared" si="16"/>
        <v>2777.0761337411932</v>
      </c>
      <c r="Q100" s="7">
        <f t="shared" si="17"/>
        <v>1050.2269342494894</v>
      </c>
      <c r="R100" s="7">
        <f t="shared" si="18"/>
        <v>657.51586615836982</v>
      </c>
      <c r="S100" s="7">
        <v>5006</v>
      </c>
      <c r="T100" s="7">
        <v>7585</v>
      </c>
      <c r="U100" s="7">
        <v>1736</v>
      </c>
      <c r="V100" s="7">
        <v>105885</v>
      </c>
      <c r="W100" s="7">
        <f t="shared" si="20"/>
        <v>99143</v>
      </c>
      <c r="X100" s="103">
        <f t="shared" si="21"/>
        <v>120660</v>
      </c>
      <c r="Y100" s="103"/>
      <c r="Z100" s="7">
        <v>14118</v>
      </c>
      <c r="AB100" s="2">
        <v>14775</v>
      </c>
      <c r="AC100" s="103">
        <v>112795</v>
      </c>
      <c r="AD100" s="103">
        <v>113918</v>
      </c>
      <c r="AE100" s="64">
        <f t="shared" si="22"/>
        <v>0.11515191276209051</v>
      </c>
      <c r="AF100" s="64">
        <f t="shared" si="23"/>
        <v>8.4304060815674431E-2</v>
      </c>
      <c r="AG100" s="20">
        <f t="shared" si="26"/>
        <v>85.567467174963411</v>
      </c>
      <c r="AH100" s="20">
        <f t="shared" si="27"/>
        <v>96.689732417177268</v>
      </c>
      <c r="AI100" s="22"/>
    </row>
    <row r="101" spans="1:35">
      <c r="A101" s="28">
        <v>45757</v>
      </c>
      <c r="B101" s="6">
        <v>207.5</v>
      </c>
      <c r="C101" s="6">
        <v>289.5</v>
      </c>
      <c r="D101" s="6">
        <v>87.416666666666671</v>
      </c>
      <c r="E101" s="6">
        <v>380</v>
      </c>
      <c r="F101" s="6">
        <v>251</v>
      </c>
      <c r="G101" s="6">
        <v>151.83333333333334</v>
      </c>
      <c r="H101" s="6">
        <v>63</v>
      </c>
      <c r="I101" s="6">
        <v>1333.8333333333333</v>
      </c>
      <c r="J101" s="6">
        <v>112.5</v>
      </c>
      <c r="K101" s="6">
        <v>744.66666666666663</v>
      </c>
      <c r="L101" s="6">
        <v>138.5</v>
      </c>
      <c r="M101" s="3">
        <v>299</v>
      </c>
      <c r="N101" s="107">
        <f t="shared" si="19"/>
        <v>89.424618463248663</v>
      </c>
      <c r="O101" s="7">
        <f t="shared" si="15"/>
        <v>3026.4166666666665</v>
      </c>
      <c r="P101" s="7">
        <f t="shared" si="16"/>
        <v>2936.9920482034177</v>
      </c>
      <c r="Q101" s="7">
        <f t="shared" si="17"/>
        <v>1313.1464968023329</v>
      </c>
      <c r="R101" s="7">
        <f t="shared" si="18"/>
        <v>675.92888473441849</v>
      </c>
      <c r="S101" s="7">
        <v>7889</v>
      </c>
      <c r="T101" s="7">
        <v>9673</v>
      </c>
      <c r="U101" s="7">
        <v>1075</v>
      </c>
      <c r="V101" s="7">
        <v>112958</v>
      </c>
      <c r="W101" s="7">
        <f t="shared" si="20"/>
        <v>103994</v>
      </c>
      <c r="X101" s="103">
        <f t="shared" si="21"/>
        <v>115500</v>
      </c>
      <c r="Y101" s="103"/>
      <c r="Z101" s="7">
        <v>11163</v>
      </c>
      <c r="AB101" s="2">
        <v>2542</v>
      </c>
      <c r="AC101" s="103">
        <v>111259</v>
      </c>
      <c r="AD101" s="103">
        <v>106536</v>
      </c>
      <c r="AE101" s="64">
        <f t="shared" si="22"/>
        <v>9.2306779676250922E-2</v>
      </c>
      <c r="AF101" s="64">
        <f t="shared" si="23"/>
        <v>1.550931140647293E-2</v>
      </c>
      <c r="AG101" s="20">
        <f t="shared" si="26"/>
        <v>68.737781932248183</v>
      </c>
      <c r="AH101" s="20">
        <f t="shared" si="27"/>
        <v>20.686836531000473</v>
      </c>
      <c r="AI101" s="22"/>
    </row>
    <row r="102" spans="1:35">
      <c r="A102" s="28">
        <v>45758</v>
      </c>
      <c r="B102" s="6">
        <v>211</v>
      </c>
      <c r="C102" s="6">
        <v>323.5</v>
      </c>
      <c r="D102" s="6">
        <v>94.916666666666671</v>
      </c>
      <c r="E102" s="6">
        <v>387.5</v>
      </c>
      <c r="F102" s="6">
        <v>242.58333333333331</v>
      </c>
      <c r="G102" s="6">
        <v>152.41666666666669</v>
      </c>
      <c r="H102" s="6">
        <v>71.5</v>
      </c>
      <c r="I102" s="6">
        <v>1380</v>
      </c>
      <c r="J102" s="6">
        <v>105.5</v>
      </c>
      <c r="K102" s="6">
        <v>1170</v>
      </c>
      <c r="L102" s="6">
        <v>146.5</v>
      </c>
      <c r="M102" s="3">
        <v>291.66666666666669</v>
      </c>
      <c r="N102" s="107">
        <f t="shared" si="19"/>
        <v>376.2184714607958</v>
      </c>
      <c r="O102" s="7">
        <f t="shared" si="15"/>
        <v>3527.5</v>
      </c>
      <c r="P102" s="7">
        <f t="shared" si="16"/>
        <v>3151.2815285392039</v>
      </c>
      <c r="Q102" s="7">
        <f t="shared" si="17"/>
        <v>1266.5138004246285</v>
      </c>
      <c r="R102" s="7">
        <f t="shared" si="18"/>
        <v>907.26772811457579</v>
      </c>
      <c r="S102" s="7">
        <v>5654</v>
      </c>
      <c r="T102" s="7">
        <v>7568</v>
      </c>
      <c r="U102" s="7">
        <v>1223</v>
      </c>
      <c r="V102" s="7">
        <v>103147</v>
      </c>
      <c r="W102" s="7">
        <f t="shared" si="20"/>
        <v>96270</v>
      </c>
      <c r="X102" s="103">
        <f t="shared" si="21"/>
        <v>117091</v>
      </c>
      <c r="Y102" s="103"/>
      <c r="Z102" s="7">
        <v>48367</v>
      </c>
      <c r="AB102" s="2">
        <v>13944</v>
      </c>
      <c r="AC102" s="103">
        <v>198157</v>
      </c>
      <c r="AD102" s="103">
        <v>110214</v>
      </c>
      <c r="AE102" s="64">
        <f t="shared" si="22"/>
        <v>0.2245574973379694</v>
      </c>
      <c r="AF102" s="64">
        <f t="shared" si="23"/>
        <v>8.2236376503892442E-2</v>
      </c>
      <c r="AG102" s="20">
        <f t="shared" si="26"/>
        <v>262.73227188542421</v>
      </c>
      <c r="AH102" s="20">
        <f t="shared" si="27"/>
        <v>113.48619957537157</v>
      </c>
      <c r="AI102" s="22"/>
    </row>
    <row r="103" spans="1:35">
      <c r="A103" s="28">
        <v>45759</v>
      </c>
      <c r="B103" s="6">
        <v>198.49999999999997</v>
      </c>
      <c r="C103" s="6">
        <v>214.91666666666669</v>
      </c>
      <c r="D103" s="6">
        <v>37.5</v>
      </c>
      <c r="E103" s="6">
        <v>263</v>
      </c>
      <c r="F103" s="6">
        <v>189.83333333333334</v>
      </c>
      <c r="G103" s="6">
        <v>90</v>
      </c>
      <c r="H103" s="6">
        <v>15</v>
      </c>
      <c r="I103" s="6">
        <v>877</v>
      </c>
      <c r="J103" s="6">
        <v>60</v>
      </c>
      <c r="K103" s="6">
        <v>428</v>
      </c>
      <c r="L103" s="6">
        <v>172.5</v>
      </c>
      <c r="M103" s="3">
        <v>186.41666666666669</v>
      </c>
      <c r="N103" s="107">
        <f t="shared" si="19"/>
        <v>78.999319952798515</v>
      </c>
      <c r="O103" s="7">
        <f t="shared" si="15"/>
        <v>2005.75</v>
      </c>
      <c r="P103" s="7">
        <f t="shared" si="16"/>
        <v>1926.7506800472015</v>
      </c>
      <c r="Q103" s="7">
        <f t="shared" si="17"/>
        <v>798.00068004720151</v>
      </c>
      <c r="R103" s="7">
        <f t="shared" si="18"/>
        <v>428</v>
      </c>
      <c r="S103" s="7">
        <v>1063</v>
      </c>
      <c r="T103" s="7">
        <v>3831</v>
      </c>
      <c r="U103" s="7">
        <v>1632</v>
      </c>
      <c r="V103" s="7">
        <v>87374</v>
      </c>
      <c r="W103" s="7">
        <f t="shared" si="20"/>
        <v>84679</v>
      </c>
      <c r="X103" s="103">
        <f t="shared" si="21"/>
        <v>100997</v>
      </c>
      <c r="Y103" s="103"/>
      <c r="Z103" s="7">
        <v>0</v>
      </c>
      <c r="AB103" s="2">
        <v>13623</v>
      </c>
      <c r="AC103" s="103">
        <v>58733</v>
      </c>
      <c r="AD103" s="103">
        <v>98302</v>
      </c>
      <c r="AE103" s="64">
        <f t="shared" si="22"/>
        <v>0</v>
      </c>
      <c r="AF103" s="64">
        <f t="shared" si="23"/>
        <v>9.0079042135460113E-2</v>
      </c>
      <c r="AG103" s="20">
        <f t="shared" si="26"/>
        <v>0</v>
      </c>
      <c r="AH103" s="20">
        <f t="shared" si="27"/>
        <v>78.999319952798515</v>
      </c>
      <c r="AI103" s="22"/>
    </row>
    <row r="104" spans="1:35">
      <c r="A104" s="28">
        <v>45760</v>
      </c>
      <c r="B104" s="6"/>
      <c r="C104" s="6">
        <v>186.91666666666669</v>
      </c>
      <c r="D104" s="6">
        <v>47.750000000000007</v>
      </c>
      <c r="E104" s="6">
        <v>0</v>
      </c>
      <c r="F104" s="6">
        <v>156.33333333333331</v>
      </c>
      <c r="G104" s="6">
        <v>94.583333333333329</v>
      </c>
      <c r="H104" s="6">
        <v>15</v>
      </c>
      <c r="I104" s="6">
        <v>569.33333333333326</v>
      </c>
      <c r="J104" s="6">
        <v>90</v>
      </c>
      <c r="K104" s="6">
        <v>432.41666666666669</v>
      </c>
      <c r="L104" s="6">
        <v>0</v>
      </c>
      <c r="M104" s="3">
        <v>135</v>
      </c>
      <c r="N104" s="107">
        <f t="shared" si="19"/>
        <v>11.341028347738119</v>
      </c>
      <c r="O104" s="7">
        <f t="shared" si="15"/>
        <v>1482.75</v>
      </c>
      <c r="P104" s="7">
        <f t="shared" si="16"/>
        <v>1471.4089716522619</v>
      </c>
      <c r="Q104" s="7">
        <f t="shared" si="17"/>
        <v>557.99230498559518</v>
      </c>
      <c r="R104" s="7">
        <f t="shared" si="18"/>
        <v>432.41666666666669</v>
      </c>
      <c r="S104" s="7">
        <v>5478</v>
      </c>
      <c r="T104" s="7">
        <v>8018</v>
      </c>
      <c r="U104" s="7">
        <v>787</v>
      </c>
      <c r="V104" s="7">
        <v>65035</v>
      </c>
      <c r="W104" s="7">
        <f t="shared" si="20"/>
        <v>58770</v>
      </c>
      <c r="X104" s="103">
        <f t="shared" si="21"/>
        <v>66893</v>
      </c>
      <c r="Y104" s="103"/>
      <c r="Z104" s="7">
        <v>0</v>
      </c>
      <c r="AB104" s="2">
        <v>1858</v>
      </c>
      <c r="AC104" s="103">
        <v>70042</v>
      </c>
      <c r="AD104" s="103">
        <v>60628</v>
      </c>
      <c r="AE104" s="64">
        <f t="shared" si="22"/>
        <v>0</v>
      </c>
      <c r="AF104" s="64">
        <f t="shared" si="23"/>
        <v>1.9919839018275386E-2</v>
      </c>
      <c r="AG104" s="20">
        <f t="shared" si="26"/>
        <v>0</v>
      </c>
      <c r="AH104" s="20">
        <f t="shared" si="27"/>
        <v>11.341028347738119</v>
      </c>
      <c r="AI104" s="22"/>
    </row>
    <row r="105" spans="1:35">
      <c r="A105" s="28">
        <v>45761</v>
      </c>
      <c r="B105" s="6">
        <v>232.5</v>
      </c>
      <c r="C105" s="6">
        <v>220.00000000000006</v>
      </c>
      <c r="D105" s="6">
        <v>96.916666666666671</v>
      </c>
      <c r="E105" s="6">
        <v>402.75</v>
      </c>
      <c r="F105" s="6">
        <v>277.5</v>
      </c>
      <c r="G105" s="6">
        <v>151.91666666666666</v>
      </c>
      <c r="H105" s="6">
        <v>57.5</v>
      </c>
      <c r="I105" s="6">
        <v>1330.1666666666665</v>
      </c>
      <c r="J105" s="6">
        <v>165</v>
      </c>
      <c r="K105" s="6">
        <v>1271</v>
      </c>
      <c r="L105" s="6">
        <v>138.5</v>
      </c>
      <c r="M105" s="3">
        <v>318.08333333333331</v>
      </c>
      <c r="N105" s="107">
        <f t="shared" si="19"/>
        <v>253.69970859470905</v>
      </c>
      <c r="O105" s="7">
        <f t="shared" si="15"/>
        <v>3593.083333333333</v>
      </c>
      <c r="P105" s="7">
        <f t="shared" si="16"/>
        <v>3339.3836247386239</v>
      </c>
      <c r="Q105" s="7">
        <f t="shared" si="17"/>
        <v>1092.0860170858718</v>
      </c>
      <c r="R105" s="7">
        <f t="shared" si="18"/>
        <v>1255.3809409860855</v>
      </c>
      <c r="S105" s="7">
        <v>12630</v>
      </c>
      <c r="T105" s="7">
        <v>13965</v>
      </c>
      <c r="U105" s="7">
        <v>629</v>
      </c>
      <c r="V105" s="7">
        <v>109830</v>
      </c>
      <c r="W105" s="7">
        <f t="shared" si="20"/>
        <v>96571</v>
      </c>
      <c r="X105" s="103">
        <f t="shared" si="21"/>
        <v>146527</v>
      </c>
      <c r="Y105" s="103"/>
      <c r="Z105" s="7">
        <v>2014</v>
      </c>
      <c r="AB105" s="2">
        <v>36697</v>
      </c>
      <c r="AC105" s="103">
        <v>150778</v>
      </c>
      <c r="AD105" s="103">
        <v>133268</v>
      </c>
      <c r="AE105" s="64">
        <f t="shared" si="22"/>
        <v>1.228879544761172E-2</v>
      </c>
      <c r="AF105" s="64">
        <f t="shared" si="23"/>
        <v>0.17898557793318726</v>
      </c>
      <c r="AG105" s="20">
        <f t="shared" si="26"/>
        <v>15.619059013914496</v>
      </c>
      <c r="AH105" s="20">
        <f t="shared" si="27"/>
        <v>238.08064958079456</v>
      </c>
      <c r="AI105" s="22"/>
    </row>
    <row r="106" spans="1:35">
      <c r="A106" s="28">
        <v>45762</v>
      </c>
      <c r="B106" s="6">
        <v>240</v>
      </c>
      <c r="C106" s="6">
        <v>298.91666666666669</v>
      </c>
      <c r="D106" s="6">
        <v>97.5</v>
      </c>
      <c r="E106" s="6">
        <v>357.5</v>
      </c>
      <c r="F106" s="6">
        <v>292.75000000000006</v>
      </c>
      <c r="G106" s="6">
        <v>151.66666666666666</v>
      </c>
      <c r="H106" s="6">
        <v>64</v>
      </c>
      <c r="I106" s="6">
        <v>1648.5833333333333</v>
      </c>
      <c r="J106" s="6">
        <v>105</v>
      </c>
      <c r="K106" s="6">
        <v>1254.5833333333333</v>
      </c>
      <c r="L106" s="6">
        <v>131</v>
      </c>
      <c r="M106" s="3">
        <v>292.5</v>
      </c>
      <c r="N106" s="107">
        <f t="shared" si="19"/>
        <v>172.00740927759034</v>
      </c>
      <c r="O106" s="7">
        <f t="shared" si="15"/>
        <v>3937.333333333333</v>
      </c>
      <c r="P106" s="7">
        <f t="shared" si="16"/>
        <v>3765.3259240557431</v>
      </c>
      <c r="Q106" s="7">
        <f t="shared" si="17"/>
        <v>1636.181082520694</v>
      </c>
      <c r="R106" s="7">
        <f t="shared" si="18"/>
        <v>1094.9781748683822</v>
      </c>
      <c r="S106" s="7">
        <v>5859</v>
      </c>
      <c r="T106" s="7">
        <v>8384</v>
      </c>
      <c r="U106" s="7">
        <v>1442</v>
      </c>
      <c r="V106" s="7">
        <v>144542</v>
      </c>
      <c r="W106" s="7">
        <f t="shared" si="20"/>
        <v>137241</v>
      </c>
      <c r="X106" s="103">
        <f t="shared" si="21"/>
        <v>146149</v>
      </c>
      <c r="Y106" s="103"/>
      <c r="Z106" s="7">
        <v>24208</v>
      </c>
      <c r="AB106" s="2">
        <v>1607</v>
      </c>
      <c r="AC106" s="103">
        <v>175065</v>
      </c>
      <c r="AD106" s="103">
        <v>138848</v>
      </c>
      <c r="AE106" s="64">
        <f t="shared" si="22"/>
        <v>0.12721766201125295</v>
      </c>
      <c r="AF106" s="64">
        <f t="shared" si="23"/>
        <v>7.522974763770454E-3</v>
      </c>
      <c r="AG106" s="20">
        <f t="shared" si="26"/>
        <v>159.6051584649511</v>
      </c>
      <c r="AH106" s="20">
        <f t="shared" si="27"/>
        <v>12.40225081263924</v>
      </c>
      <c r="AI106" s="22"/>
    </row>
    <row r="107" spans="1:35">
      <c r="A107" s="28">
        <v>45763</v>
      </c>
      <c r="B107" s="6">
        <v>240</v>
      </c>
      <c r="C107" s="6">
        <v>287.91666666666669</v>
      </c>
      <c r="D107" s="6">
        <v>97.5</v>
      </c>
      <c r="E107" s="6">
        <v>370.16666666666663</v>
      </c>
      <c r="F107" s="6">
        <v>261.83333333333331</v>
      </c>
      <c r="G107" s="6">
        <v>149.08333333333334</v>
      </c>
      <c r="H107" s="6">
        <v>71.5</v>
      </c>
      <c r="I107" s="6">
        <v>1803.8333333333333</v>
      </c>
      <c r="J107" s="6">
        <v>112.5</v>
      </c>
      <c r="K107" s="6">
        <v>839.5</v>
      </c>
      <c r="L107" s="6">
        <v>138.08333333333334</v>
      </c>
      <c r="M107" s="3">
        <v>310.41666666666669</v>
      </c>
      <c r="N107" s="107">
        <f t="shared" si="19"/>
        <v>144.66315740304884</v>
      </c>
      <c r="O107" s="7">
        <f t="shared" si="15"/>
        <v>3643.083333333333</v>
      </c>
      <c r="P107" s="7">
        <f t="shared" si="16"/>
        <v>3498.4201759302841</v>
      </c>
      <c r="Q107" s="7">
        <f t="shared" si="17"/>
        <v>1701.5709605799977</v>
      </c>
      <c r="R107" s="7">
        <f t="shared" si="18"/>
        <v>797.09921535028673</v>
      </c>
      <c r="S107" s="7">
        <v>5825</v>
      </c>
      <c r="T107" s="7">
        <v>9852</v>
      </c>
      <c r="U107" s="7">
        <v>2873</v>
      </c>
      <c r="V107" s="7">
        <v>146665</v>
      </c>
      <c r="W107" s="7">
        <f t="shared" si="20"/>
        <v>137967</v>
      </c>
      <c r="X107" s="103">
        <f t="shared" si="21"/>
        <v>159848</v>
      </c>
      <c r="Y107" s="103"/>
      <c r="Z107" s="7">
        <v>5831</v>
      </c>
      <c r="AB107" s="2">
        <v>13183</v>
      </c>
      <c r="AC107" s="103">
        <v>106213</v>
      </c>
      <c r="AD107" s="103">
        <v>151150</v>
      </c>
      <c r="AE107" s="64">
        <f t="shared" si="22"/>
        <v>5.0507188385602524E-2</v>
      </c>
      <c r="AF107" s="64">
        <f t="shared" si="23"/>
        <v>5.6691696989745285E-2</v>
      </c>
      <c r="AG107" s="20">
        <f t="shared" si="26"/>
        <v>42.400784649713316</v>
      </c>
      <c r="AH107" s="20">
        <f t="shared" si="27"/>
        <v>102.26237275333553</v>
      </c>
      <c r="AI107" s="22"/>
    </row>
    <row r="108" spans="1:35">
      <c r="A108" s="28">
        <v>45764</v>
      </c>
      <c r="B108" s="6">
        <v>214.25</v>
      </c>
      <c r="C108" s="6">
        <v>118.91666666666666</v>
      </c>
      <c r="D108" s="6">
        <v>84.333333333333329</v>
      </c>
      <c r="E108" s="6">
        <v>351.75</v>
      </c>
      <c r="F108" s="6">
        <v>233.08333333333343</v>
      </c>
      <c r="G108" s="6">
        <v>134.83333333333334</v>
      </c>
      <c r="H108" s="6">
        <v>71.5</v>
      </c>
      <c r="I108" s="6">
        <v>1724.4166666666665</v>
      </c>
      <c r="J108" s="6">
        <v>157.5</v>
      </c>
      <c r="K108" s="6">
        <v>1115.7499999999998</v>
      </c>
      <c r="L108" s="6">
        <v>122.16666666666666</v>
      </c>
      <c r="M108" s="3">
        <v>306.16666666666669</v>
      </c>
      <c r="N108" s="107">
        <f t="shared" si="19"/>
        <v>453.9456427228198</v>
      </c>
      <c r="O108" s="7">
        <f t="shared" si="15"/>
        <v>3648.25</v>
      </c>
      <c r="P108" s="7">
        <f t="shared" si="16"/>
        <v>3194.3043572771799</v>
      </c>
      <c r="Q108" s="7">
        <f t="shared" si="17"/>
        <v>1511.6952933144776</v>
      </c>
      <c r="R108" s="7">
        <f t="shared" si="18"/>
        <v>874.52573062936892</v>
      </c>
      <c r="S108" s="7">
        <v>9915</v>
      </c>
      <c r="T108" s="7">
        <v>16099</v>
      </c>
      <c r="U108" s="7">
        <v>1514</v>
      </c>
      <c r="V108" s="7">
        <v>142916</v>
      </c>
      <c r="W108" s="7">
        <f t="shared" si="20"/>
        <v>131487</v>
      </c>
      <c r="X108" s="103">
        <f t="shared" si="21"/>
        <v>173715</v>
      </c>
      <c r="Y108" s="103"/>
      <c r="Z108" s="7">
        <v>42458</v>
      </c>
      <c r="AB108" s="2">
        <v>30799</v>
      </c>
      <c r="AC108" s="103">
        <v>180673</v>
      </c>
      <c r="AD108" s="103">
        <v>162286</v>
      </c>
      <c r="AE108" s="64">
        <f t="shared" si="22"/>
        <v>0.21619921072877521</v>
      </c>
      <c r="AF108" s="64">
        <f t="shared" si="23"/>
        <v>0.12335845359427185</v>
      </c>
      <c r="AG108" s="20">
        <f t="shared" si="26"/>
        <v>241.22426937063088</v>
      </c>
      <c r="AH108" s="20">
        <f t="shared" si="27"/>
        <v>212.72137335218892</v>
      </c>
      <c r="AI108" s="22"/>
    </row>
    <row r="109" spans="1:35">
      <c r="A109" s="28">
        <v>45765</v>
      </c>
      <c r="B109" s="6">
        <v>244.5</v>
      </c>
      <c r="C109" s="6">
        <v>253.5</v>
      </c>
      <c r="D109" s="6">
        <v>82.5</v>
      </c>
      <c r="E109" s="6">
        <v>358.58333333333331</v>
      </c>
      <c r="F109" s="6">
        <v>234.91666666666663</v>
      </c>
      <c r="G109" s="6">
        <v>144.5</v>
      </c>
      <c r="H109" s="6">
        <v>71.5</v>
      </c>
      <c r="I109" s="6">
        <v>1849.8333333333333</v>
      </c>
      <c r="J109" s="6">
        <v>67.5</v>
      </c>
      <c r="K109" s="6">
        <v>851.91666666666663</v>
      </c>
      <c r="L109" s="6">
        <v>197.25</v>
      </c>
      <c r="M109" s="3">
        <v>314.25</v>
      </c>
      <c r="N109" s="107">
        <f t="shared" si="19"/>
        <v>298.0435643710519</v>
      </c>
      <c r="O109" s="7">
        <f t="shared" si="15"/>
        <v>3584.6666666666665</v>
      </c>
      <c r="P109" s="7">
        <f t="shared" si="16"/>
        <v>3286.6231022956144</v>
      </c>
      <c r="Q109" s="7">
        <f t="shared" si="17"/>
        <v>1581.3556058174036</v>
      </c>
      <c r="R109" s="7">
        <f t="shared" si="18"/>
        <v>822.35082981154449</v>
      </c>
      <c r="S109" s="7">
        <v>2694</v>
      </c>
      <c r="T109" s="7">
        <v>6055</v>
      </c>
      <c r="U109" s="7">
        <v>1879</v>
      </c>
      <c r="V109" s="7">
        <v>121675</v>
      </c>
      <c r="W109" s="7">
        <f t="shared" si="20"/>
        <v>117102</v>
      </c>
      <c r="X109" s="103">
        <f t="shared" si="21"/>
        <v>155339</v>
      </c>
      <c r="Y109" s="103"/>
      <c r="Z109" s="7">
        <v>4347</v>
      </c>
      <c r="AB109" s="2">
        <v>33664</v>
      </c>
      <c r="AC109" s="103">
        <v>115235</v>
      </c>
      <c r="AD109" s="103">
        <v>150766</v>
      </c>
      <c r="AE109" s="64">
        <f t="shared" si="22"/>
        <v>3.4705080921595001E-2</v>
      </c>
      <c r="AF109" s="64">
        <f t="shared" si="23"/>
        <v>0.14513617128530307</v>
      </c>
      <c r="AG109" s="20">
        <f t="shared" si="26"/>
        <v>29.565836855122139</v>
      </c>
      <c r="AH109" s="20">
        <f t="shared" si="27"/>
        <v>268.47772751592976</v>
      </c>
      <c r="AI109" s="22"/>
    </row>
    <row r="110" spans="1:35">
      <c r="A110" s="28">
        <v>45766</v>
      </c>
      <c r="B110" s="6">
        <v>202.16666666666666</v>
      </c>
      <c r="C110" s="6">
        <v>174.41666666666666</v>
      </c>
      <c r="D110" s="6">
        <v>37.5</v>
      </c>
      <c r="E110" s="6">
        <v>271.25</v>
      </c>
      <c r="F110" s="6">
        <v>141.91666666666669</v>
      </c>
      <c r="G110" s="6">
        <v>120</v>
      </c>
      <c r="H110" s="6">
        <v>22.5</v>
      </c>
      <c r="I110" s="6">
        <v>866.66666666666674</v>
      </c>
      <c r="J110" s="6">
        <v>74.666666666666657</v>
      </c>
      <c r="K110" s="6">
        <v>410.16666666666663</v>
      </c>
      <c r="L110" s="6">
        <v>187.5</v>
      </c>
      <c r="M110" s="3">
        <v>157.25</v>
      </c>
      <c r="N110" s="107">
        <f t="shared" si="19"/>
        <v>11.80335501894797</v>
      </c>
      <c r="O110" s="7">
        <f t="shared" si="15"/>
        <v>1907.5000000000002</v>
      </c>
      <c r="P110" s="7">
        <f t="shared" si="16"/>
        <v>1895.696644981052</v>
      </c>
      <c r="Q110" s="7">
        <f t="shared" si="17"/>
        <v>854.86331164771877</v>
      </c>
      <c r="R110" s="7">
        <f t="shared" si="18"/>
        <v>410.16666666666663</v>
      </c>
      <c r="S110" s="7">
        <v>3177</v>
      </c>
      <c r="T110" s="7">
        <v>6067</v>
      </c>
      <c r="U110" s="7">
        <v>2369</v>
      </c>
      <c r="V110" s="7">
        <v>81243</v>
      </c>
      <c r="W110" s="7">
        <f t="shared" si="20"/>
        <v>75697</v>
      </c>
      <c r="X110" s="103">
        <f t="shared" si="21"/>
        <v>82863</v>
      </c>
      <c r="Y110" s="103"/>
      <c r="Z110" s="7">
        <v>0</v>
      </c>
      <c r="AB110" s="2">
        <v>1620</v>
      </c>
      <c r="AC110" s="103">
        <v>67452</v>
      </c>
      <c r="AD110" s="103">
        <v>77317</v>
      </c>
      <c r="AE110" s="64">
        <f t="shared" si="22"/>
        <v>0</v>
      </c>
      <c r="AF110" s="64">
        <f t="shared" si="23"/>
        <v>1.3619255791093811E-2</v>
      </c>
      <c r="AG110" s="20">
        <f t="shared" si="26"/>
        <v>0</v>
      </c>
      <c r="AH110" s="20">
        <f t="shared" si="27"/>
        <v>11.80335501894797</v>
      </c>
      <c r="AI110" s="22"/>
    </row>
    <row r="111" spans="1:35">
      <c r="A111" s="28">
        <v>45767</v>
      </c>
      <c r="B111" s="6"/>
      <c r="C111" s="6">
        <v>157.5</v>
      </c>
      <c r="D111" s="6">
        <v>47.75</v>
      </c>
      <c r="E111" s="6">
        <v>0</v>
      </c>
      <c r="F111" s="6">
        <v>162.41666666666666</v>
      </c>
      <c r="G111" s="6">
        <v>120</v>
      </c>
      <c r="H111" s="6">
        <v>15</v>
      </c>
      <c r="I111" s="6">
        <v>868.66666666666674</v>
      </c>
      <c r="J111" s="6">
        <v>82.5</v>
      </c>
      <c r="K111" s="6">
        <v>597</v>
      </c>
      <c r="L111" s="6">
        <v>0</v>
      </c>
      <c r="M111" s="3">
        <v>142.5</v>
      </c>
      <c r="N111" s="107">
        <f t="shared" si="19"/>
        <v>13.727903133903135</v>
      </c>
      <c r="O111" s="7">
        <f t="shared" si="15"/>
        <v>1915.8333333333335</v>
      </c>
      <c r="P111" s="7">
        <f t="shared" si="16"/>
        <v>1902.1054301994302</v>
      </c>
      <c r="Q111" s="7">
        <f t="shared" si="17"/>
        <v>854.93876353276357</v>
      </c>
      <c r="R111" s="7">
        <f t="shared" si="18"/>
        <v>597</v>
      </c>
      <c r="S111" s="7">
        <v>5897</v>
      </c>
      <c r="T111" s="7">
        <v>8316</v>
      </c>
      <c r="U111" s="7">
        <v>1073</v>
      </c>
      <c r="V111" s="7">
        <v>81171</v>
      </c>
      <c r="W111" s="7">
        <f t="shared" si="20"/>
        <v>74201</v>
      </c>
      <c r="X111" s="103">
        <f t="shared" si="21"/>
        <v>83020</v>
      </c>
      <c r="Y111" s="103"/>
      <c r="Z111" s="7">
        <v>0</v>
      </c>
      <c r="AB111" s="2">
        <v>1849</v>
      </c>
      <c r="AC111" s="103">
        <v>91602</v>
      </c>
      <c r="AD111" s="103">
        <v>76050</v>
      </c>
      <c r="AE111" s="64">
        <f t="shared" si="22"/>
        <v>0</v>
      </c>
      <c r="AF111" s="64">
        <f t="shared" si="23"/>
        <v>1.5803418803418803E-2</v>
      </c>
      <c r="AG111" s="20">
        <f t="shared" si="26"/>
        <v>0</v>
      </c>
      <c r="AH111" s="20">
        <f t="shared" si="27"/>
        <v>13.727903133903135</v>
      </c>
      <c r="AI111" s="22"/>
    </row>
    <row r="112" spans="1:35">
      <c r="A112" s="28">
        <v>45768</v>
      </c>
      <c r="B112" s="6">
        <v>240</v>
      </c>
      <c r="C112" s="6">
        <v>305</v>
      </c>
      <c r="D112" s="6">
        <v>84.333333333333343</v>
      </c>
      <c r="E112" s="6">
        <v>387.33333333333337</v>
      </c>
      <c r="F112" s="6">
        <v>217.49999999999994</v>
      </c>
      <c r="G112" s="6">
        <v>67.75</v>
      </c>
      <c r="H112" s="6">
        <v>71.5</v>
      </c>
      <c r="I112" s="6">
        <v>1617.8333333333333</v>
      </c>
      <c r="J112" s="6">
        <v>83.25</v>
      </c>
      <c r="K112" s="6">
        <v>1115.5833333333333</v>
      </c>
      <c r="L112" s="6">
        <v>138.5</v>
      </c>
      <c r="M112" s="3">
        <v>301</v>
      </c>
      <c r="N112" s="107">
        <f t="shared" si="19"/>
        <v>21.518343253520914</v>
      </c>
      <c r="O112" s="7">
        <f t="shared" si="15"/>
        <v>3663.5</v>
      </c>
      <c r="P112" s="7">
        <f t="shared" si="16"/>
        <v>3641.9816567464786</v>
      </c>
      <c r="Q112" s="7">
        <f t="shared" si="17"/>
        <v>1596.3149900798123</v>
      </c>
      <c r="R112" s="7">
        <f t="shared" si="18"/>
        <v>1115.5833333333333</v>
      </c>
      <c r="S112" s="7">
        <v>5546</v>
      </c>
      <c r="T112" s="7">
        <v>7240</v>
      </c>
      <c r="U112" s="7">
        <v>1005</v>
      </c>
      <c r="V112" s="7">
        <v>115167</v>
      </c>
      <c r="W112" s="7">
        <f t="shared" si="20"/>
        <v>108616</v>
      </c>
      <c r="X112" s="103">
        <f t="shared" si="21"/>
        <v>117436</v>
      </c>
      <c r="Y112" s="103"/>
      <c r="Z112" s="7">
        <v>0</v>
      </c>
      <c r="AB112" s="2">
        <v>2269</v>
      </c>
      <c r="AC112" s="103">
        <v>127305</v>
      </c>
      <c r="AD112" s="103">
        <v>110885</v>
      </c>
      <c r="AE112" s="64">
        <f t="shared" si="22"/>
        <v>0</v>
      </c>
      <c r="AF112" s="64">
        <f t="shared" si="23"/>
        <v>1.3300716959011588E-2</v>
      </c>
      <c r="AG112" s="20">
        <f t="shared" si="26"/>
        <v>0</v>
      </c>
      <c r="AH112" s="20">
        <f t="shared" si="27"/>
        <v>21.518343253520914</v>
      </c>
      <c r="AI112" s="22"/>
    </row>
    <row r="113" spans="1:35">
      <c r="A113" s="28">
        <v>45769</v>
      </c>
      <c r="B113" s="6">
        <v>240</v>
      </c>
      <c r="C113" s="6">
        <v>314.24999999999994</v>
      </c>
      <c r="D113" s="6">
        <v>90</v>
      </c>
      <c r="E113" s="6">
        <v>349.58333333333331</v>
      </c>
      <c r="F113" s="6">
        <v>235.99999999999997</v>
      </c>
      <c r="G113" s="6">
        <v>69.416666666666671</v>
      </c>
      <c r="H113" s="6">
        <v>71.5</v>
      </c>
      <c r="I113" s="6">
        <v>1660.5</v>
      </c>
      <c r="J113" s="6">
        <v>75</v>
      </c>
      <c r="K113" s="6">
        <v>756.58333333333337</v>
      </c>
      <c r="L113" s="6">
        <v>123.5</v>
      </c>
      <c r="M113" s="3">
        <v>304.33333333333337</v>
      </c>
      <c r="N113" s="107">
        <f t="shared" si="19"/>
        <v>108.56106477897075</v>
      </c>
      <c r="O113" s="7">
        <f t="shared" si="15"/>
        <v>3372.3333333333335</v>
      </c>
      <c r="P113" s="7">
        <f t="shared" si="16"/>
        <v>3263.7722685543627</v>
      </c>
      <c r="Q113" s="7">
        <f t="shared" si="17"/>
        <v>1638.5854366280387</v>
      </c>
      <c r="R113" s="7">
        <f t="shared" si="18"/>
        <v>669.93683192632386</v>
      </c>
      <c r="S113" s="7">
        <v>4501</v>
      </c>
      <c r="T113" s="7">
        <v>6302</v>
      </c>
      <c r="U113" s="7">
        <v>1246</v>
      </c>
      <c r="V113" s="7">
        <v>126810</v>
      </c>
      <c r="W113" s="7">
        <f t="shared" si="20"/>
        <v>121063</v>
      </c>
      <c r="X113" s="103">
        <f t="shared" si="21"/>
        <v>129319</v>
      </c>
      <c r="Y113" s="103"/>
      <c r="Z113" s="7">
        <v>12976</v>
      </c>
      <c r="AB113" s="2">
        <v>2509</v>
      </c>
      <c r="AC113" s="103">
        <v>104240</v>
      </c>
      <c r="AD113" s="103">
        <v>123572</v>
      </c>
      <c r="AE113" s="64">
        <f t="shared" si="22"/>
        <v>0.11452340752110514</v>
      </c>
      <c r="AF113" s="64">
        <f t="shared" si="23"/>
        <v>1.3197569028582528E-2</v>
      </c>
      <c r="AG113" s="20">
        <f t="shared" si="26"/>
        <v>86.646501407009467</v>
      </c>
      <c r="AH113" s="20">
        <f t="shared" si="27"/>
        <v>21.914563371961286</v>
      </c>
      <c r="AI113" s="22"/>
    </row>
    <row r="114" spans="1:35">
      <c r="A114" s="28">
        <v>45770</v>
      </c>
      <c r="B114" s="6">
        <v>58.100000000000009</v>
      </c>
      <c r="C114" s="6">
        <v>47.5</v>
      </c>
      <c r="D114" s="6">
        <v>20.5</v>
      </c>
      <c r="E114" s="6">
        <v>161.59999999999997</v>
      </c>
      <c r="F114" s="6">
        <v>19</v>
      </c>
      <c r="G114" s="6">
        <v>0</v>
      </c>
      <c r="H114" s="6">
        <v>4.7999999999999989</v>
      </c>
      <c r="I114" s="6">
        <v>350.5</v>
      </c>
      <c r="J114" s="6">
        <v>37.600000000000009</v>
      </c>
      <c r="K114" s="6">
        <v>122.39999999999989</v>
      </c>
      <c r="L114" s="6">
        <v>82.699999999999974</v>
      </c>
      <c r="M114" s="3">
        <v>150</v>
      </c>
      <c r="N114" s="107">
        <f t="shared" si="19"/>
        <v>5.5136454965442585</v>
      </c>
      <c r="O114" s="7">
        <f t="shared" si="15"/>
        <v>655.59999999999991</v>
      </c>
      <c r="P114" s="7">
        <f t="shared" si="16"/>
        <v>650.08635450345571</v>
      </c>
      <c r="Q114" s="7">
        <f t="shared" si="17"/>
        <v>345.20601790090899</v>
      </c>
      <c r="R114" s="7">
        <f t="shared" si="18"/>
        <v>122.18033660254663</v>
      </c>
      <c r="S114" s="7">
        <v>474</v>
      </c>
      <c r="T114" s="7">
        <v>1622</v>
      </c>
      <c r="U114" s="7">
        <v>606</v>
      </c>
      <c r="V114" s="7">
        <v>32564</v>
      </c>
      <c r="W114" s="7">
        <f t="shared" si="20"/>
        <v>31484</v>
      </c>
      <c r="X114" s="103">
        <f t="shared" si="21"/>
        <v>33313</v>
      </c>
      <c r="Y114" s="103"/>
      <c r="Z114" s="7">
        <v>36</v>
      </c>
      <c r="AB114" s="2">
        <v>749</v>
      </c>
      <c r="AC114" s="103">
        <v>18455</v>
      </c>
      <c r="AD114" s="103">
        <v>32233</v>
      </c>
      <c r="AE114" s="64">
        <f t="shared" si="22"/>
        <v>1.7946356001083718E-3</v>
      </c>
      <c r="AF114" s="64">
        <f t="shared" si="23"/>
        <v>1.5104085874724662E-2</v>
      </c>
      <c r="AG114" s="20">
        <f t="shared" si="26"/>
        <v>0.21966339745326452</v>
      </c>
      <c r="AH114" s="20">
        <f t="shared" si="27"/>
        <v>5.2939820990909938</v>
      </c>
      <c r="AI114" s="22"/>
    </row>
    <row r="115" spans="1:35">
      <c r="A115" s="28">
        <v>45771</v>
      </c>
      <c r="B115" s="6"/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3">
        <v>0</v>
      </c>
      <c r="N115" s="107">
        <f t="shared" si="19"/>
        <v>0</v>
      </c>
      <c r="O115" s="7">
        <f t="shared" si="15"/>
        <v>0</v>
      </c>
      <c r="P115" s="7">
        <f t="shared" si="16"/>
        <v>0</v>
      </c>
      <c r="Q115" s="7">
        <f t="shared" si="17"/>
        <v>0</v>
      </c>
      <c r="R115" s="7">
        <f t="shared" si="18"/>
        <v>0</v>
      </c>
      <c r="T115" s="7"/>
      <c r="U115" s="7"/>
      <c r="V115" s="7"/>
      <c r="W115" s="7">
        <f t="shared" si="20"/>
        <v>0</v>
      </c>
      <c r="X115" s="103">
        <f t="shared" si="21"/>
        <v>0</v>
      </c>
      <c r="Y115" s="103"/>
      <c r="Z115" s="7">
        <v>0</v>
      </c>
      <c r="AB115" s="2">
        <v>0</v>
      </c>
      <c r="AC115" s="103">
        <v>0</v>
      </c>
      <c r="AD115" s="103">
        <v>0</v>
      </c>
      <c r="AE115" s="64" t="e">
        <f t="shared" si="22"/>
        <v>#DIV/0!</v>
      </c>
      <c r="AF115" s="64"/>
      <c r="AG115" s="20"/>
      <c r="AH115" s="20"/>
      <c r="AI115" s="22"/>
    </row>
    <row r="116" spans="1:35">
      <c r="A116" s="28">
        <v>45772</v>
      </c>
      <c r="B116" s="6">
        <v>118.66666666666666</v>
      </c>
      <c r="C116" s="6">
        <v>307.58333333333331</v>
      </c>
      <c r="D116" s="6">
        <v>82.5</v>
      </c>
      <c r="E116" s="6">
        <v>255.5</v>
      </c>
      <c r="F116" s="6">
        <v>254.99999999999997</v>
      </c>
      <c r="G116" s="6">
        <v>76.5</v>
      </c>
      <c r="H116" s="6">
        <v>30</v>
      </c>
      <c r="I116" s="6">
        <v>1795.3333333333335</v>
      </c>
      <c r="J116" s="6">
        <v>127.5</v>
      </c>
      <c r="K116" s="6">
        <v>1683.5833333333333</v>
      </c>
      <c r="L116" s="6">
        <v>140.08333333333331</v>
      </c>
      <c r="M116" s="3">
        <v>274.58333333333337</v>
      </c>
      <c r="N116" s="107">
        <f t="shared" si="19"/>
        <v>37.241540907295004</v>
      </c>
      <c r="O116" s="7">
        <f t="shared" si="15"/>
        <v>4370.166666666667</v>
      </c>
      <c r="P116" s="7">
        <f t="shared" si="16"/>
        <v>4332.9251257593714</v>
      </c>
      <c r="Q116" s="7">
        <f t="shared" si="17"/>
        <v>1766.0602103500426</v>
      </c>
      <c r="R116" s="7">
        <f t="shared" si="18"/>
        <v>1675.6149154093293</v>
      </c>
      <c r="S116" s="7">
        <v>6726</v>
      </c>
      <c r="T116" s="7">
        <v>9608</v>
      </c>
      <c r="U116" s="7">
        <v>816</v>
      </c>
      <c r="V116" s="7">
        <v>121649</v>
      </c>
      <c r="W116" s="7">
        <f t="shared" si="20"/>
        <v>114107</v>
      </c>
      <c r="X116" s="103">
        <f t="shared" si="21"/>
        <v>124585</v>
      </c>
      <c r="Y116" s="103"/>
      <c r="Z116" s="7">
        <v>759</v>
      </c>
      <c r="AB116" s="2">
        <v>2936</v>
      </c>
      <c r="AC116" s="103">
        <v>147534</v>
      </c>
      <c r="AD116" s="103">
        <v>117043</v>
      </c>
      <c r="AE116" s="64">
        <f t="shared" si="22"/>
        <v>4.733010695839604E-3</v>
      </c>
      <c r="AF116" s="64">
        <f t="shared" si="23"/>
        <v>1.6305118631614022E-2</v>
      </c>
      <c r="AG116" s="20">
        <f t="shared" ref="AG116:AG121" si="28">+AE116*K116</f>
        <v>7.9684179240039592</v>
      </c>
      <c r="AH116" s="20">
        <f t="shared" ref="AH116:AH121" si="29">+AF116*I116</f>
        <v>29.273122983291042</v>
      </c>
      <c r="AI116" s="22"/>
    </row>
    <row r="117" spans="1:35">
      <c r="A117" s="28">
        <v>45773</v>
      </c>
      <c r="B117" s="6">
        <v>142.5</v>
      </c>
      <c r="C117" s="6">
        <v>316.83333333333337</v>
      </c>
      <c r="D117" s="6">
        <v>82.5</v>
      </c>
      <c r="E117" s="6">
        <v>240.5</v>
      </c>
      <c r="F117" s="6">
        <v>293.58333333333331</v>
      </c>
      <c r="G117" s="6">
        <v>105</v>
      </c>
      <c r="H117" s="6">
        <v>37.5</v>
      </c>
      <c r="I117" s="6">
        <v>1833.6666666666665</v>
      </c>
      <c r="J117" s="6">
        <v>135</v>
      </c>
      <c r="K117" s="6">
        <v>1302.9166666666667</v>
      </c>
      <c r="L117" s="6">
        <v>157.5</v>
      </c>
      <c r="M117" s="3">
        <v>261.41666666666663</v>
      </c>
      <c r="N117" s="107">
        <f t="shared" si="19"/>
        <v>201.26028657698481</v>
      </c>
      <c r="O117" s="7">
        <f t="shared" si="15"/>
        <v>4107</v>
      </c>
      <c r="P117" s="7">
        <f t="shared" si="16"/>
        <v>3905.7397134230155</v>
      </c>
      <c r="Q117" s="7">
        <f t="shared" si="17"/>
        <v>1810.72279547991</v>
      </c>
      <c r="R117" s="7">
        <f t="shared" si="18"/>
        <v>1124.6002512764385</v>
      </c>
      <c r="S117" s="7">
        <v>7817</v>
      </c>
      <c r="T117" s="7">
        <v>9673</v>
      </c>
      <c r="U117" s="7">
        <v>1719</v>
      </c>
      <c r="V117" s="7">
        <v>156877</v>
      </c>
      <c r="W117" s="7">
        <f t="shared" si="20"/>
        <v>147341</v>
      </c>
      <c r="X117" s="103">
        <f t="shared" si="21"/>
        <v>159769</v>
      </c>
      <c r="Y117" s="103"/>
      <c r="Z117" s="7">
        <v>25960</v>
      </c>
      <c r="AB117" s="2">
        <v>2892</v>
      </c>
      <c r="AC117" s="103">
        <v>174509</v>
      </c>
      <c r="AD117" s="103">
        <v>150233</v>
      </c>
      <c r="AE117" s="64">
        <f t="shared" si="22"/>
        <v>0.13685941699281987</v>
      </c>
      <c r="AF117" s="64">
        <f t="shared" si="23"/>
        <v>1.2512563817536761E-2</v>
      </c>
      <c r="AG117" s="20">
        <f t="shared" si="28"/>
        <v>178.31641539022823</v>
      </c>
      <c r="AH117" s="20">
        <f t="shared" si="29"/>
        <v>22.943871186756574</v>
      </c>
      <c r="AI117" s="22"/>
    </row>
    <row r="118" spans="1:35">
      <c r="A118" s="28">
        <v>45774</v>
      </c>
      <c r="B118" s="6">
        <v>239.25</v>
      </c>
      <c r="C118" s="6">
        <v>250.91666666666669</v>
      </c>
      <c r="D118" s="6">
        <v>58.75</v>
      </c>
      <c r="E118" s="6">
        <v>0</v>
      </c>
      <c r="F118" s="6">
        <v>244.58333333333337</v>
      </c>
      <c r="G118" s="6">
        <v>112.5</v>
      </c>
      <c r="H118" s="6">
        <v>22.5</v>
      </c>
      <c r="I118" s="6">
        <v>1387.8333333333335</v>
      </c>
      <c r="J118" s="6">
        <v>112.5</v>
      </c>
      <c r="K118" s="6">
        <v>625.33333333333337</v>
      </c>
      <c r="L118" s="6">
        <v>142.5</v>
      </c>
      <c r="M118" s="3">
        <v>271</v>
      </c>
      <c r="N118" s="107">
        <f t="shared" si="19"/>
        <v>26.001637279098972</v>
      </c>
      <c r="O118" s="7">
        <f t="shared" si="15"/>
        <v>2919.166666666667</v>
      </c>
      <c r="P118" s="7">
        <f t="shared" si="16"/>
        <v>2893.1650293875678</v>
      </c>
      <c r="Q118" s="7">
        <f t="shared" si="17"/>
        <v>1363.0259354132118</v>
      </c>
      <c r="R118" s="7">
        <f t="shared" si="18"/>
        <v>624.13909397435611</v>
      </c>
      <c r="S118" s="7">
        <v>6454</v>
      </c>
      <c r="T118" s="7">
        <v>9801</v>
      </c>
      <c r="U118" s="7">
        <v>2264</v>
      </c>
      <c r="V118" s="7">
        <v>133623</v>
      </c>
      <c r="W118" s="7">
        <f t="shared" si="20"/>
        <v>124905</v>
      </c>
      <c r="X118" s="103">
        <f t="shared" si="21"/>
        <v>137155</v>
      </c>
      <c r="Y118" s="103"/>
      <c r="Z118" s="7">
        <v>181</v>
      </c>
      <c r="AB118" s="2">
        <v>3532</v>
      </c>
      <c r="AC118" s="103">
        <v>87194</v>
      </c>
      <c r="AD118" s="103">
        <v>128437</v>
      </c>
      <c r="AE118" s="64">
        <f t="shared" si="22"/>
        <v>1.9097644333325688E-3</v>
      </c>
      <c r="AF118" s="64">
        <f t="shared" si="23"/>
        <v>1.7874911435178338E-2</v>
      </c>
      <c r="AG118" s="20">
        <f t="shared" si="28"/>
        <v>1.1942393589772997</v>
      </c>
      <c r="AH118" s="20">
        <f t="shared" si="29"/>
        <v>24.807397920121673</v>
      </c>
      <c r="AI118" s="22"/>
    </row>
    <row r="119" spans="1:35">
      <c r="A119" s="28">
        <v>45775</v>
      </c>
      <c r="B119" s="4">
        <v>247.5</v>
      </c>
      <c r="C119" s="4">
        <v>308.66666666666669</v>
      </c>
      <c r="D119" s="4">
        <v>94.833333333333329</v>
      </c>
      <c r="E119" s="6">
        <v>359.33333333333331</v>
      </c>
      <c r="F119" s="4">
        <v>237.75000000000003</v>
      </c>
      <c r="G119" s="4">
        <v>153.75</v>
      </c>
      <c r="H119" s="4">
        <v>64.833333333333343</v>
      </c>
      <c r="I119" s="4">
        <v>1352.0833333333335</v>
      </c>
      <c r="J119" s="4">
        <v>97.5</v>
      </c>
      <c r="K119" s="4">
        <v>737.91666666666663</v>
      </c>
      <c r="L119" s="4">
        <v>137.5</v>
      </c>
      <c r="M119" s="3">
        <v>290.16666666666669</v>
      </c>
      <c r="N119" s="107">
        <f t="shared" si="19"/>
        <v>118.79215017370439</v>
      </c>
      <c r="O119" s="7">
        <f t="shared" si="15"/>
        <v>3076.25</v>
      </c>
      <c r="P119" s="7">
        <f t="shared" si="16"/>
        <v>2957.4578498262958</v>
      </c>
      <c r="Q119" s="7">
        <f t="shared" si="17"/>
        <v>1233.2911831596291</v>
      </c>
      <c r="R119" s="7">
        <f t="shared" si="18"/>
        <v>737.91666666666663</v>
      </c>
      <c r="S119" s="7">
        <v>4627</v>
      </c>
      <c r="T119" s="7">
        <v>7822</v>
      </c>
      <c r="U119" s="7">
        <v>1732</v>
      </c>
      <c r="V119" s="7">
        <v>102947</v>
      </c>
      <c r="W119" s="7">
        <f t="shared" si="20"/>
        <v>96588</v>
      </c>
      <c r="X119" s="103">
        <f t="shared" si="21"/>
        <v>118043</v>
      </c>
      <c r="Y119" s="103"/>
      <c r="Z119" s="7">
        <v>0</v>
      </c>
      <c r="AB119" s="2">
        <v>15096</v>
      </c>
      <c r="AC119" s="103">
        <v>104441</v>
      </c>
      <c r="AD119" s="103">
        <v>111684</v>
      </c>
      <c r="AE119" s="64">
        <f t="shared" si="22"/>
        <v>0</v>
      </c>
      <c r="AF119" s="64">
        <f t="shared" si="23"/>
        <v>8.7858601052970872E-2</v>
      </c>
      <c r="AG119" s="20">
        <f t="shared" si="28"/>
        <v>0</v>
      </c>
      <c r="AH119" s="20">
        <f t="shared" si="29"/>
        <v>118.79215017370439</v>
      </c>
      <c r="AI119" s="22"/>
    </row>
    <row r="120" spans="1:35">
      <c r="A120" s="28">
        <v>45776</v>
      </c>
      <c r="B120" s="4">
        <v>233.75</v>
      </c>
      <c r="C120" s="4">
        <v>352.5</v>
      </c>
      <c r="D120" s="4">
        <v>97.5</v>
      </c>
      <c r="E120" s="6">
        <v>369.66666666666663</v>
      </c>
      <c r="F120" s="4">
        <v>223.5</v>
      </c>
      <c r="G120" s="4">
        <v>135.5</v>
      </c>
      <c r="H120" s="4">
        <v>71.5</v>
      </c>
      <c r="I120" s="4">
        <v>1438.6666666666667</v>
      </c>
      <c r="J120" s="4">
        <v>90</v>
      </c>
      <c r="K120" s="4">
        <v>733.5</v>
      </c>
      <c r="L120" s="4">
        <v>198.33333333333334</v>
      </c>
      <c r="M120" s="3">
        <v>295.33333333333337</v>
      </c>
      <c r="N120" s="107">
        <f t="shared" si="19"/>
        <v>164.99695468607044</v>
      </c>
      <c r="O120" s="7">
        <f t="shared" si="15"/>
        <v>3169.416666666667</v>
      </c>
      <c r="P120" s="7">
        <f t="shared" si="16"/>
        <v>3004.4197119805958</v>
      </c>
      <c r="Q120" s="7">
        <f t="shared" si="17"/>
        <v>1310.4071997941412</v>
      </c>
      <c r="R120" s="7">
        <f t="shared" si="18"/>
        <v>696.76251218645507</v>
      </c>
      <c r="S120" s="7">
        <v>2714</v>
      </c>
      <c r="T120" s="7">
        <v>4963</v>
      </c>
      <c r="U120" s="7">
        <v>1316</v>
      </c>
      <c r="V120" s="7">
        <v>102389</v>
      </c>
      <c r="W120" s="7">
        <f t="shared" si="20"/>
        <v>98359</v>
      </c>
      <c r="X120" s="103">
        <f t="shared" si="21"/>
        <v>118024</v>
      </c>
      <c r="Y120" s="103"/>
      <c r="Z120" s="7">
        <v>5975</v>
      </c>
      <c r="AB120" s="2">
        <v>15635</v>
      </c>
      <c r="AC120" s="103">
        <v>109753</v>
      </c>
      <c r="AD120" s="103">
        <v>113994</v>
      </c>
      <c r="AE120" s="64">
        <f t="shared" si="22"/>
        <v>5.0085191293176498E-2</v>
      </c>
      <c r="AF120" s="64">
        <f t="shared" si="23"/>
        <v>8.915162201519379E-2</v>
      </c>
      <c r="AG120" s="20">
        <f t="shared" si="28"/>
        <v>36.737487813544959</v>
      </c>
      <c r="AH120" s="20">
        <f t="shared" si="29"/>
        <v>128.25946687252548</v>
      </c>
      <c r="AI120" s="22"/>
    </row>
    <row r="121" spans="1:35">
      <c r="A121" s="28">
        <v>45777</v>
      </c>
      <c r="B121" s="4">
        <v>222.91666666666666</v>
      </c>
      <c r="C121" s="4">
        <v>356.83333333333337</v>
      </c>
      <c r="D121" s="4">
        <v>94.166666666666671</v>
      </c>
      <c r="E121" s="6">
        <v>318.33333333333337</v>
      </c>
      <c r="F121" s="4">
        <v>237.16666666666669</v>
      </c>
      <c r="G121" s="4">
        <v>161.5</v>
      </c>
      <c r="H121" s="4">
        <v>68.333333333333329</v>
      </c>
      <c r="I121" s="4">
        <v>1589.5000000000002</v>
      </c>
      <c r="J121" s="4">
        <v>143.58333333333334</v>
      </c>
      <c r="K121" s="4">
        <v>936.91666666666674</v>
      </c>
      <c r="L121" s="4">
        <v>146</v>
      </c>
      <c r="M121" s="3">
        <v>297.5</v>
      </c>
      <c r="N121" s="107">
        <f t="shared" si="19"/>
        <v>233.23236884761451</v>
      </c>
      <c r="O121" s="7">
        <f t="shared" si="15"/>
        <v>3581.0833333333335</v>
      </c>
      <c r="P121" s="7">
        <f t="shared" si="16"/>
        <v>3347.850964485719</v>
      </c>
      <c r="Q121" s="7">
        <f t="shared" si="17"/>
        <v>1452.0703613686037</v>
      </c>
      <c r="R121" s="7">
        <f t="shared" si="18"/>
        <v>841.1139364504487</v>
      </c>
      <c r="S121" s="7">
        <v>6169</v>
      </c>
      <c r="T121" s="7">
        <v>8414</v>
      </c>
      <c r="U121" s="7">
        <v>1472</v>
      </c>
      <c r="V121" s="7">
        <v>99673</v>
      </c>
      <c r="W121" s="7">
        <f t="shared" si="20"/>
        <v>92032</v>
      </c>
      <c r="X121" s="103">
        <f t="shared" si="21"/>
        <v>113793</v>
      </c>
      <c r="Y121" s="103"/>
      <c r="Z121" s="7">
        <v>14669</v>
      </c>
      <c r="AB121" s="2">
        <v>14120</v>
      </c>
      <c r="AC121" s="103">
        <v>131981</v>
      </c>
      <c r="AD121" s="103">
        <v>106152</v>
      </c>
      <c r="AE121" s="64">
        <f t="shared" si="22"/>
        <v>0.10225320311256923</v>
      </c>
      <c r="AF121" s="64">
        <f t="shared" si="23"/>
        <v>8.6460923958097832E-2</v>
      </c>
      <c r="AG121" s="20">
        <f t="shared" si="28"/>
        <v>95.802730216217995</v>
      </c>
      <c r="AH121" s="20">
        <f t="shared" si="29"/>
        <v>137.42963863139653</v>
      </c>
      <c r="AI121" s="22"/>
    </row>
    <row r="122" spans="1:35">
      <c r="A122" s="28">
        <v>45778</v>
      </c>
      <c r="B122" s="4"/>
      <c r="C122" s="4">
        <v>0</v>
      </c>
      <c r="D122" s="4">
        <v>0</v>
      </c>
      <c r="E122" s="6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3">
        <v>0</v>
      </c>
      <c r="N122" s="107">
        <f t="shared" si="19"/>
        <v>0</v>
      </c>
      <c r="O122" s="7">
        <f t="shared" si="15"/>
        <v>0</v>
      </c>
      <c r="P122" s="7">
        <f t="shared" si="16"/>
        <v>0</v>
      </c>
      <c r="Q122" s="7">
        <f t="shared" si="17"/>
        <v>0</v>
      </c>
      <c r="R122" s="7">
        <f t="shared" si="18"/>
        <v>0</v>
      </c>
      <c r="T122" s="7"/>
      <c r="U122" s="7"/>
      <c r="V122" s="7"/>
      <c r="W122" s="7">
        <f t="shared" si="20"/>
        <v>0</v>
      </c>
      <c r="X122" s="103">
        <f t="shared" si="21"/>
        <v>0</v>
      </c>
      <c r="Y122" s="103"/>
      <c r="Z122" s="7">
        <v>0</v>
      </c>
      <c r="AB122" s="2">
        <v>0</v>
      </c>
      <c r="AC122" s="103">
        <v>0</v>
      </c>
      <c r="AD122" s="103">
        <v>0</v>
      </c>
      <c r="AE122" s="64" t="e">
        <f t="shared" si="22"/>
        <v>#DIV/0!</v>
      </c>
      <c r="AF122" s="64"/>
      <c r="AG122" s="20"/>
      <c r="AH122" s="20"/>
      <c r="AI122" s="22"/>
    </row>
    <row r="123" spans="1:35">
      <c r="A123" s="28">
        <v>45779</v>
      </c>
      <c r="B123" s="4">
        <v>127.5</v>
      </c>
      <c r="C123" s="4">
        <v>392.66666666666669</v>
      </c>
      <c r="D123" s="4">
        <v>79.916666666666671</v>
      </c>
      <c r="E123" s="6">
        <v>353.91666666666669</v>
      </c>
      <c r="F123" s="4">
        <v>266.83333333333337</v>
      </c>
      <c r="G123" s="4">
        <v>85</v>
      </c>
      <c r="H123" s="4">
        <v>71.5</v>
      </c>
      <c r="I123" s="4">
        <v>1884.0833333333333</v>
      </c>
      <c r="J123" s="4">
        <v>104.75</v>
      </c>
      <c r="K123" s="4">
        <v>1314.5833333333333</v>
      </c>
      <c r="L123" s="4">
        <v>128.91666666666669</v>
      </c>
      <c r="M123" s="3">
        <v>312</v>
      </c>
      <c r="N123" s="107">
        <f t="shared" si="19"/>
        <v>132.22516860416329</v>
      </c>
      <c r="O123" s="7">
        <f t="shared" si="15"/>
        <v>4170.333333333333</v>
      </c>
      <c r="P123" s="7">
        <f t="shared" si="16"/>
        <v>4038.1081647291703</v>
      </c>
      <c r="Q123" s="7">
        <f t="shared" si="17"/>
        <v>1753.6978774407253</v>
      </c>
      <c r="R123" s="7">
        <f t="shared" si="18"/>
        <v>1312.7436206217781</v>
      </c>
      <c r="S123" s="7">
        <v>6261</v>
      </c>
      <c r="T123" s="7">
        <v>8228</v>
      </c>
      <c r="U123" s="7">
        <v>348</v>
      </c>
      <c r="V123" s="7">
        <v>144138</v>
      </c>
      <c r="W123" s="7">
        <f t="shared" si="20"/>
        <v>137529</v>
      </c>
      <c r="X123" s="103">
        <f t="shared" si="21"/>
        <v>160525</v>
      </c>
      <c r="Y123" s="103"/>
      <c r="Z123" s="7">
        <v>246</v>
      </c>
      <c r="AB123" s="2">
        <v>16387</v>
      </c>
      <c r="AC123" s="103">
        <v>161719</v>
      </c>
      <c r="AD123" s="103">
        <v>153916</v>
      </c>
      <c r="AE123" s="64">
        <f t="shared" si="22"/>
        <v>1.3994645032432802E-3</v>
      </c>
      <c r="AF123" s="64">
        <f t="shared" si="23"/>
        <v>6.9203656539930866E-2</v>
      </c>
      <c r="AG123" s="20">
        <f t="shared" ref="AG123:AG157" si="30">+AE123*K123</f>
        <v>1.8397127115552285</v>
      </c>
      <c r="AH123" s="20">
        <f t="shared" ref="AH123:AH157" si="31">+AF123*I123</f>
        <v>130.38545589260806</v>
      </c>
      <c r="AI123" s="22"/>
    </row>
    <row r="124" spans="1:35">
      <c r="A124" s="28">
        <v>45780</v>
      </c>
      <c r="B124" s="4">
        <v>45</v>
      </c>
      <c r="C124" s="4">
        <v>197.33333333333334</v>
      </c>
      <c r="D124" s="4">
        <v>34.5</v>
      </c>
      <c r="E124" s="6">
        <v>247.58333333333337</v>
      </c>
      <c r="F124" s="4">
        <v>232.5</v>
      </c>
      <c r="G124" s="4">
        <v>120</v>
      </c>
      <c r="H124" s="4">
        <v>22.5</v>
      </c>
      <c r="I124" s="4">
        <v>1341.25</v>
      </c>
      <c r="J124" s="4">
        <v>75</v>
      </c>
      <c r="K124" s="4">
        <v>764.99999999999989</v>
      </c>
      <c r="L124" s="4">
        <v>172.5</v>
      </c>
      <c r="M124" s="3">
        <v>183.25000000000003</v>
      </c>
      <c r="N124" s="107">
        <f t="shared" si="19"/>
        <v>23.205279052148661</v>
      </c>
      <c r="O124" s="7">
        <f t="shared" si="15"/>
        <v>2690.5833333333335</v>
      </c>
      <c r="P124" s="7">
        <f t="shared" si="16"/>
        <v>2667.3780542811846</v>
      </c>
      <c r="Q124" s="7">
        <f t="shared" si="17"/>
        <v>1318.0447209478514</v>
      </c>
      <c r="R124" s="7">
        <f t="shared" si="18"/>
        <v>764.99999999999989</v>
      </c>
      <c r="S124" s="7">
        <v>3051</v>
      </c>
      <c r="T124" s="7">
        <v>4795</v>
      </c>
      <c r="U124" s="7">
        <v>1655</v>
      </c>
      <c r="V124" s="7">
        <v>120339</v>
      </c>
      <c r="W124" s="7">
        <f t="shared" si="20"/>
        <v>115633</v>
      </c>
      <c r="X124" s="103">
        <f t="shared" si="21"/>
        <v>123501</v>
      </c>
      <c r="Y124" s="103"/>
      <c r="Z124" s="7">
        <v>0</v>
      </c>
      <c r="AB124" s="2">
        <v>3162</v>
      </c>
      <c r="AC124" s="103">
        <v>104226</v>
      </c>
      <c r="AD124" s="103">
        <v>118795</v>
      </c>
      <c r="AE124" s="64">
        <f t="shared" si="22"/>
        <v>0</v>
      </c>
      <c r="AF124" s="64">
        <f t="shared" si="23"/>
        <v>1.7301233216886234E-2</v>
      </c>
      <c r="AG124" s="20">
        <f t="shared" si="30"/>
        <v>0</v>
      </c>
      <c r="AH124" s="20">
        <f t="shared" si="31"/>
        <v>23.205279052148661</v>
      </c>
      <c r="AI124" s="22"/>
    </row>
    <row r="125" spans="1:35">
      <c r="A125" s="28">
        <v>45781</v>
      </c>
      <c r="B125" s="4"/>
      <c r="C125" s="4">
        <v>75</v>
      </c>
      <c r="D125" s="4">
        <v>45</v>
      </c>
      <c r="E125" s="6">
        <v>0</v>
      </c>
      <c r="F125" s="4">
        <v>127.5</v>
      </c>
      <c r="G125" s="4">
        <v>105</v>
      </c>
      <c r="H125" s="4">
        <v>15</v>
      </c>
      <c r="I125" s="4">
        <v>599.66666666666663</v>
      </c>
      <c r="J125" s="4">
        <v>90</v>
      </c>
      <c r="K125" s="4">
        <v>347.08333333333331</v>
      </c>
      <c r="L125" s="4">
        <v>0</v>
      </c>
      <c r="M125" s="3">
        <v>104.66666666666666</v>
      </c>
      <c r="N125" s="107">
        <f t="shared" si="19"/>
        <v>7.1975172564912064</v>
      </c>
      <c r="O125" s="7">
        <f t="shared" si="15"/>
        <v>1284.25</v>
      </c>
      <c r="P125" s="7">
        <f t="shared" si="16"/>
        <v>1277.0524827435088</v>
      </c>
      <c r="Q125" s="7">
        <f t="shared" si="17"/>
        <v>594.43276527570788</v>
      </c>
      <c r="R125" s="7">
        <f t="shared" si="18"/>
        <v>345.11971746780085</v>
      </c>
      <c r="S125" s="7">
        <v>6127</v>
      </c>
      <c r="T125" s="7">
        <v>8634</v>
      </c>
      <c r="U125" s="7">
        <v>1562</v>
      </c>
      <c r="V125" s="7">
        <v>73888</v>
      </c>
      <c r="W125" s="7">
        <f t="shared" si="20"/>
        <v>66199</v>
      </c>
      <c r="X125" s="103">
        <f t="shared" si="21"/>
        <v>74789</v>
      </c>
      <c r="Y125" s="103"/>
      <c r="Z125" s="7">
        <v>360</v>
      </c>
      <c r="AB125" s="2">
        <v>901</v>
      </c>
      <c r="AC125" s="103">
        <v>58542</v>
      </c>
      <c r="AD125" s="103">
        <v>67100</v>
      </c>
      <c r="AE125" s="64">
        <f t="shared" si="22"/>
        <v>5.657476683406785E-3</v>
      </c>
      <c r="AF125" s="64">
        <f t="shared" si="23"/>
        <v>8.7280178837555889E-3</v>
      </c>
      <c r="AG125" s="20">
        <f t="shared" si="30"/>
        <v>1.9636158655324383</v>
      </c>
      <c r="AH125" s="20">
        <f t="shared" si="31"/>
        <v>5.2339013909587679</v>
      </c>
      <c r="AI125" s="22"/>
    </row>
    <row r="126" spans="1:35">
      <c r="A126" s="28">
        <v>45782</v>
      </c>
      <c r="B126" s="2">
        <v>35</v>
      </c>
      <c r="C126" s="51">
        <v>366.66666666666669</v>
      </c>
      <c r="D126" s="51">
        <v>97.5</v>
      </c>
      <c r="E126" s="6">
        <v>371.83333333333337</v>
      </c>
      <c r="F126" s="51">
        <v>297.5</v>
      </c>
      <c r="G126" s="51">
        <v>85</v>
      </c>
      <c r="H126" s="51">
        <v>62.666666666666657</v>
      </c>
      <c r="I126" s="51">
        <v>1965.0833333333333</v>
      </c>
      <c r="J126" s="51">
        <v>45</v>
      </c>
      <c r="K126" s="51">
        <v>1462.25</v>
      </c>
      <c r="L126" s="51">
        <v>153.25</v>
      </c>
      <c r="M126" s="3">
        <v>281.83333333333331</v>
      </c>
      <c r="N126" s="107">
        <f t="shared" si="19"/>
        <v>277.23729497015438</v>
      </c>
      <c r="O126" s="7">
        <f t="shared" si="15"/>
        <v>4269</v>
      </c>
      <c r="P126" s="7">
        <f t="shared" si="16"/>
        <v>3991.7627050298452</v>
      </c>
      <c r="Q126" s="7">
        <f t="shared" si="17"/>
        <v>1836.6232717113703</v>
      </c>
      <c r="R126" s="7">
        <f t="shared" si="18"/>
        <v>1313.4727666518083</v>
      </c>
      <c r="S126" s="7">
        <v>4075</v>
      </c>
      <c r="T126" s="7">
        <v>7720</v>
      </c>
      <c r="U126" s="7">
        <v>2281</v>
      </c>
      <c r="V126" s="7">
        <v>152157</v>
      </c>
      <c r="W126" s="7">
        <f t="shared" si="20"/>
        <v>145801</v>
      </c>
      <c r="X126" s="103">
        <f t="shared" si="21"/>
        <v>168460</v>
      </c>
      <c r="Y126" s="103"/>
      <c r="Z126" s="7">
        <v>20841</v>
      </c>
      <c r="AB126" s="2">
        <v>16303</v>
      </c>
      <c r="AC126" s="103">
        <v>188448</v>
      </c>
      <c r="AD126" s="103">
        <v>162104</v>
      </c>
      <c r="AE126" s="64">
        <f t="shared" si="22"/>
        <v>0.10174541518084565</v>
      </c>
      <c r="AF126" s="64">
        <f t="shared" si="23"/>
        <v>6.5371304841336422E-2</v>
      </c>
      <c r="AG126" s="20">
        <f t="shared" si="30"/>
        <v>148.77723334819154</v>
      </c>
      <c r="AH126" s="20">
        <f t="shared" si="31"/>
        <v>128.46006162196284</v>
      </c>
      <c r="AI126" s="22"/>
    </row>
    <row r="127" spans="1:35">
      <c r="A127" s="28">
        <v>45783</v>
      </c>
      <c r="B127" s="2">
        <v>37.5</v>
      </c>
      <c r="C127" s="51">
        <v>319.16666666666663</v>
      </c>
      <c r="D127" s="51">
        <v>97.5</v>
      </c>
      <c r="E127" s="6">
        <v>323.58333333333337</v>
      </c>
      <c r="F127" s="51">
        <v>285</v>
      </c>
      <c r="G127" s="51">
        <v>76.5</v>
      </c>
      <c r="H127" s="51">
        <v>71.5</v>
      </c>
      <c r="I127" s="51">
        <v>1828.1666666666667</v>
      </c>
      <c r="J127" s="51">
        <v>112.5</v>
      </c>
      <c r="K127" s="51">
        <v>1407.6666666666665</v>
      </c>
      <c r="L127" s="51">
        <v>131</v>
      </c>
      <c r="M127" s="3">
        <v>298</v>
      </c>
      <c r="N127" s="107">
        <f t="shared" si="19"/>
        <v>28.0195951716831</v>
      </c>
      <c r="O127" s="7">
        <f t="shared" si="15"/>
        <v>4087.5</v>
      </c>
      <c r="P127" s="7">
        <f t="shared" si="16"/>
        <v>4059.4804048283168</v>
      </c>
      <c r="Q127" s="7">
        <f t="shared" si="17"/>
        <v>1800.1470714949837</v>
      </c>
      <c r="R127" s="7">
        <f t="shared" si="18"/>
        <v>1407.6666666666665</v>
      </c>
      <c r="S127" s="7">
        <v>10182</v>
      </c>
      <c r="T127" s="7">
        <v>12494</v>
      </c>
      <c r="U127" s="7">
        <v>1642</v>
      </c>
      <c r="V127" s="7">
        <v>162349</v>
      </c>
      <c r="W127" s="7">
        <f t="shared" si="20"/>
        <v>150525</v>
      </c>
      <c r="X127" s="103">
        <f t="shared" si="21"/>
        <v>165984</v>
      </c>
      <c r="Y127" s="103"/>
      <c r="Z127" s="7">
        <v>0</v>
      </c>
      <c r="AB127" s="2">
        <v>3635</v>
      </c>
      <c r="AC127" s="103">
        <v>161650</v>
      </c>
      <c r="AD127" s="103">
        <v>154160</v>
      </c>
      <c r="AE127" s="64">
        <f t="shared" si="22"/>
        <v>0</v>
      </c>
      <c r="AF127" s="64">
        <f t="shared" si="23"/>
        <v>1.5326608718214842E-2</v>
      </c>
      <c r="AG127" s="20">
        <f t="shared" si="30"/>
        <v>0</v>
      </c>
      <c r="AH127" s="20">
        <f t="shared" si="31"/>
        <v>28.0195951716831</v>
      </c>
      <c r="AI127" s="22"/>
    </row>
    <row r="128" spans="1:35">
      <c r="A128" s="28">
        <v>45784</v>
      </c>
      <c r="B128" s="2">
        <v>44.75</v>
      </c>
      <c r="C128" s="51">
        <v>327.08333333333337</v>
      </c>
      <c r="D128" s="51">
        <v>97.5</v>
      </c>
      <c r="E128" s="6">
        <v>380.08333333333337</v>
      </c>
      <c r="F128" s="51">
        <v>304.25</v>
      </c>
      <c r="G128" s="51">
        <v>72.416666666666657</v>
      </c>
      <c r="H128" s="51">
        <v>69.166666666666671</v>
      </c>
      <c r="I128" s="51">
        <v>1978.333333333333</v>
      </c>
      <c r="J128" s="51">
        <v>101.58333333333331</v>
      </c>
      <c r="K128" s="51">
        <v>1434.2499999999998</v>
      </c>
      <c r="L128" s="51">
        <v>153.25</v>
      </c>
      <c r="M128" s="3">
        <v>290.66666666666669</v>
      </c>
      <c r="N128" s="107">
        <f t="shared" si="19"/>
        <v>52.319555991963782</v>
      </c>
      <c r="O128" s="7">
        <f t="shared" si="15"/>
        <v>4287.7499999999991</v>
      </c>
      <c r="P128" s="7">
        <f t="shared" si="16"/>
        <v>4235.4304440080359</v>
      </c>
      <c r="Q128" s="7">
        <f t="shared" si="17"/>
        <v>1936.7444001608867</v>
      </c>
      <c r="R128" s="7">
        <f t="shared" si="18"/>
        <v>1423.5193771804823</v>
      </c>
      <c r="S128" s="7">
        <v>7407</v>
      </c>
      <c r="T128" s="7">
        <v>12797</v>
      </c>
      <c r="U128" s="7">
        <v>4057</v>
      </c>
      <c r="V128" s="7">
        <v>174257</v>
      </c>
      <c r="W128" s="7">
        <f t="shared" si="20"/>
        <v>162793</v>
      </c>
      <c r="X128" s="103">
        <f t="shared" si="21"/>
        <v>179698</v>
      </c>
      <c r="Y128" s="103"/>
      <c r="Z128" s="7">
        <v>1324</v>
      </c>
      <c r="AB128" s="2">
        <v>5441</v>
      </c>
      <c r="AC128" s="103">
        <v>162808</v>
      </c>
      <c r="AD128" s="103">
        <v>168234</v>
      </c>
      <c r="AE128" s="64">
        <f t="shared" si="22"/>
        <v>7.4816962311434329E-3</v>
      </c>
      <c r="AF128" s="64">
        <f t="shared" si="23"/>
        <v>2.1022207163831332E-2</v>
      </c>
      <c r="AG128" s="20">
        <f t="shared" si="30"/>
        <v>10.730622819517468</v>
      </c>
      <c r="AH128" s="20">
        <f t="shared" si="31"/>
        <v>41.58893317244631</v>
      </c>
      <c r="AI128" s="22"/>
    </row>
    <row r="129" spans="1:35">
      <c r="A129" s="28">
        <v>45785</v>
      </c>
      <c r="B129" s="2">
        <v>52.166666666666629</v>
      </c>
      <c r="C129" s="51">
        <v>352.16666666666663</v>
      </c>
      <c r="D129" s="51">
        <v>97.5</v>
      </c>
      <c r="E129" s="6">
        <v>351.83333333333337</v>
      </c>
      <c r="F129" s="51">
        <v>285</v>
      </c>
      <c r="G129" s="51">
        <v>85</v>
      </c>
      <c r="H129" s="51">
        <v>71.5</v>
      </c>
      <c r="I129" s="51">
        <v>1948.75</v>
      </c>
      <c r="J129" s="51">
        <v>157.5</v>
      </c>
      <c r="K129" s="51">
        <v>1272.3333333333333</v>
      </c>
      <c r="L129" s="51">
        <v>137.58333333333334</v>
      </c>
      <c r="M129" s="3">
        <v>292.25</v>
      </c>
      <c r="N129" s="107">
        <f t="shared" si="19"/>
        <v>12.021349401941158</v>
      </c>
      <c r="O129" s="7">
        <f t="shared" si="15"/>
        <v>4165.4166666666661</v>
      </c>
      <c r="P129" s="7">
        <f t="shared" si="16"/>
        <v>4153.3953172647252</v>
      </c>
      <c r="Q129" s="7">
        <f t="shared" si="17"/>
        <v>1936.7286505980589</v>
      </c>
      <c r="R129" s="7">
        <f t="shared" si="18"/>
        <v>1272.3333333333333</v>
      </c>
      <c r="S129" s="7">
        <v>8310</v>
      </c>
      <c r="T129" s="7">
        <v>13289</v>
      </c>
      <c r="U129" s="7">
        <v>2429</v>
      </c>
      <c r="V129" s="7">
        <v>167085</v>
      </c>
      <c r="W129" s="7">
        <f t="shared" si="20"/>
        <v>156346</v>
      </c>
      <c r="X129" s="103">
        <f t="shared" si="21"/>
        <v>168583</v>
      </c>
      <c r="Y129" s="103"/>
      <c r="Z129" s="7">
        <v>0</v>
      </c>
      <c r="AB129" s="2">
        <v>1498</v>
      </c>
      <c r="AC129" s="103">
        <v>128509</v>
      </c>
      <c r="AD129" s="103">
        <v>157844</v>
      </c>
      <c r="AE129" s="64">
        <f t="shared" si="22"/>
        <v>0</v>
      </c>
      <c r="AF129" s="64">
        <f t="shared" si="23"/>
        <v>6.1687488913104082E-3</v>
      </c>
      <c r="AG129" s="20">
        <f t="shared" si="30"/>
        <v>0</v>
      </c>
      <c r="AH129" s="20">
        <f t="shared" si="31"/>
        <v>12.021349401941158</v>
      </c>
      <c r="AI129" s="22"/>
    </row>
    <row r="130" spans="1:35">
      <c r="A130" s="28">
        <v>45786</v>
      </c>
      <c r="B130" s="2">
        <v>41.833333333333343</v>
      </c>
      <c r="C130" s="51">
        <v>359.08333333333331</v>
      </c>
      <c r="D130" s="51">
        <v>90</v>
      </c>
      <c r="E130" s="6">
        <v>383.58333333333326</v>
      </c>
      <c r="F130" s="51">
        <v>304.58333333333337</v>
      </c>
      <c r="G130" s="51">
        <v>79.75</v>
      </c>
      <c r="H130" s="51">
        <v>71.166666666666657</v>
      </c>
      <c r="I130" s="51">
        <v>1930.5000000000002</v>
      </c>
      <c r="J130" s="51">
        <v>96.583333333333314</v>
      </c>
      <c r="K130" s="51">
        <v>1365.6666666666667</v>
      </c>
      <c r="L130" s="51">
        <v>143.5</v>
      </c>
      <c r="M130" s="3">
        <v>285.91666666666669</v>
      </c>
      <c r="N130" s="107">
        <f t="shared" si="19"/>
        <v>12.71145505352645</v>
      </c>
      <c r="O130" s="7">
        <f t="shared" ref="O130:O193" si="32">+B130+C130+D130+F130+I130+K130+J130</f>
        <v>4188.25</v>
      </c>
      <c r="P130" s="7">
        <f t="shared" ref="P130:P193" si="33">+B130+C130+D130+F130+J130+Q130+R130</f>
        <v>4175.5385449464738</v>
      </c>
      <c r="Q130" s="7">
        <f t="shared" ref="Q130:Q193" si="34">+I130-AH130</f>
        <v>1917.7885449464738</v>
      </c>
      <c r="R130" s="7">
        <f t="shared" ref="R130:R193" si="35">+K130-AG130</f>
        <v>1365.6666666666667</v>
      </c>
      <c r="S130" s="7">
        <v>4218</v>
      </c>
      <c r="T130" s="7">
        <v>9949</v>
      </c>
      <c r="U130" s="7">
        <v>2174</v>
      </c>
      <c r="V130" s="7">
        <v>169871</v>
      </c>
      <c r="W130" s="7">
        <f t="shared" si="20"/>
        <v>163479</v>
      </c>
      <c r="X130" s="103">
        <f t="shared" si="21"/>
        <v>171544</v>
      </c>
      <c r="Y130" s="103"/>
      <c r="Z130" s="7">
        <v>0</v>
      </c>
      <c r="AB130" s="2">
        <v>1673</v>
      </c>
      <c r="AC130" s="103">
        <v>129422</v>
      </c>
      <c r="AD130" s="103">
        <v>165152</v>
      </c>
      <c r="AE130" s="64">
        <f t="shared" si="22"/>
        <v>0</v>
      </c>
      <c r="AF130" s="64">
        <f t="shared" si="23"/>
        <v>6.5845403022670029E-3</v>
      </c>
      <c r="AG130" s="20">
        <f t="shared" si="30"/>
        <v>0</v>
      </c>
      <c r="AH130" s="20">
        <f t="shared" si="31"/>
        <v>12.71145505352645</v>
      </c>
      <c r="AI130" s="22"/>
    </row>
    <row r="131" spans="1:35">
      <c r="A131" s="28">
        <v>45787</v>
      </c>
      <c r="B131" s="2">
        <v>184.08333333333331</v>
      </c>
      <c r="C131" s="51">
        <v>233.50000000000003</v>
      </c>
      <c r="D131" s="51">
        <v>37.75</v>
      </c>
      <c r="E131" s="6">
        <v>268.83333333333337</v>
      </c>
      <c r="F131" s="51">
        <v>216.58333333333331</v>
      </c>
      <c r="G131" s="51">
        <v>0</v>
      </c>
      <c r="H131" s="51">
        <v>22.5</v>
      </c>
      <c r="I131" s="51">
        <v>1442.9166666666667</v>
      </c>
      <c r="J131" s="51">
        <v>67.5</v>
      </c>
      <c r="K131" s="51">
        <v>373.66666666666669</v>
      </c>
      <c r="L131" s="51">
        <v>184.5</v>
      </c>
      <c r="M131" s="3">
        <v>160.58333333333334</v>
      </c>
      <c r="N131" s="107">
        <f t="shared" ref="N131:N194" si="36">+AH131+AG131</f>
        <v>12.578465597824007</v>
      </c>
      <c r="O131" s="7">
        <f t="shared" si="32"/>
        <v>2556</v>
      </c>
      <c r="P131" s="7">
        <f t="shared" si="33"/>
        <v>2543.4215344021759</v>
      </c>
      <c r="Q131" s="7">
        <f t="shared" si="34"/>
        <v>1430.3382010688426</v>
      </c>
      <c r="R131" s="7">
        <f t="shared" si="35"/>
        <v>373.66666666666669</v>
      </c>
      <c r="S131" s="7">
        <v>1355</v>
      </c>
      <c r="T131" s="7">
        <v>6347</v>
      </c>
      <c r="U131" s="7">
        <v>3202</v>
      </c>
      <c r="V131" s="7">
        <v>116153</v>
      </c>
      <c r="W131" s="7">
        <f t="shared" ref="W131:W194" si="37">+V131-U131-S131+AA131</f>
        <v>111596</v>
      </c>
      <c r="X131" s="103">
        <f t="shared" ref="X131:X194" si="38">+V131+AB131+AA131</f>
        <v>117670</v>
      </c>
      <c r="Y131" s="103"/>
      <c r="Z131" s="7">
        <v>0</v>
      </c>
      <c r="AB131" s="2">
        <v>1517</v>
      </c>
      <c r="AC131" s="103">
        <v>53347</v>
      </c>
      <c r="AD131" s="103">
        <v>113113</v>
      </c>
      <c r="AE131" s="64">
        <f t="shared" ref="AE131:AE194" si="39">+(Z131/AC131*0.92)</f>
        <v>0</v>
      </c>
      <c r="AF131" s="64">
        <f t="shared" ref="AF131:AF194" si="40">+(AB131/AD131*0.65)</f>
        <v>8.7173888058843813E-3</v>
      </c>
      <c r="AG131" s="20">
        <f t="shared" si="30"/>
        <v>0</v>
      </c>
      <c r="AH131" s="20">
        <f t="shared" si="31"/>
        <v>12.578465597824007</v>
      </c>
      <c r="AI131" s="22"/>
    </row>
    <row r="132" spans="1:35">
      <c r="A132" s="28">
        <v>45788</v>
      </c>
      <c r="B132" s="51"/>
      <c r="C132" s="51">
        <v>162.25</v>
      </c>
      <c r="D132" s="51">
        <v>57</v>
      </c>
      <c r="E132" s="6">
        <v>0</v>
      </c>
      <c r="F132" s="51">
        <v>142.25</v>
      </c>
      <c r="G132" s="51">
        <v>0</v>
      </c>
      <c r="H132" s="51">
        <v>15</v>
      </c>
      <c r="I132" s="51">
        <v>561.33333333333337</v>
      </c>
      <c r="J132" s="51">
        <v>67.166666666666657</v>
      </c>
      <c r="K132" s="51">
        <v>349.83333333333337</v>
      </c>
      <c r="L132" s="51">
        <v>0</v>
      </c>
      <c r="M132" s="3">
        <v>119.66666666666666</v>
      </c>
      <c r="N132" s="107">
        <f t="shared" si="36"/>
        <v>2.5198747659535283</v>
      </c>
      <c r="O132" s="7">
        <f t="shared" si="32"/>
        <v>1339.8333333333335</v>
      </c>
      <c r="P132" s="7">
        <f t="shared" si="33"/>
        <v>1337.3134585673797</v>
      </c>
      <c r="Q132" s="7">
        <f t="shared" si="34"/>
        <v>558.81345856737983</v>
      </c>
      <c r="R132" s="7">
        <f t="shared" si="35"/>
        <v>349.83333333333337</v>
      </c>
      <c r="S132" s="7">
        <v>2587</v>
      </c>
      <c r="T132" s="7">
        <v>8475</v>
      </c>
      <c r="U132" s="7">
        <v>1597</v>
      </c>
      <c r="V132" s="7">
        <v>68892</v>
      </c>
      <c r="W132" s="7">
        <f t="shared" si="37"/>
        <v>64708</v>
      </c>
      <c r="X132" s="103">
        <f t="shared" si="38"/>
        <v>69342</v>
      </c>
      <c r="Y132" s="103"/>
      <c r="Z132" s="7">
        <v>0</v>
      </c>
      <c r="AB132" s="2">
        <v>450</v>
      </c>
      <c r="AC132" s="103">
        <v>48145</v>
      </c>
      <c r="AD132" s="103">
        <v>65158</v>
      </c>
      <c r="AE132" s="64">
        <f t="shared" si="39"/>
        <v>0</v>
      </c>
      <c r="AF132" s="64">
        <f t="shared" si="40"/>
        <v>4.4890880628625802E-3</v>
      </c>
      <c r="AG132" s="20">
        <f t="shared" si="30"/>
        <v>0</v>
      </c>
      <c r="AH132" s="20">
        <f t="shared" si="31"/>
        <v>2.5198747659535283</v>
      </c>
      <c r="AI132" s="22"/>
    </row>
    <row r="133" spans="1:35">
      <c r="A133" s="28">
        <v>45789</v>
      </c>
      <c r="B133" s="4">
        <v>66.25</v>
      </c>
      <c r="C133" s="4">
        <v>627</v>
      </c>
      <c r="D133" s="4">
        <v>106.66666666666667</v>
      </c>
      <c r="E133" s="6">
        <v>388.58333333333331</v>
      </c>
      <c r="F133" s="4">
        <v>328.25</v>
      </c>
      <c r="G133" s="4">
        <v>83.666666666666671</v>
      </c>
      <c r="H133" s="4">
        <v>71.5</v>
      </c>
      <c r="I133" s="4">
        <v>2325.416666666667</v>
      </c>
      <c r="J133" s="4">
        <v>150</v>
      </c>
      <c r="K133" s="4">
        <v>1558.3333333333335</v>
      </c>
      <c r="L133" s="4">
        <v>123.25</v>
      </c>
      <c r="M133" s="3">
        <v>300.83333333333331</v>
      </c>
      <c r="N133" s="107">
        <f t="shared" si="36"/>
        <v>135.8331133157761</v>
      </c>
      <c r="O133" s="7">
        <f t="shared" si="32"/>
        <v>5161.916666666667</v>
      </c>
      <c r="P133" s="7">
        <f t="shared" si="33"/>
        <v>5026.0835533508907</v>
      </c>
      <c r="Q133" s="7">
        <f t="shared" si="34"/>
        <v>2189.5835533508907</v>
      </c>
      <c r="R133" s="7">
        <f t="shared" si="35"/>
        <v>1558.3333333333335</v>
      </c>
      <c r="S133" s="7">
        <v>8356</v>
      </c>
      <c r="T133" s="7">
        <v>14306</v>
      </c>
      <c r="U133" s="7">
        <v>3424</v>
      </c>
      <c r="V133" s="7">
        <v>183537</v>
      </c>
      <c r="W133" s="7">
        <f t="shared" si="37"/>
        <v>171757</v>
      </c>
      <c r="X133" s="103">
        <f t="shared" si="38"/>
        <v>200496</v>
      </c>
      <c r="Y133" s="103"/>
      <c r="Z133" s="7">
        <v>0</v>
      </c>
      <c r="AB133" s="2">
        <v>16959</v>
      </c>
      <c r="AC133" s="103">
        <v>155006</v>
      </c>
      <c r="AD133" s="103">
        <v>188716</v>
      </c>
      <c r="AE133" s="64">
        <f t="shared" si="39"/>
        <v>0</v>
      </c>
      <c r="AF133" s="64">
        <f t="shared" si="40"/>
        <v>5.8412376269102784E-2</v>
      </c>
      <c r="AG133" s="20">
        <f t="shared" si="30"/>
        <v>0</v>
      </c>
      <c r="AH133" s="20">
        <f t="shared" si="31"/>
        <v>135.8331133157761</v>
      </c>
      <c r="AI133" s="22"/>
    </row>
    <row r="134" spans="1:35">
      <c r="A134" s="28">
        <v>45790</v>
      </c>
      <c r="B134" s="4">
        <v>67.5</v>
      </c>
      <c r="C134" s="4">
        <v>678</v>
      </c>
      <c r="D134" s="4">
        <v>102.91666666666666</v>
      </c>
      <c r="E134" s="6">
        <v>378.08333333333331</v>
      </c>
      <c r="F134" s="4">
        <v>315</v>
      </c>
      <c r="G134" s="4">
        <v>75.75</v>
      </c>
      <c r="H134" s="4">
        <v>71.5</v>
      </c>
      <c r="I134" s="4">
        <v>1819.6666666666665</v>
      </c>
      <c r="J134" s="4">
        <v>162.08333333333334</v>
      </c>
      <c r="K134" s="4">
        <v>1418</v>
      </c>
      <c r="L134" s="4">
        <v>191.25</v>
      </c>
      <c r="M134" s="3">
        <v>308.25</v>
      </c>
      <c r="N134" s="107">
        <f t="shared" si="36"/>
        <v>18.920420564854201</v>
      </c>
      <c r="O134" s="7">
        <f t="shared" si="32"/>
        <v>4563.1666666666661</v>
      </c>
      <c r="P134" s="7">
        <f t="shared" si="33"/>
        <v>4544.2462461018122</v>
      </c>
      <c r="Q134" s="7">
        <f t="shared" si="34"/>
        <v>1800.7462461018124</v>
      </c>
      <c r="R134" s="7">
        <f t="shared" si="35"/>
        <v>1418</v>
      </c>
      <c r="S134" s="7">
        <v>9730</v>
      </c>
      <c r="T134" s="7">
        <v>14499</v>
      </c>
      <c r="U134" s="7">
        <v>3640</v>
      </c>
      <c r="V134" s="7">
        <v>151468</v>
      </c>
      <c r="W134" s="7">
        <f t="shared" si="37"/>
        <v>138098</v>
      </c>
      <c r="X134" s="103">
        <f t="shared" si="38"/>
        <v>153713</v>
      </c>
      <c r="Y134" s="103"/>
      <c r="Z134" s="7">
        <v>0</v>
      </c>
      <c r="AB134" s="2">
        <v>2245</v>
      </c>
      <c r="AC134" s="103">
        <v>137152</v>
      </c>
      <c r="AD134" s="103">
        <v>140343</v>
      </c>
      <c r="AE134" s="64">
        <f t="shared" si="39"/>
        <v>0</v>
      </c>
      <c r="AF134" s="64">
        <f t="shared" si="40"/>
        <v>1.0397739823147574E-2</v>
      </c>
      <c r="AG134" s="20">
        <f t="shared" si="30"/>
        <v>0</v>
      </c>
      <c r="AH134" s="20">
        <f t="shared" si="31"/>
        <v>18.920420564854201</v>
      </c>
      <c r="AI134" s="22"/>
    </row>
    <row r="135" spans="1:35">
      <c r="A135" s="28">
        <v>45791</v>
      </c>
      <c r="B135" s="4">
        <v>73.5</v>
      </c>
      <c r="C135" s="4">
        <v>484.16666666666674</v>
      </c>
      <c r="D135" s="4">
        <v>90</v>
      </c>
      <c r="E135" s="6">
        <v>348.33333333333337</v>
      </c>
      <c r="F135" s="4">
        <v>306.58333333333331</v>
      </c>
      <c r="G135" s="4">
        <v>85</v>
      </c>
      <c r="H135" s="4">
        <v>71.5</v>
      </c>
      <c r="I135" s="4">
        <v>1919.5833333333333</v>
      </c>
      <c r="J135" s="4">
        <v>105</v>
      </c>
      <c r="K135" s="4">
        <v>1514.9999999999998</v>
      </c>
      <c r="L135" s="4">
        <v>198</v>
      </c>
      <c r="M135" s="3">
        <v>304.16666666666669</v>
      </c>
      <c r="N135" s="107">
        <f t="shared" si="36"/>
        <v>8.0779841898253295</v>
      </c>
      <c r="O135" s="7">
        <f t="shared" si="32"/>
        <v>4493.833333333333</v>
      </c>
      <c r="P135" s="7">
        <f t="shared" si="33"/>
        <v>4485.7553491435083</v>
      </c>
      <c r="Q135" s="7">
        <f t="shared" si="34"/>
        <v>1911.5142152173219</v>
      </c>
      <c r="R135" s="7">
        <f t="shared" si="35"/>
        <v>1514.9911339261857</v>
      </c>
      <c r="S135" s="7">
        <v>8187</v>
      </c>
      <c r="T135" s="7">
        <v>13077</v>
      </c>
      <c r="U135" s="7">
        <v>2981</v>
      </c>
      <c r="V135" s="7">
        <v>166949</v>
      </c>
      <c r="W135" s="7">
        <f t="shared" si="37"/>
        <v>155781</v>
      </c>
      <c r="X135" s="103">
        <f t="shared" si="38"/>
        <v>167963</v>
      </c>
      <c r="Y135" s="103"/>
      <c r="Z135" s="7">
        <v>1</v>
      </c>
      <c r="AB135" s="2">
        <v>1014</v>
      </c>
      <c r="AC135" s="103">
        <v>157206</v>
      </c>
      <c r="AD135" s="103">
        <v>156795</v>
      </c>
      <c r="AE135" s="64">
        <f t="shared" si="39"/>
        <v>5.8521939366181956E-6</v>
      </c>
      <c r="AF135" s="64">
        <f t="shared" si="40"/>
        <v>4.2035779202142928E-3</v>
      </c>
      <c r="AG135" s="20">
        <f t="shared" si="30"/>
        <v>8.8660738139765653E-3</v>
      </c>
      <c r="AH135" s="20">
        <f t="shared" si="31"/>
        <v>8.069118116011353</v>
      </c>
      <c r="AI135" s="22"/>
    </row>
    <row r="136" spans="1:35">
      <c r="A136" s="28">
        <v>45792</v>
      </c>
      <c r="B136" s="4">
        <v>74.583333333333343</v>
      </c>
      <c r="C136" s="4">
        <v>404.58333333333331</v>
      </c>
      <c r="D136" s="4">
        <v>90</v>
      </c>
      <c r="E136" s="6">
        <v>348.16666666666669</v>
      </c>
      <c r="F136" s="4">
        <v>285</v>
      </c>
      <c r="G136" s="4">
        <v>76.5</v>
      </c>
      <c r="H136" s="4">
        <v>71.5</v>
      </c>
      <c r="I136" s="4">
        <v>1912.8333333333335</v>
      </c>
      <c r="J136" s="4">
        <v>112.5</v>
      </c>
      <c r="K136" s="4">
        <v>1402.5</v>
      </c>
      <c r="L136" s="4">
        <v>189.5</v>
      </c>
      <c r="M136" s="3">
        <v>273.75</v>
      </c>
      <c r="N136" s="107">
        <f t="shared" si="36"/>
        <v>11.35171591987757</v>
      </c>
      <c r="O136" s="7">
        <f t="shared" si="32"/>
        <v>4282</v>
      </c>
      <c r="P136" s="7">
        <f t="shared" si="33"/>
        <v>4270.6482840801227</v>
      </c>
      <c r="Q136" s="7">
        <f t="shared" si="34"/>
        <v>1901.481617413456</v>
      </c>
      <c r="R136" s="7">
        <f t="shared" si="35"/>
        <v>1402.5</v>
      </c>
      <c r="S136" s="7">
        <v>8639</v>
      </c>
      <c r="T136" s="7">
        <v>14024</v>
      </c>
      <c r="U136" s="7">
        <v>3499</v>
      </c>
      <c r="V136" s="7">
        <v>182637</v>
      </c>
      <c r="W136" s="7">
        <f t="shared" si="37"/>
        <v>170499</v>
      </c>
      <c r="X136" s="103">
        <f t="shared" si="38"/>
        <v>184208</v>
      </c>
      <c r="Y136" s="103"/>
      <c r="Z136" s="7">
        <v>0</v>
      </c>
      <c r="AB136" s="2">
        <v>1571</v>
      </c>
      <c r="AC136" s="103">
        <v>137931</v>
      </c>
      <c r="AD136" s="103">
        <v>172070</v>
      </c>
      <c r="AE136" s="64">
        <f t="shared" si="39"/>
        <v>0</v>
      </c>
      <c r="AF136" s="64">
        <f t="shared" si="40"/>
        <v>5.9345033997791593E-3</v>
      </c>
      <c r="AG136" s="20">
        <f t="shared" si="30"/>
        <v>0</v>
      </c>
      <c r="AH136" s="20">
        <f t="shared" si="31"/>
        <v>11.35171591987757</v>
      </c>
      <c r="AI136" s="22"/>
    </row>
    <row r="137" spans="1:35">
      <c r="A137" s="28">
        <v>45793</v>
      </c>
      <c r="B137" s="4">
        <v>74.75</v>
      </c>
      <c r="C137" s="4">
        <v>378.58333333333337</v>
      </c>
      <c r="D137" s="4">
        <v>97.5</v>
      </c>
      <c r="E137" s="6">
        <v>364.5</v>
      </c>
      <c r="F137" s="4">
        <v>298.5</v>
      </c>
      <c r="G137" s="4">
        <v>82.5</v>
      </c>
      <c r="H137" s="4">
        <v>70.083333333333343</v>
      </c>
      <c r="I137" s="4">
        <v>1851.4166666666665</v>
      </c>
      <c r="J137" s="4">
        <v>97.166666666666657</v>
      </c>
      <c r="K137" s="4">
        <v>1481.5833333333335</v>
      </c>
      <c r="L137" s="4">
        <v>191.5</v>
      </c>
      <c r="M137" s="3">
        <v>284.16666666666669</v>
      </c>
      <c r="N137" s="107">
        <f t="shared" si="36"/>
        <v>15.03269754535898</v>
      </c>
      <c r="O137" s="7">
        <f t="shared" si="32"/>
        <v>4279.5000000000009</v>
      </c>
      <c r="P137" s="7">
        <f t="shared" si="33"/>
        <v>4264.467302454641</v>
      </c>
      <c r="Q137" s="7">
        <f t="shared" si="34"/>
        <v>1836.3839691213075</v>
      </c>
      <c r="R137" s="7">
        <f t="shared" si="35"/>
        <v>1481.5833333333335</v>
      </c>
      <c r="S137" s="7">
        <v>5442</v>
      </c>
      <c r="T137" s="7">
        <v>10082</v>
      </c>
      <c r="U137" s="7">
        <v>2562</v>
      </c>
      <c r="V137" s="7">
        <v>152672</v>
      </c>
      <c r="W137" s="7">
        <f t="shared" si="37"/>
        <v>144668</v>
      </c>
      <c r="X137" s="103">
        <f t="shared" si="38"/>
        <v>154502</v>
      </c>
      <c r="Y137" s="103"/>
      <c r="Z137" s="7">
        <v>0</v>
      </c>
      <c r="AB137" s="2">
        <v>1830</v>
      </c>
      <c r="AC137" s="103">
        <v>146870</v>
      </c>
      <c r="AD137" s="103">
        <v>146498</v>
      </c>
      <c r="AE137" s="64">
        <f t="shared" si="39"/>
        <v>0</v>
      </c>
      <c r="AF137" s="64">
        <f t="shared" si="40"/>
        <v>8.1195647722153205E-3</v>
      </c>
      <c r="AG137" s="20">
        <f t="shared" si="30"/>
        <v>0</v>
      </c>
      <c r="AH137" s="20">
        <f t="shared" si="31"/>
        <v>15.03269754535898</v>
      </c>
      <c r="AI137" s="22"/>
    </row>
    <row r="138" spans="1:35">
      <c r="A138" s="28">
        <v>45794</v>
      </c>
      <c r="B138" s="4">
        <v>59.666666666666671</v>
      </c>
      <c r="C138" s="4">
        <v>181.58333333333334</v>
      </c>
      <c r="D138" s="4">
        <v>37.5</v>
      </c>
      <c r="E138" s="6">
        <v>248</v>
      </c>
      <c r="F138" s="4">
        <v>225</v>
      </c>
      <c r="G138" s="4">
        <v>0</v>
      </c>
      <c r="H138" s="4">
        <v>22.5</v>
      </c>
      <c r="I138" s="4">
        <v>1196.5</v>
      </c>
      <c r="J138" s="4">
        <v>75</v>
      </c>
      <c r="K138" s="4">
        <v>904.33333333333337</v>
      </c>
      <c r="L138" s="4">
        <v>135.25</v>
      </c>
      <c r="M138" s="3">
        <v>189.83333333333334</v>
      </c>
      <c r="N138" s="107">
        <f t="shared" si="36"/>
        <v>16.459564099769288</v>
      </c>
      <c r="O138" s="7">
        <f t="shared" si="32"/>
        <v>2679.5833333333335</v>
      </c>
      <c r="P138" s="7">
        <f t="shared" si="33"/>
        <v>2663.123769233564</v>
      </c>
      <c r="Q138" s="7">
        <f t="shared" si="34"/>
        <v>1180.0404359002307</v>
      </c>
      <c r="R138" s="7">
        <f t="shared" si="35"/>
        <v>904.33333333333337</v>
      </c>
      <c r="S138" s="7">
        <v>2646</v>
      </c>
      <c r="T138" s="7">
        <v>8117</v>
      </c>
      <c r="U138" s="7">
        <v>2929</v>
      </c>
      <c r="V138" s="7">
        <v>113339</v>
      </c>
      <c r="W138" s="7">
        <f t="shared" si="37"/>
        <v>107764</v>
      </c>
      <c r="X138" s="103">
        <f t="shared" si="38"/>
        <v>115669</v>
      </c>
      <c r="Y138" s="103"/>
      <c r="Z138" s="7">
        <v>0</v>
      </c>
      <c r="AB138" s="2">
        <v>2330</v>
      </c>
      <c r="AC138" s="103">
        <v>91390</v>
      </c>
      <c r="AD138" s="103">
        <v>110094</v>
      </c>
      <c r="AE138" s="64">
        <f t="shared" si="39"/>
        <v>0</v>
      </c>
      <c r="AF138" s="64">
        <f t="shared" si="40"/>
        <v>1.3756426326593638E-2</v>
      </c>
      <c r="AG138" s="20">
        <f t="shared" si="30"/>
        <v>0</v>
      </c>
      <c r="AH138" s="20">
        <f t="shared" si="31"/>
        <v>16.459564099769288</v>
      </c>
      <c r="AI138" s="22"/>
    </row>
    <row r="139" spans="1:35">
      <c r="A139" s="28">
        <v>45795</v>
      </c>
      <c r="B139" s="4"/>
      <c r="C139" s="4">
        <v>165</v>
      </c>
      <c r="D139" s="4">
        <v>60</v>
      </c>
      <c r="E139" s="6">
        <v>0</v>
      </c>
      <c r="F139" s="4">
        <v>120</v>
      </c>
      <c r="G139" s="4">
        <v>0</v>
      </c>
      <c r="H139" s="4">
        <v>15</v>
      </c>
      <c r="I139" s="4">
        <v>612.58333333333326</v>
      </c>
      <c r="J139" s="4">
        <v>89.583333333333343</v>
      </c>
      <c r="K139" s="4">
        <v>371.58333333333331</v>
      </c>
      <c r="L139" s="4">
        <v>0</v>
      </c>
      <c r="M139" s="3">
        <v>127.16666666666666</v>
      </c>
      <c r="N139" s="107">
        <f t="shared" si="36"/>
        <v>6.9280666122936347</v>
      </c>
      <c r="O139" s="7">
        <f t="shared" si="32"/>
        <v>1418.7499999999998</v>
      </c>
      <c r="P139" s="7">
        <f t="shared" si="33"/>
        <v>1411.8219333877062</v>
      </c>
      <c r="Q139" s="7">
        <f t="shared" si="34"/>
        <v>605.65526672103965</v>
      </c>
      <c r="R139" s="7">
        <f t="shared" si="35"/>
        <v>371.58333333333331</v>
      </c>
      <c r="S139" s="7">
        <v>4925</v>
      </c>
      <c r="T139" s="7">
        <v>7758</v>
      </c>
      <c r="U139" s="7">
        <v>995</v>
      </c>
      <c r="V139" s="7">
        <v>67363</v>
      </c>
      <c r="W139" s="7">
        <f t="shared" si="37"/>
        <v>61443</v>
      </c>
      <c r="X139" s="103">
        <f t="shared" si="38"/>
        <v>68451</v>
      </c>
      <c r="Y139" s="103"/>
      <c r="Z139" s="7">
        <v>0</v>
      </c>
      <c r="AB139" s="2">
        <v>1088</v>
      </c>
      <c r="AC139" s="103">
        <v>50435</v>
      </c>
      <c r="AD139" s="103">
        <v>62531</v>
      </c>
      <c r="AE139" s="64">
        <f t="shared" si="39"/>
        <v>0</v>
      </c>
      <c r="AF139" s="64">
        <f t="shared" si="40"/>
        <v>1.1309590443140203E-2</v>
      </c>
      <c r="AG139" s="20">
        <f t="shared" si="30"/>
        <v>0</v>
      </c>
      <c r="AH139" s="20">
        <f t="shared" si="31"/>
        <v>6.9280666122936347</v>
      </c>
      <c r="AI139" s="22"/>
    </row>
    <row r="140" spans="1:35">
      <c r="A140" s="28">
        <v>45796</v>
      </c>
      <c r="B140" s="4">
        <v>105</v>
      </c>
      <c r="C140" s="4">
        <v>330</v>
      </c>
      <c r="D140" s="4">
        <v>89.75</v>
      </c>
      <c r="E140" s="6">
        <v>248</v>
      </c>
      <c r="F140" s="4">
        <v>307.16666666666663</v>
      </c>
      <c r="G140" s="4">
        <v>0</v>
      </c>
      <c r="H140" s="4">
        <v>30</v>
      </c>
      <c r="I140" s="4">
        <v>1977.1666666666663</v>
      </c>
      <c r="J140" s="4">
        <v>146.58333333333334</v>
      </c>
      <c r="K140" s="4">
        <v>2323</v>
      </c>
      <c r="L140" s="4">
        <v>165</v>
      </c>
      <c r="M140" s="3">
        <v>283.58333333333331</v>
      </c>
      <c r="N140" s="107">
        <f t="shared" si="36"/>
        <v>19.85635614940556</v>
      </c>
      <c r="O140" s="7">
        <f t="shared" si="32"/>
        <v>5278.6666666666661</v>
      </c>
      <c r="P140" s="7">
        <f t="shared" si="33"/>
        <v>5258.8103105172604</v>
      </c>
      <c r="Q140" s="7">
        <f t="shared" si="34"/>
        <v>1957.3103105172606</v>
      </c>
      <c r="R140" s="7">
        <f t="shared" si="35"/>
        <v>2323</v>
      </c>
      <c r="S140" s="7">
        <v>8128</v>
      </c>
      <c r="T140" s="7">
        <v>11387</v>
      </c>
      <c r="U140" s="7">
        <v>2054</v>
      </c>
      <c r="V140" s="7">
        <v>159357</v>
      </c>
      <c r="W140" s="7">
        <f t="shared" si="37"/>
        <v>149175</v>
      </c>
      <c r="X140" s="103">
        <f t="shared" si="38"/>
        <v>161698</v>
      </c>
      <c r="Y140" s="103"/>
      <c r="Z140" s="7">
        <v>0</v>
      </c>
      <c r="AB140" s="2">
        <v>2341</v>
      </c>
      <c r="AC140" s="103">
        <v>193913</v>
      </c>
      <c r="AD140" s="103">
        <v>151516</v>
      </c>
      <c r="AE140" s="64">
        <f t="shared" si="39"/>
        <v>0</v>
      </c>
      <c r="AF140" s="64">
        <f t="shared" si="40"/>
        <v>1.0042833760130944E-2</v>
      </c>
      <c r="AG140" s="20">
        <f t="shared" si="30"/>
        <v>0</v>
      </c>
      <c r="AH140" s="20">
        <f t="shared" si="31"/>
        <v>19.85635614940556</v>
      </c>
      <c r="AI140" s="22"/>
    </row>
    <row r="141" spans="1:35">
      <c r="A141" s="28">
        <v>45797</v>
      </c>
      <c r="B141" s="4">
        <v>102.08333333333331</v>
      </c>
      <c r="C141" s="4">
        <v>326.25</v>
      </c>
      <c r="D141" s="4">
        <v>97.5</v>
      </c>
      <c r="E141" s="6">
        <v>400.66666666666674</v>
      </c>
      <c r="F141" s="4">
        <v>344.5</v>
      </c>
      <c r="G141" s="4">
        <v>149.41666666666669</v>
      </c>
      <c r="H141" s="4">
        <v>71.5</v>
      </c>
      <c r="I141" s="4">
        <v>2104.166666666667</v>
      </c>
      <c r="J141" s="4">
        <v>165</v>
      </c>
      <c r="K141" s="4">
        <v>1689.5833333333333</v>
      </c>
      <c r="L141" s="4">
        <v>146</v>
      </c>
      <c r="M141" s="3">
        <v>313.16666666666663</v>
      </c>
      <c r="N141" s="107">
        <f t="shared" si="36"/>
        <v>13.140374374292085</v>
      </c>
      <c r="O141" s="7">
        <f t="shared" si="32"/>
        <v>4829.083333333333</v>
      </c>
      <c r="P141" s="7">
        <f t="shared" si="33"/>
        <v>4815.9429589590409</v>
      </c>
      <c r="Q141" s="7">
        <f t="shared" si="34"/>
        <v>2091.0262922923748</v>
      </c>
      <c r="R141" s="7">
        <f t="shared" si="35"/>
        <v>1689.5833333333333</v>
      </c>
      <c r="S141" s="7">
        <v>8039</v>
      </c>
      <c r="T141" s="7">
        <v>12510</v>
      </c>
      <c r="U141" s="7">
        <v>3676</v>
      </c>
      <c r="V141" s="7">
        <v>192422</v>
      </c>
      <c r="W141" s="7">
        <f t="shared" si="37"/>
        <v>180707</v>
      </c>
      <c r="X141" s="103">
        <f t="shared" si="38"/>
        <v>194175</v>
      </c>
      <c r="Y141" s="103"/>
      <c r="Z141" s="7">
        <v>0</v>
      </c>
      <c r="AB141" s="2">
        <v>1753</v>
      </c>
      <c r="AC141" s="103">
        <v>157970</v>
      </c>
      <c r="AD141" s="103">
        <v>182460</v>
      </c>
      <c r="AE141" s="64">
        <f t="shared" si="39"/>
        <v>0</v>
      </c>
      <c r="AF141" s="64">
        <f t="shared" si="40"/>
        <v>6.2449303957031682E-3</v>
      </c>
      <c r="AG141" s="20">
        <f t="shared" si="30"/>
        <v>0</v>
      </c>
      <c r="AH141" s="20">
        <f t="shared" si="31"/>
        <v>13.140374374292085</v>
      </c>
      <c r="AI141" s="22"/>
    </row>
    <row r="142" spans="1:35">
      <c r="A142" s="28">
        <v>45798</v>
      </c>
      <c r="B142" s="4">
        <v>112.5</v>
      </c>
      <c r="C142" s="4">
        <v>359.66666666666669</v>
      </c>
      <c r="D142" s="4">
        <v>97.5</v>
      </c>
      <c r="E142" s="6">
        <v>395</v>
      </c>
      <c r="F142" s="4">
        <v>331.75</v>
      </c>
      <c r="G142" s="4">
        <v>150.58333333333331</v>
      </c>
      <c r="H142" s="4">
        <v>67.499999999999986</v>
      </c>
      <c r="I142" s="4">
        <v>2129.8333333333335</v>
      </c>
      <c r="J142" s="4">
        <v>162.83333333333334</v>
      </c>
      <c r="K142" s="4">
        <v>2042.6666666666665</v>
      </c>
      <c r="L142" s="4">
        <v>146</v>
      </c>
      <c r="M142" s="3">
        <v>318.5</v>
      </c>
      <c r="N142" s="107">
        <f t="shared" si="36"/>
        <v>21.384503837735075</v>
      </c>
      <c r="O142" s="7">
        <f t="shared" si="32"/>
        <v>5236.7499999999991</v>
      </c>
      <c r="P142" s="7">
        <f t="shared" si="33"/>
        <v>5215.3654961622651</v>
      </c>
      <c r="Q142" s="7">
        <f t="shared" si="34"/>
        <v>2108.4488294955986</v>
      </c>
      <c r="R142" s="7">
        <f t="shared" si="35"/>
        <v>2042.6666666666665</v>
      </c>
      <c r="S142" s="7">
        <v>5909</v>
      </c>
      <c r="T142" s="7">
        <v>13516</v>
      </c>
      <c r="U142" s="7">
        <v>4691</v>
      </c>
      <c r="V142" s="7">
        <v>181673</v>
      </c>
      <c r="W142" s="7">
        <f t="shared" si="37"/>
        <v>171073</v>
      </c>
      <c r="X142" s="103">
        <f t="shared" si="38"/>
        <v>184357</v>
      </c>
      <c r="Y142" s="103"/>
      <c r="Z142" s="7">
        <v>0</v>
      </c>
      <c r="AB142" s="2">
        <v>2684</v>
      </c>
      <c r="AC142" s="103">
        <v>192183</v>
      </c>
      <c r="AD142" s="103">
        <v>173757</v>
      </c>
      <c r="AE142" s="64">
        <f t="shared" si="39"/>
        <v>0</v>
      </c>
      <c r="AF142" s="64">
        <f t="shared" si="40"/>
        <v>1.0040458801659789E-2</v>
      </c>
      <c r="AG142" s="20">
        <f t="shared" si="30"/>
        <v>0</v>
      </c>
      <c r="AH142" s="20">
        <f t="shared" si="31"/>
        <v>21.384503837735075</v>
      </c>
      <c r="AI142" s="22"/>
    </row>
    <row r="143" spans="1:35">
      <c r="A143" s="28">
        <v>45799</v>
      </c>
      <c r="B143" s="4">
        <v>105</v>
      </c>
      <c r="C143" s="4">
        <v>457.41666666666669</v>
      </c>
      <c r="D143" s="4">
        <v>90</v>
      </c>
      <c r="E143" s="6">
        <v>386.5</v>
      </c>
      <c r="F143" s="4">
        <v>337.5</v>
      </c>
      <c r="G143" s="4">
        <v>151.5</v>
      </c>
      <c r="H143" s="4">
        <v>71.5</v>
      </c>
      <c r="I143" s="4">
        <v>2062.5833333333335</v>
      </c>
      <c r="J143" s="4">
        <v>164.75</v>
      </c>
      <c r="K143" s="4">
        <v>1631.75</v>
      </c>
      <c r="L143" s="4">
        <v>146</v>
      </c>
      <c r="M143" s="3">
        <v>322.5</v>
      </c>
      <c r="N143" s="107">
        <f t="shared" si="36"/>
        <v>15.93778504781532</v>
      </c>
      <c r="O143" s="7">
        <f t="shared" si="32"/>
        <v>4849</v>
      </c>
      <c r="P143" s="7">
        <f t="shared" si="33"/>
        <v>4833.0622149521851</v>
      </c>
      <c r="Q143" s="7">
        <f t="shared" si="34"/>
        <v>2046.6455482855181</v>
      </c>
      <c r="R143" s="7">
        <f t="shared" si="35"/>
        <v>1631.75</v>
      </c>
      <c r="S143" s="7">
        <v>8125</v>
      </c>
      <c r="T143" s="7">
        <v>15987</v>
      </c>
      <c r="U143" s="7">
        <v>4101</v>
      </c>
      <c r="V143" s="7">
        <v>200658</v>
      </c>
      <c r="W143" s="7">
        <f t="shared" si="37"/>
        <v>188432</v>
      </c>
      <c r="X143" s="103">
        <f t="shared" si="38"/>
        <v>202925</v>
      </c>
      <c r="Y143" s="103"/>
      <c r="Z143" s="7">
        <v>0</v>
      </c>
      <c r="AB143" s="2">
        <v>2267</v>
      </c>
      <c r="AC143" s="103">
        <v>157367</v>
      </c>
      <c r="AD143" s="103">
        <v>190699</v>
      </c>
      <c r="AE143" s="64">
        <f t="shared" si="39"/>
        <v>0</v>
      </c>
      <c r="AF143" s="64">
        <f t="shared" si="40"/>
        <v>7.7270987262649518E-3</v>
      </c>
      <c r="AG143" s="20">
        <f t="shared" si="30"/>
        <v>0</v>
      </c>
      <c r="AH143" s="20">
        <f t="shared" si="31"/>
        <v>15.93778504781532</v>
      </c>
      <c r="AI143" s="22"/>
    </row>
    <row r="144" spans="1:35">
      <c r="A144" s="28">
        <v>45800</v>
      </c>
      <c r="B144" s="4">
        <v>75</v>
      </c>
      <c r="C144" s="4">
        <v>514.5</v>
      </c>
      <c r="D144" s="4">
        <v>92.75</v>
      </c>
      <c r="E144" s="6">
        <v>447.58333333333337</v>
      </c>
      <c r="F144" s="4">
        <v>322.5</v>
      </c>
      <c r="G144" s="4">
        <v>148.75</v>
      </c>
      <c r="H144" s="4">
        <v>71.5</v>
      </c>
      <c r="I144" s="4">
        <v>1827.75</v>
      </c>
      <c r="J144" s="4">
        <v>141.83333333333331</v>
      </c>
      <c r="K144" s="4">
        <v>1437.4166666666667</v>
      </c>
      <c r="L144" s="4">
        <v>144.66666666666666</v>
      </c>
      <c r="M144" s="3">
        <v>322.5</v>
      </c>
      <c r="N144" s="107">
        <f t="shared" si="36"/>
        <v>12.524566865471039</v>
      </c>
      <c r="O144" s="7">
        <f t="shared" si="32"/>
        <v>4411.75</v>
      </c>
      <c r="P144" s="7">
        <f t="shared" si="33"/>
        <v>4399.2254331345293</v>
      </c>
      <c r="Q144" s="7">
        <f t="shared" si="34"/>
        <v>1815.2254331345289</v>
      </c>
      <c r="R144" s="7">
        <f t="shared" si="35"/>
        <v>1437.4166666666667</v>
      </c>
      <c r="S144" s="7">
        <v>6134</v>
      </c>
      <c r="T144" s="7">
        <v>13239</v>
      </c>
      <c r="U144" s="7">
        <v>3440</v>
      </c>
      <c r="V144" s="7">
        <v>174480</v>
      </c>
      <c r="W144" s="7">
        <f t="shared" si="37"/>
        <v>164906</v>
      </c>
      <c r="X144" s="103">
        <f t="shared" si="38"/>
        <v>176237</v>
      </c>
      <c r="Y144" s="103"/>
      <c r="Z144" s="7">
        <v>0</v>
      </c>
      <c r="AB144" s="2">
        <v>1757</v>
      </c>
      <c r="AC144" s="103">
        <v>130880</v>
      </c>
      <c r="AD144" s="103">
        <v>166663</v>
      </c>
      <c r="AE144" s="64">
        <f t="shared" si="39"/>
        <v>0</v>
      </c>
      <c r="AF144" s="64">
        <f t="shared" si="40"/>
        <v>6.8524507539165858E-3</v>
      </c>
      <c r="AG144" s="20">
        <f t="shared" si="30"/>
        <v>0</v>
      </c>
      <c r="AH144" s="20">
        <f t="shared" si="31"/>
        <v>12.524566865471039</v>
      </c>
      <c r="AI144" s="22"/>
    </row>
    <row r="145" spans="1:35">
      <c r="A145" s="28">
        <v>45801</v>
      </c>
      <c r="B145" s="4">
        <v>97.5</v>
      </c>
      <c r="C145" s="4">
        <v>412.5</v>
      </c>
      <c r="D145" s="4">
        <v>37.25</v>
      </c>
      <c r="E145" s="6">
        <v>282.5</v>
      </c>
      <c r="F145" s="4">
        <v>232.25</v>
      </c>
      <c r="G145" s="4">
        <v>0</v>
      </c>
      <c r="H145" s="4">
        <v>22.5</v>
      </c>
      <c r="I145" s="4">
        <v>1314.6666666666667</v>
      </c>
      <c r="J145" s="4">
        <v>75</v>
      </c>
      <c r="K145" s="4">
        <v>1726.1666666666665</v>
      </c>
      <c r="L145" s="4">
        <v>195</v>
      </c>
      <c r="M145" s="3">
        <v>187.5</v>
      </c>
      <c r="N145" s="107">
        <f t="shared" si="36"/>
        <v>15.44115253491697</v>
      </c>
      <c r="O145" s="7">
        <f t="shared" si="32"/>
        <v>3895.3333333333335</v>
      </c>
      <c r="P145" s="7">
        <f t="shared" si="33"/>
        <v>3879.8921807984166</v>
      </c>
      <c r="Q145" s="7">
        <f t="shared" si="34"/>
        <v>1299.2255141317498</v>
      </c>
      <c r="R145" s="7">
        <f t="shared" si="35"/>
        <v>1726.1666666666665</v>
      </c>
      <c r="S145" s="7">
        <v>2744</v>
      </c>
      <c r="T145" s="7">
        <v>6908</v>
      </c>
      <c r="U145" s="7">
        <v>1747</v>
      </c>
      <c r="V145" s="7">
        <v>120564</v>
      </c>
      <c r="W145" s="7">
        <f t="shared" si="37"/>
        <v>116073</v>
      </c>
      <c r="X145" s="103">
        <f t="shared" si="38"/>
        <v>122700</v>
      </c>
      <c r="Y145" s="103"/>
      <c r="Z145" s="7">
        <v>0</v>
      </c>
      <c r="AB145" s="2">
        <v>2136</v>
      </c>
      <c r="AC145" s="103">
        <v>145419</v>
      </c>
      <c r="AD145" s="103">
        <v>118209</v>
      </c>
      <c r="AE145" s="64">
        <f t="shared" si="39"/>
        <v>0</v>
      </c>
      <c r="AF145" s="64">
        <f t="shared" si="40"/>
        <v>1.1745298581326296E-2</v>
      </c>
      <c r="AG145" s="20">
        <f t="shared" si="30"/>
        <v>0</v>
      </c>
      <c r="AH145" s="20">
        <f t="shared" si="31"/>
        <v>15.44115253491697</v>
      </c>
      <c r="AI145" s="22"/>
    </row>
    <row r="146" spans="1:35">
      <c r="A146" s="28">
        <v>45802</v>
      </c>
      <c r="B146" s="4"/>
      <c r="C146" s="4">
        <v>157.08333333333331</v>
      </c>
      <c r="D146" s="4">
        <v>57</v>
      </c>
      <c r="E146" s="6">
        <v>0</v>
      </c>
      <c r="F146" s="4">
        <v>142.5</v>
      </c>
      <c r="G146" s="4">
        <v>0</v>
      </c>
      <c r="H146" s="4">
        <v>15</v>
      </c>
      <c r="I146" s="4">
        <v>654.25000000000011</v>
      </c>
      <c r="J146" s="4">
        <v>82.5</v>
      </c>
      <c r="K146" s="4">
        <v>464.25</v>
      </c>
      <c r="L146" s="4">
        <v>0</v>
      </c>
      <c r="M146" s="3">
        <v>130.83333333333331</v>
      </c>
      <c r="N146" s="107">
        <f t="shared" si="36"/>
        <v>9.1952768815890256</v>
      </c>
      <c r="O146" s="7">
        <f t="shared" si="32"/>
        <v>1557.5833333333335</v>
      </c>
      <c r="P146" s="7">
        <f t="shared" si="33"/>
        <v>1548.3880564517444</v>
      </c>
      <c r="Q146" s="7">
        <f t="shared" si="34"/>
        <v>645.05472311841106</v>
      </c>
      <c r="R146" s="7">
        <f t="shared" si="35"/>
        <v>464.25</v>
      </c>
      <c r="S146" s="7">
        <v>4058</v>
      </c>
      <c r="T146" s="7">
        <v>7595</v>
      </c>
      <c r="U146" s="7">
        <v>1716</v>
      </c>
      <c r="V146" s="7">
        <v>65818</v>
      </c>
      <c r="W146" s="7">
        <f t="shared" si="37"/>
        <v>60044</v>
      </c>
      <c r="X146" s="103">
        <f t="shared" si="38"/>
        <v>67145</v>
      </c>
      <c r="Y146" s="103"/>
      <c r="Z146" s="7">
        <v>0</v>
      </c>
      <c r="AB146" s="2">
        <v>1327</v>
      </c>
      <c r="AC146" s="103">
        <v>50562</v>
      </c>
      <c r="AD146" s="103">
        <v>61371</v>
      </c>
      <c r="AE146" s="64">
        <f t="shared" si="39"/>
        <v>0</v>
      </c>
      <c r="AF146" s="64">
        <f t="shared" si="40"/>
        <v>1.4054683808313373E-2</v>
      </c>
      <c r="AG146" s="20">
        <f t="shared" si="30"/>
        <v>0</v>
      </c>
      <c r="AH146" s="20">
        <f t="shared" si="31"/>
        <v>9.1952768815890256</v>
      </c>
      <c r="AI146" s="22"/>
    </row>
    <row r="147" spans="1:35">
      <c r="A147" s="28">
        <v>45803</v>
      </c>
      <c r="B147" s="4">
        <v>157.5</v>
      </c>
      <c r="C147" s="4">
        <v>442.5</v>
      </c>
      <c r="D147" s="4">
        <v>97.5</v>
      </c>
      <c r="E147" s="6">
        <v>517.33333333333337</v>
      </c>
      <c r="F147" s="4">
        <v>298.91666666666663</v>
      </c>
      <c r="G147" s="4">
        <v>146.08333333333334</v>
      </c>
      <c r="H147" s="4">
        <v>72.5</v>
      </c>
      <c r="I147" s="4">
        <v>2090.333333333333</v>
      </c>
      <c r="J147" s="4">
        <v>165</v>
      </c>
      <c r="K147" s="4">
        <v>2076.4166666666665</v>
      </c>
      <c r="L147" s="4">
        <v>138.5</v>
      </c>
      <c r="M147" s="3">
        <v>321.91666666666669</v>
      </c>
      <c r="N147" s="107">
        <f t="shared" si="36"/>
        <v>17.659058510214042</v>
      </c>
      <c r="O147" s="7">
        <f t="shared" si="32"/>
        <v>5328.1666666666661</v>
      </c>
      <c r="P147" s="7">
        <f t="shared" si="33"/>
        <v>5310.5076081564521</v>
      </c>
      <c r="Q147" s="7">
        <f t="shared" si="34"/>
        <v>2072.674274823119</v>
      </c>
      <c r="R147" s="7">
        <f t="shared" si="35"/>
        <v>2076.4166666666665</v>
      </c>
      <c r="S147" s="7">
        <v>10023</v>
      </c>
      <c r="T147" s="7">
        <v>13272</v>
      </c>
      <c r="U147" s="7">
        <v>1918</v>
      </c>
      <c r="V147" s="7">
        <v>181063</v>
      </c>
      <c r="W147" s="7">
        <f t="shared" si="37"/>
        <v>169122</v>
      </c>
      <c r="X147" s="103">
        <f t="shared" si="38"/>
        <v>183290</v>
      </c>
      <c r="Y147" s="103"/>
      <c r="Z147" s="7">
        <v>0</v>
      </c>
      <c r="AB147" s="2">
        <v>2227</v>
      </c>
      <c r="AC147" s="103">
        <v>196963</v>
      </c>
      <c r="AD147" s="103">
        <v>171349</v>
      </c>
      <c r="AE147" s="64">
        <f t="shared" si="39"/>
        <v>0</v>
      </c>
      <c r="AF147" s="64">
        <f t="shared" si="40"/>
        <v>8.4479629294597573E-3</v>
      </c>
      <c r="AG147" s="20">
        <f t="shared" si="30"/>
        <v>0</v>
      </c>
      <c r="AH147" s="20">
        <f t="shared" si="31"/>
        <v>17.659058510214042</v>
      </c>
      <c r="AI147" s="22"/>
    </row>
    <row r="148" spans="1:35">
      <c r="A148" s="28">
        <v>45804</v>
      </c>
      <c r="B148" s="4">
        <v>172.5</v>
      </c>
      <c r="C148" s="4">
        <v>366.25</v>
      </c>
      <c r="D148" s="4">
        <v>97.083333333333343</v>
      </c>
      <c r="E148" s="6">
        <v>517</v>
      </c>
      <c r="F148" s="4">
        <v>299.66666666666663</v>
      </c>
      <c r="G148" s="4">
        <v>148.33333333333334</v>
      </c>
      <c r="H148" s="4">
        <v>72.5</v>
      </c>
      <c r="I148" s="4">
        <v>2077.416666666667</v>
      </c>
      <c r="J148" s="4">
        <v>165</v>
      </c>
      <c r="K148" s="4">
        <v>2292.9166666666665</v>
      </c>
      <c r="L148" s="4">
        <v>138.5</v>
      </c>
      <c r="M148" s="3">
        <v>328</v>
      </c>
      <c r="N148" s="107">
        <f t="shared" si="36"/>
        <v>12.158780786605757</v>
      </c>
      <c r="O148" s="7">
        <f t="shared" si="32"/>
        <v>5470.8333333333339</v>
      </c>
      <c r="P148" s="7">
        <f t="shared" si="33"/>
        <v>5458.6745525467277</v>
      </c>
      <c r="Q148" s="7">
        <f t="shared" si="34"/>
        <v>2065.2578858800612</v>
      </c>
      <c r="R148" s="7">
        <f t="shared" si="35"/>
        <v>2292.9166666666665</v>
      </c>
      <c r="S148" s="7">
        <v>9861</v>
      </c>
      <c r="T148" s="7">
        <v>17124</v>
      </c>
      <c r="U148" s="7">
        <v>5682</v>
      </c>
      <c r="V148" s="7">
        <v>209684</v>
      </c>
      <c r="W148" s="7">
        <f t="shared" si="37"/>
        <v>194141</v>
      </c>
      <c r="X148" s="103">
        <f t="shared" si="38"/>
        <v>211448</v>
      </c>
      <c r="Y148" s="103"/>
      <c r="Z148" s="7">
        <v>0</v>
      </c>
      <c r="AB148" s="2">
        <v>1764</v>
      </c>
      <c r="AC148" s="103">
        <v>202646</v>
      </c>
      <c r="AD148" s="103">
        <v>195905</v>
      </c>
      <c r="AE148" s="64">
        <f t="shared" si="39"/>
        <v>0</v>
      </c>
      <c r="AF148" s="64">
        <f t="shared" si="40"/>
        <v>5.852836834179833E-3</v>
      </c>
      <c r="AG148" s="20">
        <f t="shared" si="30"/>
        <v>0</v>
      </c>
      <c r="AH148" s="20">
        <f t="shared" si="31"/>
        <v>12.158780786605757</v>
      </c>
      <c r="AI148" s="22"/>
    </row>
    <row r="149" spans="1:35">
      <c r="A149" s="28">
        <v>45805</v>
      </c>
      <c r="B149" s="4">
        <v>170.33333333333337</v>
      </c>
      <c r="C149" s="4">
        <v>294.16666666666669</v>
      </c>
      <c r="D149" s="4">
        <v>91.583333333333329</v>
      </c>
      <c r="E149" s="6">
        <v>541.58333333333326</v>
      </c>
      <c r="F149" s="4">
        <v>279.41666666666669</v>
      </c>
      <c r="G149" s="4">
        <v>151.08333333333331</v>
      </c>
      <c r="H149" s="4">
        <v>72.5</v>
      </c>
      <c r="I149" s="4">
        <v>2061</v>
      </c>
      <c r="J149" s="4">
        <v>165</v>
      </c>
      <c r="K149" s="4">
        <v>2367.3333333333335</v>
      </c>
      <c r="L149" s="4">
        <v>138.5</v>
      </c>
      <c r="M149" s="3">
        <v>317.75</v>
      </c>
      <c r="N149" s="107">
        <f t="shared" si="36"/>
        <v>9.8357949320271896</v>
      </c>
      <c r="O149" s="7">
        <f t="shared" si="32"/>
        <v>5428.8333333333339</v>
      </c>
      <c r="P149" s="7">
        <f t="shared" si="33"/>
        <v>5418.9975384013069</v>
      </c>
      <c r="Q149" s="7">
        <f t="shared" si="34"/>
        <v>2051.1642050679729</v>
      </c>
      <c r="R149" s="7">
        <f t="shared" si="35"/>
        <v>2367.3333333333335</v>
      </c>
      <c r="S149" s="7">
        <v>7615</v>
      </c>
      <c r="T149" s="7">
        <v>15225</v>
      </c>
      <c r="U149" s="7">
        <v>5877</v>
      </c>
      <c r="V149" s="7">
        <v>212103</v>
      </c>
      <c r="W149" s="7">
        <f t="shared" si="37"/>
        <v>198611</v>
      </c>
      <c r="X149" s="103">
        <f t="shared" si="38"/>
        <v>213572</v>
      </c>
      <c r="Y149" s="103"/>
      <c r="Z149" s="7">
        <v>0</v>
      </c>
      <c r="AB149" s="2">
        <v>1469</v>
      </c>
      <c r="AC149" s="103">
        <v>206613</v>
      </c>
      <c r="AD149" s="103">
        <v>200080</v>
      </c>
      <c r="AE149" s="64">
        <f t="shared" si="39"/>
        <v>0</v>
      </c>
      <c r="AF149" s="64">
        <f t="shared" si="40"/>
        <v>4.7723410635745703E-3</v>
      </c>
      <c r="AG149" s="20">
        <f t="shared" si="30"/>
        <v>0</v>
      </c>
      <c r="AH149" s="20">
        <f t="shared" si="31"/>
        <v>9.8357949320271896</v>
      </c>
      <c r="AI149" s="22"/>
    </row>
    <row r="150" spans="1:35">
      <c r="A150" s="28">
        <v>45806</v>
      </c>
      <c r="B150" s="4">
        <v>178.41666666666663</v>
      </c>
      <c r="C150" s="4">
        <v>368</v>
      </c>
      <c r="D150" s="4">
        <v>97.5</v>
      </c>
      <c r="E150" s="6">
        <v>557.16666666666674</v>
      </c>
      <c r="F150" s="4">
        <v>284.08333333333331</v>
      </c>
      <c r="G150" s="4">
        <v>152.16666666666669</v>
      </c>
      <c r="H150" s="4">
        <v>70.833333333333343</v>
      </c>
      <c r="I150" s="4">
        <v>2102.5</v>
      </c>
      <c r="J150" s="4">
        <v>164.41666666666669</v>
      </c>
      <c r="K150" s="4">
        <v>2279.9166666666665</v>
      </c>
      <c r="L150" s="4">
        <v>146</v>
      </c>
      <c r="M150" s="3">
        <v>328.16666666666663</v>
      </c>
      <c r="N150" s="107">
        <f t="shared" si="36"/>
        <v>12.668574723584975</v>
      </c>
      <c r="O150" s="7">
        <f t="shared" si="32"/>
        <v>5474.833333333333</v>
      </c>
      <c r="P150" s="7">
        <f t="shared" si="33"/>
        <v>5462.1647586097479</v>
      </c>
      <c r="Q150" s="7">
        <f t="shared" si="34"/>
        <v>2089.8314252764148</v>
      </c>
      <c r="R150" s="7">
        <f t="shared" si="35"/>
        <v>2279.9166666666665</v>
      </c>
      <c r="S150" s="7">
        <v>4768</v>
      </c>
      <c r="T150" s="7">
        <v>16551</v>
      </c>
      <c r="U150" s="7">
        <v>4023</v>
      </c>
      <c r="V150" s="7">
        <v>211747</v>
      </c>
      <c r="W150" s="7">
        <f t="shared" si="37"/>
        <v>202956</v>
      </c>
      <c r="X150" s="103">
        <f t="shared" si="38"/>
        <v>213646</v>
      </c>
      <c r="Y150" s="103"/>
      <c r="Z150" s="7">
        <v>0</v>
      </c>
      <c r="AB150" s="2">
        <v>1899</v>
      </c>
      <c r="AC150" s="103">
        <v>206702</v>
      </c>
      <c r="AD150" s="103">
        <v>204855</v>
      </c>
      <c r="AE150" s="64">
        <f t="shared" si="39"/>
        <v>0</v>
      </c>
      <c r="AF150" s="64">
        <f t="shared" si="40"/>
        <v>6.0254814380903566E-3</v>
      </c>
      <c r="AG150" s="20">
        <f t="shared" si="30"/>
        <v>0</v>
      </c>
      <c r="AH150" s="20">
        <f t="shared" si="31"/>
        <v>12.668574723584975</v>
      </c>
      <c r="AI150" s="22"/>
    </row>
    <row r="151" spans="1:35">
      <c r="A151" s="28">
        <v>45807</v>
      </c>
      <c r="B151" s="4">
        <v>165</v>
      </c>
      <c r="C151" s="4">
        <v>206.5</v>
      </c>
      <c r="D151" s="4">
        <v>97.5</v>
      </c>
      <c r="E151" s="6">
        <v>550.5</v>
      </c>
      <c r="F151" s="4">
        <v>289.5</v>
      </c>
      <c r="G151" s="4">
        <v>153</v>
      </c>
      <c r="H151" s="4">
        <v>72.5</v>
      </c>
      <c r="I151" s="4">
        <v>2122.7500000000005</v>
      </c>
      <c r="J151" s="4">
        <v>165</v>
      </c>
      <c r="K151" s="4">
        <v>2363.833333333333</v>
      </c>
      <c r="L151" s="4">
        <v>153.5</v>
      </c>
      <c r="M151" s="3">
        <v>324.91666666666663</v>
      </c>
      <c r="N151" s="107">
        <f t="shared" si="36"/>
        <v>11.198626058495753</v>
      </c>
      <c r="O151" s="7">
        <f t="shared" si="32"/>
        <v>5410.0833333333339</v>
      </c>
      <c r="P151" s="7">
        <f t="shared" si="33"/>
        <v>5398.8847072748376</v>
      </c>
      <c r="Q151" s="7">
        <f t="shared" si="34"/>
        <v>2111.5513739415046</v>
      </c>
      <c r="R151" s="7">
        <f t="shared" si="35"/>
        <v>2363.833333333333</v>
      </c>
      <c r="S151" s="7">
        <v>8114</v>
      </c>
      <c r="T151" s="7">
        <v>11927</v>
      </c>
      <c r="U151" s="7">
        <v>2681</v>
      </c>
      <c r="V151" s="7">
        <v>205354</v>
      </c>
      <c r="W151" s="7">
        <f t="shared" si="37"/>
        <v>194559</v>
      </c>
      <c r="X151" s="103">
        <f t="shared" si="38"/>
        <v>206946</v>
      </c>
      <c r="Y151" s="103"/>
      <c r="Z151" s="7">
        <v>0</v>
      </c>
      <c r="AB151" s="2">
        <v>1592</v>
      </c>
      <c r="AC151" s="103">
        <v>197727</v>
      </c>
      <c r="AD151" s="103">
        <v>196151</v>
      </c>
      <c r="AE151" s="64">
        <f t="shared" si="39"/>
        <v>0</v>
      </c>
      <c r="AF151" s="64">
        <f t="shared" si="40"/>
        <v>5.2755275272621605E-3</v>
      </c>
      <c r="AG151" s="20">
        <f t="shared" si="30"/>
        <v>0</v>
      </c>
      <c r="AH151" s="20">
        <f t="shared" si="31"/>
        <v>11.198626058495753</v>
      </c>
      <c r="AI151" s="22"/>
    </row>
    <row r="152" spans="1:35">
      <c r="A152" s="28">
        <v>45808</v>
      </c>
      <c r="B152" s="4">
        <v>150</v>
      </c>
      <c r="C152" s="4">
        <v>202.5</v>
      </c>
      <c r="D152" s="4">
        <v>97.5</v>
      </c>
      <c r="E152" s="6">
        <v>383</v>
      </c>
      <c r="F152" s="4">
        <v>344.33333333333331</v>
      </c>
      <c r="G152" s="4">
        <v>4.25</v>
      </c>
      <c r="H152" s="4">
        <v>30</v>
      </c>
      <c r="I152" s="4">
        <v>2531.75</v>
      </c>
      <c r="J152" s="4">
        <v>120</v>
      </c>
      <c r="K152" s="4">
        <v>2205.8333333333335</v>
      </c>
      <c r="L152" s="4">
        <v>195</v>
      </c>
      <c r="M152" s="3">
        <v>305.33333333333331</v>
      </c>
      <c r="N152" s="107">
        <f t="shared" si="36"/>
        <v>6.266152991286484</v>
      </c>
      <c r="O152" s="7">
        <f t="shared" si="32"/>
        <v>5651.9166666666661</v>
      </c>
      <c r="P152" s="7">
        <f t="shared" si="33"/>
        <v>5645.6505136753804</v>
      </c>
      <c r="Q152" s="7">
        <f t="shared" si="34"/>
        <v>2525.4838470087134</v>
      </c>
      <c r="R152" s="7">
        <f t="shared" si="35"/>
        <v>2205.8333333333335</v>
      </c>
      <c r="S152" s="7">
        <v>7883</v>
      </c>
      <c r="T152" s="7">
        <v>12955</v>
      </c>
      <c r="U152" s="7">
        <v>3499</v>
      </c>
      <c r="V152" s="7">
        <v>236378</v>
      </c>
      <c r="W152" s="7">
        <f t="shared" si="37"/>
        <v>224996</v>
      </c>
      <c r="X152" s="103">
        <f t="shared" si="38"/>
        <v>237238</v>
      </c>
      <c r="Y152" s="103"/>
      <c r="Z152" s="7">
        <v>0</v>
      </c>
      <c r="AB152" s="2">
        <v>860</v>
      </c>
      <c r="AC152" s="103">
        <v>197735</v>
      </c>
      <c r="AD152" s="103">
        <v>225856</v>
      </c>
      <c r="AE152" s="64">
        <f t="shared" si="39"/>
        <v>0</v>
      </c>
      <c r="AF152" s="64">
        <f t="shared" si="40"/>
        <v>2.4750283366392748E-3</v>
      </c>
      <c r="AG152" s="20">
        <f t="shared" si="30"/>
        <v>0</v>
      </c>
      <c r="AH152" s="20">
        <f t="shared" si="31"/>
        <v>6.266152991286484</v>
      </c>
      <c r="AI152" s="22"/>
    </row>
    <row r="153" spans="1:35">
      <c r="A153" s="28">
        <v>45809</v>
      </c>
      <c r="B153" s="4">
        <v>210</v>
      </c>
      <c r="C153" s="4">
        <v>193.16666666666666</v>
      </c>
      <c r="D153" s="4">
        <v>97.5</v>
      </c>
      <c r="E153" s="6">
        <v>0</v>
      </c>
      <c r="F153" s="4">
        <v>285</v>
      </c>
      <c r="G153" s="4">
        <v>0</v>
      </c>
      <c r="H153" s="4">
        <v>22.5</v>
      </c>
      <c r="I153" s="4">
        <v>2006.5</v>
      </c>
      <c r="J153" s="4">
        <v>150</v>
      </c>
      <c r="K153" s="4">
        <v>1638</v>
      </c>
      <c r="L153" s="4">
        <v>0</v>
      </c>
      <c r="M153" s="3">
        <v>284.83333333333331</v>
      </c>
      <c r="N153" s="107">
        <f t="shared" si="36"/>
        <v>6.6681802060989863</v>
      </c>
      <c r="O153" s="7">
        <f t="shared" si="32"/>
        <v>4580.1666666666661</v>
      </c>
      <c r="P153" s="7">
        <f t="shared" si="33"/>
        <v>4573.4984864605676</v>
      </c>
      <c r="Q153" s="7">
        <f t="shared" si="34"/>
        <v>1999.8318197939011</v>
      </c>
      <c r="R153" s="7">
        <f t="shared" si="35"/>
        <v>1638</v>
      </c>
      <c r="S153" s="7">
        <v>7724</v>
      </c>
      <c r="T153" s="7">
        <v>14524</v>
      </c>
      <c r="U153" s="7">
        <v>3730</v>
      </c>
      <c r="V153" s="7">
        <v>186779</v>
      </c>
      <c r="W153" s="7">
        <f t="shared" si="37"/>
        <v>175325</v>
      </c>
      <c r="X153" s="103">
        <f t="shared" si="38"/>
        <v>187680</v>
      </c>
      <c r="Y153" s="103"/>
      <c r="Z153" s="7">
        <v>0</v>
      </c>
      <c r="AB153" s="2">
        <v>901</v>
      </c>
      <c r="AC153" s="103">
        <v>171962</v>
      </c>
      <c r="AD153" s="103">
        <v>176226</v>
      </c>
      <c r="AE153" s="64">
        <f t="shared" si="39"/>
        <v>0</v>
      </c>
      <c r="AF153" s="64">
        <f t="shared" si="40"/>
        <v>3.3232894124590015E-3</v>
      </c>
      <c r="AG153" s="20">
        <f t="shared" si="30"/>
        <v>0</v>
      </c>
      <c r="AH153" s="20">
        <f t="shared" si="31"/>
        <v>6.6681802060989863</v>
      </c>
      <c r="AI153" s="22"/>
    </row>
    <row r="154" spans="1:35">
      <c r="A154" s="28">
        <v>45810</v>
      </c>
      <c r="B154" s="4">
        <v>247.5</v>
      </c>
      <c r="C154" s="4">
        <v>143.16666666666669</v>
      </c>
      <c r="D154" s="4">
        <v>97.5</v>
      </c>
      <c r="E154" s="6">
        <v>418.33333333333326</v>
      </c>
      <c r="F154" s="4">
        <v>297.74999999999994</v>
      </c>
      <c r="G154" s="4">
        <v>84.75</v>
      </c>
      <c r="H154" s="4">
        <v>70.416666666666657</v>
      </c>
      <c r="I154" s="4">
        <v>2054.6666666666665</v>
      </c>
      <c r="J154" s="4">
        <v>164.33333333333331</v>
      </c>
      <c r="K154" s="4">
        <v>1411</v>
      </c>
      <c r="L154" s="4">
        <v>153.25</v>
      </c>
      <c r="M154" s="3">
        <v>327.16666666666663</v>
      </c>
      <c r="N154" s="107">
        <f t="shared" si="36"/>
        <v>12.67773727722542</v>
      </c>
      <c r="O154" s="7">
        <f t="shared" si="32"/>
        <v>4415.9166666666661</v>
      </c>
      <c r="P154" s="7">
        <f t="shared" si="33"/>
        <v>4403.2389293894412</v>
      </c>
      <c r="Q154" s="7">
        <f t="shared" si="34"/>
        <v>2041.9889293894412</v>
      </c>
      <c r="R154" s="7">
        <f t="shared" si="35"/>
        <v>1411</v>
      </c>
      <c r="S154" s="7">
        <v>9573</v>
      </c>
      <c r="T154" s="7">
        <v>18300</v>
      </c>
      <c r="U154" s="7">
        <v>3757</v>
      </c>
      <c r="V154" s="7">
        <v>204907</v>
      </c>
      <c r="W154" s="7">
        <f t="shared" si="37"/>
        <v>191577</v>
      </c>
      <c r="X154" s="103">
        <f t="shared" si="38"/>
        <v>206743</v>
      </c>
      <c r="Y154" s="103"/>
      <c r="Z154" s="7">
        <v>0</v>
      </c>
      <c r="AB154" s="2">
        <v>1836</v>
      </c>
      <c r="AC154" s="103">
        <v>131012</v>
      </c>
      <c r="AD154" s="103">
        <v>193413</v>
      </c>
      <c r="AE154" s="64">
        <f t="shared" si="39"/>
        <v>0</v>
      </c>
      <c r="AF154" s="64">
        <f t="shared" si="40"/>
        <v>6.1702160661382642E-3</v>
      </c>
      <c r="AG154" s="20">
        <f t="shared" si="30"/>
        <v>0</v>
      </c>
      <c r="AH154" s="20">
        <f t="shared" si="31"/>
        <v>12.67773727722542</v>
      </c>
      <c r="AI154" s="22"/>
    </row>
    <row r="155" spans="1:35">
      <c r="A155" s="28">
        <v>45811</v>
      </c>
      <c r="B155" s="4">
        <v>255</v>
      </c>
      <c r="C155" s="4">
        <v>344.75</v>
      </c>
      <c r="D155" s="4">
        <v>97.5</v>
      </c>
      <c r="E155" s="6">
        <v>393.41666666666663</v>
      </c>
      <c r="F155" s="4">
        <v>291.66666666666669</v>
      </c>
      <c r="G155" s="4">
        <v>84.75</v>
      </c>
      <c r="H155" s="4">
        <v>72.5</v>
      </c>
      <c r="I155" s="4">
        <v>1644.8333333333333</v>
      </c>
      <c r="J155" s="4">
        <v>165</v>
      </c>
      <c r="K155" s="4">
        <v>1114.75</v>
      </c>
      <c r="L155" s="4">
        <v>153.5</v>
      </c>
      <c r="M155" s="3">
        <v>328.91666666666669</v>
      </c>
      <c r="N155" s="107">
        <f t="shared" si="36"/>
        <v>8.6731210812722583</v>
      </c>
      <c r="O155" s="7">
        <f t="shared" si="32"/>
        <v>3913.5</v>
      </c>
      <c r="P155" s="7">
        <f t="shared" si="33"/>
        <v>3904.8268789187277</v>
      </c>
      <c r="Q155" s="7">
        <f t="shared" si="34"/>
        <v>1636.160212252061</v>
      </c>
      <c r="R155" s="7">
        <f t="shared" si="35"/>
        <v>1114.75</v>
      </c>
      <c r="S155" s="7">
        <v>9667</v>
      </c>
      <c r="T155" s="7">
        <v>16596</v>
      </c>
      <c r="U155" s="7">
        <v>3690</v>
      </c>
      <c r="V155" s="7">
        <v>161060</v>
      </c>
      <c r="W155" s="7">
        <f t="shared" si="37"/>
        <v>147703</v>
      </c>
      <c r="X155" s="103">
        <f t="shared" si="38"/>
        <v>162268</v>
      </c>
      <c r="Y155" s="103"/>
      <c r="Z155" s="7">
        <v>0</v>
      </c>
      <c r="AB155" s="2">
        <v>1208</v>
      </c>
      <c r="AC155" s="103">
        <v>99030</v>
      </c>
      <c r="AD155" s="103">
        <v>148911</v>
      </c>
      <c r="AE155" s="64">
        <f t="shared" si="39"/>
        <v>0</v>
      </c>
      <c r="AF155" s="64">
        <f t="shared" si="40"/>
        <v>5.2729482711149616E-3</v>
      </c>
      <c r="AG155" s="20">
        <f t="shared" si="30"/>
        <v>0</v>
      </c>
      <c r="AH155" s="20">
        <f t="shared" si="31"/>
        <v>8.6731210812722583</v>
      </c>
      <c r="AI155" s="22"/>
    </row>
    <row r="156" spans="1:35" customFormat="1">
      <c r="A156" s="28">
        <v>45812</v>
      </c>
      <c r="B156" s="4">
        <v>142.5</v>
      </c>
      <c r="C156" s="4">
        <v>568.75</v>
      </c>
      <c r="D156" s="4">
        <v>97.5</v>
      </c>
      <c r="E156" s="6">
        <v>399.5</v>
      </c>
      <c r="F156" s="4">
        <v>274.08333333333337</v>
      </c>
      <c r="G156" s="4">
        <v>80.5</v>
      </c>
      <c r="H156" s="4">
        <v>72.5</v>
      </c>
      <c r="I156" s="4">
        <v>1242.5833333333335</v>
      </c>
      <c r="J156" s="4">
        <v>134.58333333333331</v>
      </c>
      <c r="K156" s="4">
        <v>806.66666666666663</v>
      </c>
      <c r="L156" s="4">
        <v>153.5</v>
      </c>
      <c r="M156" s="3">
        <v>320.41666666666669</v>
      </c>
      <c r="N156" s="107">
        <f t="shared" si="36"/>
        <v>12.775294480696706</v>
      </c>
      <c r="O156" s="7">
        <f t="shared" si="32"/>
        <v>3266.666666666667</v>
      </c>
      <c r="P156" s="7">
        <f t="shared" si="33"/>
        <v>3253.8913721859703</v>
      </c>
      <c r="Q156" s="7">
        <f t="shared" si="34"/>
        <v>1229.8080388526369</v>
      </c>
      <c r="R156" s="7">
        <f t="shared" si="35"/>
        <v>806.66666666666663</v>
      </c>
      <c r="S156" s="7">
        <v>3823</v>
      </c>
      <c r="T156" s="7">
        <v>8941</v>
      </c>
      <c r="U156" s="7">
        <v>1465</v>
      </c>
      <c r="V156" s="7">
        <v>84621</v>
      </c>
      <c r="W156" s="7">
        <f t="shared" si="37"/>
        <v>79333</v>
      </c>
      <c r="X156" s="103">
        <f t="shared" si="38"/>
        <v>85896</v>
      </c>
      <c r="Y156" s="103"/>
      <c r="Z156" s="7">
        <v>0</v>
      </c>
      <c r="AA156" s="7"/>
      <c r="AB156" s="2">
        <v>1275</v>
      </c>
      <c r="AC156" s="103">
        <v>68905</v>
      </c>
      <c r="AD156" s="103">
        <v>80608</v>
      </c>
      <c r="AE156" s="64">
        <f t="shared" si="39"/>
        <v>0</v>
      </c>
      <c r="AF156" s="64">
        <f t="shared" si="40"/>
        <v>1.0281237594283446E-2</v>
      </c>
      <c r="AG156" s="20">
        <f t="shared" si="30"/>
        <v>0</v>
      </c>
      <c r="AH156" s="20">
        <f t="shared" si="31"/>
        <v>12.775294480696706</v>
      </c>
      <c r="AI156" s="22"/>
    </row>
    <row r="157" spans="1:35" customFormat="1">
      <c r="A157" s="28">
        <v>45813</v>
      </c>
      <c r="B157" s="4">
        <v>42.5</v>
      </c>
      <c r="C157" s="4">
        <v>321.16666666666669</v>
      </c>
      <c r="D157" s="4">
        <v>47.666666666666664</v>
      </c>
      <c r="E157" s="6">
        <v>193.08333333333331</v>
      </c>
      <c r="F157" s="4">
        <v>151</v>
      </c>
      <c r="G157" s="4">
        <v>40</v>
      </c>
      <c r="H157" s="4">
        <v>32</v>
      </c>
      <c r="I157" s="4">
        <v>619.41666666666674</v>
      </c>
      <c r="J157" s="4">
        <v>80.5</v>
      </c>
      <c r="K157" s="4">
        <v>443.83333333333337</v>
      </c>
      <c r="L157" s="4">
        <v>123.16666666666666</v>
      </c>
      <c r="M157" s="3">
        <v>155.66666666666666</v>
      </c>
      <c r="N157" s="107">
        <f t="shared" si="36"/>
        <v>8.3318668861866829</v>
      </c>
      <c r="O157" s="7">
        <f t="shared" si="32"/>
        <v>1706.0833333333335</v>
      </c>
      <c r="P157" s="7">
        <f t="shared" si="33"/>
        <v>1697.7514664471469</v>
      </c>
      <c r="Q157" s="7">
        <f t="shared" si="34"/>
        <v>611.08479978048001</v>
      </c>
      <c r="R157" s="7">
        <f t="shared" si="35"/>
        <v>443.83333333333337</v>
      </c>
      <c r="S157" s="7">
        <v>2818</v>
      </c>
      <c r="T157" s="7">
        <v>3961</v>
      </c>
      <c r="U157" s="7">
        <v>573</v>
      </c>
      <c r="V157" s="7">
        <v>43095</v>
      </c>
      <c r="W157" s="7">
        <f t="shared" si="37"/>
        <v>39704</v>
      </c>
      <c r="X157" s="103">
        <f t="shared" si="38"/>
        <v>43934</v>
      </c>
      <c r="Y157" s="103"/>
      <c r="Z157" s="7">
        <v>0</v>
      </c>
      <c r="AA157" s="7"/>
      <c r="AB157" s="2">
        <v>839</v>
      </c>
      <c r="AC157" s="103">
        <v>36317</v>
      </c>
      <c r="AD157" s="103">
        <v>40543</v>
      </c>
      <c r="AE157" s="64">
        <f t="shared" si="39"/>
        <v>0</v>
      </c>
      <c r="AF157" s="64">
        <f t="shared" si="40"/>
        <v>1.3451150630195101E-2</v>
      </c>
      <c r="AG157" s="20">
        <f t="shared" si="30"/>
        <v>0</v>
      </c>
      <c r="AH157" s="20">
        <f t="shared" si="31"/>
        <v>8.3318668861866829</v>
      </c>
      <c r="AI157" s="22"/>
    </row>
    <row r="158" spans="1:35" customFormat="1">
      <c r="A158" s="28">
        <v>45814</v>
      </c>
      <c r="B158" s="4"/>
      <c r="C158" s="4">
        <v>0</v>
      </c>
      <c r="D158" s="4">
        <v>0</v>
      </c>
      <c r="E158" s="6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3">
        <v>0</v>
      </c>
      <c r="N158" s="107">
        <f t="shared" si="36"/>
        <v>0</v>
      </c>
      <c r="O158" s="7">
        <f t="shared" si="32"/>
        <v>0</v>
      </c>
      <c r="P158" s="7">
        <f t="shared" si="33"/>
        <v>0</v>
      </c>
      <c r="Q158" s="7">
        <f t="shared" si="34"/>
        <v>0</v>
      </c>
      <c r="R158" s="7">
        <f t="shared" si="35"/>
        <v>0</v>
      </c>
      <c r="S158" s="60">
        <v>0</v>
      </c>
      <c r="T158" s="60">
        <v>0</v>
      </c>
      <c r="U158" s="60">
        <v>0</v>
      </c>
      <c r="V158" s="60">
        <v>0</v>
      </c>
      <c r="W158" s="7">
        <f t="shared" si="37"/>
        <v>0</v>
      </c>
      <c r="X158" s="103">
        <f t="shared" si="38"/>
        <v>0</v>
      </c>
      <c r="Y158" s="103"/>
      <c r="Z158" s="7">
        <v>0</v>
      </c>
      <c r="AA158" s="7"/>
      <c r="AB158" s="2">
        <v>0</v>
      </c>
      <c r="AC158" s="103">
        <v>0</v>
      </c>
      <c r="AD158" s="103">
        <v>0</v>
      </c>
      <c r="AE158" s="64" t="e">
        <f t="shared" si="39"/>
        <v>#DIV/0!</v>
      </c>
      <c r="AF158" s="64"/>
      <c r="AG158" s="20"/>
      <c r="AH158" s="20"/>
      <c r="AI158" s="22"/>
    </row>
    <row r="159" spans="1:35" customFormat="1">
      <c r="A159" s="28">
        <v>45815</v>
      </c>
      <c r="B159" s="4"/>
      <c r="C159" s="4">
        <v>0</v>
      </c>
      <c r="D159" s="4">
        <v>0</v>
      </c>
      <c r="E159" s="6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3">
        <v>0</v>
      </c>
      <c r="N159" s="107">
        <f t="shared" si="36"/>
        <v>0</v>
      </c>
      <c r="O159" s="7">
        <f t="shared" si="32"/>
        <v>0</v>
      </c>
      <c r="P159" s="7">
        <f t="shared" si="33"/>
        <v>0</v>
      </c>
      <c r="Q159" s="7">
        <f t="shared" si="34"/>
        <v>0</v>
      </c>
      <c r="R159" s="7">
        <f t="shared" si="35"/>
        <v>0</v>
      </c>
      <c r="S159" s="60">
        <v>0</v>
      </c>
      <c r="T159" s="60">
        <v>0</v>
      </c>
      <c r="U159" s="60">
        <v>0</v>
      </c>
      <c r="V159" s="60">
        <v>0</v>
      </c>
      <c r="W159" s="7">
        <f t="shared" si="37"/>
        <v>0</v>
      </c>
      <c r="X159" s="103">
        <f t="shared" si="38"/>
        <v>0</v>
      </c>
      <c r="Y159" s="103"/>
      <c r="Z159" s="7">
        <v>0</v>
      </c>
      <c r="AA159" s="7"/>
      <c r="AB159" s="2">
        <v>0</v>
      </c>
      <c r="AC159" s="103">
        <v>0</v>
      </c>
      <c r="AD159" s="103">
        <v>0</v>
      </c>
      <c r="AE159" s="64" t="e">
        <f t="shared" si="39"/>
        <v>#DIV/0!</v>
      </c>
      <c r="AF159" s="64"/>
      <c r="AG159" s="20"/>
      <c r="AH159" s="20"/>
      <c r="AI159" s="22"/>
    </row>
    <row r="160" spans="1:35" customFormat="1">
      <c r="A160" s="28">
        <v>45816</v>
      </c>
      <c r="B160" s="4"/>
      <c r="C160" s="4">
        <v>0</v>
      </c>
      <c r="D160" s="4">
        <v>0</v>
      </c>
      <c r="E160" s="6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3">
        <v>0</v>
      </c>
      <c r="N160" s="107">
        <f t="shared" si="36"/>
        <v>0</v>
      </c>
      <c r="O160" s="7">
        <f t="shared" si="32"/>
        <v>0</v>
      </c>
      <c r="P160" s="7">
        <f t="shared" si="33"/>
        <v>0</v>
      </c>
      <c r="Q160" s="7">
        <f t="shared" si="34"/>
        <v>0</v>
      </c>
      <c r="R160" s="7">
        <f t="shared" si="35"/>
        <v>0</v>
      </c>
      <c r="S160" s="60">
        <v>0</v>
      </c>
      <c r="T160" s="60">
        <v>0</v>
      </c>
      <c r="U160" s="60">
        <v>0</v>
      </c>
      <c r="V160" s="60">
        <v>0</v>
      </c>
      <c r="W160" s="7">
        <f t="shared" si="37"/>
        <v>0</v>
      </c>
      <c r="X160" s="103">
        <f t="shared" si="38"/>
        <v>0</v>
      </c>
      <c r="Y160" s="103"/>
      <c r="Z160" s="7">
        <v>0</v>
      </c>
      <c r="AA160" s="7"/>
      <c r="AB160" s="2">
        <v>0</v>
      </c>
      <c r="AC160" s="103">
        <v>0</v>
      </c>
      <c r="AD160" s="103">
        <v>0</v>
      </c>
      <c r="AE160" s="64" t="e">
        <f t="shared" si="39"/>
        <v>#DIV/0!</v>
      </c>
      <c r="AF160" s="64"/>
      <c r="AG160" s="20"/>
      <c r="AH160" s="20"/>
      <c r="AI160" s="22"/>
    </row>
    <row r="161" spans="1:35" customFormat="1">
      <c r="A161" s="28">
        <v>45817</v>
      </c>
      <c r="C161">
        <v>0</v>
      </c>
      <c r="D161">
        <v>0</v>
      </c>
      <c r="E161" s="6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s="3">
        <v>0</v>
      </c>
      <c r="N161" s="107">
        <f t="shared" si="36"/>
        <v>0</v>
      </c>
      <c r="O161" s="7">
        <f t="shared" si="32"/>
        <v>0</v>
      </c>
      <c r="P161" s="7">
        <f t="shared" si="33"/>
        <v>0</v>
      </c>
      <c r="Q161" s="7">
        <f t="shared" si="34"/>
        <v>0</v>
      </c>
      <c r="R161" s="7">
        <f t="shared" si="35"/>
        <v>0</v>
      </c>
      <c r="S161" s="60">
        <v>0</v>
      </c>
      <c r="T161" s="60">
        <v>0</v>
      </c>
      <c r="U161" s="60">
        <v>0</v>
      </c>
      <c r="V161" s="60">
        <v>0</v>
      </c>
      <c r="W161" s="7">
        <f t="shared" si="37"/>
        <v>0</v>
      </c>
      <c r="X161" s="103">
        <f t="shared" si="38"/>
        <v>0</v>
      </c>
      <c r="Y161" s="103"/>
      <c r="Z161" s="7">
        <v>0</v>
      </c>
      <c r="AA161" s="7"/>
      <c r="AB161" s="2">
        <v>0</v>
      </c>
      <c r="AC161" s="103">
        <v>0</v>
      </c>
      <c r="AD161" s="103">
        <v>0</v>
      </c>
      <c r="AE161" s="64" t="e">
        <f t="shared" si="39"/>
        <v>#DIV/0!</v>
      </c>
      <c r="AF161" s="64"/>
      <c r="AG161" s="20"/>
      <c r="AH161" s="20"/>
      <c r="AI161" s="22"/>
    </row>
    <row r="162" spans="1:35" customFormat="1">
      <c r="A162" s="28">
        <v>45818</v>
      </c>
      <c r="B162" s="4">
        <v>85.583333333333314</v>
      </c>
      <c r="C162" s="4">
        <v>357.5</v>
      </c>
      <c r="D162" s="4">
        <v>75</v>
      </c>
      <c r="E162" s="6">
        <v>357</v>
      </c>
      <c r="F162" s="4">
        <v>247.50000000000003</v>
      </c>
      <c r="G162" s="4">
        <v>68</v>
      </c>
      <c r="H162" s="4">
        <v>61.416666666666671</v>
      </c>
      <c r="I162" s="4">
        <v>1687.9166666666665</v>
      </c>
      <c r="J162" s="4">
        <v>142.5</v>
      </c>
      <c r="K162" s="4">
        <v>2059.5</v>
      </c>
      <c r="L162" s="4">
        <v>131</v>
      </c>
      <c r="M162" s="3">
        <v>285.91666666666663</v>
      </c>
      <c r="N162" s="107">
        <f t="shared" si="36"/>
        <v>38.729540794738249</v>
      </c>
      <c r="O162" s="7">
        <f t="shared" si="32"/>
        <v>4655.5</v>
      </c>
      <c r="P162" s="7">
        <f t="shared" si="33"/>
        <v>4616.7704592052614</v>
      </c>
      <c r="Q162" s="7">
        <f t="shared" si="34"/>
        <v>1649.1871258719282</v>
      </c>
      <c r="R162" s="7">
        <f t="shared" si="35"/>
        <v>2059.5</v>
      </c>
      <c r="S162" s="7">
        <v>7273</v>
      </c>
      <c r="T162" s="7">
        <v>9873</v>
      </c>
      <c r="U162" s="7">
        <v>841</v>
      </c>
      <c r="V162" s="7">
        <v>111470</v>
      </c>
      <c r="W162" s="7">
        <f t="shared" si="37"/>
        <v>103356</v>
      </c>
      <c r="X162" s="103">
        <f t="shared" si="38"/>
        <v>115252</v>
      </c>
      <c r="Y162" s="103"/>
      <c r="Z162" s="7">
        <v>0</v>
      </c>
      <c r="AA162" s="7"/>
      <c r="AB162" s="2">
        <v>3782</v>
      </c>
      <c r="AC162" s="103">
        <v>163488</v>
      </c>
      <c r="AD162" s="103">
        <v>107138</v>
      </c>
      <c r="AE162" s="64">
        <f t="shared" si="39"/>
        <v>0</v>
      </c>
      <c r="AF162" s="64">
        <f t="shared" si="40"/>
        <v>2.2945173514532659E-2</v>
      </c>
      <c r="AG162" s="20">
        <f t="shared" ref="AG162:AG196" si="41">+AE162*K162</f>
        <v>0</v>
      </c>
      <c r="AH162" s="20">
        <f t="shared" ref="AH162:AH196" si="42">+AF162*I162</f>
        <v>38.729540794738249</v>
      </c>
      <c r="AI162" s="22"/>
    </row>
    <row r="163" spans="1:35" customFormat="1">
      <c r="A163" s="28">
        <v>45819</v>
      </c>
      <c r="B163" s="4">
        <v>112.5</v>
      </c>
      <c r="C163" s="4">
        <v>237.83333333333337</v>
      </c>
      <c r="D163" s="4">
        <v>75</v>
      </c>
      <c r="E163" s="6">
        <v>344.16666666666663</v>
      </c>
      <c r="F163" s="4">
        <v>292</v>
      </c>
      <c r="G163" s="4">
        <v>76.5</v>
      </c>
      <c r="H163" s="4">
        <v>69.916666666666671</v>
      </c>
      <c r="I163" s="4">
        <v>2153.25</v>
      </c>
      <c r="J163" s="4">
        <v>135</v>
      </c>
      <c r="K163" s="4">
        <v>1974.25</v>
      </c>
      <c r="L163" s="4">
        <v>138.5</v>
      </c>
      <c r="M163" s="3">
        <v>291.66666666666663</v>
      </c>
      <c r="N163" s="107">
        <f t="shared" si="36"/>
        <v>36.172564224271547</v>
      </c>
      <c r="O163" s="7">
        <f t="shared" si="32"/>
        <v>4979.8333333333339</v>
      </c>
      <c r="P163" s="7">
        <f t="shared" si="33"/>
        <v>4943.6607691090621</v>
      </c>
      <c r="Q163" s="7">
        <f t="shared" si="34"/>
        <v>2117.0774357757286</v>
      </c>
      <c r="R163" s="7">
        <f t="shared" si="35"/>
        <v>1974.25</v>
      </c>
      <c r="S163" s="7">
        <v>6711</v>
      </c>
      <c r="T163" s="7">
        <v>10847</v>
      </c>
      <c r="U163" s="7">
        <v>3483</v>
      </c>
      <c r="V163" s="7">
        <v>186181</v>
      </c>
      <c r="W163" s="7">
        <f t="shared" si="37"/>
        <v>175987</v>
      </c>
      <c r="X163" s="103">
        <f t="shared" si="38"/>
        <v>190850</v>
      </c>
      <c r="Y163" s="103"/>
      <c r="Z163" s="7">
        <v>0</v>
      </c>
      <c r="AA163" s="7"/>
      <c r="AB163" s="2">
        <v>4669</v>
      </c>
      <c r="AC163" s="103">
        <v>160871</v>
      </c>
      <c r="AD163" s="103">
        <v>180656</v>
      </c>
      <c r="AE163" s="64">
        <f t="shared" si="39"/>
        <v>0</v>
      </c>
      <c r="AF163" s="64">
        <f t="shared" si="40"/>
        <v>1.6799054556726596E-2</v>
      </c>
      <c r="AG163" s="20">
        <f t="shared" si="41"/>
        <v>0</v>
      </c>
      <c r="AH163" s="20">
        <f t="shared" si="42"/>
        <v>36.172564224271547</v>
      </c>
      <c r="AI163" s="22"/>
    </row>
    <row r="164" spans="1:35" customFormat="1">
      <c r="A164" s="28">
        <v>45820</v>
      </c>
      <c r="B164" s="4">
        <v>157.5</v>
      </c>
      <c r="C164" s="4">
        <v>208.41666666666663</v>
      </c>
      <c r="D164" s="4">
        <v>85.5</v>
      </c>
      <c r="E164" s="6">
        <v>355.66666666666669</v>
      </c>
      <c r="F164" s="4">
        <v>300</v>
      </c>
      <c r="G164" s="4">
        <v>76.166666666666657</v>
      </c>
      <c r="H164" s="4">
        <v>72.5</v>
      </c>
      <c r="I164" s="4">
        <v>2070.416666666667</v>
      </c>
      <c r="J164" s="4">
        <v>112.5</v>
      </c>
      <c r="K164" s="4">
        <v>2095.333333333333</v>
      </c>
      <c r="L164" s="4">
        <v>197</v>
      </c>
      <c r="M164" s="3">
        <v>306</v>
      </c>
      <c r="N164" s="107">
        <f t="shared" si="36"/>
        <v>17.725593940675022</v>
      </c>
      <c r="O164" s="7">
        <f t="shared" si="32"/>
        <v>5029.6666666666661</v>
      </c>
      <c r="P164" s="7">
        <f t="shared" si="33"/>
        <v>5011.941072725991</v>
      </c>
      <c r="Q164" s="7">
        <f t="shared" si="34"/>
        <v>2052.6910727259919</v>
      </c>
      <c r="R164" s="7">
        <f t="shared" si="35"/>
        <v>2095.333333333333</v>
      </c>
      <c r="S164" s="7">
        <v>3417</v>
      </c>
      <c r="T164" s="7">
        <v>11553</v>
      </c>
      <c r="U164" s="7">
        <v>5271</v>
      </c>
      <c r="V164" s="7">
        <v>188427</v>
      </c>
      <c r="W164" s="7">
        <f t="shared" si="37"/>
        <v>179739</v>
      </c>
      <c r="X164" s="103">
        <f t="shared" si="38"/>
        <v>190826</v>
      </c>
      <c r="Y164" s="103"/>
      <c r="Z164" s="7">
        <v>0</v>
      </c>
      <c r="AA164" s="7"/>
      <c r="AB164" s="2">
        <v>2399</v>
      </c>
      <c r="AC164" s="103">
        <v>173561</v>
      </c>
      <c r="AD164" s="103">
        <v>182138</v>
      </c>
      <c r="AE164" s="64">
        <f t="shared" si="39"/>
        <v>0</v>
      </c>
      <c r="AF164" s="64">
        <f t="shared" si="40"/>
        <v>8.561365557983508E-3</v>
      </c>
      <c r="AG164" s="20">
        <f t="shared" si="41"/>
        <v>0</v>
      </c>
      <c r="AH164" s="20">
        <f t="shared" si="42"/>
        <v>17.725593940675022</v>
      </c>
      <c r="AI164" s="22"/>
    </row>
    <row r="165" spans="1:35" customFormat="1">
      <c r="A165" s="28">
        <v>45821</v>
      </c>
      <c r="B165" s="4">
        <v>181.5</v>
      </c>
      <c r="C165" s="4">
        <v>267</v>
      </c>
      <c r="D165" s="4">
        <v>78</v>
      </c>
      <c r="E165" s="6">
        <v>345.66666666666669</v>
      </c>
      <c r="F165" s="4">
        <v>292.49999999999994</v>
      </c>
      <c r="G165" s="4">
        <v>76.25</v>
      </c>
      <c r="H165" s="4">
        <v>72.5</v>
      </c>
      <c r="I165" s="4">
        <v>2118.9166666666665</v>
      </c>
      <c r="J165" s="4">
        <v>82.5</v>
      </c>
      <c r="K165" s="4">
        <v>2157.0833333333335</v>
      </c>
      <c r="L165" s="4">
        <v>121.83333333333331</v>
      </c>
      <c r="M165" s="3">
        <v>289.75</v>
      </c>
      <c r="N165" s="107">
        <f t="shared" si="36"/>
        <v>9.2921926290244912</v>
      </c>
      <c r="O165" s="7">
        <f t="shared" si="32"/>
        <v>5177.5</v>
      </c>
      <c r="P165" s="7">
        <f t="shared" si="33"/>
        <v>5168.2078073709754</v>
      </c>
      <c r="Q165" s="7">
        <f t="shared" si="34"/>
        <v>2109.6244740376419</v>
      </c>
      <c r="R165" s="7">
        <f t="shared" si="35"/>
        <v>2157.0833333333335</v>
      </c>
      <c r="S165" s="7">
        <v>895</v>
      </c>
      <c r="T165" s="7">
        <v>10390</v>
      </c>
      <c r="U165" s="7">
        <v>5260</v>
      </c>
      <c r="V165" s="7">
        <v>184881</v>
      </c>
      <c r="W165" s="7">
        <f t="shared" si="37"/>
        <v>178726</v>
      </c>
      <c r="X165" s="103">
        <f t="shared" si="38"/>
        <v>186095</v>
      </c>
      <c r="Y165" s="103"/>
      <c r="Z165" s="7">
        <v>0</v>
      </c>
      <c r="AA165" s="7"/>
      <c r="AB165" s="2">
        <v>1214</v>
      </c>
      <c r="AC165" s="103">
        <v>180107</v>
      </c>
      <c r="AD165" s="103">
        <v>179940</v>
      </c>
      <c r="AE165" s="64">
        <f t="shared" si="39"/>
        <v>0</v>
      </c>
      <c r="AF165" s="64">
        <f t="shared" si="40"/>
        <v>4.3853506724463717E-3</v>
      </c>
      <c r="AG165" s="20">
        <f t="shared" si="41"/>
        <v>0</v>
      </c>
      <c r="AH165" s="20">
        <f t="shared" si="42"/>
        <v>9.2921926290244912</v>
      </c>
      <c r="AI165" s="22"/>
    </row>
    <row r="166" spans="1:35" customFormat="1">
      <c r="A166" s="28">
        <v>45822</v>
      </c>
      <c r="B166" s="4">
        <v>157.5</v>
      </c>
      <c r="C166" s="4">
        <v>199.16666666666663</v>
      </c>
      <c r="D166" s="4">
        <v>65.25</v>
      </c>
      <c r="E166" s="6">
        <v>247.75</v>
      </c>
      <c r="F166" s="4">
        <v>314.41666666666669</v>
      </c>
      <c r="G166" s="4">
        <v>0</v>
      </c>
      <c r="H166" s="4">
        <v>22.5</v>
      </c>
      <c r="I166" s="4">
        <v>2143.0833333333335</v>
      </c>
      <c r="J166" s="4">
        <v>81.916666666666686</v>
      </c>
      <c r="K166" s="4">
        <v>2410.916666666667</v>
      </c>
      <c r="L166" s="4">
        <v>187.5</v>
      </c>
      <c r="M166" s="3">
        <v>277.41666666666669</v>
      </c>
      <c r="N166" s="107">
        <f t="shared" si="36"/>
        <v>6.6833647475439806</v>
      </c>
      <c r="O166" s="7">
        <f t="shared" si="32"/>
        <v>5372.2500000000009</v>
      </c>
      <c r="P166" s="7">
        <f t="shared" si="33"/>
        <v>5365.5666352524568</v>
      </c>
      <c r="Q166" s="7">
        <f t="shared" si="34"/>
        <v>2136.3999685857893</v>
      </c>
      <c r="R166" s="7">
        <f t="shared" si="35"/>
        <v>2410.916666666667</v>
      </c>
      <c r="S166" s="7">
        <v>122</v>
      </c>
      <c r="T166" s="7">
        <v>10087</v>
      </c>
      <c r="U166" s="7">
        <v>5990</v>
      </c>
      <c r="V166" s="7">
        <v>205036</v>
      </c>
      <c r="W166" s="7">
        <f t="shared" si="37"/>
        <v>198924</v>
      </c>
      <c r="X166" s="103">
        <f t="shared" si="38"/>
        <v>205995</v>
      </c>
      <c r="Y166" s="103"/>
      <c r="Z166" s="7">
        <v>0</v>
      </c>
      <c r="AA166" s="7"/>
      <c r="AB166" s="2">
        <v>959</v>
      </c>
      <c r="AC166" s="103">
        <v>189171</v>
      </c>
      <c r="AD166" s="103">
        <v>199883</v>
      </c>
      <c r="AE166" s="64">
        <f t="shared" si="39"/>
        <v>0</v>
      </c>
      <c r="AF166" s="64">
        <f t="shared" si="40"/>
        <v>3.1185743660041127E-3</v>
      </c>
      <c r="AG166" s="20">
        <f t="shared" si="41"/>
        <v>0</v>
      </c>
      <c r="AH166" s="20">
        <f t="shared" si="42"/>
        <v>6.6833647475439806</v>
      </c>
      <c r="AI166" s="22"/>
    </row>
    <row r="167" spans="1:35" customFormat="1">
      <c r="A167" s="28">
        <v>45823</v>
      </c>
      <c r="B167" s="4">
        <v>123.25</v>
      </c>
      <c r="C167" s="4">
        <v>212.5</v>
      </c>
      <c r="D167" s="4">
        <v>64.666666666666671</v>
      </c>
      <c r="E167" s="6">
        <v>0</v>
      </c>
      <c r="F167" s="4">
        <v>306.66666666666663</v>
      </c>
      <c r="G167" s="4">
        <v>0</v>
      </c>
      <c r="H167" s="4">
        <v>29.999999999999996</v>
      </c>
      <c r="I167" s="4">
        <v>2079.2499999999995</v>
      </c>
      <c r="J167" s="4">
        <v>67.5</v>
      </c>
      <c r="K167" s="4">
        <v>1879.9166666666665</v>
      </c>
      <c r="L167" s="4">
        <v>165</v>
      </c>
      <c r="M167" s="3">
        <v>264.91666666666663</v>
      </c>
      <c r="N167" s="107">
        <f t="shared" si="36"/>
        <v>4.3440805368413207</v>
      </c>
      <c r="O167" s="7">
        <f t="shared" si="32"/>
        <v>4733.75</v>
      </c>
      <c r="P167" s="7">
        <f t="shared" si="33"/>
        <v>4729.4059194631573</v>
      </c>
      <c r="Q167" s="7">
        <f t="shared" si="34"/>
        <v>2074.9059194631582</v>
      </c>
      <c r="R167" s="7">
        <f t="shared" si="35"/>
        <v>1879.9166666666665</v>
      </c>
      <c r="S167" s="7">
        <v>730</v>
      </c>
      <c r="T167" s="7">
        <v>7253</v>
      </c>
      <c r="U167" s="7">
        <v>3721</v>
      </c>
      <c r="V167" s="7">
        <v>191761</v>
      </c>
      <c r="W167" s="7">
        <f t="shared" si="37"/>
        <v>187310</v>
      </c>
      <c r="X167" s="103">
        <f t="shared" si="38"/>
        <v>192365</v>
      </c>
      <c r="Y167" s="103"/>
      <c r="Z167" s="7">
        <v>0</v>
      </c>
      <c r="AA167" s="7"/>
      <c r="AB167" s="2">
        <v>604</v>
      </c>
      <c r="AC167" s="103">
        <v>173851</v>
      </c>
      <c r="AD167" s="103">
        <v>187914</v>
      </c>
      <c r="AE167" s="64">
        <f t="shared" si="39"/>
        <v>0</v>
      </c>
      <c r="AF167" s="64">
        <f t="shared" si="40"/>
        <v>2.089253594729504E-3</v>
      </c>
      <c r="AG167" s="20">
        <f t="shared" si="41"/>
        <v>0</v>
      </c>
      <c r="AH167" s="20">
        <f t="shared" si="42"/>
        <v>4.3440805368413207</v>
      </c>
      <c r="AI167" s="22"/>
    </row>
    <row r="168" spans="1:35" customFormat="1">
      <c r="A168" s="28">
        <v>45824</v>
      </c>
      <c r="B168" s="4">
        <v>187.5</v>
      </c>
      <c r="C168" s="4">
        <v>179.08333333333331</v>
      </c>
      <c r="D168" s="4">
        <v>74.5</v>
      </c>
      <c r="E168" s="6">
        <v>382</v>
      </c>
      <c r="F168" s="4">
        <v>307.25</v>
      </c>
      <c r="G168" s="4">
        <v>141.83333333333334</v>
      </c>
      <c r="H168" s="4">
        <v>61.916666666666671</v>
      </c>
      <c r="I168" s="4">
        <v>2073.25</v>
      </c>
      <c r="J168" s="4">
        <v>134.5</v>
      </c>
      <c r="K168" s="4">
        <v>1696.8333333333337</v>
      </c>
      <c r="L168" s="4">
        <v>145.5</v>
      </c>
      <c r="M168" s="3">
        <v>303.08333333333331</v>
      </c>
      <c r="N168" s="107">
        <f t="shared" si="36"/>
        <v>8.266318820169996</v>
      </c>
      <c r="O168" s="7">
        <f t="shared" si="32"/>
        <v>4652.916666666667</v>
      </c>
      <c r="P168" s="7">
        <f t="shared" si="33"/>
        <v>4644.6503478464974</v>
      </c>
      <c r="Q168" s="7">
        <f t="shared" si="34"/>
        <v>2064.98368117983</v>
      </c>
      <c r="R168" s="7">
        <f t="shared" si="35"/>
        <v>1696.8333333333337</v>
      </c>
      <c r="S168" s="7">
        <v>6034</v>
      </c>
      <c r="T168" s="7">
        <v>13595</v>
      </c>
      <c r="U168" s="7">
        <v>3673</v>
      </c>
      <c r="V168" s="7">
        <v>188258</v>
      </c>
      <c r="W168" s="7">
        <f t="shared" si="37"/>
        <v>178551</v>
      </c>
      <c r="X168" s="103">
        <f t="shared" si="38"/>
        <v>189360</v>
      </c>
      <c r="Y168" s="103"/>
      <c r="Z168" s="7">
        <v>0</v>
      </c>
      <c r="AA168" s="7"/>
      <c r="AB168" s="2">
        <v>1102</v>
      </c>
      <c r="AC168" s="103">
        <v>149019</v>
      </c>
      <c r="AD168" s="103">
        <v>179653</v>
      </c>
      <c r="AE168" s="64">
        <f t="shared" si="39"/>
        <v>0</v>
      </c>
      <c r="AF168" s="64">
        <f t="shared" si="40"/>
        <v>3.9871307464946319E-3</v>
      </c>
      <c r="AG168" s="20">
        <f t="shared" si="41"/>
        <v>0</v>
      </c>
      <c r="AH168" s="20">
        <f t="shared" si="42"/>
        <v>8.266318820169996</v>
      </c>
      <c r="AI168" s="22"/>
    </row>
    <row r="169" spans="1:35" customFormat="1">
      <c r="A169" s="28">
        <v>45825</v>
      </c>
      <c r="B169" s="4">
        <v>202.5</v>
      </c>
      <c r="C169" s="4">
        <v>239.91666666666669</v>
      </c>
      <c r="D169" s="4">
        <v>82.5</v>
      </c>
      <c r="E169" s="6">
        <v>426.83333333333337</v>
      </c>
      <c r="F169" s="4">
        <v>307.08333333333337</v>
      </c>
      <c r="G169" s="4">
        <v>127.5</v>
      </c>
      <c r="H169" s="4">
        <v>71.25</v>
      </c>
      <c r="I169" s="4">
        <v>2088.9166666666665</v>
      </c>
      <c r="J169" s="4">
        <v>126.5</v>
      </c>
      <c r="K169" s="4">
        <v>1701.1666666666667</v>
      </c>
      <c r="L169" s="4">
        <v>152.41666666666666</v>
      </c>
      <c r="M169" s="3">
        <v>314.66666666666663</v>
      </c>
      <c r="N169" s="107">
        <f t="shared" si="36"/>
        <v>66.202298005999836</v>
      </c>
      <c r="O169" s="7">
        <f t="shared" si="32"/>
        <v>4748.583333333333</v>
      </c>
      <c r="P169" s="7">
        <f t="shared" si="33"/>
        <v>4682.3810353273329</v>
      </c>
      <c r="Q169" s="7">
        <f t="shared" si="34"/>
        <v>2083.2277155174816</v>
      </c>
      <c r="R169" s="7">
        <f t="shared" si="35"/>
        <v>1640.6533198098518</v>
      </c>
      <c r="S169" s="7">
        <v>4876</v>
      </c>
      <c r="T169" s="7">
        <v>11268</v>
      </c>
      <c r="U169" s="7">
        <v>3231</v>
      </c>
      <c r="V169" s="7">
        <v>186599</v>
      </c>
      <c r="W169" s="7">
        <f t="shared" si="37"/>
        <v>178492</v>
      </c>
      <c r="X169" s="103">
        <f t="shared" si="38"/>
        <v>187350</v>
      </c>
      <c r="Y169" s="103"/>
      <c r="Z169" s="7">
        <v>6290</v>
      </c>
      <c r="AA169" s="7"/>
      <c r="AB169" s="2">
        <v>751</v>
      </c>
      <c r="AC169" s="103">
        <v>162680</v>
      </c>
      <c r="AD169" s="103">
        <v>179243</v>
      </c>
      <c r="AE169" s="64">
        <f t="shared" si="39"/>
        <v>3.5571674452913697E-2</v>
      </c>
      <c r="AF169" s="64">
        <f t="shared" si="40"/>
        <v>2.7233978453830832E-3</v>
      </c>
      <c r="AG169" s="20">
        <f t="shared" si="41"/>
        <v>60.513346856815019</v>
      </c>
      <c r="AH169" s="20">
        <f t="shared" si="42"/>
        <v>5.6889511491848115</v>
      </c>
      <c r="AI169" s="22"/>
    </row>
    <row r="170" spans="1:35" customFormat="1">
      <c r="A170" s="28">
        <v>45826</v>
      </c>
      <c r="B170" s="4">
        <v>197.33333333333334</v>
      </c>
      <c r="C170" s="4">
        <v>341.41666666666669</v>
      </c>
      <c r="D170" s="4">
        <v>82.5</v>
      </c>
      <c r="E170" s="6">
        <v>427.58333333333326</v>
      </c>
      <c r="F170" s="4">
        <v>284.41666666666663</v>
      </c>
      <c r="G170" s="4">
        <v>123.41666666666666</v>
      </c>
      <c r="H170" s="4">
        <v>72.5</v>
      </c>
      <c r="I170" s="4">
        <v>2293.333333333333</v>
      </c>
      <c r="J170" s="4">
        <v>135</v>
      </c>
      <c r="K170" s="4">
        <v>1838.3333333333335</v>
      </c>
      <c r="L170" s="4">
        <v>169</v>
      </c>
      <c r="M170" s="3">
        <v>294.66666666666669</v>
      </c>
      <c r="N170" s="107">
        <f t="shared" si="36"/>
        <v>133.09058875796012</v>
      </c>
      <c r="O170" s="7">
        <f t="shared" si="32"/>
        <v>5172.333333333333</v>
      </c>
      <c r="P170" s="7">
        <f t="shared" si="33"/>
        <v>5039.2427445753729</v>
      </c>
      <c r="Q170" s="7">
        <f t="shared" si="34"/>
        <v>2281.3770054499478</v>
      </c>
      <c r="R170" s="7">
        <f t="shared" si="35"/>
        <v>1717.1990724587586</v>
      </c>
      <c r="S170" s="7">
        <v>6784</v>
      </c>
      <c r="T170" s="7">
        <v>13125</v>
      </c>
      <c r="U170" s="7">
        <v>4298</v>
      </c>
      <c r="V170" s="7">
        <v>175200</v>
      </c>
      <c r="W170" s="7">
        <f t="shared" si="37"/>
        <v>164118</v>
      </c>
      <c r="X170" s="103">
        <f t="shared" si="38"/>
        <v>176527</v>
      </c>
      <c r="Y170" s="103"/>
      <c r="Z170" s="7">
        <v>13261</v>
      </c>
      <c r="AA170" s="7"/>
      <c r="AB170" s="2">
        <v>1327</v>
      </c>
      <c r="AC170" s="103">
        <v>185149</v>
      </c>
      <c r="AD170" s="103">
        <v>165445</v>
      </c>
      <c r="AE170" s="64">
        <f t="shared" si="39"/>
        <v>6.5893523594510367E-2</v>
      </c>
      <c r="AF170" s="64">
        <f t="shared" si="40"/>
        <v>5.2135150654295985E-3</v>
      </c>
      <c r="AG170" s="20">
        <f t="shared" si="41"/>
        <v>121.13426087457491</v>
      </c>
      <c r="AH170" s="20">
        <f t="shared" si="42"/>
        <v>11.95632788338521</v>
      </c>
      <c r="AI170" s="22"/>
    </row>
    <row r="171" spans="1:35" customFormat="1">
      <c r="A171" s="28">
        <v>45827</v>
      </c>
      <c r="B171" s="4">
        <v>187.5</v>
      </c>
      <c r="C171" s="4">
        <v>288.16666666666669</v>
      </c>
      <c r="D171" s="4">
        <v>81</v>
      </c>
      <c r="E171" s="6">
        <v>434.25</v>
      </c>
      <c r="F171" s="4">
        <v>266.58333333333337</v>
      </c>
      <c r="G171" s="4">
        <v>129</v>
      </c>
      <c r="H171" s="4">
        <v>72.5</v>
      </c>
      <c r="I171" s="4">
        <v>2134.8333333333335</v>
      </c>
      <c r="J171" s="4">
        <v>135</v>
      </c>
      <c r="K171" s="4">
        <v>2000.3333333333333</v>
      </c>
      <c r="L171" s="4">
        <v>169</v>
      </c>
      <c r="M171" s="3">
        <v>309.75</v>
      </c>
      <c r="N171" s="107">
        <f t="shared" si="36"/>
        <v>576.79934701665456</v>
      </c>
      <c r="O171" s="7">
        <f t="shared" si="32"/>
        <v>5093.416666666667</v>
      </c>
      <c r="P171" s="7">
        <f t="shared" si="33"/>
        <v>4516.6173196500122</v>
      </c>
      <c r="Q171" s="7">
        <f t="shared" si="34"/>
        <v>1895.6943351338393</v>
      </c>
      <c r="R171" s="7">
        <f t="shared" si="35"/>
        <v>1662.6729845161726</v>
      </c>
      <c r="S171" s="7">
        <v>7775</v>
      </c>
      <c r="T171" s="7">
        <v>12755</v>
      </c>
      <c r="U171" s="7">
        <v>2092</v>
      </c>
      <c r="V171" s="7">
        <v>179031</v>
      </c>
      <c r="W171" s="7">
        <f t="shared" si="37"/>
        <v>169164</v>
      </c>
      <c r="X171" s="103">
        <f t="shared" si="38"/>
        <v>214254</v>
      </c>
      <c r="Y171" s="103"/>
      <c r="Z171" s="7">
        <v>41502</v>
      </c>
      <c r="AA171" s="7"/>
      <c r="AB171" s="2">
        <v>35223</v>
      </c>
      <c r="AC171" s="103">
        <v>226193</v>
      </c>
      <c r="AD171" s="103">
        <v>204387</v>
      </c>
      <c r="AE171" s="64">
        <f t="shared" si="39"/>
        <v>0.16880204073512442</v>
      </c>
      <c r="AF171" s="64">
        <f t="shared" si="40"/>
        <v>0.11201764300077793</v>
      </c>
      <c r="AG171" s="20">
        <f t="shared" si="41"/>
        <v>337.66034881716052</v>
      </c>
      <c r="AH171" s="20">
        <f t="shared" si="42"/>
        <v>239.1389981994941</v>
      </c>
      <c r="AI171" s="22"/>
    </row>
    <row r="172" spans="1:35" customFormat="1">
      <c r="A172" s="28">
        <v>45828</v>
      </c>
      <c r="B172" s="4">
        <v>194.66666666666666</v>
      </c>
      <c r="C172" s="4">
        <v>348.41666666666669</v>
      </c>
      <c r="D172" s="4">
        <v>90</v>
      </c>
      <c r="E172" s="6">
        <v>443</v>
      </c>
      <c r="F172" s="4">
        <v>268.66666666666663</v>
      </c>
      <c r="G172" s="4">
        <v>121.91666666666666</v>
      </c>
      <c r="H172" s="4">
        <v>72.5</v>
      </c>
      <c r="I172" s="4">
        <v>1742.2499999999998</v>
      </c>
      <c r="J172" s="4">
        <v>112.5</v>
      </c>
      <c r="K172" s="4">
        <v>1631.3333333333333</v>
      </c>
      <c r="L172" s="4">
        <v>160.5</v>
      </c>
      <c r="M172" s="3">
        <v>311.16666666666663</v>
      </c>
      <c r="N172" s="107">
        <f t="shared" si="36"/>
        <v>470.65553141720238</v>
      </c>
      <c r="O172" s="7">
        <f t="shared" si="32"/>
        <v>4387.833333333333</v>
      </c>
      <c r="P172" s="7">
        <f t="shared" si="33"/>
        <v>3917.1778019161302</v>
      </c>
      <c r="Q172" s="7">
        <f t="shared" si="34"/>
        <v>1515.8871560297141</v>
      </c>
      <c r="R172" s="7">
        <f t="shared" si="35"/>
        <v>1387.0406458864165</v>
      </c>
      <c r="S172" s="7">
        <v>5956</v>
      </c>
      <c r="T172" s="7">
        <v>9407</v>
      </c>
      <c r="U172" s="7">
        <v>2462</v>
      </c>
      <c r="V172" s="7">
        <v>128620</v>
      </c>
      <c r="W172" s="7">
        <f t="shared" si="37"/>
        <v>120202</v>
      </c>
      <c r="X172" s="103">
        <f t="shared" si="38"/>
        <v>158649</v>
      </c>
      <c r="Y172" s="103"/>
      <c r="Z172" s="7">
        <v>27661</v>
      </c>
      <c r="AA172" s="7"/>
      <c r="AB172" s="2">
        <v>30029</v>
      </c>
      <c r="AC172" s="103">
        <v>169937</v>
      </c>
      <c r="AD172" s="103">
        <v>150231</v>
      </c>
      <c r="AE172" s="64">
        <f t="shared" si="39"/>
        <v>0.14975031923595217</v>
      </c>
      <c r="AF172" s="64">
        <f t="shared" si="40"/>
        <v>0.12992558127150855</v>
      </c>
      <c r="AG172" s="20">
        <f t="shared" si="41"/>
        <v>244.29268744691663</v>
      </c>
      <c r="AH172" s="20">
        <f t="shared" si="42"/>
        <v>226.36284397028575</v>
      </c>
      <c r="AI172" s="22"/>
    </row>
    <row r="173" spans="1:35" customFormat="1">
      <c r="A173" s="28">
        <v>45829</v>
      </c>
      <c r="B173" s="4">
        <v>177</v>
      </c>
      <c r="C173" s="4">
        <v>154.49999999999997</v>
      </c>
      <c r="D173" s="4">
        <v>57</v>
      </c>
      <c r="E173" s="6">
        <v>293</v>
      </c>
      <c r="F173" s="4">
        <v>222.16666666666666</v>
      </c>
      <c r="G173" s="4">
        <v>0</v>
      </c>
      <c r="H173" s="4">
        <v>13</v>
      </c>
      <c r="I173" s="4">
        <v>1382.25</v>
      </c>
      <c r="J173" s="4">
        <v>67.25</v>
      </c>
      <c r="K173" s="4">
        <v>1291</v>
      </c>
      <c r="L173" s="4">
        <v>127.5</v>
      </c>
      <c r="M173" s="3">
        <v>172.08333333333334</v>
      </c>
      <c r="N173" s="107">
        <f t="shared" si="36"/>
        <v>255.54025107584448</v>
      </c>
      <c r="O173" s="7">
        <f t="shared" si="32"/>
        <v>3351.1666666666665</v>
      </c>
      <c r="P173" s="7">
        <f t="shared" si="33"/>
        <v>3095.626415590822</v>
      </c>
      <c r="Q173" s="7">
        <f t="shared" si="34"/>
        <v>1218.9074760460267</v>
      </c>
      <c r="R173" s="7">
        <f t="shared" si="35"/>
        <v>1198.8022728781289</v>
      </c>
      <c r="S173" s="7">
        <v>3179</v>
      </c>
      <c r="T173" s="7">
        <v>6035</v>
      </c>
      <c r="U173" s="7">
        <v>1467</v>
      </c>
      <c r="V173" s="7">
        <v>116852</v>
      </c>
      <c r="W173" s="7">
        <f t="shared" si="37"/>
        <v>112206</v>
      </c>
      <c r="X173" s="103">
        <f t="shared" si="38"/>
        <v>141784</v>
      </c>
      <c r="Y173" s="103"/>
      <c r="Z173" s="7">
        <v>8888</v>
      </c>
      <c r="AA173" s="7"/>
      <c r="AB173" s="2">
        <v>24932</v>
      </c>
      <c r="AC173" s="103">
        <v>114498</v>
      </c>
      <c r="AD173" s="103">
        <v>137138</v>
      </c>
      <c r="AE173" s="64">
        <f t="shared" si="39"/>
        <v>7.1415745253192192E-2</v>
      </c>
      <c r="AF173" s="64">
        <f t="shared" si="40"/>
        <v>0.11817147690647377</v>
      </c>
      <c r="AG173" s="20">
        <f t="shared" si="41"/>
        <v>92.197727121871125</v>
      </c>
      <c r="AH173" s="20">
        <f t="shared" si="42"/>
        <v>163.34252395397337</v>
      </c>
      <c r="AI173" s="22"/>
    </row>
    <row r="174" spans="1:35" customFormat="1">
      <c r="A174" s="28">
        <v>45830</v>
      </c>
      <c r="B174" s="4"/>
      <c r="C174" s="4">
        <v>141.33333333333331</v>
      </c>
      <c r="D174" s="4">
        <v>37.5</v>
      </c>
      <c r="E174" s="6">
        <v>0</v>
      </c>
      <c r="F174" s="4">
        <v>132.25</v>
      </c>
      <c r="G174" s="4">
        <v>0</v>
      </c>
      <c r="H174" s="4">
        <v>15</v>
      </c>
      <c r="I174" s="4">
        <v>611.25</v>
      </c>
      <c r="J174" s="4">
        <v>60</v>
      </c>
      <c r="K174" s="4">
        <v>335.91666666666669</v>
      </c>
      <c r="L174" s="4">
        <v>0</v>
      </c>
      <c r="M174" s="3">
        <v>141.83333333333334</v>
      </c>
      <c r="N174" s="107">
        <f t="shared" si="36"/>
        <v>0</v>
      </c>
      <c r="O174" s="7">
        <f t="shared" si="32"/>
        <v>1318.25</v>
      </c>
      <c r="P174" s="7">
        <f t="shared" si="33"/>
        <v>1318.25</v>
      </c>
      <c r="Q174" s="7">
        <f t="shared" si="34"/>
        <v>611.25</v>
      </c>
      <c r="R174" s="7">
        <f t="shared" si="35"/>
        <v>335.91666666666669</v>
      </c>
      <c r="S174" s="7">
        <v>1589</v>
      </c>
      <c r="T174" s="7">
        <v>4856</v>
      </c>
      <c r="U174" s="7">
        <v>1954</v>
      </c>
      <c r="V174" s="7">
        <v>56689</v>
      </c>
      <c r="W174" s="7">
        <f t="shared" si="37"/>
        <v>53146</v>
      </c>
      <c r="X174" s="103">
        <f t="shared" si="38"/>
        <v>56689</v>
      </c>
      <c r="Y174" s="103"/>
      <c r="Z174" s="7">
        <v>0</v>
      </c>
      <c r="AA174" s="7"/>
      <c r="AB174" s="2">
        <v>0</v>
      </c>
      <c r="AC174" s="103">
        <v>39818</v>
      </c>
      <c r="AD174" s="103">
        <v>53146</v>
      </c>
      <c r="AE174" s="64">
        <f t="shared" si="39"/>
        <v>0</v>
      </c>
      <c r="AF174" s="64">
        <f t="shared" si="40"/>
        <v>0</v>
      </c>
      <c r="AG174" s="20">
        <f t="shared" si="41"/>
        <v>0</v>
      </c>
      <c r="AH174" s="20">
        <f t="shared" si="42"/>
        <v>0</v>
      </c>
      <c r="AI174" s="22"/>
    </row>
    <row r="175" spans="1:35" customFormat="1">
      <c r="A175" s="28">
        <v>45831</v>
      </c>
      <c r="B175" s="4">
        <v>210</v>
      </c>
      <c r="C175" s="4">
        <v>341.75</v>
      </c>
      <c r="D175" s="4">
        <v>82.166666666666657</v>
      </c>
      <c r="E175" s="6">
        <v>450.16666666666674</v>
      </c>
      <c r="F175" s="4">
        <v>260.83333333333331</v>
      </c>
      <c r="G175" s="4">
        <v>142</v>
      </c>
      <c r="H175" s="4">
        <v>53.416666666666664</v>
      </c>
      <c r="I175" s="4">
        <v>1711.0000000000002</v>
      </c>
      <c r="J175" s="4">
        <v>102.16666666666666</v>
      </c>
      <c r="K175" s="4">
        <v>2109.0833333333335</v>
      </c>
      <c r="L175" s="4">
        <v>153</v>
      </c>
      <c r="M175" s="3">
        <v>305.25</v>
      </c>
      <c r="N175" s="107">
        <f t="shared" si="36"/>
        <v>26.488158241016663</v>
      </c>
      <c r="O175" s="7">
        <f t="shared" si="32"/>
        <v>4817.0000000000009</v>
      </c>
      <c r="P175" s="7">
        <f t="shared" si="33"/>
        <v>4790.5118417589838</v>
      </c>
      <c r="Q175" s="7">
        <f t="shared" si="34"/>
        <v>1692.3807116953765</v>
      </c>
      <c r="R175" s="7">
        <f t="shared" si="35"/>
        <v>2101.2144633969406</v>
      </c>
      <c r="S175" s="7">
        <v>4417</v>
      </c>
      <c r="T175" s="7">
        <v>8297</v>
      </c>
      <c r="U175" s="7">
        <v>2938</v>
      </c>
      <c r="V175" s="7">
        <v>135330</v>
      </c>
      <c r="W175" s="7">
        <f t="shared" si="37"/>
        <v>127975</v>
      </c>
      <c r="X175" s="103">
        <f t="shared" si="38"/>
        <v>137509</v>
      </c>
      <c r="Y175" s="103"/>
      <c r="Z175" s="7">
        <v>723</v>
      </c>
      <c r="AA175" s="7"/>
      <c r="AB175" s="2">
        <v>2179</v>
      </c>
      <c r="AC175" s="103">
        <v>178282</v>
      </c>
      <c r="AD175" s="103">
        <v>130154</v>
      </c>
      <c r="AE175" s="64">
        <f t="shared" si="39"/>
        <v>3.7309431125968971E-3</v>
      </c>
      <c r="AF175" s="64">
        <f t="shared" si="40"/>
        <v>1.0882108886396118E-2</v>
      </c>
      <c r="AG175" s="20">
        <f t="shared" si="41"/>
        <v>7.8688699363929064</v>
      </c>
      <c r="AH175" s="20">
        <f t="shared" si="42"/>
        <v>18.619288304623758</v>
      </c>
      <c r="AI175" s="22"/>
    </row>
    <row r="176" spans="1:35" customFormat="1">
      <c r="A176" s="28">
        <v>45832</v>
      </c>
      <c r="B176" s="4">
        <v>250</v>
      </c>
      <c r="C176" s="4">
        <v>318.33333333333337</v>
      </c>
      <c r="D176" s="4">
        <v>79.416666666666671</v>
      </c>
      <c r="E176" s="6">
        <v>443.25</v>
      </c>
      <c r="F176" s="4">
        <v>267.08333333333337</v>
      </c>
      <c r="G176" s="4">
        <v>136</v>
      </c>
      <c r="H176" s="4">
        <v>56.5</v>
      </c>
      <c r="I176" s="4">
        <v>1715.5833333333333</v>
      </c>
      <c r="J176" s="4">
        <v>127.5</v>
      </c>
      <c r="K176" s="4">
        <v>1649.3333333333333</v>
      </c>
      <c r="L176" s="4">
        <v>146.25</v>
      </c>
      <c r="M176" s="3">
        <v>302.33333333333331</v>
      </c>
      <c r="N176" s="107">
        <f t="shared" si="36"/>
        <v>8.8964659373614001</v>
      </c>
      <c r="O176" s="7">
        <f t="shared" si="32"/>
        <v>4407.25</v>
      </c>
      <c r="P176" s="7">
        <f t="shared" si="33"/>
        <v>4398.3535340626386</v>
      </c>
      <c r="Q176" s="7">
        <f t="shared" si="34"/>
        <v>1708.4885298741492</v>
      </c>
      <c r="R176" s="7">
        <f t="shared" si="35"/>
        <v>1647.5316708551559</v>
      </c>
      <c r="S176" s="7">
        <v>5522</v>
      </c>
      <c r="T176" s="7">
        <v>11651</v>
      </c>
      <c r="U176" s="7">
        <v>4337</v>
      </c>
      <c r="V176" s="7">
        <v>130895</v>
      </c>
      <c r="W176" s="7">
        <f t="shared" si="37"/>
        <v>121036</v>
      </c>
      <c r="X176" s="103">
        <f t="shared" si="38"/>
        <v>131670</v>
      </c>
      <c r="Y176" s="103"/>
      <c r="Z176" s="7">
        <v>163</v>
      </c>
      <c r="AA176" s="7"/>
      <c r="AB176" s="2">
        <v>775</v>
      </c>
      <c r="AC176" s="103">
        <v>137281</v>
      </c>
      <c r="AD176" s="103">
        <v>121811</v>
      </c>
      <c r="AE176" s="64">
        <f t="shared" si="39"/>
        <v>1.0923580102126297E-3</v>
      </c>
      <c r="AF176" s="64">
        <f t="shared" si="40"/>
        <v>4.1355050036532004E-3</v>
      </c>
      <c r="AG176" s="20">
        <f t="shared" si="41"/>
        <v>1.8016624781773638</v>
      </c>
      <c r="AH176" s="20">
        <f t="shared" si="42"/>
        <v>7.0948034591840363</v>
      </c>
      <c r="AI176" s="22"/>
    </row>
    <row r="177" spans="1:35" customFormat="1">
      <c r="A177" s="28">
        <v>45833</v>
      </c>
      <c r="B177" s="4">
        <v>187.5</v>
      </c>
      <c r="C177" s="4">
        <v>463.33333333333326</v>
      </c>
      <c r="D177" s="4">
        <v>79.083333333333343</v>
      </c>
      <c r="E177" s="6">
        <v>432.08333333333337</v>
      </c>
      <c r="F177" s="4">
        <v>272.75</v>
      </c>
      <c r="G177" s="4">
        <v>129.41666666666669</v>
      </c>
      <c r="H177" s="4">
        <v>54.916666666666671</v>
      </c>
      <c r="I177" s="4">
        <v>1923.9999999999998</v>
      </c>
      <c r="J177" s="4">
        <v>139.5</v>
      </c>
      <c r="K177" s="4">
        <v>1501.6666666666665</v>
      </c>
      <c r="L177" s="4">
        <v>161.5</v>
      </c>
      <c r="M177" s="3">
        <v>299.41666666666663</v>
      </c>
      <c r="N177" s="107">
        <f t="shared" si="36"/>
        <v>22.110185676064951</v>
      </c>
      <c r="O177" s="7">
        <f t="shared" si="32"/>
        <v>4567.833333333333</v>
      </c>
      <c r="P177" s="7">
        <f t="shared" si="33"/>
        <v>4545.7231476572679</v>
      </c>
      <c r="Q177" s="7">
        <f t="shared" si="34"/>
        <v>1913.6170910085943</v>
      </c>
      <c r="R177" s="7">
        <f t="shared" si="35"/>
        <v>1489.939389982007</v>
      </c>
      <c r="S177" s="7">
        <v>6233</v>
      </c>
      <c r="T177" s="7">
        <v>12261</v>
      </c>
      <c r="U177" s="7">
        <v>3712</v>
      </c>
      <c r="V177" s="7">
        <v>169408</v>
      </c>
      <c r="W177" s="7">
        <f t="shared" si="37"/>
        <v>159463</v>
      </c>
      <c r="X177" s="103">
        <f t="shared" si="38"/>
        <v>170743</v>
      </c>
      <c r="Y177" s="103"/>
      <c r="Z177" s="7">
        <v>1170</v>
      </c>
      <c r="AA177" s="7"/>
      <c r="AB177" s="2">
        <v>1335</v>
      </c>
      <c r="AC177" s="103">
        <v>137832</v>
      </c>
      <c r="AD177" s="103">
        <v>160798</v>
      </c>
      <c r="AE177" s="64">
        <f t="shared" si="39"/>
        <v>7.8095072261884042E-3</v>
      </c>
      <c r="AF177" s="64">
        <f t="shared" si="40"/>
        <v>5.3965223448052832E-3</v>
      </c>
      <c r="AG177" s="20">
        <f t="shared" si="41"/>
        <v>11.727276684659586</v>
      </c>
      <c r="AH177" s="20">
        <f t="shared" si="42"/>
        <v>10.382908991405364</v>
      </c>
      <c r="AI177" s="22"/>
    </row>
    <row r="178" spans="1:35" customFormat="1">
      <c r="A178" s="28">
        <v>45834</v>
      </c>
      <c r="B178" s="4">
        <v>193.75</v>
      </c>
      <c r="C178" s="4">
        <v>372.33333333333331</v>
      </c>
      <c r="D178" s="4">
        <v>75</v>
      </c>
      <c r="E178" s="6">
        <v>387.33333333333337</v>
      </c>
      <c r="F178" s="4">
        <v>244.16666666666663</v>
      </c>
      <c r="G178" s="4">
        <v>131</v>
      </c>
      <c r="H178" s="4">
        <v>56.5</v>
      </c>
      <c r="I178" s="4">
        <v>1573.9166666666665</v>
      </c>
      <c r="J178" s="4">
        <v>127.5</v>
      </c>
      <c r="K178" s="4">
        <v>1795.25</v>
      </c>
      <c r="L178" s="4">
        <v>114</v>
      </c>
      <c r="M178" s="3">
        <v>285</v>
      </c>
      <c r="N178" s="107">
        <f t="shared" si="36"/>
        <v>458.28601138513392</v>
      </c>
      <c r="O178" s="7">
        <f t="shared" si="32"/>
        <v>4381.9166666666661</v>
      </c>
      <c r="P178" s="7">
        <f t="shared" si="33"/>
        <v>3923.6306552815327</v>
      </c>
      <c r="Q178" s="7">
        <f t="shared" si="34"/>
        <v>1426.629423108443</v>
      </c>
      <c r="R178" s="7">
        <f t="shared" si="35"/>
        <v>1484.2512321730896</v>
      </c>
      <c r="S178" s="7">
        <v>7821</v>
      </c>
      <c r="T178" s="7">
        <v>11485</v>
      </c>
      <c r="U178" s="7">
        <v>2398</v>
      </c>
      <c r="V178" s="7">
        <v>135565</v>
      </c>
      <c r="W178" s="7">
        <f t="shared" si="37"/>
        <v>125346</v>
      </c>
      <c r="X178" s="103">
        <f t="shared" si="38"/>
        <v>156646</v>
      </c>
      <c r="Y178" s="103"/>
      <c r="Z178" s="7">
        <v>39372</v>
      </c>
      <c r="AA178" s="7"/>
      <c r="AB178" s="2">
        <v>21081</v>
      </c>
      <c r="AC178" s="103">
        <v>209094</v>
      </c>
      <c r="AD178" s="103">
        <v>146427</v>
      </c>
      <c r="AE178" s="64">
        <f t="shared" si="39"/>
        <v>0.17323423914603001</v>
      </c>
      <c r="AF178" s="64">
        <f t="shared" si="40"/>
        <v>9.3580077444733567E-2</v>
      </c>
      <c r="AG178" s="20">
        <f t="shared" si="41"/>
        <v>310.99876782691035</v>
      </c>
      <c r="AH178" s="20">
        <f t="shared" si="42"/>
        <v>147.28724355822357</v>
      </c>
      <c r="AI178" s="22"/>
    </row>
    <row r="179" spans="1:35" customFormat="1">
      <c r="A179" s="28">
        <v>45835</v>
      </c>
      <c r="B179" s="4">
        <v>187.5</v>
      </c>
      <c r="C179" s="4">
        <v>319.58333333333331</v>
      </c>
      <c r="D179" s="4">
        <v>73.916666666666671</v>
      </c>
      <c r="E179" s="6">
        <v>402.66666666666663</v>
      </c>
      <c r="F179" s="4">
        <v>284</v>
      </c>
      <c r="G179" s="4">
        <v>143</v>
      </c>
      <c r="H179" s="4">
        <v>56.5</v>
      </c>
      <c r="I179" s="4">
        <v>2142.166666666667</v>
      </c>
      <c r="J179" s="4">
        <v>112.5</v>
      </c>
      <c r="K179" s="4">
        <v>1661.25</v>
      </c>
      <c r="L179" s="4">
        <v>136.91666666666669</v>
      </c>
      <c r="M179" s="3">
        <v>290.58333333333331</v>
      </c>
      <c r="N179" s="107">
        <f t="shared" si="36"/>
        <v>8.9801505975588309</v>
      </c>
      <c r="O179" s="7">
        <f t="shared" si="32"/>
        <v>4780.916666666667</v>
      </c>
      <c r="P179" s="7">
        <f t="shared" si="33"/>
        <v>4771.9365160691086</v>
      </c>
      <c r="Q179" s="7">
        <f t="shared" si="34"/>
        <v>2133.1865160691082</v>
      </c>
      <c r="R179" s="7">
        <f t="shared" si="35"/>
        <v>1661.25</v>
      </c>
      <c r="S179" s="7">
        <v>3329</v>
      </c>
      <c r="T179" s="7">
        <v>8035</v>
      </c>
      <c r="U179" s="7">
        <v>2736</v>
      </c>
      <c r="V179" s="7">
        <v>182919</v>
      </c>
      <c r="W179" s="7">
        <f t="shared" si="37"/>
        <v>176854</v>
      </c>
      <c r="X179" s="103">
        <f t="shared" si="38"/>
        <v>184067</v>
      </c>
      <c r="Y179" s="103"/>
      <c r="Z179" s="7">
        <v>0</v>
      </c>
      <c r="AA179" s="7"/>
      <c r="AB179" s="2">
        <v>1148</v>
      </c>
      <c r="AC179" s="103">
        <v>157236</v>
      </c>
      <c r="AD179" s="103">
        <v>178002</v>
      </c>
      <c r="AE179" s="64">
        <f t="shared" si="39"/>
        <v>0</v>
      </c>
      <c r="AF179" s="64">
        <f t="shared" si="40"/>
        <v>4.1920877293513559E-3</v>
      </c>
      <c r="AG179" s="20">
        <f t="shared" si="41"/>
        <v>0</v>
      </c>
      <c r="AH179" s="20">
        <f t="shared" si="42"/>
        <v>8.9801505975588309</v>
      </c>
      <c r="AI179" s="22"/>
    </row>
    <row r="180" spans="1:35" customFormat="1">
      <c r="A180" s="28">
        <v>45836</v>
      </c>
      <c r="B180" s="4">
        <v>194.08333333333331</v>
      </c>
      <c r="C180" s="4">
        <v>164.41666666666669</v>
      </c>
      <c r="D180" s="4">
        <v>36.083333333333329</v>
      </c>
      <c r="E180" s="6">
        <v>262</v>
      </c>
      <c r="F180" s="4">
        <v>202.5</v>
      </c>
      <c r="G180" s="4">
        <v>0</v>
      </c>
      <c r="H180" s="4">
        <v>7.5</v>
      </c>
      <c r="I180" s="4">
        <v>1371.9166666666667</v>
      </c>
      <c r="J180" s="4">
        <v>74.666666666666671</v>
      </c>
      <c r="K180" s="4">
        <v>1592.7500000000002</v>
      </c>
      <c r="L180" s="4">
        <v>90</v>
      </c>
      <c r="M180" s="3">
        <v>156.5</v>
      </c>
      <c r="N180" s="107">
        <f t="shared" si="36"/>
        <v>135.29503460366129</v>
      </c>
      <c r="O180" s="7">
        <f t="shared" si="32"/>
        <v>3636.4166666666665</v>
      </c>
      <c r="P180" s="7">
        <f t="shared" si="33"/>
        <v>3501.1216320630056</v>
      </c>
      <c r="Q180" s="7">
        <f t="shared" si="34"/>
        <v>1236.6216320630056</v>
      </c>
      <c r="R180" s="7">
        <f t="shared" si="35"/>
        <v>1592.7500000000002</v>
      </c>
      <c r="S180" s="7">
        <v>2869</v>
      </c>
      <c r="T180" s="7">
        <v>6939</v>
      </c>
      <c r="U180" s="7">
        <v>2915</v>
      </c>
      <c r="V180" s="7">
        <v>115342</v>
      </c>
      <c r="W180" s="7">
        <f t="shared" si="37"/>
        <v>109558</v>
      </c>
      <c r="X180" s="103">
        <f t="shared" si="38"/>
        <v>134937</v>
      </c>
      <c r="Y180" s="103"/>
      <c r="Z180" s="7">
        <v>0</v>
      </c>
      <c r="AA180" s="7"/>
      <c r="AB180" s="2">
        <v>19595</v>
      </c>
      <c r="AC180" s="103">
        <v>135803</v>
      </c>
      <c r="AD180" s="103">
        <v>129153</v>
      </c>
      <c r="AE180" s="64">
        <f t="shared" si="39"/>
        <v>0</v>
      </c>
      <c r="AF180" s="64">
        <f t="shared" si="40"/>
        <v>9.861753114523085E-2</v>
      </c>
      <c r="AG180" s="20">
        <f t="shared" si="41"/>
        <v>0</v>
      </c>
      <c r="AH180" s="20">
        <f t="shared" si="42"/>
        <v>135.29503460366129</v>
      </c>
      <c r="AI180" s="22"/>
    </row>
    <row r="181" spans="1:35" customFormat="1">
      <c r="A181" s="28">
        <v>45837</v>
      </c>
      <c r="B181" s="4"/>
      <c r="C181" s="4">
        <v>105</v>
      </c>
      <c r="D181" s="4">
        <v>37.5</v>
      </c>
      <c r="E181" s="6">
        <v>0</v>
      </c>
      <c r="F181" s="4">
        <v>126.83333333333336</v>
      </c>
      <c r="G181" s="4">
        <v>0</v>
      </c>
      <c r="H181" s="4">
        <v>15</v>
      </c>
      <c r="I181" s="4">
        <v>647.66666666666663</v>
      </c>
      <c r="J181" s="4">
        <v>60</v>
      </c>
      <c r="K181" s="4">
        <v>390</v>
      </c>
      <c r="L181" s="4">
        <v>0</v>
      </c>
      <c r="M181" s="3">
        <v>126.83333333333333</v>
      </c>
      <c r="N181" s="107">
        <f t="shared" si="36"/>
        <v>0</v>
      </c>
      <c r="O181" s="7">
        <f t="shared" si="32"/>
        <v>1367</v>
      </c>
      <c r="P181" s="7">
        <f t="shared" si="33"/>
        <v>1367</v>
      </c>
      <c r="Q181" s="7">
        <f t="shared" si="34"/>
        <v>647.66666666666663</v>
      </c>
      <c r="R181" s="7">
        <f t="shared" si="35"/>
        <v>390</v>
      </c>
      <c r="S181" s="7">
        <v>2513</v>
      </c>
      <c r="T181" s="7">
        <v>4978</v>
      </c>
      <c r="U181" s="7">
        <v>1054</v>
      </c>
      <c r="V181" s="7">
        <v>67947</v>
      </c>
      <c r="W181" s="7">
        <f t="shared" si="37"/>
        <v>64380</v>
      </c>
      <c r="X181" s="103">
        <f t="shared" si="38"/>
        <v>67947</v>
      </c>
      <c r="Y181" s="103"/>
      <c r="Z181" s="7">
        <v>0</v>
      </c>
      <c r="AA181" s="7"/>
      <c r="AB181" s="2">
        <v>0</v>
      </c>
      <c r="AC181" s="103">
        <v>45285</v>
      </c>
      <c r="AD181" s="103">
        <v>64380</v>
      </c>
      <c r="AE181" s="64">
        <f t="shared" si="39"/>
        <v>0</v>
      </c>
      <c r="AF181" s="64">
        <f t="shared" si="40"/>
        <v>0</v>
      </c>
      <c r="AG181" s="20">
        <f t="shared" si="41"/>
        <v>0</v>
      </c>
      <c r="AH181" s="20">
        <f t="shared" si="42"/>
        <v>0</v>
      </c>
      <c r="AI181" s="22"/>
    </row>
    <row r="182" spans="1:35" customFormat="1">
      <c r="A182" s="28">
        <v>45838</v>
      </c>
      <c r="B182" s="4">
        <v>231.5</v>
      </c>
      <c r="C182" s="4">
        <v>203.74999999999994</v>
      </c>
      <c r="D182" s="4">
        <v>82.083333333333343</v>
      </c>
      <c r="E182" s="6">
        <v>479.75</v>
      </c>
      <c r="F182" s="4">
        <v>273.74999999999994</v>
      </c>
      <c r="G182" s="4">
        <v>83</v>
      </c>
      <c r="H182" s="4">
        <v>64.666666666666657</v>
      </c>
      <c r="I182" s="4">
        <v>1934.5833333333335</v>
      </c>
      <c r="J182" s="4">
        <v>133.83333333333334</v>
      </c>
      <c r="K182" s="4">
        <v>2104.25</v>
      </c>
      <c r="L182" s="4">
        <v>138</v>
      </c>
      <c r="M182" s="3">
        <v>296.91666666666663</v>
      </c>
      <c r="N182" s="107">
        <f t="shared" si="36"/>
        <v>111.00644001852073</v>
      </c>
      <c r="O182" s="7">
        <f t="shared" si="32"/>
        <v>4963.75</v>
      </c>
      <c r="P182" s="7">
        <f t="shared" si="33"/>
        <v>4852.7435599814798</v>
      </c>
      <c r="Q182" s="7">
        <f t="shared" si="34"/>
        <v>1915.2540529065548</v>
      </c>
      <c r="R182" s="7">
        <f t="shared" si="35"/>
        <v>2012.5728404082579</v>
      </c>
      <c r="S182" s="7">
        <v>7699</v>
      </c>
      <c r="T182" s="7">
        <v>10563</v>
      </c>
      <c r="U182" s="7">
        <v>1396</v>
      </c>
      <c r="V182" s="7">
        <v>173654</v>
      </c>
      <c r="W182" s="7">
        <f t="shared" si="37"/>
        <v>164559</v>
      </c>
      <c r="X182" s="103">
        <f t="shared" si="38"/>
        <v>176223</v>
      </c>
      <c r="Y182" s="103"/>
      <c r="Z182" s="7">
        <v>9391</v>
      </c>
      <c r="AA182" s="7"/>
      <c r="AB182" s="2">
        <v>2569</v>
      </c>
      <c r="AC182" s="103">
        <v>198306</v>
      </c>
      <c r="AD182" s="103">
        <v>167128</v>
      </c>
      <c r="AE182" s="64">
        <f t="shared" si="39"/>
        <v>4.3567617722106239E-2</v>
      </c>
      <c r="AF182" s="64">
        <f t="shared" si="40"/>
        <v>9.9914436838830119E-3</v>
      </c>
      <c r="AG182" s="20">
        <f t="shared" si="41"/>
        <v>91.677159591742054</v>
      </c>
      <c r="AH182" s="20">
        <f t="shared" si="42"/>
        <v>19.329280426778677</v>
      </c>
      <c r="AI182" s="22"/>
    </row>
    <row r="183" spans="1:35" customFormat="1">
      <c r="A183" s="28">
        <v>45839</v>
      </c>
      <c r="B183" s="4">
        <v>250</v>
      </c>
      <c r="C183" s="4">
        <v>267</v>
      </c>
      <c r="D183" s="4">
        <v>82</v>
      </c>
      <c r="E183" s="6">
        <v>494</v>
      </c>
      <c r="F183" s="4">
        <v>292.25</v>
      </c>
      <c r="G183" s="4">
        <v>74.5</v>
      </c>
      <c r="H183" s="4">
        <v>63</v>
      </c>
      <c r="I183" s="4">
        <v>2089.083333333333</v>
      </c>
      <c r="J183" s="4">
        <v>119.5</v>
      </c>
      <c r="K183" s="4">
        <v>1622.1666666666665</v>
      </c>
      <c r="L183" s="4">
        <v>146.5</v>
      </c>
      <c r="M183" s="3">
        <v>299.25</v>
      </c>
      <c r="N183" s="107">
        <f t="shared" si="36"/>
        <v>110.86050311776239</v>
      </c>
      <c r="O183" s="7">
        <f t="shared" si="32"/>
        <v>4722</v>
      </c>
      <c r="P183" s="7">
        <f t="shared" si="33"/>
        <v>4611.1394968822369</v>
      </c>
      <c r="Q183" s="7">
        <f t="shared" si="34"/>
        <v>1997.7892745098036</v>
      </c>
      <c r="R183" s="7">
        <f t="shared" si="35"/>
        <v>1602.6002223724336</v>
      </c>
      <c r="S183" s="7">
        <v>5763</v>
      </c>
      <c r="T183" s="7">
        <v>9610</v>
      </c>
      <c r="U183" s="7">
        <v>2924</v>
      </c>
      <c r="V183" s="7">
        <v>178754</v>
      </c>
      <c r="W183" s="7">
        <f t="shared" si="37"/>
        <v>170067</v>
      </c>
      <c r="X183" s="103">
        <f t="shared" si="38"/>
        <v>191012</v>
      </c>
      <c r="Y183" s="103"/>
      <c r="Z183" s="7">
        <v>1959</v>
      </c>
      <c r="AA183" s="7"/>
      <c r="AB183" s="2">
        <v>12258</v>
      </c>
      <c r="AC183" s="103">
        <v>149419</v>
      </c>
      <c r="AD183" s="103">
        <v>182325</v>
      </c>
      <c r="AE183" s="64">
        <f t="shared" si="39"/>
        <v>1.2061919836165414E-2</v>
      </c>
      <c r="AF183" s="64">
        <f t="shared" si="40"/>
        <v>4.3700534759358291E-2</v>
      </c>
      <c r="AG183" s="20">
        <f t="shared" si="41"/>
        <v>19.566444294232994</v>
      </c>
      <c r="AH183" s="20">
        <f t="shared" si="42"/>
        <v>91.294058823529397</v>
      </c>
      <c r="AI183" s="22"/>
    </row>
    <row r="184" spans="1:35" customFormat="1">
      <c r="A184" s="28">
        <v>45840</v>
      </c>
      <c r="B184" s="4">
        <v>280</v>
      </c>
      <c r="C184" s="4">
        <v>232.5</v>
      </c>
      <c r="D184" s="4">
        <v>82.5</v>
      </c>
      <c r="E184" s="6">
        <v>452.33333333333337</v>
      </c>
      <c r="F184" s="4">
        <v>261.16666666666663</v>
      </c>
      <c r="G184" s="4">
        <v>79.166666666666671</v>
      </c>
      <c r="H184" s="4">
        <v>68.583333333333329</v>
      </c>
      <c r="I184" s="4">
        <v>1452</v>
      </c>
      <c r="J184" s="4">
        <v>105</v>
      </c>
      <c r="K184" s="4">
        <v>1539.5833333333335</v>
      </c>
      <c r="L184" s="4">
        <v>130.66666666666669</v>
      </c>
      <c r="M184" s="3">
        <v>283.91666666666669</v>
      </c>
      <c r="N184" s="107">
        <f t="shared" si="36"/>
        <v>356.05556166156919</v>
      </c>
      <c r="O184" s="7">
        <f t="shared" si="32"/>
        <v>3952.75</v>
      </c>
      <c r="P184" s="7">
        <f t="shared" si="33"/>
        <v>3596.6944383384307</v>
      </c>
      <c r="Q184" s="7">
        <f t="shared" si="34"/>
        <v>1326.2015152338445</v>
      </c>
      <c r="R184" s="7">
        <f t="shared" si="35"/>
        <v>1309.3262564379199</v>
      </c>
      <c r="S184" s="7">
        <v>4713</v>
      </c>
      <c r="T184" s="7">
        <v>9158</v>
      </c>
      <c r="U184" s="7">
        <v>2571</v>
      </c>
      <c r="V184" s="7">
        <v>118938</v>
      </c>
      <c r="W184" s="7">
        <f t="shared" si="37"/>
        <v>111654</v>
      </c>
      <c r="X184" s="103">
        <f t="shared" si="38"/>
        <v>136109</v>
      </c>
      <c r="Y184" s="103"/>
      <c r="Z184" s="7">
        <v>29533</v>
      </c>
      <c r="AA184" s="7"/>
      <c r="AB184" s="2">
        <v>17171</v>
      </c>
      <c r="AC184" s="103">
        <v>181671</v>
      </c>
      <c r="AD184" s="103">
        <v>128825</v>
      </c>
      <c r="AE184" s="64">
        <f t="shared" si="39"/>
        <v>0.14955804723924015</v>
      </c>
      <c r="AF184" s="64">
        <f t="shared" si="40"/>
        <v>8.6638074907820689E-2</v>
      </c>
      <c r="AG184" s="20">
        <f t="shared" si="41"/>
        <v>230.25707689541352</v>
      </c>
      <c r="AH184" s="20">
        <f t="shared" si="42"/>
        <v>125.79848476615564</v>
      </c>
      <c r="AI184" s="22"/>
    </row>
    <row r="185" spans="1:35" customFormat="1">
      <c r="A185" s="28">
        <v>45841</v>
      </c>
      <c r="B185" s="4">
        <v>245</v>
      </c>
      <c r="C185" s="4">
        <v>256.83333333333337</v>
      </c>
      <c r="D185" s="4">
        <v>82.5</v>
      </c>
      <c r="E185" s="6">
        <v>455.91666666666663</v>
      </c>
      <c r="F185" s="4">
        <v>261.16666666666663</v>
      </c>
      <c r="G185" s="4">
        <v>84.75</v>
      </c>
      <c r="H185" s="4">
        <v>71.5</v>
      </c>
      <c r="I185" s="4">
        <v>1792.0833333333335</v>
      </c>
      <c r="J185" s="4">
        <v>126.41666666666669</v>
      </c>
      <c r="K185" s="4">
        <v>1507.8333333333333</v>
      </c>
      <c r="L185" s="4">
        <v>122.75000000000001</v>
      </c>
      <c r="M185" s="3">
        <v>282.41666666666669</v>
      </c>
      <c r="N185" s="107">
        <f t="shared" si="36"/>
        <v>698.69913157843052</v>
      </c>
      <c r="O185" s="7">
        <f t="shared" si="32"/>
        <v>4271.8333333333339</v>
      </c>
      <c r="P185" s="7">
        <f t="shared" si="33"/>
        <v>3573.1342017549032</v>
      </c>
      <c r="Q185" s="7">
        <f t="shared" si="34"/>
        <v>1435.0856670775702</v>
      </c>
      <c r="R185" s="7">
        <f t="shared" si="35"/>
        <v>1166.131868010666</v>
      </c>
      <c r="S185" s="7">
        <v>5164</v>
      </c>
      <c r="T185" s="7">
        <v>8523</v>
      </c>
      <c r="U185" s="7">
        <v>1796</v>
      </c>
      <c r="V185" s="7">
        <v>115261</v>
      </c>
      <c r="W185" s="7">
        <f t="shared" si="37"/>
        <v>108301</v>
      </c>
      <c r="X185" s="103">
        <f t="shared" si="38"/>
        <v>163120</v>
      </c>
      <c r="Y185" s="103"/>
      <c r="Z185" s="7">
        <v>49729</v>
      </c>
      <c r="AA185" s="7"/>
      <c r="AB185" s="2">
        <v>47859</v>
      </c>
      <c r="AC185" s="103">
        <v>201885</v>
      </c>
      <c r="AD185" s="103">
        <v>156160</v>
      </c>
      <c r="AE185" s="64">
        <f t="shared" si="39"/>
        <v>0.22661752978180649</v>
      </c>
      <c r="AF185" s="64">
        <f t="shared" si="40"/>
        <v>0.19920818391393441</v>
      </c>
      <c r="AG185" s="20">
        <f t="shared" si="41"/>
        <v>341.70146532266722</v>
      </c>
      <c r="AH185" s="20">
        <f t="shared" si="42"/>
        <v>356.99766625576331</v>
      </c>
      <c r="AI185" s="22"/>
    </row>
    <row r="186" spans="1:35" customFormat="1">
      <c r="A186" s="28">
        <v>45842</v>
      </c>
      <c r="B186" s="4">
        <v>225</v>
      </c>
      <c r="C186" s="4">
        <v>308.16666666666669</v>
      </c>
      <c r="D186" s="4">
        <v>76</v>
      </c>
      <c r="E186" s="6">
        <v>403.08333333333337</v>
      </c>
      <c r="F186" s="4">
        <v>232.5</v>
      </c>
      <c r="G186" s="4">
        <v>73.916666666666671</v>
      </c>
      <c r="H186" s="4">
        <v>71.5</v>
      </c>
      <c r="I186" s="4">
        <v>1272.9166666666667</v>
      </c>
      <c r="J186" s="4">
        <v>111.16666666666669</v>
      </c>
      <c r="K186" s="4">
        <v>1264.1666666666667</v>
      </c>
      <c r="L186" s="4">
        <v>136.5</v>
      </c>
      <c r="M186" s="3">
        <v>278.25</v>
      </c>
      <c r="N186" s="107">
        <f t="shared" si="36"/>
        <v>65.009960176189793</v>
      </c>
      <c r="O186" s="7">
        <f t="shared" si="32"/>
        <v>3489.9166666666665</v>
      </c>
      <c r="P186" s="7">
        <f t="shared" si="33"/>
        <v>3424.9067064904775</v>
      </c>
      <c r="Q186" s="7">
        <f t="shared" si="34"/>
        <v>1207.9067064904771</v>
      </c>
      <c r="R186" s="7">
        <f t="shared" si="35"/>
        <v>1264.1666666666667</v>
      </c>
      <c r="S186" s="7">
        <v>2273</v>
      </c>
      <c r="T186" s="7">
        <v>4845</v>
      </c>
      <c r="U186" s="7">
        <v>1543</v>
      </c>
      <c r="V186" s="7">
        <v>117441</v>
      </c>
      <c r="W186" s="7">
        <f t="shared" si="37"/>
        <v>113625</v>
      </c>
      <c r="X186" s="103">
        <f t="shared" si="38"/>
        <v>127130</v>
      </c>
      <c r="Y186" s="103"/>
      <c r="Z186" s="7">
        <v>0</v>
      </c>
      <c r="AA186" s="7"/>
      <c r="AB186" s="2">
        <v>9689</v>
      </c>
      <c r="AC186" s="103">
        <v>108991</v>
      </c>
      <c r="AD186" s="103">
        <v>123314</v>
      </c>
      <c r="AE186" s="64">
        <f t="shared" si="39"/>
        <v>0</v>
      </c>
      <c r="AF186" s="64">
        <f t="shared" si="40"/>
        <v>5.1071654475566441E-2</v>
      </c>
      <c r="AG186" s="20">
        <f t="shared" si="41"/>
        <v>0</v>
      </c>
      <c r="AH186" s="20">
        <f t="shared" si="42"/>
        <v>65.009960176189793</v>
      </c>
      <c r="AI186" s="22"/>
    </row>
    <row r="187" spans="1:35" customFormat="1">
      <c r="A187" s="28">
        <v>45843</v>
      </c>
      <c r="B187" s="4">
        <v>216.58333333333334</v>
      </c>
      <c r="C187" s="4">
        <v>139.33333333333334</v>
      </c>
      <c r="D187" s="4">
        <v>45</v>
      </c>
      <c r="E187" s="6">
        <v>278</v>
      </c>
      <c r="F187" s="4">
        <v>246.66666666666669</v>
      </c>
      <c r="G187" s="4">
        <v>0</v>
      </c>
      <c r="H187" s="4">
        <v>22.5</v>
      </c>
      <c r="I187" s="4">
        <v>1262.3333333333335</v>
      </c>
      <c r="J187" s="4">
        <v>67.5</v>
      </c>
      <c r="K187" s="4">
        <v>683.08333333333337</v>
      </c>
      <c r="L187" s="4">
        <v>90</v>
      </c>
      <c r="M187" s="3">
        <v>154.75</v>
      </c>
      <c r="N187" s="107">
        <f t="shared" si="36"/>
        <v>17.109737262559918</v>
      </c>
      <c r="O187" s="7">
        <f t="shared" si="32"/>
        <v>2660.5000000000005</v>
      </c>
      <c r="P187" s="7">
        <f t="shared" si="33"/>
        <v>2643.3902627374405</v>
      </c>
      <c r="Q187" s="7">
        <f t="shared" si="34"/>
        <v>1245.2235960707735</v>
      </c>
      <c r="R187" s="7">
        <f t="shared" si="35"/>
        <v>683.08333333333337</v>
      </c>
      <c r="S187" s="7">
        <v>3129</v>
      </c>
      <c r="T187" s="7">
        <v>5052</v>
      </c>
      <c r="U187" s="7">
        <v>862</v>
      </c>
      <c r="V187" s="7">
        <v>75693</v>
      </c>
      <c r="W187" s="7">
        <f t="shared" si="37"/>
        <v>71702</v>
      </c>
      <c r="X187" s="103">
        <f t="shared" si="38"/>
        <v>77220</v>
      </c>
      <c r="Y187" s="103"/>
      <c r="Z187" s="7">
        <v>0</v>
      </c>
      <c r="AA187" s="7"/>
      <c r="AB187" s="2">
        <v>1527</v>
      </c>
      <c r="AC187" s="103">
        <v>59930</v>
      </c>
      <c r="AD187" s="103">
        <v>73229</v>
      </c>
      <c r="AE187" s="64">
        <f t="shared" si="39"/>
        <v>0</v>
      </c>
      <c r="AF187" s="64">
        <f t="shared" si="40"/>
        <v>1.355405645304456E-2</v>
      </c>
      <c r="AG187" s="20">
        <f t="shared" si="41"/>
        <v>0</v>
      </c>
      <c r="AH187" s="20">
        <f t="shared" si="42"/>
        <v>17.109737262559918</v>
      </c>
      <c r="AI187" s="22"/>
    </row>
    <row r="188" spans="1:35" customFormat="1">
      <c r="A188" s="28">
        <v>45844</v>
      </c>
      <c r="B188" s="4"/>
      <c r="C188" s="4">
        <v>152.5</v>
      </c>
      <c r="D188" s="4">
        <v>26.333333333333336</v>
      </c>
      <c r="E188" s="6">
        <v>0</v>
      </c>
      <c r="F188" s="4">
        <v>112.16666666666666</v>
      </c>
      <c r="G188" s="4">
        <v>0</v>
      </c>
      <c r="H188" s="4">
        <v>7.5</v>
      </c>
      <c r="I188" s="4">
        <v>520.25</v>
      </c>
      <c r="J188" s="4">
        <v>60</v>
      </c>
      <c r="K188" s="4">
        <v>330.66666666666663</v>
      </c>
      <c r="L188" s="4">
        <v>0</v>
      </c>
      <c r="M188" s="3">
        <v>98.5</v>
      </c>
      <c r="N188" s="107">
        <f t="shared" si="36"/>
        <v>3.7462243278467975</v>
      </c>
      <c r="O188" s="7">
        <f t="shared" si="32"/>
        <v>1201.9166666666665</v>
      </c>
      <c r="P188" s="7">
        <f t="shared" si="33"/>
        <v>1198.1704423388198</v>
      </c>
      <c r="Q188" s="7">
        <f t="shared" si="34"/>
        <v>516.50377567215321</v>
      </c>
      <c r="R188" s="7">
        <f t="shared" si="35"/>
        <v>330.66666666666663</v>
      </c>
      <c r="S188" s="7">
        <v>780</v>
      </c>
      <c r="T188" s="7">
        <v>3439</v>
      </c>
      <c r="U188" s="7">
        <v>772</v>
      </c>
      <c r="V188" s="7">
        <v>48596</v>
      </c>
      <c r="W188" s="7">
        <f t="shared" si="37"/>
        <v>47044</v>
      </c>
      <c r="X188" s="103">
        <f t="shared" si="38"/>
        <v>49123</v>
      </c>
      <c r="Y188" s="103"/>
      <c r="Z188" s="7">
        <v>0</v>
      </c>
      <c r="AA188" s="7"/>
      <c r="AB188" s="2">
        <v>527</v>
      </c>
      <c r="AC188" s="103">
        <v>38029</v>
      </c>
      <c r="AD188" s="103">
        <v>47571</v>
      </c>
      <c r="AE188" s="64">
        <f t="shared" si="39"/>
        <v>0</v>
      </c>
      <c r="AF188" s="64">
        <f t="shared" si="40"/>
        <v>7.2008156229635707E-3</v>
      </c>
      <c r="AG188" s="20">
        <f t="shared" si="41"/>
        <v>0</v>
      </c>
      <c r="AH188" s="20">
        <f t="shared" si="42"/>
        <v>3.7462243278467975</v>
      </c>
      <c r="AI188" s="22"/>
    </row>
    <row r="189" spans="1:35" customFormat="1">
      <c r="A189" s="28">
        <v>45845</v>
      </c>
      <c r="B189" s="3">
        <v>206.41666666666669</v>
      </c>
      <c r="C189" s="3">
        <v>359.58333333333331</v>
      </c>
      <c r="D189" s="3">
        <v>83.583333333333343</v>
      </c>
      <c r="E189" s="6">
        <v>435</v>
      </c>
      <c r="F189" s="3">
        <v>201.49999999999997</v>
      </c>
      <c r="G189" s="3">
        <v>149.66666666666669</v>
      </c>
      <c r="H189" s="3">
        <v>48.5</v>
      </c>
      <c r="I189" s="3">
        <v>1205.8333333333333</v>
      </c>
      <c r="J189" s="3">
        <v>97</v>
      </c>
      <c r="K189" s="3">
        <v>1494.1666666666667</v>
      </c>
      <c r="L189" s="3">
        <v>100.58333333333334</v>
      </c>
      <c r="M189" s="3">
        <v>296.91666666666663</v>
      </c>
      <c r="N189" s="107">
        <f t="shared" si="36"/>
        <v>14.790285994878889</v>
      </c>
      <c r="O189" s="7">
        <f t="shared" si="32"/>
        <v>3648.083333333333</v>
      </c>
      <c r="P189" s="7">
        <f t="shared" si="33"/>
        <v>3633.2930473384549</v>
      </c>
      <c r="Q189" s="7">
        <f t="shared" si="34"/>
        <v>1191.0430473384545</v>
      </c>
      <c r="R189" s="7">
        <f t="shared" si="35"/>
        <v>1494.1666666666667</v>
      </c>
      <c r="S189" s="7">
        <v>6938</v>
      </c>
      <c r="T189" s="7">
        <v>8583</v>
      </c>
      <c r="U189" s="7">
        <v>958</v>
      </c>
      <c r="V189" s="7">
        <v>90150</v>
      </c>
      <c r="W189" s="7">
        <f t="shared" si="37"/>
        <v>82254</v>
      </c>
      <c r="X189" s="103">
        <f t="shared" si="38"/>
        <v>91732</v>
      </c>
      <c r="Y189" s="103"/>
      <c r="Z189" s="7">
        <v>0</v>
      </c>
      <c r="AA189" s="7"/>
      <c r="AB189" s="2">
        <v>1582</v>
      </c>
      <c r="AC189" s="103">
        <v>132553</v>
      </c>
      <c r="AD189" s="103">
        <v>83836</v>
      </c>
      <c r="AE189" s="64">
        <f t="shared" si="39"/>
        <v>0</v>
      </c>
      <c r="AF189" s="64">
        <f t="shared" si="40"/>
        <v>1.2265613817453122E-2</v>
      </c>
      <c r="AG189" s="20">
        <f t="shared" si="41"/>
        <v>0</v>
      </c>
      <c r="AH189" s="20">
        <f t="shared" si="42"/>
        <v>14.790285994878889</v>
      </c>
      <c r="AI189" s="22"/>
    </row>
    <row r="190" spans="1:35" customFormat="1">
      <c r="A190" s="28">
        <v>45846</v>
      </c>
      <c r="B190" s="3">
        <v>217.5</v>
      </c>
      <c r="C190" s="3">
        <v>442.5</v>
      </c>
      <c r="D190" s="3">
        <v>90</v>
      </c>
      <c r="E190" s="6">
        <v>443.41666666666663</v>
      </c>
      <c r="F190" s="3">
        <v>212.25</v>
      </c>
      <c r="G190" s="3">
        <v>144.5</v>
      </c>
      <c r="H190" s="3">
        <v>62</v>
      </c>
      <c r="I190" s="3">
        <v>1596.8333333333333</v>
      </c>
      <c r="J190" s="3">
        <v>81</v>
      </c>
      <c r="K190" s="3">
        <v>1614.6666666666665</v>
      </c>
      <c r="L190" s="3">
        <v>116.50000000000001</v>
      </c>
      <c r="M190" s="3">
        <v>289.91666666666669</v>
      </c>
      <c r="N190" s="107">
        <f t="shared" si="36"/>
        <v>8.3214328426523352</v>
      </c>
      <c r="O190" s="7">
        <f t="shared" si="32"/>
        <v>4254.75</v>
      </c>
      <c r="P190" s="7">
        <f t="shared" si="33"/>
        <v>4246.4285671573471</v>
      </c>
      <c r="Q190" s="7">
        <f t="shared" si="34"/>
        <v>1588.511900490681</v>
      </c>
      <c r="R190" s="7">
        <f t="shared" si="35"/>
        <v>1614.6666666666665</v>
      </c>
      <c r="S190" s="7">
        <v>3761</v>
      </c>
      <c r="T190" s="7">
        <v>6056</v>
      </c>
      <c r="U190" s="7">
        <v>1591</v>
      </c>
      <c r="V190" s="7">
        <v>139724</v>
      </c>
      <c r="W190" s="7">
        <f t="shared" si="37"/>
        <v>134372</v>
      </c>
      <c r="X190" s="103">
        <f t="shared" si="38"/>
        <v>140810</v>
      </c>
      <c r="Y190" s="103"/>
      <c r="Z190" s="7">
        <v>0</v>
      </c>
      <c r="AA190" s="7"/>
      <c r="AB190" s="2">
        <v>1086</v>
      </c>
      <c r="AC190" s="103">
        <v>142822</v>
      </c>
      <c r="AD190" s="103">
        <v>135458</v>
      </c>
      <c r="AE190" s="64">
        <f t="shared" si="39"/>
        <v>0</v>
      </c>
      <c r="AF190" s="64">
        <f t="shared" si="40"/>
        <v>5.2112093785527617E-3</v>
      </c>
      <c r="AG190" s="20">
        <f t="shared" si="41"/>
        <v>0</v>
      </c>
      <c r="AH190" s="20">
        <f t="shared" si="42"/>
        <v>8.3214328426523352</v>
      </c>
      <c r="AI190" s="22"/>
    </row>
    <row r="191" spans="1:35" customFormat="1">
      <c r="A191" s="28">
        <v>45847</v>
      </c>
      <c r="B191" s="3">
        <v>210</v>
      </c>
      <c r="C191" s="3">
        <v>425.83333333333337</v>
      </c>
      <c r="D191" s="3">
        <v>90</v>
      </c>
      <c r="E191" s="6">
        <v>433.58333333333337</v>
      </c>
      <c r="F191" s="3">
        <v>261</v>
      </c>
      <c r="G191" s="3">
        <v>144.5</v>
      </c>
      <c r="H191" s="3">
        <v>61.666666666666664</v>
      </c>
      <c r="I191" s="3">
        <v>1861.2499999999998</v>
      </c>
      <c r="J191" s="3">
        <v>90</v>
      </c>
      <c r="K191" s="3">
        <v>1534.1666666666667</v>
      </c>
      <c r="L191" s="3">
        <v>124</v>
      </c>
      <c r="M191" s="3">
        <v>293.41666666666663</v>
      </c>
      <c r="N191" s="107">
        <f t="shared" si="36"/>
        <v>6.0362179034772252</v>
      </c>
      <c r="O191" s="7">
        <f t="shared" si="32"/>
        <v>4472.25</v>
      </c>
      <c r="P191" s="7">
        <f t="shared" si="33"/>
        <v>4466.2137820965227</v>
      </c>
      <c r="Q191" s="7">
        <f t="shared" si="34"/>
        <v>1855.2137820965224</v>
      </c>
      <c r="R191" s="7">
        <f t="shared" si="35"/>
        <v>1534.1666666666667</v>
      </c>
      <c r="S191" s="7">
        <v>2447</v>
      </c>
      <c r="T191" s="7">
        <v>6113</v>
      </c>
      <c r="U191" s="7">
        <v>2441</v>
      </c>
      <c r="V191" s="7">
        <v>167021</v>
      </c>
      <c r="W191" s="7">
        <f t="shared" si="37"/>
        <v>162133</v>
      </c>
      <c r="X191" s="103">
        <f t="shared" si="38"/>
        <v>167834</v>
      </c>
      <c r="Y191" s="103"/>
      <c r="Z191" s="7">
        <v>0</v>
      </c>
      <c r="AA191" s="7"/>
      <c r="AB191" s="2">
        <v>813</v>
      </c>
      <c r="AC191" s="103">
        <v>139190</v>
      </c>
      <c r="AD191" s="103">
        <v>162946</v>
      </c>
      <c r="AE191" s="64">
        <f t="shared" si="39"/>
        <v>0</v>
      </c>
      <c r="AF191" s="64">
        <f t="shared" si="40"/>
        <v>3.2430989407533787E-3</v>
      </c>
      <c r="AG191" s="20">
        <f t="shared" si="41"/>
        <v>0</v>
      </c>
      <c r="AH191" s="20">
        <f t="shared" si="42"/>
        <v>6.0362179034772252</v>
      </c>
      <c r="AI191" s="22"/>
    </row>
    <row r="192" spans="1:35" customFormat="1">
      <c r="A192" s="28">
        <v>45848</v>
      </c>
      <c r="B192" s="3">
        <v>210</v>
      </c>
      <c r="C192" s="3">
        <v>456.75</v>
      </c>
      <c r="D192" s="3">
        <v>87</v>
      </c>
      <c r="E192" s="6">
        <v>426.66666666666663</v>
      </c>
      <c r="F192" s="3">
        <v>213.41666666666663</v>
      </c>
      <c r="G192" s="3">
        <v>148.33333333333334</v>
      </c>
      <c r="H192" s="3">
        <v>62</v>
      </c>
      <c r="I192" s="3">
        <v>1646.1666666666665</v>
      </c>
      <c r="J192" s="3">
        <v>101.91666666666667</v>
      </c>
      <c r="K192" s="3">
        <v>1298.3333333333333</v>
      </c>
      <c r="L192" s="3">
        <v>146.5</v>
      </c>
      <c r="M192" s="3">
        <v>273.41666666666669</v>
      </c>
      <c r="N192" s="107">
        <f t="shared" si="36"/>
        <v>10.23176561810352</v>
      </c>
      <c r="O192" s="7">
        <f t="shared" si="32"/>
        <v>4013.5833333333326</v>
      </c>
      <c r="P192" s="7">
        <f t="shared" si="33"/>
        <v>4003.3515677152291</v>
      </c>
      <c r="Q192" s="7">
        <f t="shared" si="34"/>
        <v>1635.934901048563</v>
      </c>
      <c r="R192" s="7">
        <f t="shared" si="35"/>
        <v>1298.3333333333333</v>
      </c>
      <c r="S192" s="7">
        <v>3975</v>
      </c>
      <c r="T192" s="7">
        <v>10197</v>
      </c>
      <c r="U192" s="7">
        <v>3977</v>
      </c>
      <c r="V192" s="7">
        <v>146331</v>
      </c>
      <c r="W192" s="7">
        <f t="shared" si="37"/>
        <v>138379</v>
      </c>
      <c r="X192" s="103">
        <f t="shared" si="38"/>
        <v>147667</v>
      </c>
      <c r="Y192" s="103"/>
      <c r="Z192" s="7">
        <v>0</v>
      </c>
      <c r="AA192" s="7"/>
      <c r="AB192" s="2">
        <v>1336</v>
      </c>
      <c r="AC192" s="103">
        <v>113597</v>
      </c>
      <c r="AD192" s="103">
        <v>139715</v>
      </c>
      <c r="AE192" s="64">
        <f t="shared" si="39"/>
        <v>0</v>
      </c>
      <c r="AF192" s="64">
        <f t="shared" si="40"/>
        <v>6.2155101456536528E-3</v>
      </c>
      <c r="AG192" s="20">
        <f t="shared" si="41"/>
        <v>0</v>
      </c>
      <c r="AH192" s="20">
        <f t="shared" si="42"/>
        <v>10.23176561810352</v>
      </c>
      <c r="AI192" s="22"/>
    </row>
    <row r="193" spans="1:35" customFormat="1">
      <c r="A193" s="28">
        <v>45849</v>
      </c>
      <c r="B193" s="3">
        <v>217.5</v>
      </c>
      <c r="C193" s="3">
        <v>272.91666666666663</v>
      </c>
      <c r="D193" s="3">
        <v>90</v>
      </c>
      <c r="E193" s="6">
        <v>438.58333333333331</v>
      </c>
      <c r="F193" s="3">
        <v>240</v>
      </c>
      <c r="G193" s="3">
        <v>137.66666666666669</v>
      </c>
      <c r="H193" s="3">
        <v>62</v>
      </c>
      <c r="I193" s="3">
        <v>1464.4166666666667</v>
      </c>
      <c r="J193" s="3">
        <v>89.583333333333343</v>
      </c>
      <c r="K193" s="3">
        <v>1323.9166666666667</v>
      </c>
      <c r="L193" s="3">
        <v>138.41666666666669</v>
      </c>
      <c r="M193" s="3">
        <v>270.16666666666663</v>
      </c>
      <c r="N193" s="107">
        <f t="shared" si="36"/>
        <v>8.1250101181967835</v>
      </c>
      <c r="O193" s="7">
        <f t="shared" si="32"/>
        <v>3698.3333333333335</v>
      </c>
      <c r="P193" s="7">
        <f t="shared" si="33"/>
        <v>3690.2083232151372</v>
      </c>
      <c r="Q193" s="7">
        <f t="shared" si="34"/>
        <v>1456.29165654847</v>
      </c>
      <c r="R193" s="7">
        <f t="shared" si="35"/>
        <v>1323.9166666666667</v>
      </c>
      <c r="S193" s="7">
        <v>3396</v>
      </c>
      <c r="T193" s="7">
        <v>8432</v>
      </c>
      <c r="U193" s="7">
        <v>2667</v>
      </c>
      <c r="V193" s="7">
        <v>128140</v>
      </c>
      <c r="W193" s="7">
        <f t="shared" si="37"/>
        <v>122077</v>
      </c>
      <c r="X193" s="103">
        <f t="shared" si="38"/>
        <v>129191</v>
      </c>
      <c r="Y193" s="103"/>
      <c r="Z193" s="7">
        <v>0</v>
      </c>
      <c r="AA193" s="7"/>
      <c r="AB193" s="2">
        <v>1051</v>
      </c>
      <c r="AC193" s="103">
        <v>99025</v>
      </c>
      <c r="AD193" s="103">
        <v>123128</v>
      </c>
      <c r="AE193" s="64">
        <f t="shared" si="39"/>
        <v>0</v>
      </c>
      <c r="AF193" s="64">
        <f t="shared" si="40"/>
        <v>5.5482912091482043E-3</v>
      </c>
      <c r="AG193" s="20">
        <f t="shared" si="41"/>
        <v>0</v>
      </c>
      <c r="AH193" s="20">
        <f t="shared" si="42"/>
        <v>8.1250101181967835</v>
      </c>
      <c r="AI193" s="22"/>
    </row>
    <row r="194" spans="1:35" customFormat="1">
      <c r="A194" s="28">
        <v>45850</v>
      </c>
      <c r="B194" s="3">
        <v>217</v>
      </c>
      <c r="C194" s="3">
        <v>138.75</v>
      </c>
      <c r="D194" s="3">
        <v>52</v>
      </c>
      <c r="E194" s="6">
        <v>315.5</v>
      </c>
      <c r="F194" s="3">
        <v>157.5</v>
      </c>
      <c r="G194" s="3">
        <v>0</v>
      </c>
      <c r="H194" s="3">
        <v>30</v>
      </c>
      <c r="I194" s="3">
        <v>1239</v>
      </c>
      <c r="J194" s="3">
        <v>44.666666666666664</v>
      </c>
      <c r="K194" s="3">
        <v>897.08333333333337</v>
      </c>
      <c r="L194" s="3">
        <v>90</v>
      </c>
      <c r="M194" s="3">
        <v>176.41666666666666</v>
      </c>
      <c r="N194" s="107">
        <f t="shared" si="36"/>
        <v>11.023583008960047</v>
      </c>
      <c r="O194" s="7">
        <f t="shared" ref="O194:O257" si="43">+B194+C194+D194+F194+I194+K194+J194</f>
        <v>2746</v>
      </c>
      <c r="P194" s="7">
        <f t="shared" ref="P194:P257" si="44">+B194+C194+D194+F194+J194+Q194+R194</f>
        <v>2734.97641699104</v>
      </c>
      <c r="Q194" s="7">
        <f t="shared" ref="Q194:Q257" si="45">+I194-AH194</f>
        <v>1227.97641699104</v>
      </c>
      <c r="R194" s="7">
        <f t="shared" ref="R194:R257" si="46">+K194-AG194</f>
        <v>897.08333333333337</v>
      </c>
      <c r="S194" s="7">
        <v>1590</v>
      </c>
      <c r="T194" s="7">
        <v>5804</v>
      </c>
      <c r="U194" s="7">
        <v>1339</v>
      </c>
      <c r="V194" s="7">
        <v>110366</v>
      </c>
      <c r="W194" s="7">
        <f t="shared" si="37"/>
        <v>107437</v>
      </c>
      <c r="X194" s="103">
        <f t="shared" si="38"/>
        <v>111857</v>
      </c>
      <c r="Y194" s="103"/>
      <c r="Z194" s="7">
        <v>0</v>
      </c>
      <c r="AA194" s="7"/>
      <c r="AB194" s="2">
        <v>1491</v>
      </c>
      <c r="AC194" s="103">
        <v>71147</v>
      </c>
      <c r="AD194" s="103">
        <v>108928</v>
      </c>
      <c r="AE194" s="64">
        <f t="shared" si="39"/>
        <v>0</v>
      </c>
      <c r="AF194" s="64">
        <f t="shared" si="40"/>
        <v>8.8971614277320796E-3</v>
      </c>
      <c r="AG194" s="20">
        <f t="shared" si="41"/>
        <v>0</v>
      </c>
      <c r="AH194" s="20">
        <f t="shared" si="42"/>
        <v>11.023583008960047</v>
      </c>
      <c r="AI194" s="22"/>
    </row>
    <row r="195" spans="1:35" customFormat="1">
      <c r="A195" s="28">
        <v>45851</v>
      </c>
      <c r="B195" s="3"/>
      <c r="C195" s="3">
        <v>153.16666666666666</v>
      </c>
      <c r="D195" s="3">
        <v>30</v>
      </c>
      <c r="E195" s="6">
        <v>0</v>
      </c>
      <c r="F195" s="3">
        <v>118.75</v>
      </c>
      <c r="G195" s="3">
        <v>0</v>
      </c>
      <c r="H195" s="3">
        <v>15</v>
      </c>
      <c r="I195" s="3">
        <v>543.91666666666663</v>
      </c>
      <c r="J195" s="3">
        <v>60</v>
      </c>
      <c r="K195" s="3">
        <v>350.5</v>
      </c>
      <c r="L195" s="3">
        <v>0</v>
      </c>
      <c r="M195" s="3">
        <v>115.83333333333333</v>
      </c>
      <c r="N195" s="107">
        <f t="shared" ref="N195:N258" si="47">+AH195+AG195</f>
        <v>3.6634825527579506</v>
      </c>
      <c r="O195" s="7">
        <f t="shared" si="43"/>
        <v>1256.3333333333333</v>
      </c>
      <c r="P195" s="7">
        <f t="shared" si="44"/>
        <v>1252.6698507805754</v>
      </c>
      <c r="Q195" s="7">
        <f t="shared" si="45"/>
        <v>540.25318411390867</v>
      </c>
      <c r="R195" s="7">
        <f t="shared" si="46"/>
        <v>350.5</v>
      </c>
      <c r="S195" s="7">
        <v>486</v>
      </c>
      <c r="T195" s="7">
        <v>3513</v>
      </c>
      <c r="U195" s="7">
        <v>1816</v>
      </c>
      <c r="V195" s="7">
        <v>55403</v>
      </c>
      <c r="W195" s="7">
        <f t="shared" ref="W195:W258" si="48">+V195-U195-S195+AA195</f>
        <v>53101</v>
      </c>
      <c r="X195" s="103">
        <f t="shared" ref="X195:X258" si="49">+V195+AB195+AA195</f>
        <v>55959</v>
      </c>
      <c r="Y195" s="103"/>
      <c r="Z195" s="7">
        <v>0</v>
      </c>
      <c r="AA195" s="7"/>
      <c r="AB195" s="2">
        <v>556</v>
      </c>
      <c r="AC195" s="103">
        <v>40670</v>
      </c>
      <c r="AD195" s="103">
        <v>53657</v>
      </c>
      <c r="AE195" s="64">
        <f t="shared" ref="AE195:AE258" si="50">+(Z195/AC195*0.92)</f>
        <v>0</v>
      </c>
      <c r="AF195" s="64">
        <f t="shared" ref="AF195:AF258" si="51">+(AB195/AD195*0.65)</f>
        <v>6.7353746948208074E-3</v>
      </c>
      <c r="AG195" s="20">
        <f t="shared" si="41"/>
        <v>0</v>
      </c>
      <c r="AH195" s="20">
        <f t="shared" si="42"/>
        <v>3.6634825527579506</v>
      </c>
      <c r="AI195" s="22"/>
    </row>
    <row r="196" spans="1:35" customFormat="1">
      <c r="A196" s="28">
        <v>45852</v>
      </c>
      <c r="B196" s="3">
        <v>280</v>
      </c>
      <c r="C196" s="3">
        <v>279.5</v>
      </c>
      <c r="D196" s="3">
        <v>79.333333333333329</v>
      </c>
      <c r="E196" s="6">
        <v>425</v>
      </c>
      <c r="F196" s="3">
        <v>217.5</v>
      </c>
      <c r="G196" s="3">
        <v>75.666666666666657</v>
      </c>
      <c r="H196" s="3">
        <v>45.416666666666671</v>
      </c>
      <c r="I196" s="3">
        <v>1162.5</v>
      </c>
      <c r="J196" s="3">
        <v>105</v>
      </c>
      <c r="K196" s="3">
        <v>1669.1666666666665</v>
      </c>
      <c r="L196" s="3">
        <v>129.25</v>
      </c>
      <c r="M196" s="3">
        <v>274.5</v>
      </c>
      <c r="N196" s="107">
        <f t="shared" si="47"/>
        <v>12.566232702112165</v>
      </c>
      <c r="O196" s="7">
        <f t="shared" si="43"/>
        <v>3793</v>
      </c>
      <c r="P196" s="7">
        <f t="shared" si="44"/>
        <v>3780.4337672978877</v>
      </c>
      <c r="Q196" s="7">
        <f t="shared" si="45"/>
        <v>1149.9337672978879</v>
      </c>
      <c r="R196" s="7">
        <f t="shared" si="46"/>
        <v>1669.1666666666665</v>
      </c>
      <c r="S196" s="7">
        <v>3743</v>
      </c>
      <c r="T196" s="7">
        <v>6221</v>
      </c>
      <c r="U196" s="7">
        <v>1197</v>
      </c>
      <c r="V196" s="7">
        <v>94051</v>
      </c>
      <c r="W196" s="7">
        <f t="shared" si="48"/>
        <v>89111</v>
      </c>
      <c r="X196" s="103">
        <f t="shared" si="49"/>
        <v>95558</v>
      </c>
      <c r="Y196" s="103"/>
      <c r="Z196" s="7">
        <v>0</v>
      </c>
      <c r="AA196" s="7"/>
      <c r="AB196" s="2">
        <v>1507</v>
      </c>
      <c r="AC196" s="103">
        <v>152620</v>
      </c>
      <c r="AD196" s="103">
        <v>90618</v>
      </c>
      <c r="AE196" s="64">
        <f t="shared" si="50"/>
        <v>0</v>
      </c>
      <c r="AF196" s="64">
        <f t="shared" si="51"/>
        <v>1.0809662539451325E-2</v>
      </c>
      <c r="AG196" s="20">
        <f t="shared" si="41"/>
        <v>0</v>
      </c>
      <c r="AH196" s="20">
        <f t="shared" si="42"/>
        <v>12.566232702112165</v>
      </c>
      <c r="AI196" s="22"/>
    </row>
    <row r="197" spans="1:35" customFormat="1">
      <c r="A197" s="28">
        <v>45853</v>
      </c>
      <c r="B197" s="3"/>
      <c r="C197" s="3">
        <v>0</v>
      </c>
      <c r="D197" s="3">
        <v>0</v>
      </c>
      <c r="E197" s="6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107">
        <f t="shared" si="47"/>
        <v>0</v>
      </c>
      <c r="O197" s="7">
        <f t="shared" si="43"/>
        <v>0</v>
      </c>
      <c r="P197" s="7">
        <f t="shared" si="44"/>
        <v>0</v>
      </c>
      <c r="Q197" s="7">
        <f t="shared" si="45"/>
        <v>0</v>
      </c>
      <c r="R197" s="7">
        <f t="shared" si="46"/>
        <v>0</v>
      </c>
      <c r="S197" s="7"/>
      <c r="T197" s="7"/>
      <c r="U197" s="7"/>
      <c r="V197" s="7"/>
      <c r="W197" s="7">
        <f t="shared" si="48"/>
        <v>0</v>
      </c>
      <c r="X197" s="103">
        <f t="shared" si="49"/>
        <v>0</v>
      </c>
      <c r="Y197" s="103"/>
      <c r="Z197" s="7">
        <v>0</v>
      </c>
      <c r="AA197" s="7"/>
      <c r="AB197" s="2">
        <v>0</v>
      </c>
      <c r="AC197" s="103">
        <v>0</v>
      </c>
      <c r="AD197" s="103">
        <v>0</v>
      </c>
      <c r="AE197" s="64" t="e">
        <f t="shared" si="50"/>
        <v>#DIV/0!</v>
      </c>
      <c r="AF197" s="64"/>
      <c r="AG197" s="20"/>
      <c r="AH197" s="20"/>
      <c r="AI197" s="22"/>
    </row>
    <row r="198" spans="1:35" customFormat="1">
      <c r="A198" s="28">
        <v>45854</v>
      </c>
      <c r="B198" s="3">
        <v>245</v>
      </c>
      <c r="C198" s="3">
        <v>345.33333333333331</v>
      </c>
      <c r="D198" s="3">
        <v>82.5</v>
      </c>
      <c r="E198" s="6">
        <v>409.5</v>
      </c>
      <c r="F198" s="3">
        <v>261.83333333333337</v>
      </c>
      <c r="G198" s="3">
        <v>76.25</v>
      </c>
      <c r="H198" s="3">
        <v>70.5</v>
      </c>
      <c r="I198" s="3">
        <v>1818.1666666666667</v>
      </c>
      <c r="J198" s="3">
        <v>112.5</v>
      </c>
      <c r="K198" s="3">
        <v>1936.75</v>
      </c>
      <c r="L198" s="3">
        <v>114.5</v>
      </c>
      <c r="M198" s="3">
        <v>283.58333333333337</v>
      </c>
      <c r="N198" s="107">
        <f t="shared" si="47"/>
        <v>13.326267948519151</v>
      </c>
      <c r="O198" s="7">
        <f t="shared" si="43"/>
        <v>4802.0833333333339</v>
      </c>
      <c r="P198" s="7">
        <f t="shared" si="44"/>
        <v>4788.7570653848143</v>
      </c>
      <c r="Q198" s="7">
        <f t="shared" si="45"/>
        <v>1804.8403987181475</v>
      </c>
      <c r="R198" s="7">
        <f t="shared" si="46"/>
        <v>1936.75</v>
      </c>
      <c r="S198" s="7">
        <v>5605</v>
      </c>
      <c r="T198" s="7">
        <v>11226</v>
      </c>
      <c r="U198" s="7">
        <v>1374</v>
      </c>
      <c r="V198" s="7">
        <v>166386</v>
      </c>
      <c r="W198" s="7">
        <f t="shared" si="48"/>
        <v>159407</v>
      </c>
      <c r="X198" s="103">
        <f t="shared" si="49"/>
        <v>168204</v>
      </c>
      <c r="Y198" s="103"/>
      <c r="Z198" s="7">
        <v>0</v>
      </c>
      <c r="AA198" s="7"/>
      <c r="AB198" s="2">
        <v>1818</v>
      </c>
      <c r="AC198" s="103">
        <v>164041</v>
      </c>
      <c r="AD198" s="103">
        <v>161225</v>
      </c>
      <c r="AE198" s="64">
        <f t="shared" si="50"/>
        <v>0</v>
      </c>
      <c r="AF198" s="64">
        <f t="shared" si="51"/>
        <v>7.3295084509226241E-3</v>
      </c>
      <c r="AG198" s="20">
        <f t="shared" ref="AG198:AG229" si="52">+AE198*K198</f>
        <v>0</v>
      </c>
      <c r="AH198" s="20">
        <f t="shared" ref="AH198:AH229" si="53">+AF198*I198</f>
        <v>13.326267948519151</v>
      </c>
      <c r="AI198" s="22"/>
    </row>
    <row r="199" spans="1:35" customFormat="1">
      <c r="A199" s="28">
        <v>45855</v>
      </c>
      <c r="B199" s="3">
        <v>215</v>
      </c>
      <c r="C199" s="3">
        <v>331.08333333333337</v>
      </c>
      <c r="D199" s="3">
        <v>82.5</v>
      </c>
      <c r="E199" s="6">
        <v>337.33333333333331</v>
      </c>
      <c r="F199" s="3">
        <v>226.58333333333329</v>
      </c>
      <c r="G199" s="3">
        <v>76.5</v>
      </c>
      <c r="H199" s="3">
        <v>67.25</v>
      </c>
      <c r="I199" s="3">
        <v>1584.7499999999998</v>
      </c>
      <c r="J199" s="3">
        <v>120</v>
      </c>
      <c r="K199" s="3">
        <v>2038.5833333333335</v>
      </c>
      <c r="L199" s="3">
        <v>123</v>
      </c>
      <c r="M199" s="3">
        <v>276.83333333333337</v>
      </c>
      <c r="N199" s="107">
        <f t="shared" si="47"/>
        <v>390.61720760999646</v>
      </c>
      <c r="O199" s="7">
        <f t="shared" si="43"/>
        <v>4598.5</v>
      </c>
      <c r="P199" s="7">
        <f t="shared" si="44"/>
        <v>4207.8827923900035</v>
      </c>
      <c r="Q199" s="7">
        <f t="shared" si="45"/>
        <v>1573.7843262672366</v>
      </c>
      <c r="R199" s="7">
        <f t="shared" si="46"/>
        <v>1658.9317994561002</v>
      </c>
      <c r="S199" s="7">
        <v>5857</v>
      </c>
      <c r="T199" s="7">
        <v>9321</v>
      </c>
      <c r="U199" s="7">
        <v>3430</v>
      </c>
      <c r="V199" s="7">
        <v>143024</v>
      </c>
      <c r="W199" s="7">
        <f t="shared" si="48"/>
        <v>133737</v>
      </c>
      <c r="X199" s="103">
        <f t="shared" si="49"/>
        <v>144463</v>
      </c>
      <c r="Y199" s="103"/>
      <c r="Z199" s="7">
        <v>45753</v>
      </c>
      <c r="AA199" s="7"/>
      <c r="AB199" s="2">
        <v>1439</v>
      </c>
      <c r="AC199" s="103">
        <v>226022</v>
      </c>
      <c r="AD199" s="103">
        <v>135176</v>
      </c>
      <c r="AE199" s="64">
        <f t="shared" si="50"/>
        <v>0.18623302156427252</v>
      </c>
      <c r="AF199" s="64">
        <f t="shared" si="51"/>
        <v>6.9194975439427122E-3</v>
      </c>
      <c r="AG199" s="20">
        <f t="shared" si="52"/>
        <v>379.65153387723325</v>
      </c>
      <c r="AH199" s="20">
        <f t="shared" si="53"/>
        <v>10.965673732763211</v>
      </c>
      <c r="AI199" s="22"/>
    </row>
    <row r="200" spans="1:35" customFormat="1">
      <c r="A200" s="28">
        <v>45856</v>
      </c>
      <c r="B200" s="3">
        <v>102.5</v>
      </c>
      <c r="C200" s="3">
        <v>276.91666666666663</v>
      </c>
      <c r="D200" s="3">
        <v>82.5</v>
      </c>
      <c r="E200" s="6">
        <v>419.5</v>
      </c>
      <c r="F200" s="3">
        <v>243.5</v>
      </c>
      <c r="G200" s="3">
        <v>66.833333333333329</v>
      </c>
      <c r="H200" s="3">
        <v>62</v>
      </c>
      <c r="I200" s="3">
        <v>1992.5</v>
      </c>
      <c r="J200" s="3">
        <v>120</v>
      </c>
      <c r="K200" s="3">
        <v>1734</v>
      </c>
      <c r="L200" s="3">
        <v>131</v>
      </c>
      <c r="M200" s="3">
        <v>295.25</v>
      </c>
      <c r="N200" s="107">
        <f t="shared" si="47"/>
        <v>652.59958561661233</v>
      </c>
      <c r="O200" s="7">
        <f t="shared" si="43"/>
        <v>4551.9166666666661</v>
      </c>
      <c r="P200" s="7">
        <f t="shared" si="44"/>
        <v>3899.3170810500542</v>
      </c>
      <c r="Q200" s="7">
        <f t="shared" si="45"/>
        <v>1752.5060558933033</v>
      </c>
      <c r="R200" s="7">
        <f t="shared" si="46"/>
        <v>1321.3943584900844</v>
      </c>
      <c r="S200" s="7">
        <v>4227</v>
      </c>
      <c r="T200" s="7">
        <v>9285</v>
      </c>
      <c r="U200" s="7">
        <v>2695</v>
      </c>
      <c r="V200" s="7">
        <v>145218</v>
      </c>
      <c r="W200" s="7">
        <f t="shared" si="48"/>
        <v>138296</v>
      </c>
      <c r="X200" s="103">
        <f t="shared" si="49"/>
        <v>176674</v>
      </c>
      <c r="Y200" s="103"/>
      <c r="Z200" s="7">
        <v>60803</v>
      </c>
      <c r="AA200" s="7"/>
      <c r="AB200" s="2">
        <v>31456</v>
      </c>
      <c r="AC200" s="103">
        <v>235086</v>
      </c>
      <c r="AD200" s="103">
        <v>169752</v>
      </c>
      <c r="AE200" s="64">
        <f t="shared" si="50"/>
        <v>0.23795019694920155</v>
      </c>
      <c r="AF200" s="64">
        <f t="shared" si="51"/>
        <v>0.12044865450775248</v>
      </c>
      <c r="AG200" s="20">
        <f t="shared" si="52"/>
        <v>412.60564150991547</v>
      </c>
      <c r="AH200" s="20">
        <f t="shared" si="53"/>
        <v>239.99394410669683</v>
      </c>
      <c r="AI200" s="22"/>
    </row>
    <row r="201" spans="1:35" customFormat="1">
      <c r="A201" s="28">
        <v>45857</v>
      </c>
      <c r="B201" s="3">
        <v>107.5</v>
      </c>
      <c r="C201" s="3">
        <v>208.66666666666666</v>
      </c>
      <c r="D201" s="3">
        <v>81.916666666666671</v>
      </c>
      <c r="E201" s="6">
        <v>285.5</v>
      </c>
      <c r="F201" s="3">
        <v>215.58333333333337</v>
      </c>
      <c r="G201" s="3">
        <v>0</v>
      </c>
      <c r="H201" s="3">
        <v>45</v>
      </c>
      <c r="I201" s="3">
        <v>1802.5833333333333</v>
      </c>
      <c r="J201" s="3">
        <v>112.5</v>
      </c>
      <c r="K201" s="3">
        <v>1615.75</v>
      </c>
      <c r="L201" s="3">
        <v>97.5</v>
      </c>
      <c r="M201" s="3">
        <v>271.08333333333331</v>
      </c>
      <c r="N201" s="107">
        <f t="shared" si="47"/>
        <v>659.51597036641476</v>
      </c>
      <c r="O201" s="7">
        <f t="shared" si="43"/>
        <v>4144.5</v>
      </c>
      <c r="P201" s="7">
        <f t="shared" si="44"/>
        <v>3484.9840296335856</v>
      </c>
      <c r="Q201" s="7">
        <f t="shared" si="45"/>
        <v>1359.2648540702112</v>
      </c>
      <c r="R201" s="7">
        <f t="shared" si="46"/>
        <v>1399.5525088967074</v>
      </c>
      <c r="S201" s="7">
        <v>6307</v>
      </c>
      <c r="T201" s="7">
        <v>10201</v>
      </c>
      <c r="U201" s="7">
        <v>1662</v>
      </c>
      <c r="V201" s="7">
        <v>119545</v>
      </c>
      <c r="W201" s="7">
        <f t="shared" si="48"/>
        <v>111576</v>
      </c>
      <c r="X201" s="103">
        <f t="shared" si="49"/>
        <v>187456</v>
      </c>
      <c r="Y201" s="103"/>
      <c r="Z201" s="7">
        <v>28813</v>
      </c>
      <c r="AA201" s="7"/>
      <c r="AB201" s="2">
        <v>67911</v>
      </c>
      <c r="AC201" s="103">
        <v>198107</v>
      </c>
      <c r="AD201" s="103">
        <v>179487</v>
      </c>
      <c r="AE201" s="64">
        <f t="shared" si="50"/>
        <v>0.13380627640618453</v>
      </c>
      <c r="AF201" s="64">
        <f t="shared" si="51"/>
        <v>0.24593508164936737</v>
      </c>
      <c r="AG201" s="20">
        <f t="shared" si="52"/>
        <v>216.19749110329266</v>
      </c>
      <c r="AH201" s="20">
        <f t="shared" si="53"/>
        <v>443.31847926312213</v>
      </c>
      <c r="AI201" s="22"/>
    </row>
    <row r="202" spans="1:35" customFormat="1">
      <c r="A202" s="28">
        <v>45858</v>
      </c>
      <c r="B202" s="3">
        <v>112.41666666666667</v>
      </c>
      <c r="C202" s="3">
        <v>231.74999999999997</v>
      </c>
      <c r="D202" s="3">
        <v>69.583333333333329</v>
      </c>
      <c r="E202" s="6">
        <v>0</v>
      </c>
      <c r="F202" s="3">
        <v>166.83333333333331</v>
      </c>
      <c r="G202" s="3">
        <v>0</v>
      </c>
      <c r="H202" s="3">
        <v>30</v>
      </c>
      <c r="I202" s="3">
        <v>1220.75</v>
      </c>
      <c r="J202" s="3">
        <v>120</v>
      </c>
      <c r="K202" s="3">
        <v>809.33333333333348</v>
      </c>
      <c r="L202" s="3">
        <v>0</v>
      </c>
      <c r="M202" s="3">
        <v>228.08333333333337</v>
      </c>
      <c r="N202" s="107">
        <f t="shared" si="47"/>
        <v>384.37122963116155</v>
      </c>
      <c r="O202" s="7">
        <f t="shared" si="43"/>
        <v>2730.666666666667</v>
      </c>
      <c r="P202" s="7">
        <f t="shared" si="44"/>
        <v>2346.2954370355051</v>
      </c>
      <c r="Q202" s="7">
        <f t="shared" si="45"/>
        <v>836.37877036883845</v>
      </c>
      <c r="R202" s="7">
        <f t="shared" si="46"/>
        <v>809.33333333333348</v>
      </c>
      <c r="S202" s="7">
        <v>5360</v>
      </c>
      <c r="T202" s="7">
        <v>9771</v>
      </c>
      <c r="U202" s="7">
        <v>3216</v>
      </c>
      <c r="V202" s="7">
        <v>87109</v>
      </c>
      <c r="W202" s="7">
        <f t="shared" si="48"/>
        <v>78533</v>
      </c>
      <c r="X202" s="103">
        <f t="shared" si="49"/>
        <v>160892</v>
      </c>
      <c r="Y202" s="103"/>
      <c r="Z202" s="7">
        <v>0</v>
      </c>
      <c r="AA202" s="7"/>
      <c r="AB202" s="2">
        <v>73783</v>
      </c>
      <c r="AC202" s="103">
        <v>78532</v>
      </c>
      <c r="AD202" s="103">
        <v>152316</v>
      </c>
      <c r="AE202" s="64">
        <f t="shared" si="50"/>
        <v>0</v>
      </c>
      <c r="AF202" s="64">
        <f t="shared" si="51"/>
        <v>0.31486482050474018</v>
      </c>
      <c r="AG202" s="20">
        <f t="shared" si="52"/>
        <v>0</v>
      </c>
      <c r="AH202" s="20">
        <f t="shared" si="53"/>
        <v>384.37122963116155</v>
      </c>
      <c r="AI202" s="22"/>
    </row>
    <row r="203" spans="1:35" customFormat="1">
      <c r="A203" s="28">
        <v>45859</v>
      </c>
      <c r="B203" s="3">
        <v>202.5</v>
      </c>
      <c r="C203" s="3">
        <v>284.99999999999994</v>
      </c>
      <c r="D203" s="3">
        <v>87</v>
      </c>
      <c r="E203" s="6">
        <v>511.33333333333337</v>
      </c>
      <c r="F203" s="3">
        <v>233.49999999999997</v>
      </c>
      <c r="G203" s="3">
        <v>136</v>
      </c>
      <c r="H203" s="3">
        <v>46.666666666666664</v>
      </c>
      <c r="I203" s="3">
        <v>1161.5833333333333</v>
      </c>
      <c r="J203" s="3">
        <v>112.5</v>
      </c>
      <c r="K203" s="3">
        <v>984.41666666666652</v>
      </c>
      <c r="L203" s="3">
        <v>145.25</v>
      </c>
      <c r="M203" s="3">
        <v>311.58333333333331</v>
      </c>
      <c r="N203" s="107">
        <f t="shared" si="47"/>
        <v>6.5711790747689207</v>
      </c>
      <c r="O203" s="7">
        <f t="shared" si="43"/>
        <v>3066.5</v>
      </c>
      <c r="P203" s="7">
        <f t="shared" si="44"/>
        <v>3059.9288209252309</v>
      </c>
      <c r="Q203" s="7">
        <f t="shared" si="45"/>
        <v>1155.0121542585644</v>
      </c>
      <c r="R203" s="7">
        <f t="shared" si="46"/>
        <v>984.41666666666652</v>
      </c>
      <c r="S203" s="7">
        <v>4193</v>
      </c>
      <c r="T203" s="7">
        <v>13207</v>
      </c>
      <c r="U203" s="7">
        <v>1092</v>
      </c>
      <c r="V203" s="7">
        <v>113604</v>
      </c>
      <c r="W203" s="7">
        <f t="shared" si="48"/>
        <v>108319</v>
      </c>
      <c r="X203" s="103">
        <f t="shared" si="49"/>
        <v>114555</v>
      </c>
      <c r="Y203" s="103"/>
      <c r="Z203" s="7">
        <v>0</v>
      </c>
      <c r="AA203" s="7"/>
      <c r="AB203" s="2">
        <v>951</v>
      </c>
      <c r="AC203" s="103">
        <v>92881</v>
      </c>
      <c r="AD203" s="103">
        <v>109270</v>
      </c>
      <c r="AE203" s="64">
        <f t="shared" si="50"/>
        <v>0</v>
      </c>
      <c r="AF203" s="64">
        <f t="shared" si="51"/>
        <v>5.6570879472865382E-3</v>
      </c>
      <c r="AG203" s="20">
        <f t="shared" si="52"/>
        <v>0</v>
      </c>
      <c r="AH203" s="20">
        <f t="shared" si="53"/>
        <v>6.5711790747689207</v>
      </c>
      <c r="AI203" s="22"/>
    </row>
    <row r="204" spans="1:35" customFormat="1">
      <c r="A204" s="28">
        <v>45860</v>
      </c>
      <c r="B204" s="3">
        <v>194.75</v>
      </c>
      <c r="C204" s="3">
        <v>288.25000000000006</v>
      </c>
      <c r="D204" s="3">
        <v>75</v>
      </c>
      <c r="E204" s="6">
        <v>517.66666666666652</v>
      </c>
      <c r="F204" s="3">
        <v>177.08333333333337</v>
      </c>
      <c r="G204" s="3">
        <v>151.66666666666666</v>
      </c>
      <c r="H204" s="3">
        <v>47</v>
      </c>
      <c r="I204" s="3">
        <v>1119.5</v>
      </c>
      <c r="J204" s="3">
        <v>90</v>
      </c>
      <c r="K204" s="3">
        <v>995.74999999999989</v>
      </c>
      <c r="L204" s="3">
        <v>126.66666666666669</v>
      </c>
      <c r="M204" s="3">
        <v>296.83333333333337</v>
      </c>
      <c r="N204" s="107">
        <f t="shared" si="47"/>
        <v>6.9242179387331255</v>
      </c>
      <c r="O204" s="7">
        <f t="shared" si="43"/>
        <v>2940.3333333333335</v>
      </c>
      <c r="P204" s="7">
        <f t="shared" si="44"/>
        <v>2933.4091153946001</v>
      </c>
      <c r="Q204" s="7">
        <f t="shared" si="45"/>
        <v>1112.5757820612669</v>
      </c>
      <c r="R204" s="7">
        <f t="shared" si="46"/>
        <v>995.74999999999989</v>
      </c>
      <c r="S204" s="7">
        <v>3404</v>
      </c>
      <c r="T204" s="7">
        <v>7983</v>
      </c>
      <c r="U204" s="7">
        <v>2615</v>
      </c>
      <c r="V204" s="7">
        <v>105218</v>
      </c>
      <c r="W204" s="7">
        <f t="shared" si="48"/>
        <v>99199</v>
      </c>
      <c r="X204" s="103">
        <f t="shared" si="49"/>
        <v>106171</v>
      </c>
      <c r="Y204" s="103"/>
      <c r="Z204" s="7">
        <v>0</v>
      </c>
      <c r="AA204" s="7"/>
      <c r="AB204" s="2">
        <v>953</v>
      </c>
      <c r="AC204" s="103">
        <v>107137</v>
      </c>
      <c r="AD204" s="103">
        <v>100152</v>
      </c>
      <c r="AE204" s="64">
        <f t="shared" si="50"/>
        <v>0</v>
      </c>
      <c r="AF204" s="64">
        <f t="shared" si="51"/>
        <v>6.1850986500519211E-3</v>
      </c>
      <c r="AG204" s="20">
        <f t="shared" si="52"/>
        <v>0</v>
      </c>
      <c r="AH204" s="20">
        <f t="shared" si="53"/>
        <v>6.9242179387331255</v>
      </c>
      <c r="AI204" s="22"/>
    </row>
    <row r="205" spans="1:35" customFormat="1">
      <c r="A205" s="28">
        <v>45861</v>
      </c>
      <c r="B205" s="3">
        <v>127.5</v>
      </c>
      <c r="C205" s="3">
        <v>313.83333333333331</v>
      </c>
      <c r="D205" s="3">
        <v>82.5</v>
      </c>
      <c r="E205" s="6">
        <v>510.75</v>
      </c>
      <c r="F205" s="3">
        <v>199.41666666666669</v>
      </c>
      <c r="G205" s="3">
        <v>144.25</v>
      </c>
      <c r="H205" s="3">
        <v>54.5</v>
      </c>
      <c r="I205" s="3">
        <v>1365.5</v>
      </c>
      <c r="J205" s="3">
        <v>52.5</v>
      </c>
      <c r="K205" s="3">
        <v>975.75000000000011</v>
      </c>
      <c r="L205" s="3">
        <v>107</v>
      </c>
      <c r="M205" s="3">
        <v>312</v>
      </c>
      <c r="N205" s="107">
        <f t="shared" si="47"/>
        <v>10.097641246486504</v>
      </c>
      <c r="O205" s="7">
        <f t="shared" si="43"/>
        <v>3117</v>
      </c>
      <c r="P205" s="7">
        <f t="shared" si="44"/>
        <v>3106.9023587535135</v>
      </c>
      <c r="Q205" s="7">
        <f t="shared" si="45"/>
        <v>1355.4023587535135</v>
      </c>
      <c r="R205" s="7">
        <f t="shared" si="46"/>
        <v>975.75000000000011</v>
      </c>
      <c r="S205" s="7">
        <v>1574</v>
      </c>
      <c r="T205" s="7">
        <v>3991</v>
      </c>
      <c r="U205" s="7">
        <v>1115</v>
      </c>
      <c r="V205" s="7">
        <v>128606</v>
      </c>
      <c r="W205" s="7">
        <f t="shared" si="48"/>
        <v>125917</v>
      </c>
      <c r="X205" s="103">
        <f t="shared" si="49"/>
        <v>130055</v>
      </c>
      <c r="Y205" s="103"/>
      <c r="Z205" s="7">
        <v>0</v>
      </c>
      <c r="AA205" s="7"/>
      <c r="AB205" s="2">
        <v>1449</v>
      </c>
      <c r="AC205" s="103">
        <v>100719</v>
      </c>
      <c r="AD205" s="103">
        <v>127366</v>
      </c>
      <c r="AE205" s="64">
        <f t="shared" si="50"/>
        <v>0</v>
      </c>
      <c r="AF205" s="64">
        <f t="shared" si="51"/>
        <v>7.3948306455411958E-3</v>
      </c>
      <c r="AG205" s="20">
        <f t="shared" si="52"/>
        <v>0</v>
      </c>
      <c r="AH205" s="20">
        <f t="shared" si="53"/>
        <v>10.097641246486504</v>
      </c>
      <c r="AI205" s="22"/>
    </row>
    <row r="206" spans="1:35" customFormat="1">
      <c r="A206" s="28">
        <v>45862</v>
      </c>
      <c r="B206" s="3">
        <v>23</v>
      </c>
      <c r="C206" s="3">
        <v>441.16666666666669</v>
      </c>
      <c r="D206" s="3">
        <v>97.5</v>
      </c>
      <c r="E206" s="6">
        <v>492.41666666666663</v>
      </c>
      <c r="F206" s="3">
        <v>194.33333333333337</v>
      </c>
      <c r="G206" s="3">
        <v>161.16666666666666</v>
      </c>
      <c r="H206" s="3">
        <v>54.5</v>
      </c>
      <c r="I206" s="3">
        <v>1201.4999999999998</v>
      </c>
      <c r="J206" s="3">
        <v>52.5</v>
      </c>
      <c r="K206" s="3">
        <v>1036.166666666667</v>
      </c>
      <c r="L206" s="3">
        <v>137</v>
      </c>
      <c r="M206" s="3">
        <v>300.75</v>
      </c>
      <c r="N206" s="107">
        <f t="shared" si="47"/>
        <v>121.00132695732256</v>
      </c>
      <c r="O206" s="7">
        <f t="shared" si="43"/>
        <v>3046.166666666667</v>
      </c>
      <c r="P206" s="7">
        <f t="shared" si="44"/>
        <v>2925.1653397093442</v>
      </c>
      <c r="Q206" s="7">
        <f t="shared" si="45"/>
        <v>1188.568171080756</v>
      </c>
      <c r="R206" s="7">
        <f t="shared" si="46"/>
        <v>928.09716862858818</v>
      </c>
      <c r="S206" s="7">
        <v>1251</v>
      </c>
      <c r="T206" s="7">
        <v>2929</v>
      </c>
      <c r="U206" s="7">
        <v>1124</v>
      </c>
      <c r="V206" s="7">
        <v>109577</v>
      </c>
      <c r="W206" s="7">
        <f t="shared" si="48"/>
        <v>107202</v>
      </c>
      <c r="X206" s="103">
        <f t="shared" si="49"/>
        <v>111382</v>
      </c>
      <c r="Y206" s="103"/>
      <c r="Z206" s="7">
        <v>14860</v>
      </c>
      <c r="AA206" s="7"/>
      <c r="AB206" s="2">
        <v>1805</v>
      </c>
      <c r="AC206" s="103">
        <v>131079</v>
      </c>
      <c r="AD206" s="103">
        <v>109007</v>
      </c>
      <c r="AE206" s="64">
        <f t="shared" si="50"/>
        <v>0.10429740843308234</v>
      </c>
      <c r="AF206" s="64">
        <f t="shared" si="51"/>
        <v>1.0763070261542837E-2</v>
      </c>
      <c r="AG206" s="20">
        <f t="shared" si="52"/>
        <v>108.06949803807885</v>
      </c>
      <c r="AH206" s="20">
        <f t="shared" si="53"/>
        <v>12.931828919243717</v>
      </c>
      <c r="AI206" s="22"/>
    </row>
    <row r="207" spans="1:35" customFormat="1">
      <c r="A207" s="28">
        <v>45863</v>
      </c>
      <c r="B207" s="3">
        <v>37.5</v>
      </c>
      <c r="C207" s="3">
        <v>284.58333333333337</v>
      </c>
      <c r="D207" s="3">
        <v>88.583333333333314</v>
      </c>
      <c r="E207" s="6">
        <v>506.16666666666663</v>
      </c>
      <c r="F207" s="3">
        <v>139.58333333333337</v>
      </c>
      <c r="G207" s="3">
        <v>139.75</v>
      </c>
      <c r="H207" s="3">
        <v>52.166666666666657</v>
      </c>
      <c r="I207" s="3">
        <v>1299.75</v>
      </c>
      <c r="J207" s="3">
        <v>45</v>
      </c>
      <c r="K207" s="3">
        <v>1203.5</v>
      </c>
      <c r="L207" s="3">
        <v>113.75</v>
      </c>
      <c r="M207" s="3">
        <v>272</v>
      </c>
      <c r="N207" s="107">
        <f t="shared" si="47"/>
        <v>534.51238799050429</v>
      </c>
      <c r="O207" s="7">
        <f t="shared" si="43"/>
        <v>3098.5</v>
      </c>
      <c r="P207" s="7">
        <f t="shared" si="44"/>
        <v>2563.9876120094955</v>
      </c>
      <c r="Q207" s="7">
        <f t="shared" si="45"/>
        <v>980.09085068768366</v>
      </c>
      <c r="R207" s="7">
        <f t="shared" si="46"/>
        <v>988.64676132181205</v>
      </c>
      <c r="S207" s="7">
        <v>1243</v>
      </c>
      <c r="T207" s="7">
        <v>3085</v>
      </c>
      <c r="U207" s="7">
        <v>912</v>
      </c>
      <c r="V207" s="7">
        <v>72392</v>
      </c>
      <c r="W207" s="7">
        <f t="shared" si="48"/>
        <v>70237</v>
      </c>
      <c r="X207" s="103">
        <f t="shared" si="49"/>
        <v>115143</v>
      </c>
      <c r="Y207" s="103"/>
      <c r="Z207" s="7">
        <v>29261</v>
      </c>
      <c r="AA207" s="7"/>
      <c r="AB207" s="2">
        <v>42751</v>
      </c>
      <c r="AC207" s="103">
        <v>150793</v>
      </c>
      <c r="AD207" s="103">
        <v>112988</v>
      </c>
      <c r="AE207" s="64">
        <f t="shared" si="50"/>
        <v>0.17852367152321394</v>
      </c>
      <c r="AF207" s="64">
        <f t="shared" si="51"/>
        <v>0.24593894926894891</v>
      </c>
      <c r="AG207" s="20">
        <f t="shared" si="52"/>
        <v>214.85323867818798</v>
      </c>
      <c r="AH207" s="20">
        <f t="shared" si="53"/>
        <v>319.65914931231634</v>
      </c>
      <c r="AI207" s="22"/>
    </row>
    <row r="208" spans="1:35" customFormat="1">
      <c r="A208" s="28">
        <v>45864</v>
      </c>
      <c r="B208" s="3">
        <v>105</v>
      </c>
      <c r="C208" s="3">
        <v>188.33333333333334</v>
      </c>
      <c r="D208" s="3">
        <v>34.916666666666671</v>
      </c>
      <c r="E208" s="6">
        <v>353</v>
      </c>
      <c r="F208" s="3">
        <v>127.5</v>
      </c>
      <c r="G208" s="3">
        <v>0</v>
      </c>
      <c r="H208" s="3">
        <v>22.5</v>
      </c>
      <c r="I208" s="3">
        <v>630</v>
      </c>
      <c r="J208" s="3">
        <v>45</v>
      </c>
      <c r="K208" s="3">
        <v>599.74999999999989</v>
      </c>
      <c r="L208" s="3">
        <v>127.5</v>
      </c>
      <c r="M208" s="3">
        <v>161.25</v>
      </c>
      <c r="N208" s="107">
        <f t="shared" si="47"/>
        <v>21.731272166722015</v>
      </c>
      <c r="O208" s="7">
        <f t="shared" si="43"/>
        <v>1730.5</v>
      </c>
      <c r="P208" s="7">
        <f t="shared" si="44"/>
        <v>1708.768727833278</v>
      </c>
      <c r="Q208" s="7">
        <f t="shared" si="45"/>
        <v>626.87634897932651</v>
      </c>
      <c r="R208" s="7">
        <f t="shared" si="46"/>
        <v>581.14237885395141</v>
      </c>
      <c r="S208" s="7">
        <v>2142</v>
      </c>
      <c r="T208" s="7">
        <v>3550</v>
      </c>
      <c r="U208" s="7">
        <v>763</v>
      </c>
      <c r="V208" s="7">
        <v>71596</v>
      </c>
      <c r="W208" s="7">
        <f t="shared" si="48"/>
        <v>68691</v>
      </c>
      <c r="X208" s="103">
        <f t="shared" si="49"/>
        <v>72124</v>
      </c>
      <c r="Y208" s="103"/>
      <c r="Z208" s="7">
        <v>2204</v>
      </c>
      <c r="AA208" s="7"/>
      <c r="AB208" s="2">
        <v>528</v>
      </c>
      <c r="AC208" s="103">
        <v>65355</v>
      </c>
      <c r="AD208" s="103">
        <v>69219</v>
      </c>
      <c r="AE208" s="64">
        <f t="shared" si="50"/>
        <v>3.1025629255604009E-2</v>
      </c>
      <c r="AF208" s="64">
        <f t="shared" si="51"/>
        <v>4.9581762232912933E-3</v>
      </c>
      <c r="AG208" s="20">
        <f t="shared" si="52"/>
        <v>18.607621146048501</v>
      </c>
      <c r="AH208" s="20">
        <f t="shared" si="53"/>
        <v>3.1236510206735146</v>
      </c>
      <c r="AI208" s="22"/>
    </row>
    <row r="209" spans="1:35">
      <c r="A209" s="28">
        <v>45865</v>
      </c>
      <c r="B209" s="3">
        <v>0</v>
      </c>
      <c r="C209" s="3">
        <v>112.5</v>
      </c>
      <c r="D209" s="3">
        <v>50.083333333333336</v>
      </c>
      <c r="E209" s="6">
        <v>0</v>
      </c>
      <c r="F209" s="3">
        <v>116.74999999999999</v>
      </c>
      <c r="G209" s="3">
        <v>0</v>
      </c>
      <c r="H209" s="3">
        <v>15</v>
      </c>
      <c r="I209" s="3">
        <v>590.75000000000011</v>
      </c>
      <c r="J209" s="3">
        <v>67.5</v>
      </c>
      <c r="K209" s="3">
        <v>453.74999999999994</v>
      </c>
      <c r="L209" s="3">
        <v>0</v>
      </c>
      <c r="M209" s="3">
        <v>139.08333333333334</v>
      </c>
      <c r="N209" s="107">
        <f t="shared" si="47"/>
        <v>22.238105375790301</v>
      </c>
      <c r="O209" s="7">
        <f t="shared" si="43"/>
        <v>1391.3333333333335</v>
      </c>
      <c r="P209" s="7">
        <f t="shared" si="44"/>
        <v>1369.0952279575431</v>
      </c>
      <c r="Q209" s="7">
        <f t="shared" si="45"/>
        <v>568.51189462420984</v>
      </c>
      <c r="R209" s="7">
        <f t="shared" si="46"/>
        <v>453.74999999999994</v>
      </c>
      <c r="S209" s="7">
        <v>5031</v>
      </c>
      <c r="T209" s="7">
        <v>6077</v>
      </c>
      <c r="U209" s="7">
        <v>483</v>
      </c>
      <c r="V209" s="7">
        <v>58561</v>
      </c>
      <c r="W209" s="7">
        <f t="shared" si="48"/>
        <v>53047</v>
      </c>
      <c r="X209" s="103">
        <f t="shared" si="49"/>
        <v>61822</v>
      </c>
      <c r="Y209" s="103"/>
      <c r="Z209" s="7">
        <v>0</v>
      </c>
      <c r="AB209" s="2">
        <v>3261</v>
      </c>
      <c r="AC209" s="103">
        <v>51606</v>
      </c>
      <c r="AD209" s="103">
        <v>56308</v>
      </c>
      <c r="AE209" s="64">
        <f t="shared" si="50"/>
        <v>0</v>
      </c>
      <c r="AF209" s="64">
        <f t="shared" si="51"/>
        <v>3.7643851672941681E-2</v>
      </c>
      <c r="AG209" s="20">
        <f t="shared" si="52"/>
        <v>0</v>
      </c>
      <c r="AH209" s="20">
        <f t="shared" si="53"/>
        <v>22.238105375790301</v>
      </c>
      <c r="AI209" s="22"/>
    </row>
    <row r="210" spans="1:35">
      <c r="A210" s="28">
        <v>45866</v>
      </c>
      <c r="B210" s="3">
        <v>195</v>
      </c>
      <c r="C210" s="3">
        <v>244.41666666666669</v>
      </c>
      <c r="D210" s="3">
        <v>76.333333333333329</v>
      </c>
      <c r="E210" s="6">
        <v>360</v>
      </c>
      <c r="F210" s="3">
        <v>200</v>
      </c>
      <c r="G210" s="3">
        <v>132</v>
      </c>
      <c r="H210" s="3">
        <v>47</v>
      </c>
      <c r="I210" s="3">
        <v>1297.1666666666667</v>
      </c>
      <c r="J210" s="3">
        <v>112.08333333333334</v>
      </c>
      <c r="K210" s="3">
        <v>1103.25</v>
      </c>
      <c r="L210" s="3">
        <v>114.5</v>
      </c>
      <c r="M210" s="3">
        <v>295.08333333333337</v>
      </c>
      <c r="N210" s="107">
        <f t="shared" si="47"/>
        <v>19.708621225166453</v>
      </c>
      <c r="O210" s="7">
        <f t="shared" si="43"/>
        <v>3228.2500000000005</v>
      </c>
      <c r="P210" s="7">
        <f t="shared" si="44"/>
        <v>3208.5413787748339</v>
      </c>
      <c r="Q210" s="7">
        <f t="shared" si="45"/>
        <v>1286.4511102824185</v>
      </c>
      <c r="R210" s="7">
        <f t="shared" si="46"/>
        <v>1094.2569351590816</v>
      </c>
      <c r="S210" s="7">
        <v>4306</v>
      </c>
      <c r="T210" s="7">
        <v>5543</v>
      </c>
      <c r="U210" s="7">
        <v>681</v>
      </c>
      <c r="V210" s="7">
        <v>120816</v>
      </c>
      <c r="W210" s="7">
        <f t="shared" si="48"/>
        <v>115829</v>
      </c>
      <c r="X210" s="103">
        <f t="shared" si="49"/>
        <v>122307</v>
      </c>
      <c r="Y210" s="103"/>
      <c r="Z210" s="7">
        <v>968</v>
      </c>
      <c r="AB210" s="2">
        <v>1491</v>
      </c>
      <c r="AC210" s="103">
        <v>109252</v>
      </c>
      <c r="AD210" s="103">
        <v>117320</v>
      </c>
      <c r="AE210" s="64">
        <f t="shared" si="50"/>
        <v>8.1514297221103506E-3</v>
      </c>
      <c r="AF210" s="64">
        <f t="shared" si="51"/>
        <v>8.2607398568019103E-3</v>
      </c>
      <c r="AG210" s="20">
        <f t="shared" si="52"/>
        <v>8.9930648409182439</v>
      </c>
      <c r="AH210" s="20">
        <f t="shared" si="53"/>
        <v>10.715556384248211</v>
      </c>
      <c r="AI210" s="22"/>
    </row>
    <row r="211" spans="1:35">
      <c r="A211" s="28">
        <v>45867</v>
      </c>
      <c r="B211" s="3">
        <v>217.5</v>
      </c>
      <c r="C211" s="3">
        <v>224</v>
      </c>
      <c r="D211" s="3">
        <v>88.666666666666671</v>
      </c>
      <c r="E211" s="6">
        <v>295.83333333333331</v>
      </c>
      <c r="F211" s="3">
        <v>199.33333333333334</v>
      </c>
      <c r="G211" s="3">
        <v>142.91666666666669</v>
      </c>
      <c r="H211" s="3">
        <v>62</v>
      </c>
      <c r="I211" s="3">
        <v>1196.9166666666667</v>
      </c>
      <c r="J211" s="3">
        <v>105.00000000000001</v>
      </c>
      <c r="K211" s="3">
        <v>1216.2499999999998</v>
      </c>
      <c r="L211" s="3">
        <v>114.5</v>
      </c>
      <c r="M211" s="3">
        <v>281.75</v>
      </c>
      <c r="N211" s="107">
        <f t="shared" si="47"/>
        <v>22.197614832592848</v>
      </c>
      <c r="O211" s="7">
        <f t="shared" si="43"/>
        <v>3247.6666666666665</v>
      </c>
      <c r="P211" s="7">
        <f t="shared" si="44"/>
        <v>3225.469051834074</v>
      </c>
      <c r="Q211" s="7">
        <f t="shared" si="45"/>
        <v>1181.4498689984143</v>
      </c>
      <c r="R211" s="7">
        <f t="shared" si="46"/>
        <v>1209.5191828356594</v>
      </c>
      <c r="S211" s="7">
        <v>2100</v>
      </c>
      <c r="T211" s="7">
        <v>3926</v>
      </c>
      <c r="U211" s="7">
        <v>1337</v>
      </c>
      <c r="V211" s="7">
        <v>94496</v>
      </c>
      <c r="W211" s="7">
        <f t="shared" si="48"/>
        <v>91059</v>
      </c>
      <c r="X211" s="103">
        <f t="shared" si="49"/>
        <v>96343</v>
      </c>
      <c r="Y211" s="103"/>
      <c r="Z211" s="7">
        <v>696</v>
      </c>
      <c r="AB211" s="2">
        <v>1847</v>
      </c>
      <c r="AC211" s="103">
        <v>115705</v>
      </c>
      <c r="AD211" s="103">
        <v>92906</v>
      </c>
      <c r="AE211" s="64">
        <f t="shared" si="50"/>
        <v>5.534073721965343E-3</v>
      </c>
      <c r="AF211" s="64">
        <f t="shared" si="51"/>
        <v>1.2922200934277657E-2</v>
      </c>
      <c r="AG211" s="20">
        <f t="shared" si="52"/>
        <v>6.7308171643403476</v>
      </c>
      <c r="AH211" s="20">
        <f t="shared" si="53"/>
        <v>15.4667976682525</v>
      </c>
      <c r="AI211" s="22"/>
    </row>
    <row r="212" spans="1:35">
      <c r="A212" s="28">
        <v>45868</v>
      </c>
      <c r="B212" s="3">
        <v>207.5</v>
      </c>
      <c r="C212" s="3">
        <v>217</v>
      </c>
      <c r="D212" s="3">
        <v>72.5</v>
      </c>
      <c r="E212" s="6">
        <v>339</v>
      </c>
      <c r="F212" s="3">
        <v>200.83333333333329</v>
      </c>
      <c r="G212" s="3">
        <v>134.25</v>
      </c>
      <c r="H212" s="3">
        <v>62</v>
      </c>
      <c r="I212" s="3">
        <v>1337</v>
      </c>
      <c r="J212" s="3">
        <v>120</v>
      </c>
      <c r="K212" s="3">
        <v>1087.4999999999998</v>
      </c>
      <c r="L212" s="3">
        <v>138.00000000000003</v>
      </c>
      <c r="M212" s="3">
        <v>306.75</v>
      </c>
      <c r="N212" s="107">
        <f t="shared" si="47"/>
        <v>72.98522065883175</v>
      </c>
      <c r="O212" s="7">
        <f t="shared" si="43"/>
        <v>3242.333333333333</v>
      </c>
      <c r="P212" s="7">
        <f t="shared" si="44"/>
        <v>3169.3481126745014</v>
      </c>
      <c r="Q212" s="7">
        <f t="shared" si="45"/>
        <v>1330.3385874193941</v>
      </c>
      <c r="R212" s="7">
        <f t="shared" si="46"/>
        <v>1021.1761919217739</v>
      </c>
      <c r="S212" s="7">
        <v>5236</v>
      </c>
      <c r="T212" s="7">
        <v>7972</v>
      </c>
      <c r="U212" s="7">
        <v>1683</v>
      </c>
      <c r="V212" s="7">
        <v>129259</v>
      </c>
      <c r="W212" s="7">
        <f t="shared" si="48"/>
        <v>122340</v>
      </c>
      <c r="X212" s="103">
        <f t="shared" si="49"/>
        <v>130204</v>
      </c>
      <c r="Y212" s="103"/>
      <c r="Z212" s="7">
        <v>8298</v>
      </c>
      <c r="AB212" s="2">
        <v>945</v>
      </c>
      <c r="AC212" s="103">
        <v>125176</v>
      </c>
      <c r="AD212" s="103">
        <v>123285</v>
      </c>
      <c r="AE212" s="64">
        <f t="shared" si="50"/>
        <v>6.0987409727104237E-2</v>
      </c>
      <c r="AF212" s="64">
        <f t="shared" si="51"/>
        <v>4.98235795108894E-3</v>
      </c>
      <c r="AG212" s="20">
        <f t="shared" si="52"/>
        <v>66.323808078225838</v>
      </c>
      <c r="AH212" s="20">
        <f t="shared" si="53"/>
        <v>6.661412580605913</v>
      </c>
      <c r="AI212" s="22"/>
    </row>
    <row r="213" spans="1:35">
      <c r="A213" s="28">
        <v>45869</v>
      </c>
      <c r="B213" s="3">
        <v>217.5</v>
      </c>
      <c r="C213" s="3">
        <v>210.58333333333331</v>
      </c>
      <c r="D213" s="3">
        <v>71.5</v>
      </c>
      <c r="E213" s="6">
        <v>361.75</v>
      </c>
      <c r="F213" s="3">
        <v>171.41666666666669</v>
      </c>
      <c r="G213" s="3">
        <v>137.66666666666666</v>
      </c>
      <c r="H213" s="3">
        <v>61.75</v>
      </c>
      <c r="I213" s="3">
        <v>1338.75</v>
      </c>
      <c r="J213" s="3">
        <v>100.58333333333333</v>
      </c>
      <c r="K213" s="3">
        <v>1074.0833333333333</v>
      </c>
      <c r="L213" s="3">
        <v>93</v>
      </c>
      <c r="M213" s="3">
        <v>312.91666666666669</v>
      </c>
      <c r="N213" s="107">
        <f t="shared" si="47"/>
        <v>193.79540847056364</v>
      </c>
      <c r="O213" s="7">
        <f t="shared" si="43"/>
        <v>3184.4166666666665</v>
      </c>
      <c r="P213" s="7">
        <f t="shared" si="44"/>
        <v>2990.6212581961031</v>
      </c>
      <c r="Q213" s="7">
        <f t="shared" si="45"/>
        <v>1327.4225063730541</v>
      </c>
      <c r="R213" s="7">
        <f t="shared" si="46"/>
        <v>891.61541848971547</v>
      </c>
      <c r="S213" s="7">
        <v>2667</v>
      </c>
      <c r="T213" s="7">
        <v>4989</v>
      </c>
      <c r="U213" s="7">
        <v>1241</v>
      </c>
      <c r="V213" s="7">
        <v>113090</v>
      </c>
      <c r="W213" s="7">
        <f t="shared" si="48"/>
        <v>109182</v>
      </c>
      <c r="X213" s="103">
        <f t="shared" si="49"/>
        <v>114530</v>
      </c>
      <c r="Y213" s="103"/>
      <c r="Z213" s="7">
        <v>26926</v>
      </c>
      <c r="AB213" s="2">
        <v>1440</v>
      </c>
      <c r="AC213" s="103">
        <v>145818</v>
      </c>
      <c r="AD213" s="103">
        <v>110622</v>
      </c>
      <c r="AE213" s="64">
        <f t="shared" si="50"/>
        <v>0.16988245621253892</v>
      </c>
      <c r="AF213" s="64">
        <f t="shared" si="51"/>
        <v>8.4612464066822161E-3</v>
      </c>
      <c r="AG213" s="20">
        <f t="shared" si="52"/>
        <v>182.46791484361782</v>
      </c>
      <c r="AH213" s="20">
        <f t="shared" si="53"/>
        <v>11.327493626945817</v>
      </c>
      <c r="AI213" s="22"/>
    </row>
    <row r="214" spans="1:35">
      <c r="A214" s="28">
        <v>45870</v>
      </c>
      <c r="B214" s="3">
        <v>225</v>
      </c>
      <c r="C214" s="3">
        <v>202.08333333333331</v>
      </c>
      <c r="D214" s="3">
        <v>90</v>
      </c>
      <c r="E214" s="6">
        <v>372.33333333333331</v>
      </c>
      <c r="F214" s="3">
        <v>150</v>
      </c>
      <c r="G214" s="3">
        <v>135.66666666666666</v>
      </c>
      <c r="H214" s="3">
        <v>61.5</v>
      </c>
      <c r="I214" s="3">
        <v>1322.25</v>
      </c>
      <c r="J214" s="3">
        <v>120</v>
      </c>
      <c r="K214" s="3">
        <v>1018.1666666666666</v>
      </c>
      <c r="L214" s="3">
        <v>138</v>
      </c>
      <c r="M214" s="3">
        <v>286.83333333333337</v>
      </c>
      <c r="N214" s="107">
        <f t="shared" si="47"/>
        <v>513.4050005322373</v>
      </c>
      <c r="O214" s="7">
        <f t="shared" si="43"/>
        <v>3127.5</v>
      </c>
      <c r="P214" s="7">
        <f t="shared" si="44"/>
        <v>2614.0949994677626</v>
      </c>
      <c r="Q214" s="7">
        <f t="shared" si="45"/>
        <v>1036.8602870485347</v>
      </c>
      <c r="R214" s="7">
        <f t="shared" si="46"/>
        <v>790.15137908589463</v>
      </c>
      <c r="S214" s="7">
        <v>5458</v>
      </c>
      <c r="T214" s="7">
        <v>7700</v>
      </c>
      <c r="U214" s="7">
        <v>1335</v>
      </c>
      <c r="V214" s="7">
        <v>94472</v>
      </c>
      <c r="W214" s="7">
        <f t="shared" si="48"/>
        <v>87679</v>
      </c>
      <c r="X214" s="103">
        <f t="shared" si="49"/>
        <v>138060</v>
      </c>
      <c r="Y214" s="103"/>
      <c r="Z214" s="7">
        <v>36026</v>
      </c>
      <c r="AB214" s="2">
        <v>43588</v>
      </c>
      <c r="AC214" s="103">
        <v>147999</v>
      </c>
      <c r="AD214" s="103">
        <v>131267</v>
      </c>
      <c r="AE214" s="64">
        <f t="shared" si="50"/>
        <v>0.22394691856026055</v>
      </c>
      <c r="AF214" s="64">
        <f t="shared" si="51"/>
        <v>0.21583642499638142</v>
      </c>
      <c r="AG214" s="20">
        <f t="shared" si="52"/>
        <v>228.01528758077194</v>
      </c>
      <c r="AH214" s="20">
        <f t="shared" si="53"/>
        <v>285.38971295146536</v>
      </c>
      <c r="AI214" s="22"/>
    </row>
    <row r="215" spans="1:35">
      <c r="A215" s="28">
        <v>45871</v>
      </c>
      <c r="B215" s="3">
        <v>224.5</v>
      </c>
      <c r="C215" s="3">
        <v>157.83333333333331</v>
      </c>
      <c r="D215" s="3">
        <v>37.5</v>
      </c>
      <c r="E215" s="6">
        <v>199.5</v>
      </c>
      <c r="F215" s="3">
        <v>119.99999999999999</v>
      </c>
      <c r="G215" s="3">
        <v>0</v>
      </c>
      <c r="H215" s="3">
        <v>30</v>
      </c>
      <c r="I215" s="3">
        <v>646.66666666666674</v>
      </c>
      <c r="J215" s="3">
        <v>52.5</v>
      </c>
      <c r="K215" s="3">
        <v>518.83333333333326</v>
      </c>
      <c r="L215" s="3">
        <v>120</v>
      </c>
      <c r="M215" s="3">
        <v>176.08333333333331</v>
      </c>
      <c r="N215" s="107">
        <f t="shared" si="47"/>
        <v>18.222185878922122</v>
      </c>
      <c r="O215" s="7">
        <f t="shared" si="43"/>
        <v>1757.8333333333333</v>
      </c>
      <c r="P215" s="7">
        <f t="shared" si="44"/>
        <v>1739.6111474544111</v>
      </c>
      <c r="Q215" s="7">
        <f t="shared" si="45"/>
        <v>636.07415775309551</v>
      </c>
      <c r="R215" s="7">
        <f t="shared" si="46"/>
        <v>511.20365636798243</v>
      </c>
      <c r="S215" s="7">
        <v>1315</v>
      </c>
      <c r="T215" s="7">
        <v>2996</v>
      </c>
      <c r="U215" s="7">
        <v>949</v>
      </c>
      <c r="V215" s="7">
        <v>63962</v>
      </c>
      <c r="W215" s="7">
        <f t="shared" si="48"/>
        <v>61698</v>
      </c>
      <c r="X215" s="103">
        <f t="shared" si="49"/>
        <v>65557</v>
      </c>
      <c r="Y215" s="103"/>
      <c r="Z215" s="7">
        <v>954</v>
      </c>
      <c r="AB215" s="2">
        <v>1595</v>
      </c>
      <c r="AC215" s="103">
        <v>59684</v>
      </c>
      <c r="AD215" s="103">
        <v>63293</v>
      </c>
      <c r="AE215" s="64">
        <f t="shared" si="50"/>
        <v>1.4705448696468065E-2</v>
      </c>
      <c r="AF215" s="64">
        <f t="shared" si="51"/>
        <v>1.6380168423048364E-2</v>
      </c>
      <c r="AG215" s="20">
        <f t="shared" si="52"/>
        <v>7.6296769653508463</v>
      </c>
      <c r="AH215" s="20">
        <f t="shared" si="53"/>
        <v>10.592508913571276</v>
      </c>
      <c r="AI215" s="22"/>
    </row>
    <row r="216" spans="1:35">
      <c r="A216" s="28">
        <v>45872</v>
      </c>
      <c r="B216" s="3"/>
      <c r="C216" s="3">
        <v>105</v>
      </c>
      <c r="D216" s="3">
        <v>52.5</v>
      </c>
      <c r="E216" s="6">
        <v>0</v>
      </c>
      <c r="F216" s="3">
        <v>112.5</v>
      </c>
      <c r="G216" s="3">
        <v>0</v>
      </c>
      <c r="H216" s="3">
        <v>15</v>
      </c>
      <c r="I216" s="3">
        <v>556.25</v>
      </c>
      <c r="J216" s="3">
        <v>67.5</v>
      </c>
      <c r="K216" s="3">
        <v>434.5</v>
      </c>
      <c r="L216" s="3">
        <v>0</v>
      </c>
      <c r="M216" s="3">
        <v>114.16666666666667</v>
      </c>
      <c r="N216" s="107">
        <f t="shared" si="47"/>
        <v>3.6153348447155129</v>
      </c>
      <c r="O216" s="7">
        <f t="shared" si="43"/>
        <v>1328.25</v>
      </c>
      <c r="P216" s="7">
        <f t="shared" si="44"/>
        <v>1324.6346651552844</v>
      </c>
      <c r="Q216" s="7">
        <f t="shared" si="45"/>
        <v>552.63466515528444</v>
      </c>
      <c r="R216" s="7">
        <f t="shared" si="46"/>
        <v>434.5</v>
      </c>
      <c r="S216" s="7">
        <v>2817</v>
      </c>
      <c r="T216" s="7">
        <v>3778</v>
      </c>
      <c r="U216" s="7">
        <v>510</v>
      </c>
      <c r="V216" s="7">
        <v>65009</v>
      </c>
      <c r="W216" s="7">
        <f t="shared" si="48"/>
        <v>61682</v>
      </c>
      <c r="X216" s="103">
        <f t="shared" si="49"/>
        <v>65632</v>
      </c>
      <c r="Y216" s="103"/>
      <c r="Z216" s="7">
        <v>0</v>
      </c>
      <c r="AB216" s="2">
        <v>623</v>
      </c>
      <c r="AC216" s="103">
        <v>49041</v>
      </c>
      <c r="AD216" s="103">
        <v>62305</v>
      </c>
      <c r="AE216" s="64">
        <f t="shared" si="50"/>
        <v>0</v>
      </c>
      <c r="AF216" s="64">
        <f t="shared" si="51"/>
        <v>6.4994783725222703E-3</v>
      </c>
      <c r="AG216" s="20">
        <f t="shared" si="52"/>
        <v>0</v>
      </c>
      <c r="AH216" s="20">
        <f t="shared" si="53"/>
        <v>3.6153348447155129</v>
      </c>
      <c r="AI216" s="22"/>
    </row>
    <row r="217" spans="1:35">
      <c r="A217" s="28">
        <v>45873</v>
      </c>
      <c r="B217" s="3">
        <v>120</v>
      </c>
      <c r="C217" s="3">
        <v>198.5</v>
      </c>
      <c r="D217" s="3">
        <v>87</v>
      </c>
      <c r="E217" s="6">
        <v>357.83333333333331</v>
      </c>
      <c r="F217" s="3">
        <v>164.99999999999994</v>
      </c>
      <c r="G217" s="3">
        <v>76.5</v>
      </c>
      <c r="H217" s="3">
        <v>46</v>
      </c>
      <c r="I217" s="3">
        <v>1317.8333333333335</v>
      </c>
      <c r="J217" s="3">
        <v>90</v>
      </c>
      <c r="K217" s="3">
        <v>1257.25</v>
      </c>
      <c r="L217" s="69">
        <v>131.25</v>
      </c>
      <c r="M217" s="3">
        <v>298.16666666666669</v>
      </c>
      <c r="N217" s="107">
        <f t="shared" si="47"/>
        <v>447.08568302999231</v>
      </c>
      <c r="O217" s="7">
        <f t="shared" si="43"/>
        <v>3235.5833333333335</v>
      </c>
      <c r="P217" s="7">
        <f t="shared" si="44"/>
        <v>2788.4976503033413</v>
      </c>
      <c r="Q217" s="7">
        <f t="shared" si="45"/>
        <v>997.27082347507621</v>
      </c>
      <c r="R217" s="7">
        <f t="shared" si="46"/>
        <v>1130.7268268282648</v>
      </c>
      <c r="S217" s="7">
        <v>4081</v>
      </c>
      <c r="T217" s="7">
        <v>5206</v>
      </c>
      <c r="U217" s="7">
        <v>613</v>
      </c>
      <c r="V217" s="7">
        <v>81924</v>
      </c>
      <c r="W217" s="7">
        <f t="shared" si="48"/>
        <v>77230</v>
      </c>
      <c r="X217" s="103">
        <f t="shared" si="49"/>
        <v>128110</v>
      </c>
      <c r="Y217" s="103"/>
      <c r="Z217" s="7">
        <v>16751</v>
      </c>
      <c r="AB217" s="2">
        <v>46186</v>
      </c>
      <c r="AC217" s="103">
        <v>153137</v>
      </c>
      <c r="AD217" s="103">
        <v>123416</v>
      </c>
      <c r="AE217" s="64">
        <f t="shared" si="50"/>
        <v>0.10063485637043955</v>
      </c>
      <c r="AF217" s="64">
        <f t="shared" si="51"/>
        <v>0.24324965968756079</v>
      </c>
      <c r="AG217" s="20">
        <f t="shared" si="52"/>
        <v>126.52317317173512</v>
      </c>
      <c r="AH217" s="20">
        <f t="shared" si="53"/>
        <v>320.56250985825722</v>
      </c>
      <c r="AI217" s="22"/>
    </row>
    <row r="218" spans="1:35">
      <c r="A218" s="28">
        <v>45874</v>
      </c>
      <c r="B218" s="3">
        <v>180</v>
      </c>
      <c r="C218" s="3">
        <v>181.33333333333337</v>
      </c>
      <c r="D218" s="3">
        <v>90</v>
      </c>
      <c r="E218" s="6">
        <v>333.33333333333337</v>
      </c>
      <c r="F218" s="3">
        <v>221.91666666666663</v>
      </c>
      <c r="G218" s="3">
        <v>75.416666666666671</v>
      </c>
      <c r="H218" s="3">
        <v>46</v>
      </c>
      <c r="I218" s="3">
        <v>1138.9166666666667</v>
      </c>
      <c r="J218" s="3">
        <v>112.5</v>
      </c>
      <c r="K218" s="3">
        <v>960.91666666666674</v>
      </c>
      <c r="L218" s="69">
        <v>92.25</v>
      </c>
      <c r="M218" s="3">
        <v>284.25</v>
      </c>
      <c r="N218" s="107">
        <f t="shared" si="47"/>
        <v>124.70838841534363</v>
      </c>
      <c r="O218" s="7">
        <f t="shared" si="43"/>
        <v>2885.5833333333335</v>
      </c>
      <c r="P218" s="7">
        <f t="shared" si="44"/>
        <v>2760.87494491799</v>
      </c>
      <c r="Q218" s="7">
        <f t="shared" si="45"/>
        <v>1129.2764661700455</v>
      </c>
      <c r="R218" s="7">
        <f t="shared" si="46"/>
        <v>845.84847874794434</v>
      </c>
      <c r="S218" s="7">
        <v>5986</v>
      </c>
      <c r="T218" s="7">
        <v>7516</v>
      </c>
      <c r="U218" s="7">
        <v>1059</v>
      </c>
      <c r="V218" s="7">
        <v>111184</v>
      </c>
      <c r="W218" s="7">
        <f t="shared" si="48"/>
        <v>104139</v>
      </c>
      <c r="X218" s="103">
        <f t="shared" si="49"/>
        <v>112558</v>
      </c>
      <c r="Y218" s="103"/>
      <c r="Z218" s="7">
        <v>15724</v>
      </c>
      <c r="AB218" s="2">
        <v>1374</v>
      </c>
      <c r="AC218" s="103">
        <v>120804</v>
      </c>
      <c r="AD218" s="103">
        <v>105513</v>
      </c>
      <c r="AE218" s="64">
        <f t="shared" si="50"/>
        <v>0.11974835270355287</v>
      </c>
      <c r="AF218" s="64">
        <f t="shared" si="51"/>
        <v>8.4643598419152141E-3</v>
      </c>
      <c r="AG218" s="20">
        <f t="shared" si="52"/>
        <v>115.06818791872236</v>
      </c>
      <c r="AH218" s="20">
        <f t="shared" si="53"/>
        <v>9.6402004966212704</v>
      </c>
      <c r="AI218" s="22"/>
    </row>
    <row r="219" spans="1:35">
      <c r="A219" s="28">
        <v>45875</v>
      </c>
      <c r="B219" s="3">
        <v>194</v>
      </c>
      <c r="C219" s="3">
        <v>153.08333333333334</v>
      </c>
      <c r="D219" s="3">
        <v>79.416666666666671</v>
      </c>
      <c r="E219" s="6">
        <v>365.16666666666674</v>
      </c>
      <c r="F219" s="3">
        <v>178.58333333333334</v>
      </c>
      <c r="G219" s="3">
        <v>75.25</v>
      </c>
      <c r="H219" s="3">
        <v>44.833333333333329</v>
      </c>
      <c r="I219" s="3">
        <v>1318.1666666666665</v>
      </c>
      <c r="J219" s="3">
        <v>120</v>
      </c>
      <c r="K219" s="3">
        <v>870</v>
      </c>
      <c r="L219" s="69">
        <v>143.66666666666666</v>
      </c>
      <c r="M219" s="3">
        <v>281.33333333333331</v>
      </c>
      <c r="N219" s="107">
        <f t="shared" si="47"/>
        <v>309.57224964029939</v>
      </c>
      <c r="O219" s="7">
        <f t="shared" si="43"/>
        <v>2913.25</v>
      </c>
      <c r="P219" s="7">
        <f t="shared" si="44"/>
        <v>2603.6777503597004</v>
      </c>
      <c r="Q219" s="7">
        <f t="shared" si="45"/>
        <v>1161.6284516692438</v>
      </c>
      <c r="R219" s="7">
        <f t="shared" si="46"/>
        <v>716.96596535712342</v>
      </c>
      <c r="S219" s="7">
        <v>5098</v>
      </c>
      <c r="T219" s="7">
        <v>6493</v>
      </c>
      <c r="U219" s="7">
        <v>831</v>
      </c>
      <c r="V219" s="7">
        <v>88912</v>
      </c>
      <c r="W219" s="7">
        <f t="shared" si="48"/>
        <v>82983</v>
      </c>
      <c r="X219" s="103">
        <f t="shared" si="49"/>
        <v>107462</v>
      </c>
      <c r="Y219" s="103"/>
      <c r="Z219" s="7">
        <v>24582</v>
      </c>
      <c r="AB219" s="2">
        <v>18550</v>
      </c>
      <c r="AC219" s="103">
        <v>128569</v>
      </c>
      <c r="AD219" s="103">
        <v>101533</v>
      </c>
      <c r="AE219" s="64">
        <f t="shared" si="50"/>
        <v>0.17590118924468573</v>
      </c>
      <c r="AF219" s="64">
        <f t="shared" si="51"/>
        <v>0.11875449361291403</v>
      </c>
      <c r="AG219" s="20">
        <f t="shared" si="52"/>
        <v>153.03403464287658</v>
      </c>
      <c r="AH219" s="20">
        <f t="shared" si="53"/>
        <v>156.53821499742281</v>
      </c>
      <c r="AI219" s="22"/>
    </row>
    <row r="220" spans="1:35">
      <c r="A220" s="28">
        <v>45876</v>
      </c>
      <c r="B220" s="3">
        <v>187.5</v>
      </c>
      <c r="C220" s="3">
        <v>149.83333333333331</v>
      </c>
      <c r="D220" s="3">
        <v>90</v>
      </c>
      <c r="E220" s="6">
        <v>349.5</v>
      </c>
      <c r="F220" s="3">
        <v>157.5</v>
      </c>
      <c r="G220" s="3">
        <v>75.5</v>
      </c>
      <c r="H220" s="3">
        <v>54.5</v>
      </c>
      <c r="I220" s="3">
        <v>1317.25</v>
      </c>
      <c r="J220" s="3">
        <v>120</v>
      </c>
      <c r="K220" s="3">
        <v>865.08333333333337</v>
      </c>
      <c r="L220" s="69">
        <v>109</v>
      </c>
      <c r="M220" s="3">
        <v>288.66666666666669</v>
      </c>
      <c r="N220" s="107">
        <f t="shared" si="47"/>
        <v>74.337519239566205</v>
      </c>
      <c r="O220" s="7">
        <f t="shared" si="43"/>
        <v>2887.1666666666665</v>
      </c>
      <c r="P220" s="7">
        <f t="shared" si="44"/>
        <v>2812.8291474271005</v>
      </c>
      <c r="Q220" s="7">
        <f t="shared" si="45"/>
        <v>1304.3024373833102</v>
      </c>
      <c r="R220" s="7">
        <f t="shared" si="46"/>
        <v>803.69337671045696</v>
      </c>
      <c r="S220" s="7">
        <v>2704</v>
      </c>
      <c r="T220" s="7">
        <v>4222</v>
      </c>
      <c r="U220" s="7">
        <v>745</v>
      </c>
      <c r="V220" s="7">
        <v>93653</v>
      </c>
      <c r="W220" s="7">
        <f t="shared" si="48"/>
        <v>90204</v>
      </c>
      <c r="X220" s="103">
        <f t="shared" si="49"/>
        <v>95038</v>
      </c>
      <c r="Y220" s="103"/>
      <c r="Z220" s="7">
        <v>8091</v>
      </c>
      <c r="AB220" s="2">
        <v>1385</v>
      </c>
      <c r="AC220" s="103">
        <v>104894</v>
      </c>
      <c r="AD220" s="103">
        <v>91589</v>
      </c>
      <c r="AE220" s="64">
        <f t="shared" si="50"/>
        <v>7.0964211489694354E-2</v>
      </c>
      <c r="AF220" s="64">
        <f t="shared" si="51"/>
        <v>9.8292371354638669E-3</v>
      </c>
      <c r="AG220" s="20">
        <f t="shared" si="52"/>
        <v>61.389956622876426</v>
      </c>
      <c r="AH220" s="20">
        <f t="shared" si="53"/>
        <v>12.947562616689778</v>
      </c>
      <c r="AI220" s="22"/>
    </row>
    <row r="221" spans="1:35">
      <c r="A221" s="28">
        <v>45877</v>
      </c>
      <c r="B221" s="3">
        <v>180</v>
      </c>
      <c r="C221" s="3">
        <v>200.58333333333331</v>
      </c>
      <c r="D221" s="3">
        <v>82.5</v>
      </c>
      <c r="E221" s="6">
        <v>295.33333333333337</v>
      </c>
      <c r="F221" s="3">
        <v>156.16666666666669</v>
      </c>
      <c r="G221" s="3">
        <v>72.416666666666671</v>
      </c>
      <c r="H221" s="3">
        <v>47</v>
      </c>
      <c r="I221" s="3">
        <v>1310.25</v>
      </c>
      <c r="J221" s="3">
        <v>105</v>
      </c>
      <c r="K221" s="3">
        <v>825.16666666666674</v>
      </c>
      <c r="L221" s="69">
        <v>63</v>
      </c>
      <c r="M221" s="3">
        <v>278.83333333333337</v>
      </c>
      <c r="N221" s="107">
        <f t="shared" si="47"/>
        <v>144.66605949197356</v>
      </c>
      <c r="O221" s="7">
        <f t="shared" si="43"/>
        <v>2859.666666666667</v>
      </c>
      <c r="P221" s="7">
        <f t="shared" si="44"/>
        <v>2715.000607174693</v>
      </c>
      <c r="Q221" s="7">
        <f t="shared" si="45"/>
        <v>1165.7556208565945</v>
      </c>
      <c r="R221" s="7">
        <f t="shared" si="46"/>
        <v>824.99498631809865</v>
      </c>
      <c r="S221" s="7">
        <v>2598</v>
      </c>
      <c r="T221" s="7">
        <v>4948</v>
      </c>
      <c r="U221" s="7">
        <v>1583</v>
      </c>
      <c r="V221" s="7">
        <v>89852</v>
      </c>
      <c r="W221" s="7">
        <f t="shared" si="48"/>
        <v>85671</v>
      </c>
      <c r="X221" s="103">
        <f t="shared" si="49"/>
        <v>107357</v>
      </c>
      <c r="Y221" s="103"/>
      <c r="Z221" s="7">
        <v>20</v>
      </c>
      <c r="AB221" s="2">
        <v>17505</v>
      </c>
      <c r="AC221" s="103">
        <v>88438</v>
      </c>
      <c r="AD221" s="103">
        <v>103176</v>
      </c>
      <c r="AE221" s="64">
        <f t="shared" si="50"/>
        <v>2.0805536081774803E-4</v>
      </c>
      <c r="AF221" s="64">
        <f t="shared" si="51"/>
        <v>0.11028000697836707</v>
      </c>
      <c r="AG221" s="20">
        <f t="shared" si="52"/>
        <v>0.17168034856811176</v>
      </c>
      <c r="AH221" s="20">
        <f t="shared" si="53"/>
        <v>144.49437914340544</v>
      </c>
      <c r="AI221" s="22"/>
    </row>
    <row r="222" spans="1:35">
      <c r="A222" s="28">
        <v>45878</v>
      </c>
      <c r="B222" s="3">
        <v>21</v>
      </c>
      <c r="C222" s="3">
        <v>169.66666666666666</v>
      </c>
      <c r="D222" s="3">
        <v>37.166666666666664</v>
      </c>
      <c r="E222" s="6">
        <v>239.91666666666663</v>
      </c>
      <c r="F222" s="3">
        <v>104.41666666666667</v>
      </c>
      <c r="G222" s="3">
        <v>0</v>
      </c>
      <c r="H222" s="3">
        <v>15</v>
      </c>
      <c r="I222" s="3">
        <v>598.49999999999989</v>
      </c>
      <c r="J222" s="3">
        <v>52.5</v>
      </c>
      <c r="K222" s="3">
        <v>624.33333333333326</v>
      </c>
      <c r="L222" s="69">
        <v>105</v>
      </c>
      <c r="M222" s="3">
        <v>180.58333333333331</v>
      </c>
      <c r="N222" s="107">
        <f t="shared" si="47"/>
        <v>8.1644460698099159</v>
      </c>
      <c r="O222" s="7">
        <f t="shared" si="43"/>
        <v>1607.583333333333</v>
      </c>
      <c r="P222" s="7">
        <f t="shared" si="44"/>
        <v>1599.4188872635232</v>
      </c>
      <c r="Q222" s="7">
        <f t="shared" si="45"/>
        <v>590.33555393018992</v>
      </c>
      <c r="R222" s="7">
        <f t="shared" si="46"/>
        <v>624.33333333333326</v>
      </c>
      <c r="S222" s="7">
        <v>887</v>
      </c>
      <c r="T222" s="7">
        <v>2365</v>
      </c>
      <c r="U222" s="7">
        <v>1063</v>
      </c>
      <c r="V222" s="7">
        <v>59841</v>
      </c>
      <c r="W222" s="7">
        <f t="shared" si="48"/>
        <v>57891</v>
      </c>
      <c r="X222" s="103">
        <f t="shared" si="49"/>
        <v>61082</v>
      </c>
      <c r="Y222" s="103"/>
      <c r="Z222" s="7">
        <v>0</v>
      </c>
      <c r="AB222" s="2">
        <v>1241</v>
      </c>
      <c r="AC222" s="103">
        <v>68473</v>
      </c>
      <c r="AD222" s="103">
        <v>59132</v>
      </c>
      <c r="AE222" s="64">
        <f t="shared" si="50"/>
        <v>0</v>
      </c>
      <c r="AF222" s="64">
        <f t="shared" si="51"/>
        <v>1.3641513901102619E-2</v>
      </c>
      <c r="AG222" s="20">
        <f t="shared" si="52"/>
        <v>0</v>
      </c>
      <c r="AH222" s="20">
        <f t="shared" si="53"/>
        <v>8.1644460698099159</v>
      </c>
      <c r="AI222" s="22"/>
    </row>
    <row r="223" spans="1:35">
      <c r="A223" s="28">
        <v>45879</v>
      </c>
      <c r="B223" s="3"/>
      <c r="C223" s="3">
        <v>80.999999999999986</v>
      </c>
      <c r="D223" s="3">
        <v>42.166666666666664</v>
      </c>
      <c r="E223" s="6">
        <v>0</v>
      </c>
      <c r="F223" s="3">
        <v>90</v>
      </c>
      <c r="G223" s="3">
        <v>0</v>
      </c>
      <c r="H223" s="3">
        <v>15</v>
      </c>
      <c r="I223" s="3">
        <v>550.41666666666674</v>
      </c>
      <c r="J223" s="3">
        <v>60</v>
      </c>
      <c r="K223" s="3">
        <v>396.25</v>
      </c>
      <c r="L223" s="69">
        <v>0</v>
      </c>
      <c r="M223" s="3">
        <v>88.750000000000014</v>
      </c>
      <c r="N223" s="107">
        <f t="shared" si="47"/>
        <v>2.8593883136493559</v>
      </c>
      <c r="O223" s="7">
        <f t="shared" si="43"/>
        <v>1219.8333333333335</v>
      </c>
      <c r="P223" s="7">
        <f t="shared" si="44"/>
        <v>1216.9739450196839</v>
      </c>
      <c r="Q223" s="7">
        <f t="shared" si="45"/>
        <v>547.55727835301741</v>
      </c>
      <c r="R223" s="7">
        <f t="shared" si="46"/>
        <v>396.25</v>
      </c>
      <c r="S223" s="7">
        <v>671</v>
      </c>
      <c r="T223" s="7">
        <v>5407</v>
      </c>
      <c r="U223" s="7">
        <v>1643</v>
      </c>
      <c r="V223" s="7">
        <v>63630</v>
      </c>
      <c r="W223" s="7">
        <f t="shared" si="48"/>
        <v>61316</v>
      </c>
      <c r="X223" s="103">
        <f t="shared" si="49"/>
        <v>64124</v>
      </c>
      <c r="Y223" s="103"/>
      <c r="Z223" s="7">
        <v>0</v>
      </c>
      <c r="AB223" s="2">
        <v>494</v>
      </c>
      <c r="AC223" s="103">
        <v>45570</v>
      </c>
      <c r="AD223" s="103">
        <v>61810</v>
      </c>
      <c r="AE223" s="64">
        <f t="shared" si="50"/>
        <v>0</v>
      </c>
      <c r="AF223" s="64">
        <f t="shared" si="51"/>
        <v>5.1949522730949686E-3</v>
      </c>
      <c r="AG223" s="20">
        <f t="shared" si="52"/>
        <v>0</v>
      </c>
      <c r="AH223" s="20">
        <f t="shared" si="53"/>
        <v>2.8593883136493559</v>
      </c>
      <c r="AI223" s="22"/>
    </row>
    <row r="224" spans="1:35">
      <c r="A224" s="28">
        <v>45880</v>
      </c>
      <c r="B224" s="3">
        <v>35</v>
      </c>
      <c r="C224" s="3">
        <v>262.66666666666663</v>
      </c>
      <c r="D224" s="3">
        <v>90</v>
      </c>
      <c r="E224" s="6">
        <v>267.08333333333337</v>
      </c>
      <c r="F224" s="3">
        <v>180</v>
      </c>
      <c r="G224" s="3">
        <v>55.166666666666664</v>
      </c>
      <c r="H224" s="3">
        <v>39.5</v>
      </c>
      <c r="I224" s="3">
        <v>1309.5</v>
      </c>
      <c r="J224" s="3">
        <v>105</v>
      </c>
      <c r="K224" s="3">
        <v>1038.4166666666667</v>
      </c>
      <c r="L224" s="3">
        <v>109</v>
      </c>
      <c r="M224" s="3">
        <v>253.16666666666666</v>
      </c>
      <c r="N224" s="107">
        <f t="shared" si="47"/>
        <v>108.86459206707515</v>
      </c>
      <c r="O224" s="7">
        <f t="shared" si="43"/>
        <v>3020.583333333333</v>
      </c>
      <c r="P224" s="7">
        <f t="shared" si="44"/>
        <v>2911.7187412662579</v>
      </c>
      <c r="Q224" s="7">
        <f t="shared" si="45"/>
        <v>1200.6354079329249</v>
      </c>
      <c r="R224" s="7">
        <f t="shared" si="46"/>
        <v>1038.4166666666667</v>
      </c>
      <c r="S224" s="7">
        <v>3625</v>
      </c>
      <c r="T224" s="7">
        <v>8081</v>
      </c>
      <c r="U224" s="7">
        <v>1928</v>
      </c>
      <c r="V224" s="7">
        <v>111024</v>
      </c>
      <c r="W224" s="7">
        <f t="shared" si="48"/>
        <v>105471</v>
      </c>
      <c r="X224" s="103">
        <f t="shared" si="49"/>
        <v>126492</v>
      </c>
      <c r="Y224" s="103"/>
      <c r="Z224" s="7">
        <v>0</v>
      </c>
      <c r="AB224" s="2">
        <v>15468</v>
      </c>
      <c r="AC224" s="103">
        <v>122561</v>
      </c>
      <c r="AD224" s="103">
        <v>120939</v>
      </c>
      <c r="AE224" s="64">
        <f t="shared" si="50"/>
        <v>0</v>
      </c>
      <c r="AF224" s="64">
        <f t="shared" si="51"/>
        <v>8.313447275072558E-2</v>
      </c>
      <c r="AG224" s="20">
        <f t="shared" si="52"/>
        <v>0</v>
      </c>
      <c r="AH224" s="20">
        <f t="shared" si="53"/>
        <v>108.86459206707515</v>
      </c>
      <c r="AI224" s="22"/>
    </row>
    <row r="225" spans="1:35">
      <c r="A225" s="28">
        <v>45881</v>
      </c>
      <c r="B225" s="3">
        <v>28</v>
      </c>
      <c r="C225" s="3">
        <v>304.16666666666663</v>
      </c>
      <c r="D225" s="3">
        <v>85.25</v>
      </c>
      <c r="E225" s="6">
        <v>311.25</v>
      </c>
      <c r="F225" s="3">
        <v>204.49999999999997</v>
      </c>
      <c r="G225" s="3">
        <v>55.75</v>
      </c>
      <c r="H225" s="3">
        <v>47</v>
      </c>
      <c r="I225" s="3">
        <v>1296.1666666666665</v>
      </c>
      <c r="J225" s="3">
        <v>120</v>
      </c>
      <c r="K225" s="3">
        <v>1003.6666666666666</v>
      </c>
      <c r="L225" s="3">
        <v>108.75</v>
      </c>
      <c r="M225" s="3">
        <v>282.83333333333331</v>
      </c>
      <c r="N225" s="107">
        <f t="shared" si="47"/>
        <v>113.99904738880814</v>
      </c>
      <c r="O225" s="7">
        <f t="shared" si="43"/>
        <v>3041.7499999999995</v>
      </c>
      <c r="P225" s="7">
        <f t="shared" si="44"/>
        <v>2927.7509526111917</v>
      </c>
      <c r="Q225" s="7">
        <f t="shared" si="45"/>
        <v>1286.8539155481474</v>
      </c>
      <c r="R225" s="7">
        <f t="shared" si="46"/>
        <v>898.98037039637768</v>
      </c>
      <c r="S225" s="7">
        <v>8357</v>
      </c>
      <c r="T225" s="7">
        <v>11414</v>
      </c>
      <c r="U225" s="7">
        <v>2468</v>
      </c>
      <c r="V225" s="7">
        <v>112282</v>
      </c>
      <c r="W225" s="7">
        <f t="shared" si="48"/>
        <v>101457</v>
      </c>
      <c r="X225" s="103">
        <f t="shared" si="49"/>
        <v>113416</v>
      </c>
      <c r="Y225" s="103"/>
      <c r="Z225" s="7">
        <v>14531</v>
      </c>
      <c r="AB225" s="2">
        <v>1134</v>
      </c>
      <c r="AC225" s="103">
        <v>128169</v>
      </c>
      <c r="AD225" s="103">
        <v>102591</v>
      </c>
      <c r="AE225" s="64">
        <f t="shared" si="50"/>
        <v>0.10430384882459877</v>
      </c>
      <c r="AF225" s="64">
        <f t="shared" si="51"/>
        <v>7.1848407755066238E-3</v>
      </c>
      <c r="AG225" s="20">
        <f t="shared" si="52"/>
        <v>104.68629627028896</v>
      </c>
      <c r="AH225" s="20">
        <f t="shared" si="53"/>
        <v>9.3127511185191683</v>
      </c>
      <c r="AI225" s="22"/>
    </row>
    <row r="226" spans="1:35">
      <c r="A226" s="28">
        <v>45882</v>
      </c>
      <c r="B226" s="3">
        <v>35</v>
      </c>
      <c r="C226" s="3">
        <v>294.16666666666669</v>
      </c>
      <c r="D226" s="3">
        <v>90</v>
      </c>
      <c r="E226" s="6">
        <v>333.08333333333337</v>
      </c>
      <c r="F226" s="3">
        <v>195</v>
      </c>
      <c r="G226" s="3">
        <v>50.75</v>
      </c>
      <c r="H226" s="3">
        <v>44.416666666666664</v>
      </c>
      <c r="I226" s="3">
        <v>1251.4166666666665</v>
      </c>
      <c r="J226" s="3">
        <v>127.5</v>
      </c>
      <c r="K226" s="3">
        <v>968.33333333333337</v>
      </c>
      <c r="L226" s="3">
        <v>93.750000000000014</v>
      </c>
      <c r="M226" s="3">
        <v>268.58333333333337</v>
      </c>
      <c r="N226" s="107">
        <f t="shared" si="47"/>
        <v>242.18568403235855</v>
      </c>
      <c r="O226" s="7">
        <f t="shared" si="43"/>
        <v>2961.4166666666665</v>
      </c>
      <c r="P226" s="7">
        <f t="shared" si="44"/>
        <v>2719.230982634308</v>
      </c>
      <c r="Q226" s="7">
        <f t="shared" si="45"/>
        <v>1143.4358076340084</v>
      </c>
      <c r="R226" s="7">
        <f t="shared" si="46"/>
        <v>834.12850833363291</v>
      </c>
      <c r="S226" s="7">
        <v>6773</v>
      </c>
      <c r="T226" s="7">
        <v>10965</v>
      </c>
      <c r="U226" s="7">
        <v>2128</v>
      </c>
      <c r="V226" s="7">
        <v>113795</v>
      </c>
      <c r="W226" s="7">
        <f t="shared" si="48"/>
        <v>104894</v>
      </c>
      <c r="X226" s="103">
        <f t="shared" si="49"/>
        <v>129851</v>
      </c>
      <c r="Y226" s="103"/>
      <c r="Z226" s="7">
        <v>20954</v>
      </c>
      <c r="AB226" s="2">
        <v>16056</v>
      </c>
      <c r="AC226" s="103">
        <v>139095</v>
      </c>
      <c r="AD226" s="103">
        <v>120950</v>
      </c>
      <c r="AE226" s="64">
        <f t="shared" si="50"/>
        <v>0.13859362306337394</v>
      </c>
      <c r="AF226" s="64">
        <f t="shared" si="51"/>
        <v>8.6286895411326989E-2</v>
      </c>
      <c r="AG226" s="20">
        <f t="shared" si="52"/>
        <v>134.20482499970043</v>
      </c>
      <c r="AH226" s="20">
        <f t="shared" si="53"/>
        <v>107.9808590326581</v>
      </c>
      <c r="AI226" s="22"/>
    </row>
    <row r="227" spans="1:35">
      <c r="A227" s="28">
        <v>45883</v>
      </c>
      <c r="B227" s="3">
        <v>21</v>
      </c>
      <c r="C227" s="3">
        <v>338</v>
      </c>
      <c r="D227" s="3">
        <v>87.083333333333329</v>
      </c>
      <c r="E227" s="6">
        <v>282.75</v>
      </c>
      <c r="F227" s="3">
        <v>185.08333333333331</v>
      </c>
      <c r="G227" s="3">
        <v>39.583333333333329</v>
      </c>
      <c r="H227" s="3">
        <v>47</v>
      </c>
      <c r="I227" s="3">
        <v>1245.8333333333333</v>
      </c>
      <c r="J227" s="3">
        <v>127.5</v>
      </c>
      <c r="K227" s="3">
        <v>965.91666666666663</v>
      </c>
      <c r="L227" s="3">
        <v>123.5</v>
      </c>
      <c r="M227" s="3">
        <v>254.16666666666666</v>
      </c>
      <c r="N227" s="107">
        <f t="shared" si="47"/>
        <v>332.69958785457203</v>
      </c>
      <c r="O227" s="7">
        <f t="shared" si="43"/>
        <v>2970.4166666666665</v>
      </c>
      <c r="P227" s="7">
        <f t="shared" si="44"/>
        <v>2637.7170788120948</v>
      </c>
      <c r="Q227" s="7">
        <f t="shared" si="45"/>
        <v>1046.220308628014</v>
      </c>
      <c r="R227" s="7">
        <f t="shared" si="46"/>
        <v>832.83010351741393</v>
      </c>
      <c r="S227" s="7">
        <v>6550</v>
      </c>
      <c r="T227" s="7">
        <v>11089</v>
      </c>
      <c r="U227" s="7">
        <v>1148</v>
      </c>
      <c r="V227" s="7">
        <v>84323</v>
      </c>
      <c r="W227" s="7">
        <f t="shared" si="48"/>
        <v>76625</v>
      </c>
      <c r="X227" s="103">
        <f t="shared" si="49"/>
        <v>109390</v>
      </c>
      <c r="Y227" s="103"/>
      <c r="Z227" s="7">
        <v>17877</v>
      </c>
      <c r="AB227" s="2">
        <v>25067</v>
      </c>
      <c r="AC227" s="103">
        <v>119368</v>
      </c>
      <c r="AD227" s="103">
        <v>101692</v>
      </c>
      <c r="AE227" s="64">
        <f t="shared" si="50"/>
        <v>0.13778265531800818</v>
      </c>
      <c r="AF227" s="64">
        <f t="shared" si="51"/>
        <v>0.16022450143570782</v>
      </c>
      <c r="AG227" s="20">
        <f t="shared" si="52"/>
        <v>133.08656314925273</v>
      </c>
      <c r="AH227" s="20">
        <f t="shared" si="53"/>
        <v>199.6130247053193</v>
      </c>
      <c r="AI227" s="22"/>
    </row>
    <row r="228" spans="1:35">
      <c r="A228" s="28">
        <v>45884</v>
      </c>
      <c r="B228" s="3">
        <v>35</v>
      </c>
      <c r="C228" s="3">
        <v>320.08333333333331</v>
      </c>
      <c r="D228" s="3">
        <v>71.833333333333329</v>
      </c>
      <c r="E228" s="6">
        <v>346.25</v>
      </c>
      <c r="F228" s="3">
        <v>187.5</v>
      </c>
      <c r="G228" s="3">
        <v>65.083333333333329</v>
      </c>
      <c r="H228" s="3">
        <v>47</v>
      </c>
      <c r="I228" s="3">
        <v>960.66666666666663</v>
      </c>
      <c r="J228" s="3">
        <v>120</v>
      </c>
      <c r="K228" s="3">
        <v>967.24999999999966</v>
      </c>
      <c r="L228" s="3">
        <v>138</v>
      </c>
      <c r="M228" s="3">
        <v>241.91666666666671</v>
      </c>
      <c r="N228" s="107">
        <f t="shared" si="47"/>
        <v>18.031655664608458</v>
      </c>
      <c r="O228" s="7">
        <f t="shared" si="43"/>
        <v>2662.333333333333</v>
      </c>
      <c r="P228" s="7">
        <f t="shared" si="44"/>
        <v>2644.3016776687246</v>
      </c>
      <c r="Q228" s="7">
        <f t="shared" si="45"/>
        <v>954.59276519550906</v>
      </c>
      <c r="R228" s="7">
        <f t="shared" si="46"/>
        <v>955.29224580654875</v>
      </c>
      <c r="S228" s="7">
        <v>3662</v>
      </c>
      <c r="T228" s="7">
        <v>5648</v>
      </c>
      <c r="U228" s="7">
        <v>935</v>
      </c>
      <c r="V228" s="7">
        <v>100091</v>
      </c>
      <c r="W228" s="7">
        <f t="shared" si="48"/>
        <v>95494</v>
      </c>
      <c r="X228" s="103">
        <f t="shared" si="49"/>
        <v>101029</v>
      </c>
      <c r="Y228" s="103"/>
      <c r="Z228" s="7">
        <v>1156</v>
      </c>
      <c r="AB228" s="2">
        <v>938</v>
      </c>
      <c r="AC228" s="103">
        <v>86027</v>
      </c>
      <c r="AD228" s="103">
        <v>96432</v>
      </c>
      <c r="AE228" s="64">
        <f t="shared" si="50"/>
        <v>1.2362630336987226E-2</v>
      </c>
      <c r="AF228" s="64">
        <f t="shared" si="51"/>
        <v>6.3225900116144016E-3</v>
      </c>
      <c r="AG228" s="20">
        <f t="shared" si="52"/>
        <v>11.95775419345089</v>
      </c>
      <c r="AH228" s="20">
        <f t="shared" si="53"/>
        <v>6.0739014711575683</v>
      </c>
      <c r="AI228" s="22"/>
    </row>
    <row r="229" spans="1:35">
      <c r="A229" s="28">
        <v>45885</v>
      </c>
      <c r="B229" s="3">
        <v>35</v>
      </c>
      <c r="C229" s="3">
        <v>188.08333333333337</v>
      </c>
      <c r="D229" s="3">
        <v>30</v>
      </c>
      <c r="E229" s="6">
        <v>222.91666666666669</v>
      </c>
      <c r="F229" s="3">
        <v>112</v>
      </c>
      <c r="G229" s="3">
        <v>0</v>
      </c>
      <c r="H229" s="3">
        <v>15</v>
      </c>
      <c r="I229" s="3">
        <v>603.00000000000011</v>
      </c>
      <c r="J229" s="3">
        <v>60</v>
      </c>
      <c r="K229" s="3">
        <v>541.33333333333337</v>
      </c>
      <c r="L229" s="3">
        <v>105</v>
      </c>
      <c r="M229" s="3">
        <v>150.75</v>
      </c>
      <c r="N229" s="107">
        <f t="shared" si="47"/>
        <v>16.329311442540163</v>
      </c>
      <c r="O229" s="7">
        <f t="shared" si="43"/>
        <v>1569.416666666667</v>
      </c>
      <c r="P229" s="7">
        <f t="shared" si="44"/>
        <v>1553.0873552241267</v>
      </c>
      <c r="Q229" s="7">
        <f t="shared" si="45"/>
        <v>590.48032570730015</v>
      </c>
      <c r="R229" s="7">
        <f t="shared" si="46"/>
        <v>537.52369618349314</v>
      </c>
      <c r="S229" s="7">
        <v>1532</v>
      </c>
      <c r="T229" s="7">
        <v>4177</v>
      </c>
      <c r="U229" s="7">
        <v>1168</v>
      </c>
      <c r="V229" s="7">
        <v>58131</v>
      </c>
      <c r="W229" s="7">
        <f t="shared" si="48"/>
        <v>55431</v>
      </c>
      <c r="X229" s="103">
        <f t="shared" si="49"/>
        <v>59960</v>
      </c>
      <c r="Y229" s="103"/>
      <c r="Z229" s="7">
        <v>434</v>
      </c>
      <c r="AB229" s="2">
        <v>1829</v>
      </c>
      <c r="AC229" s="103">
        <v>56736</v>
      </c>
      <c r="AD229" s="103">
        <v>57260</v>
      </c>
      <c r="AE229" s="64">
        <f t="shared" si="50"/>
        <v>7.0375070501974054E-3</v>
      </c>
      <c r="AF229" s="64">
        <f t="shared" si="51"/>
        <v>2.0762312259867272E-2</v>
      </c>
      <c r="AG229" s="20">
        <f t="shared" si="52"/>
        <v>3.8096371498401957</v>
      </c>
      <c r="AH229" s="20">
        <f t="shared" si="53"/>
        <v>12.519674292699968</v>
      </c>
      <c r="AI229" s="22"/>
    </row>
    <row r="230" spans="1:35">
      <c r="A230" s="28">
        <v>45886</v>
      </c>
      <c r="B230" s="3"/>
      <c r="C230" s="3">
        <v>112.5</v>
      </c>
      <c r="D230" s="3">
        <v>22.5</v>
      </c>
      <c r="E230" s="6">
        <v>0</v>
      </c>
      <c r="F230" s="3">
        <v>102</v>
      </c>
      <c r="G230" s="3">
        <v>0</v>
      </c>
      <c r="H230" s="3">
        <v>15</v>
      </c>
      <c r="I230" s="3">
        <v>544.25</v>
      </c>
      <c r="J230" s="3">
        <v>52.5</v>
      </c>
      <c r="K230" s="3">
        <v>385.75</v>
      </c>
      <c r="L230" s="3">
        <v>0</v>
      </c>
      <c r="M230" s="3">
        <v>97.5</v>
      </c>
      <c r="N230" s="107">
        <f t="shared" si="47"/>
        <v>2.1483153657585379</v>
      </c>
      <c r="O230" s="7">
        <f t="shared" si="43"/>
        <v>1219.5</v>
      </c>
      <c r="P230" s="7">
        <f t="shared" si="44"/>
        <v>1217.3516846342413</v>
      </c>
      <c r="Q230" s="7">
        <f t="shared" si="45"/>
        <v>542.10168463424145</v>
      </c>
      <c r="R230" s="7">
        <f t="shared" si="46"/>
        <v>385.75</v>
      </c>
      <c r="S230" s="7">
        <v>1072</v>
      </c>
      <c r="T230" s="7">
        <v>2364</v>
      </c>
      <c r="U230" s="7">
        <v>145</v>
      </c>
      <c r="V230" s="7">
        <v>54737</v>
      </c>
      <c r="W230" s="7">
        <f t="shared" si="48"/>
        <v>53520</v>
      </c>
      <c r="X230" s="103">
        <f t="shared" si="49"/>
        <v>55064</v>
      </c>
      <c r="Y230" s="103"/>
      <c r="Z230" s="7">
        <v>0</v>
      </c>
      <c r="AB230" s="2">
        <v>327</v>
      </c>
      <c r="AC230" s="103">
        <v>45814</v>
      </c>
      <c r="AD230" s="103">
        <v>53847</v>
      </c>
      <c r="AE230" s="64">
        <f t="shared" si="50"/>
        <v>0</v>
      </c>
      <c r="AF230" s="64">
        <f t="shared" si="51"/>
        <v>3.9472951139339239E-3</v>
      </c>
      <c r="AG230" s="20">
        <f t="shared" ref="AG230:AG261" si="54">+AE230*K230</f>
        <v>0</v>
      </c>
      <c r="AH230" s="20">
        <f t="shared" ref="AH230:AH261" si="55">+AF230*I230</f>
        <v>2.1483153657585379</v>
      </c>
      <c r="AI230" s="22"/>
    </row>
    <row r="231" spans="1:35">
      <c r="A231" s="28">
        <v>45887</v>
      </c>
      <c r="B231" s="3">
        <v>35</v>
      </c>
      <c r="C231" s="3">
        <v>320.25</v>
      </c>
      <c r="D231" s="3">
        <v>67.166666666666657</v>
      </c>
      <c r="E231" s="6">
        <v>303.66666666666663</v>
      </c>
      <c r="F231" s="3">
        <v>201.41666666666666</v>
      </c>
      <c r="G231" s="3">
        <v>118.16666666666666</v>
      </c>
      <c r="H231" s="3">
        <v>39.5</v>
      </c>
      <c r="I231" s="3">
        <v>1055.9166666666667</v>
      </c>
      <c r="J231" s="3">
        <v>120</v>
      </c>
      <c r="K231" s="3">
        <v>1071.0833333333335</v>
      </c>
      <c r="L231" s="3">
        <v>123</v>
      </c>
      <c r="M231" s="3">
        <v>252</v>
      </c>
      <c r="N231" s="107">
        <f t="shared" si="47"/>
        <v>15.500161083314673</v>
      </c>
      <c r="O231" s="7">
        <f t="shared" si="43"/>
        <v>2870.8333333333335</v>
      </c>
      <c r="P231" s="7">
        <f t="shared" si="44"/>
        <v>2855.3331722500188</v>
      </c>
      <c r="Q231" s="7">
        <f t="shared" si="45"/>
        <v>1044.473331172039</v>
      </c>
      <c r="R231" s="7">
        <f t="shared" si="46"/>
        <v>1067.0265077446466</v>
      </c>
      <c r="S231" s="7">
        <v>7646</v>
      </c>
      <c r="T231" s="7">
        <v>8262</v>
      </c>
      <c r="U231" s="7">
        <v>587</v>
      </c>
      <c r="V231" s="7">
        <v>103777</v>
      </c>
      <c r="W231" s="7">
        <f t="shared" si="48"/>
        <v>95544</v>
      </c>
      <c r="X231" s="103">
        <f t="shared" si="49"/>
        <v>105397</v>
      </c>
      <c r="Y231" s="103"/>
      <c r="Z231" s="7">
        <v>453</v>
      </c>
      <c r="AB231" s="2">
        <v>1620</v>
      </c>
      <c r="AC231" s="103">
        <v>110033</v>
      </c>
      <c r="AD231" s="103">
        <v>97164</v>
      </c>
      <c r="AE231" s="64">
        <f t="shared" si="50"/>
        <v>3.7875909954286444E-3</v>
      </c>
      <c r="AF231" s="64">
        <f t="shared" si="51"/>
        <v>1.0837347165616896E-2</v>
      </c>
      <c r="AG231" s="20">
        <f t="shared" si="54"/>
        <v>4.0568255886870315</v>
      </c>
      <c r="AH231" s="20">
        <f t="shared" si="55"/>
        <v>11.443335494627641</v>
      </c>
      <c r="AI231" s="22"/>
    </row>
    <row r="232" spans="1:35">
      <c r="A232" s="28">
        <v>45888</v>
      </c>
      <c r="B232" s="3">
        <v>42</v>
      </c>
      <c r="C232" s="3">
        <v>417</v>
      </c>
      <c r="D232" s="3">
        <v>56.75</v>
      </c>
      <c r="E232" s="6">
        <v>321.91666666666663</v>
      </c>
      <c r="F232" s="3">
        <v>214.5</v>
      </c>
      <c r="G232" s="3">
        <v>116.5</v>
      </c>
      <c r="H232" s="3">
        <v>47</v>
      </c>
      <c r="I232" s="3">
        <v>1205.75</v>
      </c>
      <c r="J232" s="3">
        <v>105</v>
      </c>
      <c r="K232" s="3">
        <v>885.08333333333337</v>
      </c>
      <c r="L232" s="3">
        <v>130.5</v>
      </c>
      <c r="M232" s="3">
        <v>259.33333333333331</v>
      </c>
      <c r="N232" s="107">
        <f t="shared" si="47"/>
        <v>79.431602765733885</v>
      </c>
      <c r="O232" s="7">
        <f t="shared" si="43"/>
        <v>2926.0833333333335</v>
      </c>
      <c r="P232" s="7">
        <f t="shared" si="44"/>
        <v>2846.6517305675998</v>
      </c>
      <c r="Q232" s="7">
        <f t="shared" si="45"/>
        <v>1178.1365136673378</v>
      </c>
      <c r="R232" s="7">
        <f t="shared" si="46"/>
        <v>833.26521690026175</v>
      </c>
      <c r="S232" s="7">
        <v>3922</v>
      </c>
      <c r="T232" s="7">
        <v>5671</v>
      </c>
      <c r="U232" s="7">
        <v>1071</v>
      </c>
      <c r="V232" s="7">
        <v>79747</v>
      </c>
      <c r="W232" s="7">
        <f t="shared" si="48"/>
        <v>74754</v>
      </c>
      <c r="X232" s="103">
        <f t="shared" si="49"/>
        <v>82477</v>
      </c>
      <c r="Y232" s="103"/>
      <c r="Z232" s="7">
        <v>6461</v>
      </c>
      <c r="AB232" s="2">
        <v>2730</v>
      </c>
      <c r="AC232" s="103">
        <v>101529</v>
      </c>
      <c r="AD232" s="103">
        <v>77484</v>
      </c>
      <c r="AE232" s="64">
        <f t="shared" si="50"/>
        <v>5.8546031183208731E-2</v>
      </c>
      <c r="AF232" s="64">
        <f t="shared" si="51"/>
        <v>2.2901502245624903E-2</v>
      </c>
      <c r="AG232" s="20">
        <f t="shared" si="54"/>
        <v>51.818116433071665</v>
      </c>
      <c r="AH232" s="20">
        <f t="shared" si="55"/>
        <v>27.613486332662227</v>
      </c>
      <c r="AI232" s="22"/>
    </row>
    <row r="233" spans="1:35">
      <c r="A233" s="28">
        <v>45889</v>
      </c>
      <c r="B233" s="3">
        <v>38</v>
      </c>
      <c r="C233" s="3">
        <v>205.25</v>
      </c>
      <c r="D233" s="3">
        <v>67.5</v>
      </c>
      <c r="E233" s="6">
        <v>367.33333333333337</v>
      </c>
      <c r="F233" s="3">
        <v>209.75</v>
      </c>
      <c r="G233" s="3">
        <v>108.49999999999999</v>
      </c>
      <c r="H233" s="3">
        <v>63.166666666666671</v>
      </c>
      <c r="I233" s="3">
        <v>1212.2499999999998</v>
      </c>
      <c r="J233" s="3">
        <v>94.583333333333329</v>
      </c>
      <c r="K233" s="3">
        <v>853.33333333333337</v>
      </c>
      <c r="L233" s="3">
        <v>122</v>
      </c>
      <c r="M233" s="3">
        <v>270</v>
      </c>
      <c r="N233" s="107">
        <f t="shared" si="47"/>
        <v>131.62116538683509</v>
      </c>
      <c r="O233" s="7">
        <f t="shared" si="43"/>
        <v>2680.6666666666665</v>
      </c>
      <c r="P233" s="7">
        <f t="shared" si="44"/>
        <v>2549.0455012798316</v>
      </c>
      <c r="Q233" s="7">
        <f t="shared" si="45"/>
        <v>1201.6352609767609</v>
      </c>
      <c r="R233" s="7">
        <f t="shared" si="46"/>
        <v>732.32690696973702</v>
      </c>
      <c r="S233" s="7">
        <v>2308</v>
      </c>
      <c r="T233" s="7">
        <v>4035</v>
      </c>
      <c r="U233" s="7">
        <v>1044</v>
      </c>
      <c r="V233" s="7">
        <v>97383</v>
      </c>
      <c r="W233" s="7">
        <f t="shared" si="48"/>
        <v>94031</v>
      </c>
      <c r="X233" s="103">
        <f t="shared" si="49"/>
        <v>98667</v>
      </c>
      <c r="Y233" s="103"/>
      <c r="Z233" s="7">
        <v>15176</v>
      </c>
      <c r="AB233" s="2">
        <v>1284</v>
      </c>
      <c r="AC233" s="103">
        <v>98459</v>
      </c>
      <c r="AD233" s="103">
        <v>95315</v>
      </c>
      <c r="AE233" s="64">
        <f t="shared" si="50"/>
        <v>0.14180440589483947</v>
      </c>
      <c r="AF233" s="64">
        <f t="shared" si="51"/>
        <v>8.7562293448040715E-3</v>
      </c>
      <c r="AG233" s="20">
        <f t="shared" si="54"/>
        <v>121.00642636359636</v>
      </c>
      <c r="AH233" s="20">
        <f t="shared" si="55"/>
        <v>10.614739023238734</v>
      </c>
      <c r="AI233" s="22"/>
    </row>
    <row r="234" spans="1:35">
      <c r="A234" s="28">
        <v>45890</v>
      </c>
      <c r="B234" s="3">
        <v>42</v>
      </c>
      <c r="C234" s="3">
        <v>360.49999999999994</v>
      </c>
      <c r="D234" s="3">
        <v>70.5</v>
      </c>
      <c r="E234" s="6">
        <v>344.99999999999994</v>
      </c>
      <c r="F234" s="3">
        <v>213.33333333333331</v>
      </c>
      <c r="G234" s="3">
        <v>112.25</v>
      </c>
      <c r="H234" s="3">
        <v>55.833333333333336</v>
      </c>
      <c r="I234" s="3">
        <v>1455.2499999999998</v>
      </c>
      <c r="J234" s="3">
        <v>97.583333333333343</v>
      </c>
      <c r="K234" s="3">
        <v>855.75000000000011</v>
      </c>
      <c r="L234" s="3">
        <v>121.75</v>
      </c>
      <c r="M234" s="3">
        <v>269.16666666666669</v>
      </c>
      <c r="N234" s="107">
        <f t="shared" si="47"/>
        <v>207.87460879561507</v>
      </c>
      <c r="O234" s="7">
        <f t="shared" si="43"/>
        <v>3094.9166666666665</v>
      </c>
      <c r="P234" s="7">
        <f t="shared" si="44"/>
        <v>2887.0420578710514</v>
      </c>
      <c r="Q234" s="7">
        <f t="shared" si="45"/>
        <v>1309.3274487635629</v>
      </c>
      <c r="R234" s="7">
        <f t="shared" si="46"/>
        <v>793.79794244082188</v>
      </c>
      <c r="S234" s="7">
        <v>4257</v>
      </c>
      <c r="T234" s="7">
        <v>7139</v>
      </c>
      <c r="U234" s="7">
        <v>1431</v>
      </c>
      <c r="V234" s="7">
        <v>115745</v>
      </c>
      <c r="W234" s="7">
        <f t="shared" si="48"/>
        <v>110057</v>
      </c>
      <c r="X234" s="103">
        <f t="shared" si="49"/>
        <v>135820</v>
      </c>
      <c r="Y234" s="103"/>
      <c r="Z234" s="7">
        <v>8457</v>
      </c>
      <c r="AB234" s="2">
        <v>20075</v>
      </c>
      <c r="AC234" s="103">
        <v>107472</v>
      </c>
      <c r="AD234" s="103">
        <v>130132</v>
      </c>
      <c r="AE234" s="64">
        <f t="shared" si="50"/>
        <v>7.2395042429656095E-2</v>
      </c>
      <c r="AF234" s="64">
        <f t="shared" si="51"/>
        <v>0.10027318415147697</v>
      </c>
      <c r="AG234" s="20">
        <f t="shared" si="54"/>
        <v>61.952057559178215</v>
      </c>
      <c r="AH234" s="20">
        <f t="shared" si="55"/>
        <v>145.92255123643685</v>
      </c>
      <c r="AI234" s="22"/>
    </row>
    <row r="235" spans="1:35">
      <c r="A235" s="28">
        <v>45891</v>
      </c>
      <c r="B235" s="3">
        <v>38</v>
      </c>
      <c r="C235" s="3">
        <v>359.25</v>
      </c>
      <c r="D235" s="3">
        <v>74.5</v>
      </c>
      <c r="E235" s="6">
        <v>338.33333333333331</v>
      </c>
      <c r="F235" s="3">
        <v>187</v>
      </c>
      <c r="G235" s="3">
        <v>126.41666666666666</v>
      </c>
      <c r="H235" s="3">
        <v>55.5</v>
      </c>
      <c r="I235" s="3">
        <v>1191.3333333333335</v>
      </c>
      <c r="J235" s="3">
        <v>97.5</v>
      </c>
      <c r="K235" s="3">
        <v>873.83333333333337</v>
      </c>
      <c r="L235" s="3">
        <v>128.41666666666669</v>
      </c>
      <c r="M235" s="3">
        <v>262.16666666666663</v>
      </c>
      <c r="N235" s="107">
        <f t="shared" si="47"/>
        <v>140.2873909033618</v>
      </c>
      <c r="O235" s="7">
        <f t="shared" si="43"/>
        <v>2821.416666666667</v>
      </c>
      <c r="P235" s="7">
        <f t="shared" si="44"/>
        <v>2681.129275763305</v>
      </c>
      <c r="Q235" s="7">
        <f t="shared" si="45"/>
        <v>1180.3829326836637</v>
      </c>
      <c r="R235" s="7">
        <f t="shared" si="46"/>
        <v>744.49634307964129</v>
      </c>
      <c r="S235" s="7">
        <v>4178</v>
      </c>
      <c r="T235" s="7">
        <v>7064</v>
      </c>
      <c r="U235" s="7">
        <v>1886</v>
      </c>
      <c r="V235" s="7">
        <v>115727</v>
      </c>
      <c r="W235" s="7">
        <f t="shared" si="48"/>
        <v>109663</v>
      </c>
      <c r="X235" s="103">
        <f t="shared" si="49"/>
        <v>117300</v>
      </c>
      <c r="Y235" s="103"/>
      <c r="Z235" s="7">
        <v>17877</v>
      </c>
      <c r="AB235" s="2">
        <v>1573</v>
      </c>
      <c r="AC235" s="103">
        <v>111119</v>
      </c>
      <c r="AD235" s="103">
        <v>111236</v>
      </c>
      <c r="AE235" s="64">
        <f t="shared" si="50"/>
        <v>0.14801105121536373</v>
      </c>
      <c r="AF235" s="64">
        <f t="shared" si="51"/>
        <v>9.1917185083965625E-3</v>
      </c>
      <c r="AG235" s="20">
        <f t="shared" si="54"/>
        <v>129.33699025369202</v>
      </c>
      <c r="AH235" s="20">
        <f t="shared" si="55"/>
        <v>10.950400649669772</v>
      </c>
      <c r="AI235" s="22"/>
    </row>
    <row r="236" spans="1:35">
      <c r="A236" s="28">
        <v>45892</v>
      </c>
      <c r="B236" s="3">
        <v>35</v>
      </c>
      <c r="C236" s="3">
        <v>353.83333333333331</v>
      </c>
      <c r="D236" s="3">
        <v>75</v>
      </c>
      <c r="E236" s="6">
        <v>206</v>
      </c>
      <c r="F236" s="3">
        <v>186.91666666666669</v>
      </c>
      <c r="G236" s="3">
        <v>0</v>
      </c>
      <c r="H236" s="3">
        <v>29.75</v>
      </c>
      <c r="I236" s="3">
        <v>1164.25</v>
      </c>
      <c r="J236" s="3">
        <v>120</v>
      </c>
      <c r="K236" s="3">
        <v>842.91666666666663</v>
      </c>
      <c r="L236" s="3">
        <v>82.166666666666671</v>
      </c>
      <c r="M236" s="3">
        <v>248.5</v>
      </c>
      <c r="N236" s="107">
        <f t="shared" si="47"/>
        <v>154.24698107107247</v>
      </c>
      <c r="O236" s="7">
        <f t="shared" si="43"/>
        <v>2777.9166666666665</v>
      </c>
      <c r="P236" s="7">
        <f t="shared" si="44"/>
        <v>2623.6696855955943</v>
      </c>
      <c r="Q236" s="7">
        <f t="shared" si="45"/>
        <v>1035.0515182509409</v>
      </c>
      <c r="R236" s="7">
        <f t="shared" si="46"/>
        <v>817.86816734465333</v>
      </c>
      <c r="S236" s="7">
        <v>4688</v>
      </c>
      <c r="T236" s="7">
        <v>7120</v>
      </c>
      <c r="U236" s="7">
        <v>1185</v>
      </c>
      <c r="V236" s="7">
        <v>103268</v>
      </c>
      <c r="W236" s="7">
        <f t="shared" si="48"/>
        <v>97395</v>
      </c>
      <c r="X236" s="103">
        <f t="shared" si="49"/>
        <v>123319</v>
      </c>
      <c r="Y236" s="103"/>
      <c r="Z236" s="7">
        <v>3192</v>
      </c>
      <c r="AB236" s="2">
        <v>20051</v>
      </c>
      <c r="AC236" s="103">
        <v>98822</v>
      </c>
      <c r="AD236" s="103">
        <v>117446</v>
      </c>
      <c r="AE236" s="64">
        <f t="shared" si="50"/>
        <v>2.9716459897593653E-2</v>
      </c>
      <c r="AF236" s="64">
        <f t="shared" si="51"/>
        <v>0.11097142516560803</v>
      </c>
      <c r="AG236" s="20">
        <f t="shared" si="54"/>
        <v>25.048499322013317</v>
      </c>
      <c r="AH236" s="20">
        <f t="shared" si="55"/>
        <v>129.19848174905914</v>
      </c>
      <c r="AI236" s="22"/>
    </row>
    <row r="237" spans="1:35">
      <c r="A237" s="28">
        <v>45893</v>
      </c>
      <c r="B237" s="3">
        <v>25</v>
      </c>
      <c r="C237" s="3">
        <v>262.5</v>
      </c>
      <c r="D237" s="3">
        <v>62.833333333333329</v>
      </c>
      <c r="E237" s="6">
        <v>0</v>
      </c>
      <c r="F237" s="3">
        <v>192.41666666666669</v>
      </c>
      <c r="G237" s="3">
        <v>0</v>
      </c>
      <c r="H237" s="3">
        <v>22.5</v>
      </c>
      <c r="I237" s="3">
        <v>1187.8333333333335</v>
      </c>
      <c r="J237" s="3">
        <v>105</v>
      </c>
      <c r="K237" s="3">
        <v>867.33333333333337</v>
      </c>
      <c r="L237" s="3">
        <v>0</v>
      </c>
      <c r="M237" s="3">
        <v>224</v>
      </c>
      <c r="N237" s="107">
        <f t="shared" si="47"/>
        <v>133.53461996301732</v>
      </c>
      <c r="O237" s="7">
        <f t="shared" si="43"/>
        <v>2702.916666666667</v>
      </c>
      <c r="P237" s="7">
        <f t="shared" si="44"/>
        <v>2569.3820467036494</v>
      </c>
      <c r="Q237" s="7">
        <f t="shared" si="45"/>
        <v>1173.6403891633427</v>
      </c>
      <c r="R237" s="7">
        <f t="shared" si="46"/>
        <v>747.99165754030685</v>
      </c>
      <c r="S237" s="7">
        <v>3246</v>
      </c>
      <c r="T237" s="7">
        <v>6888</v>
      </c>
      <c r="U237" s="7">
        <v>1568</v>
      </c>
      <c r="V237" s="7">
        <v>105953</v>
      </c>
      <c r="W237" s="7">
        <f t="shared" si="48"/>
        <v>101139</v>
      </c>
      <c r="X237" s="103">
        <f t="shared" si="49"/>
        <v>107847</v>
      </c>
      <c r="Y237" s="103"/>
      <c r="Z237" s="7">
        <v>17016</v>
      </c>
      <c r="AB237" s="2">
        <v>1894</v>
      </c>
      <c r="AC237" s="103">
        <v>113773</v>
      </c>
      <c r="AD237" s="103">
        <v>103033</v>
      </c>
      <c r="AE237" s="64">
        <f t="shared" si="50"/>
        <v>0.13759609046082991</v>
      </c>
      <c r="AF237" s="64">
        <f t="shared" si="51"/>
        <v>1.1948598992555784E-2</v>
      </c>
      <c r="AG237" s="20">
        <f t="shared" si="54"/>
        <v>119.34167579302648</v>
      </c>
      <c r="AH237" s="20">
        <f t="shared" si="55"/>
        <v>14.192944169990847</v>
      </c>
      <c r="AI237" s="22"/>
    </row>
    <row r="238" spans="1:35">
      <c r="A238" s="28">
        <v>45894</v>
      </c>
      <c r="B238" s="3">
        <v>42</v>
      </c>
      <c r="C238" s="3">
        <v>262.5</v>
      </c>
      <c r="D238" s="3">
        <v>75</v>
      </c>
      <c r="E238" s="6">
        <v>357.83333333333331</v>
      </c>
      <c r="F238" s="3">
        <v>202.16666666666669</v>
      </c>
      <c r="G238" s="3">
        <v>83.000000000000014</v>
      </c>
      <c r="H238" s="3">
        <v>71.5</v>
      </c>
      <c r="I238" s="3">
        <v>1333.5</v>
      </c>
      <c r="J238" s="3">
        <v>112.5</v>
      </c>
      <c r="K238" s="3">
        <v>1135.8333333333335</v>
      </c>
      <c r="L238" s="3">
        <v>138.08333333333331</v>
      </c>
      <c r="M238" s="3">
        <v>280.41666666666663</v>
      </c>
      <c r="N238" s="107">
        <f t="shared" si="47"/>
        <v>282.62587363570134</v>
      </c>
      <c r="O238" s="7">
        <f t="shared" si="43"/>
        <v>3163.5</v>
      </c>
      <c r="P238" s="7">
        <f t="shared" si="44"/>
        <v>2880.8741263642987</v>
      </c>
      <c r="Q238" s="7">
        <f t="shared" si="45"/>
        <v>1175.1601561670032</v>
      </c>
      <c r="R238" s="7">
        <f t="shared" si="46"/>
        <v>1011.5473035306291</v>
      </c>
      <c r="S238" s="7">
        <v>3149</v>
      </c>
      <c r="T238" s="7">
        <v>5501</v>
      </c>
      <c r="U238" s="7">
        <v>934</v>
      </c>
      <c r="V238" s="7">
        <v>104098</v>
      </c>
      <c r="W238" s="7">
        <f t="shared" si="48"/>
        <v>100015</v>
      </c>
      <c r="X238" s="103">
        <f t="shared" si="49"/>
        <v>126452</v>
      </c>
      <c r="Y238" s="103"/>
      <c r="Z238" s="7">
        <v>16554</v>
      </c>
      <c r="AB238" s="2">
        <v>22354</v>
      </c>
      <c r="AC238" s="103">
        <v>139182</v>
      </c>
      <c r="AD238" s="103">
        <v>122369</v>
      </c>
      <c r="AE238" s="64">
        <f t="shared" si="50"/>
        <v>0.10942277018579989</v>
      </c>
      <c r="AF238" s="64">
        <f t="shared" si="51"/>
        <v>0.11874004036970148</v>
      </c>
      <c r="AG238" s="20">
        <f t="shared" si="54"/>
        <v>124.28602980270439</v>
      </c>
      <c r="AH238" s="20">
        <f t="shared" si="55"/>
        <v>158.33984383299693</v>
      </c>
      <c r="AI238" s="22"/>
    </row>
    <row r="239" spans="1:35">
      <c r="A239" s="28">
        <v>45895</v>
      </c>
      <c r="B239" s="3">
        <v>42</v>
      </c>
      <c r="C239" s="3">
        <v>224.83333333333331</v>
      </c>
      <c r="D239" s="3">
        <v>78</v>
      </c>
      <c r="E239" s="6">
        <v>367.74999999999994</v>
      </c>
      <c r="F239" s="3">
        <v>209.25</v>
      </c>
      <c r="G239" s="3">
        <v>76.5</v>
      </c>
      <c r="H239" s="3">
        <v>79</v>
      </c>
      <c r="I239" s="3">
        <v>1333.5833333333333</v>
      </c>
      <c r="J239" s="3">
        <v>119.75</v>
      </c>
      <c r="K239" s="3">
        <v>1097.1666666666665</v>
      </c>
      <c r="L239" s="3">
        <v>137.75</v>
      </c>
      <c r="M239" s="3">
        <v>277.5</v>
      </c>
      <c r="N239" s="107">
        <f t="shared" si="47"/>
        <v>153.35260979139591</v>
      </c>
      <c r="O239" s="7">
        <f t="shared" si="43"/>
        <v>3104.583333333333</v>
      </c>
      <c r="P239" s="7">
        <f t="shared" si="44"/>
        <v>2951.2307235419371</v>
      </c>
      <c r="Q239" s="7">
        <f t="shared" si="45"/>
        <v>1316.8881094094668</v>
      </c>
      <c r="R239" s="7">
        <f t="shared" si="46"/>
        <v>960.50928079913717</v>
      </c>
      <c r="S239" s="7">
        <v>3998</v>
      </c>
      <c r="T239" s="7">
        <v>6938</v>
      </c>
      <c r="U239" s="7">
        <v>1901</v>
      </c>
      <c r="V239" s="7">
        <v>106824</v>
      </c>
      <c r="W239" s="7">
        <f t="shared" si="48"/>
        <v>100925</v>
      </c>
      <c r="X239" s="103">
        <f t="shared" si="49"/>
        <v>108806</v>
      </c>
      <c r="Y239" s="103"/>
      <c r="Z239" s="7">
        <v>19878</v>
      </c>
      <c r="AB239" s="2">
        <v>1982</v>
      </c>
      <c r="AC239" s="103">
        <v>146825</v>
      </c>
      <c r="AD239" s="103">
        <v>102907</v>
      </c>
      <c r="AE239" s="64">
        <f t="shared" si="50"/>
        <v>0.12455481014813555</v>
      </c>
      <c r="AF239" s="64">
        <f t="shared" si="51"/>
        <v>1.2519070617159183E-2</v>
      </c>
      <c r="AG239" s="20">
        <f t="shared" si="54"/>
        <v>136.65738586752937</v>
      </c>
      <c r="AH239" s="20">
        <f t="shared" si="55"/>
        <v>16.695223923866532</v>
      </c>
      <c r="AI239" s="22"/>
    </row>
    <row r="240" spans="1:35">
      <c r="A240" s="28">
        <v>45896</v>
      </c>
      <c r="B240" s="3">
        <v>60</v>
      </c>
      <c r="C240" s="3">
        <v>452.75</v>
      </c>
      <c r="D240" s="3">
        <v>71.833333333333329</v>
      </c>
      <c r="E240" s="6">
        <v>281.83333333333331</v>
      </c>
      <c r="F240" s="3">
        <v>179.75</v>
      </c>
      <c r="G240" s="3">
        <v>67.416666666666657</v>
      </c>
      <c r="H240" s="3">
        <v>54.5</v>
      </c>
      <c r="I240" s="3">
        <v>1701.5</v>
      </c>
      <c r="J240" s="3">
        <v>105</v>
      </c>
      <c r="K240" s="3">
        <v>1128.4166666666665</v>
      </c>
      <c r="L240" s="3">
        <v>121.75</v>
      </c>
      <c r="M240" s="3">
        <v>288.16666666666669</v>
      </c>
      <c r="N240" s="107">
        <f t="shared" si="47"/>
        <v>288.41856493942072</v>
      </c>
      <c r="O240" s="7">
        <f t="shared" si="43"/>
        <v>3699.25</v>
      </c>
      <c r="P240" s="7">
        <f t="shared" si="44"/>
        <v>3410.8314350605788</v>
      </c>
      <c r="Q240" s="7">
        <f t="shared" si="45"/>
        <v>1439.6698913764628</v>
      </c>
      <c r="R240" s="7">
        <f t="shared" si="46"/>
        <v>1101.8282103507829</v>
      </c>
      <c r="S240" s="7">
        <v>4053</v>
      </c>
      <c r="T240" s="7">
        <v>7489</v>
      </c>
      <c r="U240" s="7">
        <v>1781</v>
      </c>
      <c r="V240" s="7">
        <v>113974</v>
      </c>
      <c r="W240" s="7">
        <f t="shared" si="48"/>
        <v>108140</v>
      </c>
      <c r="X240" s="103">
        <f t="shared" si="49"/>
        <v>147516</v>
      </c>
      <c r="Y240" s="103"/>
      <c r="Z240" s="7">
        <v>3297</v>
      </c>
      <c r="AB240" s="2">
        <v>33542</v>
      </c>
      <c r="AC240" s="103">
        <v>128731</v>
      </c>
      <c r="AD240" s="103">
        <v>141682</v>
      </c>
      <c r="AE240" s="64">
        <f t="shared" si="50"/>
        <v>2.3562622833660889E-2</v>
      </c>
      <c r="AF240" s="64">
        <f t="shared" si="51"/>
        <v>0.15388193277904039</v>
      </c>
      <c r="AG240" s="20">
        <f t="shared" si="54"/>
        <v>26.588456315883505</v>
      </c>
      <c r="AH240" s="20">
        <f t="shared" si="55"/>
        <v>261.83010862353723</v>
      </c>
      <c r="AI240" s="22"/>
    </row>
    <row r="241" spans="1:35">
      <c r="A241" s="28">
        <v>45897</v>
      </c>
      <c r="B241" s="3">
        <v>55</v>
      </c>
      <c r="C241" s="3">
        <v>344.99999999999994</v>
      </c>
      <c r="D241" s="3">
        <v>78</v>
      </c>
      <c r="E241" s="6">
        <v>329.58333333333331</v>
      </c>
      <c r="F241" s="3">
        <v>203.91666666666666</v>
      </c>
      <c r="G241" s="3">
        <v>80.416666666666657</v>
      </c>
      <c r="H241" s="3">
        <v>50.5</v>
      </c>
      <c r="I241" s="3">
        <v>1689.3333333333333</v>
      </c>
      <c r="J241" s="3">
        <v>112.5</v>
      </c>
      <c r="K241" s="3">
        <v>1176.9166666666667</v>
      </c>
      <c r="L241" s="3">
        <v>135.5</v>
      </c>
      <c r="M241" s="3">
        <v>273.5</v>
      </c>
      <c r="N241" s="107">
        <f t="shared" si="47"/>
        <v>143.81350988066583</v>
      </c>
      <c r="O241" s="7">
        <f t="shared" si="43"/>
        <v>3660.666666666667</v>
      </c>
      <c r="P241" s="7">
        <f t="shared" si="44"/>
        <v>3516.8531567860005</v>
      </c>
      <c r="Q241" s="7">
        <f t="shared" si="45"/>
        <v>1679.2304502311758</v>
      </c>
      <c r="R241" s="7">
        <f t="shared" si="46"/>
        <v>1043.2060398881581</v>
      </c>
      <c r="S241" s="7">
        <v>2727</v>
      </c>
      <c r="T241" s="7">
        <v>5886</v>
      </c>
      <c r="U241" s="7">
        <v>1804</v>
      </c>
      <c r="V241" s="7">
        <v>139680</v>
      </c>
      <c r="W241" s="7">
        <f t="shared" si="48"/>
        <v>135149</v>
      </c>
      <c r="X241" s="103">
        <f t="shared" si="49"/>
        <v>140935</v>
      </c>
      <c r="Y241" s="103"/>
      <c r="Z241" s="7">
        <v>18270</v>
      </c>
      <c r="AB241" s="2">
        <v>1255</v>
      </c>
      <c r="AC241" s="103">
        <v>147947</v>
      </c>
      <c r="AD241" s="103">
        <v>136404</v>
      </c>
      <c r="AE241" s="64">
        <f t="shared" si="50"/>
        <v>0.11361095527452399</v>
      </c>
      <c r="AF241" s="64">
        <f t="shared" si="51"/>
        <v>5.9803964693117499E-3</v>
      </c>
      <c r="AG241" s="20">
        <f t="shared" si="54"/>
        <v>133.71062677850853</v>
      </c>
      <c r="AH241" s="20">
        <f t="shared" si="55"/>
        <v>10.102883102157316</v>
      </c>
      <c r="AI241" s="22"/>
    </row>
    <row r="242" spans="1:35">
      <c r="A242" s="28">
        <v>45898</v>
      </c>
      <c r="B242" s="3">
        <v>35</v>
      </c>
      <c r="C242" s="3">
        <v>356.25</v>
      </c>
      <c r="D242" s="3">
        <v>75</v>
      </c>
      <c r="E242" s="6">
        <v>349.08333333333331</v>
      </c>
      <c r="F242" s="3">
        <v>192.83333333333334</v>
      </c>
      <c r="G242" s="3">
        <v>80.416666666666671</v>
      </c>
      <c r="H242" s="3">
        <v>54.5</v>
      </c>
      <c r="I242" s="3">
        <v>1790.4166666666667</v>
      </c>
      <c r="J242" s="3">
        <v>112.5</v>
      </c>
      <c r="K242" s="3">
        <v>994.16666666666652</v>
      </c>
      <c r="L242" s="3">
        <v>129.5</v>
      </c>
      <c r="M242" s="3">
        <v>265.66666666666663</v>
      </c>
      <c r="N242" s="107">
        <f t="shared" si="47"/>
        <v>14.839272738584048</v>
      </c>
      <c r="O242" s="7">
        <f t="shared" si="43"/>
        <v>3556.1666666666665</v>
      </c>
      <c r="P242" s="7">
        <f t="shared" si="44"/>
        <v>3541.3273939280825</v>
      </c>
      <c r="Q242" s="7">
        <f t="shared" si="45"/>
        <v>1775.5773939280828</v>
      </c>
      <c r="R242" s="7">
        <f t="shared" si="46"/>
        <v>994.16666666666652</v>
      </c>
      <c r="S242" s="7">
        <v>3673</v>
      </c>
      <c r="T242" s="7">
        <v>7475</v>
      </c>
      <c r="U242" s="7">
        <v>2441</v>
      </c>
      <c r="V242" s="7">
        <v>138356</v>
      </c>
      <c r="W242" s="7">
        <f t="shared" si="48"/>
        <v>132242</v>
      </c>
      <c r="X242" s="103">
        <f t="shared" si="49"/>
        <v>140064</v>
      </c>
      <c r="Y242" s="103"/>
      <c r="Z242" s="7">
        <v>0</v>
      </c>
      <c r="AB242" s="2">
        <v>1708</v>
      </c>
      <c r="AC242" s="103">
        <v>101385</v>
      </c>
      <c r="AD242" s="103">
        <v>133950</v>
      </c>
      <c r="AE242" s="64">
        <f t="shared" si="50"/>
        <v>0</v>
      </c>
      <c r="AF242" s="64">
        <f t="shared" si="51"/>
        <v>8.2881672265770808E-3</v>
      </c>
      <c r="AG242" s="20">
        <f t="shared" si="54"/>
        <v>0</v>
      </c>
      <c r="AH242" s="20">
        <f t="shared" si="55"/>
        <v>14.839272738584048</v>
      </c>
      <c r="AI242" s="22"/>
    </row>
    <row r="243" spans="1:35">
      <c r="A243" s="28">
        <v>45899</v>
      </c>
      <c r="B243" s="3">
        <v>42</v>
      </c>
      <c r="C243" s="3">
        <v>97.083333333333329</v>
      </c>
      <c r="D243" s="3">
        <v>49.5</v>
      </c>
      <c r="E243" s="6">
        <v>218</v>
      </c>
      <c r="F243" s="3">
        <v>172.50000000000003</v>
      </c>
      <c r="G243" s="3">
        <v>0</v>
      </c>
      <c r="H243" s="3">
        <v>22.5</v>
      </c>
      <c r="I243" s="3">
        <v>1407.75</v>
      </c>
      <c r="J243" s="3">
        <v>60</v>
      </c>
      <c r="K243" s="3">
        <v>1124.25</v>
      </c>
      <c r="L243" s="3">
        <v>52.5</v>
      </c>
      <c r="M243" s="3">
        <v>157.16666666666669</v>
      </c>
      <c r="N243" s="107">
        <f t="shared" si="47"/>
        <v>4.0743193577274202</v>
      </c>
      <c r="O243" s="7">
        <f t="shared" si="43"/>
        <v>2953.0833333333335</v>
      </c>
      <c r="P243" s="7">
        <f t="shared" si="44"/>
        <v>2949.0090139756057</v>
      </c>
      <c r="Q243" s="7">
        <f t="shared" si="45"/>
        <v>1403.6756806422725</v>
      </c>
      <c r="R243" s="7">
        <f t="shared" si="46"/>
        <v>1124.25</v>
      </c>
      <c r="S243" s="7">
        <v>234</v>
      </c>
      <c r="T243" s="7">
        <v>6380</v>
      </c>
      <c r="U243" s="7">
        <v>3452</v>
      </c>
      <c r="V243" s="7">
        <v>123752</v>
      </c>
      <c r="W243" s="7">
        <f t="shared" si="48"/>
        <v>120066</v>
      </c>
      <c r="X243" s="103">
        <f t="shared" si="49"/>
        <v>124289</v>
      </c>
      <c r="Y243" s="103"/>
      <c r="Z243" s="7">
        <v>0</v>
      </c>
      <c r="AB243" s="2">
        <v>537</v>
      </c>
      <c r="AC243" s="103">
        <v>100795</v>
      </c>
      <c r="AD243" s="103">
        <v>120603</v>
      </c>
      <c r="AE243" s="64">
        <f t="shared" si="50"/>
        <v>0</v>
      </c>
      <c r="AF243" s="64">
        <f t="shared" si="51"/>
        <v>2.8942066117758269E-3</v>
      </c>
      <c r="AG243" s="20">
        <f t="shared" si="54"/>
        <v>0</v>
      </c>
      <c r="AH243" s="20">
        <f t="shared" si="55"/>
        <v>4.0743193577274202</v>
      </c>
      <c r="AI243" s="22"/>
    </row>
    <row r="244" spans="1:35">
      <c r="A244" s="28">
        <v>45900</v>
      </c>
      <c r="B244" s="3"/>
      <c r="C244" s="3">
        <v>220.33333333333331</v>
      </c>
      <c r="D244" s="3">
        <v>22.5</v>
      </c>
      <c r="E244" s="6">
        <v>0</v>
      </c>
      <c r="F244" s="3">
        <v>119.75</v>
      </c>
      <c r="G244" s="3">
        <v>5.25</v>
      </c>
      <c r="H244" s="3">
        <v>15</v>
      </c>
      <c r="I244" s="3">
        <v>1485.4166666666665</v>
      </c>
      <c r="J244" s="3">
        <v>45</v>
      </c>
      <c r="K244" s="3">
        <v>892.5</v>
      </c>
      <c r="L244" s="3">
        <v>0</v>
      </c>
      <c r="M244" s="3">
        <v>105</v>
      </c>
      <c r="N244" s="107">
        <f t="shared" si="47"/>
        <v>260.04071267182184</v>
      </c>
      <c r="O244" s="7">
        <f t="shared" si="43"/>
        <v>2785.5</v>
      </c>
      <c r="P244" s="7">
        <f t="shared" si="44"/>
        <v>2525.4592873281781</v>
      </c>
      <c r="Q244" s="7">
        <f t="shared" si="45"/>
        <v>1312.8383210036009</v>
      </c>
      <c r="R244" s="7">
        <f t="shared" si="46"/>
        <v>805.03763299124375</v>
      </c>
      <c r="S244" s="7">
        <v>106</v>
      </c>
      <c r="T244" s="7">
        <v>3782</v>
      </c>
      <c r="U244" s="7">
        <v>1847</v>
      </c>
      <c r="V244" s="7">
        <v>89376</v>
      </c>
      <c r="W244" s="7">
        <f t="shared" si="48"/>
        <v>87423</v>
      </c>
      <c r="X244" s="103">
        <f t="shared" si="49"/>
        <v>108403</v>
      </c>
      <c r="Y244" s="103"/>
      <c r="Z244" s="7">
        <v>10182</v>
      </c>
      <c r="AB244" s="2">
        <v>19027</v>
      </c>
      <c r="AC244" s="103">
        <v>95589</v>
      </c>
      <c r="AD244" s="103">
        <v>106450</v>
      </c>
      <c r="AE244" s="64">
        <f t="shared" si="50"/>
        <v>9.7997049869754896E-2</v>
      </c>
      <c r="AF244" s="64">
        <f t="shared" si="51"/>
        <v>0.11618177548144669</v>
      </c>
      <c r="AG244" s="20">
        <f t="shared" si="54"/>
        <v>87.462367008756246</v>
      </c>
      <c r="AH244" s="20">
        <f t="shared" si="55"/>
        <v>172.57834566306559</v>
      </c>
      <c r="AI244" s="22"/>
    </row>
    <row r="245" spans="1:35">
      <c r="A245" s="28">
        <v>45901</v>
      </c>
      <c r="B245" s="3">
        <v>97.5</v>
      </c>
      <c r="C245" s="3">
        <v>304.16666666666669</v>
      </c>
      <c r="D245" s="3">
        <v>82.25</v>
      </c>
      <c r="E245" s="6">
        <v>352.25000000000006</v>
      </c>
      <c r="F245" s="3">
        <v>281.33333333333331</v>
      </c>
      <c r="G245" s="3">
        <v>63</v>
      </c>
      <c r="H245" s="3">
        <v>55.5</v>
      </c>
      <c r="I245" s="3">
        <v>1272.1666666666665</v>
      </c>
      <c r="J245" s="3">
        <v>109.5</v>
      </c>
      <c r="K245" s="3">
        <v>1006.4166666666665</v>
      </c>
      <c r="L245" s="3">
        <v>139</v>
      </c>
      <c r="M245" s="3">
        <v>272.41666666666663</v>
      </c>
      <c r="N245" s="107">
        <f t="shared" si="47"/>
        <v>331.4767574425357</v>
      </c>
      <c r="O245" s="7">
        <f t="shared" si="43"/>
        <v>3153.333333333333</v>
      </c>
      <c r="P245" s="7">
        <f t="shared" si="44"/>
        <v>2821.8565758907971</v>
      </c>
      <c r="Q245" s="7">
        <f t="shared" si="45"/>
        <v>1127.0085335091439</v>
      </c>
      <c r="R245" s="7">
        <f t="shared" si="46"/>
        <v>820.09804238165339</v>
      </c>
      <c r="S245" s="7">
        <v>5431</v>
      </c>
      <c r="T245" s="7">
        <v>13771</v>
      </c>
      <c r="U245" s="7">
        <v>5022</v>
      </c>
      <c r="V245" s="7">
        <v>111120</v>
      </c>
      <c r="W245" s="7">
        <f t="shared" si="48"/>
        <v>100667</v>
      </c>
      <c r="X245" s="103">
        <f t="shared" si="49"/>
        <v>132554</v>
      </c>
      <c r="Y245" s="103"/>
      <c r="Z245" s="7">
        <v>27605</v>
      </c>
      <c r="AB245" s="2">
        <v>21434</v>
      </c>
      <c r="AC245" s="103">
        <v>137182</v>
      </c>
      <c r="AD245" s="103">
        <v>122101</v>
      </c>
      <c r="AE245" s="64">
        <f t="shared" si="50"/>
        <v>0.18513070227872463</v>
      </c>
      <c r="AF245" s="64">
        <f t="shared" si="51"/>
        <v>0.11410307859886488</v>
      </c>
      <c r="AG245" s="20">
        <f t="shared" si="54"/>
        <v>186.3186242850131</v>
      </c>
      <c r="AH245" s="20">
        <f t="shared" si="55"/>
        <v>145.1581331575226</v>
      </c>
      <c r="AI245" s="22"/>
    </row>
    <row r="246" spans="1:35">
      <c r="A246" s="28">
        <v>45902</v>
      </c>
      <c r="B246" s="3">
        <v>50</v>
      </c>
      <c r="C246" s="3">
        <v>296.83333333333331</v>
      </c>
      <c r="D246" s="3">
        <v>79.25</v>
      </c>
      <c r="E246" s="6">
        <v>357.75</v>
      </c>
      <c r="F246" s="3">
        <v>220.75</v>
      </c>
      <c r="G246" s="3">
        <v>83.25</v>
      </c>
      <c r="H246" s="3">
        <v>61.083333333333329</v>
      </c>
      <c r="I246" s="3">
        <v>1335.1666666666667</v>
      </c>
      <c r="J246" s="3">
        <v>112.5</v>
      </c>
      <c r="K246" s="3">
        <v>1161.0833333333333</v>
      </c>
      <c r="L246" s="3">
        <v>131.5</v>
      </c>
      <c r="M246" s="3">
        <v>322.25</v>
      </c>
      <c r="N246" s="107">
        <f t="shared" si="47"/>
        <v>312.06984897006464</v>
      </c>
      <c r="O246" s="7">
        <f t="shared" si="43"/>
        <v>3255.583333333333</v>
      </c>
      <c r="P246" s="7">
        <f t="shared" si="44"/>
        <v>2943.5134843632686</v>
      </c>
      <c r="Q246" s="7">
        <f t="shared" si="45"/>
        <v>1190.1757299034268</v>
      </c>
      <c r="R246" s="7">
        <f t="shared" si="46"/>
        <v>994.00442112650853</v>
      </c>
      <c r="S246" s="7">
        <v>7034</v>
      </c>
      <c r="T246" s="7">
        <v>9645</v>
      </c>
      <c r="U246" s="7">
        <v>1026</v>
      </c>
      <c r="V246" s="7">
        <v>113341</v>
      </c>
      <c r="W246" s="7">
        <f t="shared" si="48"/>
        <v>105281</v>
      </c>
      <c r="X246" s="103">
        <f t="shared" si="49"/>
        <v>134458</v>
      </c>
      <c r="Y246" s="103"/>
      <c r="Z246" s="7">
        <v>22732</v>
      </c>
      <c r="AB246" s="2">
        <v>21117</v>
      </c>
      <c r="AC246" s="103">
        <v>145334</v>
      </c>
      <c r="AD246" s="103">
        <v>126398</v>
      </c>
      <c r="AE246" s="64">
        <f t="shared" si="50"/>
        <v>0.14389915642588796</v>
      </c>
      <c r="AF246" s="64">
        <f t="shared" si="51"/>
        <v>0.10859388597920855</v>
      </c>
      <c r="AG246" s="20">
        <f t="shared" si="54"/>
        <v>167.07891220682473</v>
      </c>
      <c r="AH246" s="20">
        <f t="shared" si="55"/>
        <v>144.99093676323994</v>
      </c>
      <c r="AI246" s="22"/>
    </row>
    <row r="247" spans="1:35">
      <c r="A247" s="28">
        <v>45903</v>
      </c>
      <c r="B247" s="3">
        <v>41.833333333333314</v>
      </c>
      <c r="C247" s="3">
        <v>372.16666666666669</v>
      </c>
      <c r="D247" s="3">
        <v>80.166666666666671</v>
      </c>
      <c r="E247" s="6">
        <v>359.08333333333331</v>
      </c>
      <c r="F247" s="3">
        <v>201.58333333333331</v>
      </c>
      <c r="G247" s="3">
        <v>76.5</v>
      </c>
      <c r="H247" s="3">
        <v>67.083333333333343</v>
      </c>
      <c r="I247" s="3">
        <v>1355.6666666666665</v>
      </c>
      <c r="J247" s="3">
        <v>114</v>
      </c>
      <c r="K247" s="3">
        <v>1063.8333333333335</v>
      </c>
      <c r="L247" s="3">
        <v>146</v>
      </c>
      <c r="M247" s="3">
        <v>294.41666666666669</v>
      </c>
      <c r="N247" s="107">
        <f t="shared" si="47"/>
        <v>301.05682858165699</v>
      </c>
      <c r="O247" s="7">
        <f t="shared" si="43"/>
        <v>3229.25</v>
      </c>
      <c r="P247" s="7">
        <f t="shared" si="44"/>
        <v>2928.1931714183429</v>
      </c>
      <c r="Q247" s="7">
        <f t="shared" si="45"/>
        <v>1201.8962309698863</v>
      </c>
      <c r="R247" s="7">
        <f t="shared" si="46"/>
        <v>916.54694044845678</v>
      </c>
      <c r="S247" s="7">
        <v>3004</v>
      </c>
      <c r="T247" s="7">
        <v>5181</v>
      </c>
      <c r="U247" s="7">
        <v>1239</v>
      </c>
      <c r="V247" s="7">
        <v>105405</v>
      </c>
      <c r="W247" s="7">
        <f t="shared" si="48"/>
        <v>101162</v>
      </c>
      <c r="X247" s="103">
        <f t="shared" si="49"/>
        <v>126790</v>
      </c>
      <c r="Y247" s="103"/>
      <c r="Z247" s="7">
        <v>20671</v>
      </c>
      <c r="AB247" s="2">
        <v>21385</v>
      </c>
      <c r="AC247" s="103">
        <v>137360</v>
      </c>
      <c r="AD247" s="103">
        <v>122547</v>
      </c>
      <c r="AE247" s="64">
        <f t="shared" si="50"/>
        <v>0.13844874781595806</v>
      </c>
      <c r="AF247" s="64">
        <f t="shared" si="51"/>
        <v>0.11342790929194514</v>
      </c>
      <c r="AG247" s="20">
        <f t="shared" si="54"/>
        <v>147.28639288487673</v>
      </c>
      <c r="AH247" s="20">
        <f t="shared" si="55"/>
        <v>153.77043569678028</v>
      </c>
      <c r="AI247" s="22"/>
    </row>
    <row r="248" spans="1:35">
      <c r="A248" s="28">
        <v>45904</v>
      </c>
      <c r="B248" s="3">
        <v>46.666666666666657</v>
      </c>
      <c r="C248" s="3">
        <v>357.24999999999994</v>
      </c>
      <c r="D248" s="3">
        <v>89.583333333333329</v>
      </c>
      <c r="E248" s="6">
        <v>337.00000000000006</v>
      </c>
      <c r="F248" s="3">
        <v>181.25</v>
      </c>
      <c r="G248" s="3">
        <v>76.5</v>
      </c>
      <c r="H248" s="3">
        <v>71.5</v>
      </c>
      <c r="I248" s="3">
        <v>1268.0000000000002</v>
      </c>
      <c r="J248" s="3">
        <v>112.5</v>
      </c>
      <c r="K248" s="3">
        <v>1058.1666666666667</v>
      </c>
      <c r="L248" s="3">
        <v>121.75</v>
      </c>
      <c r="M248" s="3">
        <v>287.83333333333337</v>
      </c>
      <c r="N248" s="107">
        <f t="shared" si="47"/>
        <v>249.85046025390204</v>
      </c>
      <c r="O248" s="7">
        <f t="shared" si="43"/>
        <v>3113.416666666667</v>
      </c>
      <c r="P248" s="7">
        <f t="shared" si="44"/>
        <v>2863.566206412765</v>
      </c>
      <c r="Q248" s="7">
        <f t="shared" si="45"/>
        <v>1142.8073850894464</v>
      </c>
      <c r="R248" s="7">
        <f t="shared" si="46"/>
        <v>933.50882132331856</v>
      </c>
      <c r="S248" s="7">
        <v>3501</v>
      </c>
      <c r="T248" s="7">
        <v>6152</v>
      </c>
      <c r="U248" s="7">
        <v>1306</v>
      </c>
      <c r="V248" s="7">
        <v>103891</v>
      </c>
      <c r="W248" s="7">
        <f t="shared" si="48"/>
        <v>99084</v>
      </c>
      <c r="X248" s="103">
        <f t="shared" si="49"/>
        <v>121637</v>
      </c>
      <c r="Y248" s="103"/>
      <c r="Z248" s="7">
        <v>16366</v>
      </c>
      <c r="AB248" s="2">
        <v>17746</v>
      </c>
      <c r="AC248" s="103">
        <v>127810</v>
      </c>
      <c r="AD248" s="103">
        <v>116830</v>
      </c>
      <c r="AE248" s="64">
        <f t="shared" si="50"/>
        <v>0.11780549252797122</v>
      </c>
      <c r="AF248" s="64">
        <f t="shared" si="51"/>
        <v>9.8732346143969876E-2</v>
      </c>
      <c r="AG248" s="20">
        <f t="shared" si="54"/>
        <v>124.65784534334823</v>
      </c>
      <c r="AH248" s="20">
        <f t="shared" si="55"/>
        <v>125.19261491055383</v>
      </c>
      <c r="AI248" s="22"/>
    </row>
    <row r="249" spans="1:35">
      <c r="A249" s="28">
        <v>45905</v>
      </c>
      <c r="B249" s="3">
        <v>45</v>
      </c>
      <c r="C249" s="3">
        <v>385.08333333333331</v>
      </c>
      <c r="D249" s="3">
        <v>86.75</v>
      </c>
      <c r="E249" s="6">
        <v>342.50000000000006</v>
      </c>
      <c r="F249" s="3">
        <v>192.5</v>
      </c>
      <c r="G249" s="3">
        <v>72</v>
      </c>
      <c r="H249" s="3">
        <v>66.75</v>
      </c>
      <c r="I249" s="3">
        <v>1294.25</v>
      </c>
      <c r="J249" s="3">
        <v>123.41666666666669</v>
      </c>
      <c r="K249" s="3">
        <v>958.91666666666663</v>
      </c>
      <c r="L249" s="3">
        <v>146.25</v>
      </c>
      <c r="M249" s="3">
        <v>307.75</v>
      </c>
      <c r="N249" s="107">
        <f t="shared" si="47"/>
        <v>194.05534312338006</v>
      </c>
      <c r="O249" s="7">
        <f t="shared" si="43"/>
        <v>3085.9166666666665</v>
      </c>
      <c r="P249" s="7">
        <f t="shared" si="44"/>
        <v>2891.8613235432863</v>
      </c>
      <c r="Q249" s="7">
        <f t="shared" si="45"/>
        <v>1262.1917883608287</v>
      </c>
      <c r="R249" s="7">
        <f t="shared" si="46"/>
        <v>796.91953518245782</v>
      </c>
      <c r="S249" s="7">
        <v>4038</v>
      </c>
      <c r="T249" s="7">
        <v>6274</v>
      </c>
      <c r="U249" s="7">
        <v>1110</v>
      </c>
      <c r="V249" s="7">
        <v>98088</v>
      </c>
      <c r="W249" s="7">
        <f t="shared" si="48"/>
        <v>92940</v>
      </c>
      <c r="X249" s="103">
        <f t="shared" si="49"/>
        <v>101770</v>
      </c>
      <c r="Y249" s="103"/>
      <c r="Z249" s="7">
        <v>22443</v>
      </c>
      <c r="AB249" s="2">
        <v>3682</v>
      </c>
      <c r="AC249" s="103">
        <v>122220</v>
      </c>
      <c r="AD249" s="103">
        <v>96622</v>
      </c>
      <c r="AE249" s="64">
        <f t="shared" si="50"/>
        <v>0.16893765341188025</v>
      </c>
      <c r="AF249" s="64">
        <f t="shared" si="51"/>
        <v>2.4769721181511457E-2</v>
      </c>
      <c r="AG249" s="20">
        <f t="shared" si="54"/>
        <v>161.99713148420884</v>
      </c>
      <c r="AH249" s="20">
        <f t="shared" si="55"/>
        <v>32.058211639171205</v>
      </c>
      <c r="AI249" s="22"/>
    </row>
    <row r="250" spans="1:35">
      <c r="A250" s="28">
        <v>45906</v>
      </c>
      <c r="B250" s="3">
        <v>49.5</v>
      </c>
      <c r="C250" s="3">
        <v>330</v>
      </c>
      <c r="D250" s="3">
        <v>74.083333333333329</v>
      </c>
      <c r="E250" s="6">
        <v>220.75</v>
      </c>
      <c r="F250" s="3">
        <v>177.66666666666669</v>
      </c>
      <c r="G250" s="3">
        <v>0</v>
      </c>
      <c r="H250" s="3">
        <v>30</v>
      </c>
      <c r="I250" s="3">
        <v>1166.5833333333335</v>
      </c>
      <c r="J250" s="3">
        <v>101.58333333333333</v>
      </c>
      <c r="K250" s="3">
        <v>889.33333333333348</v>
      </c>
      <c r="L250" s="3">
        <v>112.5</v>
      </c>
      <c r="M250" s="3">
        <v>272.75</v>
      </c>
      <c r="N250" s="107">
        <f t="shared" si="47"/>
        <v>348.59098949465226</v>
      </c>
      <c r="O250" s="7">
        <f t="shared" si="43"/>
        <v>2788.7500000000005</v>
      </c>
      <c r="P250" s="7">
        <f t="shared" si="44"/>
        <v>2440.1590105053479</v>
      </c>
      <c r="Q250" s="7">
        <f t="shared" si="45"/>
        <v>928.33359913915479</v>
      </c>
      <c r="R250" s="7">
        <f t="shared" si="46"/>
        <v>778.99207803285992</v>
      </c>
      <c r="S250" s="7">
        <v>3532</v>
      </c>
      <c r="T250" s="7">
        <v>6197</v>
      </c>
      <c r="U250" s="7">
        <v>1309</v>
      </c>
      <c r="V250" s="7">
        <v>101476</v>
      </c>
      <c r="W250" s="7">
        <f t="shared" si="48"/>
        <v>96635</v>
      </c>
      <c r="X250" s="103">
        <f t="shared" si="49"/>
        <v>145749</v>
      </c>
      <c r="Y250" s="103"/>
      <c r="Z250" s="7">
        <v>14545</v>
      </c>
      <c r="AB250" s="2">
        <v>44273</v>
      </c>
      <c r="AC250" s="103">
        <v>107852</v>
      </c>
      <c r="AD250" s="103">
        <v>140908</v>
      </c>
      <c r="AE250" s="64">
        <f t="shared" si="50"/>
        <v>0.12407187627489524</v>
      </c>
      <c r="AF250" s="64">
        <f t="shared" si="51"/>
        <v>0.20422864564112755</v>
      </c>
      <c r="AG250" s="20">
        <f t="shared" si="54"/>
        <v>110.34125530047352</v>
      </c>
      <c r="AH250" s="20">
        <f t="shared" si="55"/>
        <v>238.24973419417876</v>
      </c>
      <c r="AI250" s="22"/>
    </row>
    <row r="251" spans="1:35">
      <c r="A251" s="28">
        <v>45907</v>
      </c>
      <c r="B251" s="3">
        <v>45</v>
      </c>
      <c r="C251" s="3">
        <v>173.08333333333337</v>
      </c>
      <c r="D251" s="3">
        <v>78.75</v>
      </c>
      <c r="E251" s="6">
        <v>0</v>
      </c>
      <c r="F251" s="3">
        <v>194.08333333333337</v>
      </c>
      <c r="G251" s="3">
        <v>0</v>
      </c>
      <c r="H251" s="3">
        <v>30</v>
      </c>
      <c r="I251" s="3">
        <v>1021.0833333333335</v>
      </c>
      <c r="J251" s="3">
        <v>105</v>
      </c>
      <c r="K251" s="3">
        <v>1106</v>
      </c>
      <c r="L251" s="3">
        <v>0</v>
      </c>
      <c r="M251" s="3">
        <v>246.33333333333331</v>
      </c>
      <c r="N251" s="107">
        <f t="shared" si="47"/>
        <v>72.070283282674779</v>
      </c>
      <c r="O251" s="7">
        <f t="shared" si="43"/>
        <v>2723</v>
      </c>
      <c r="P251" s="7">
        <f t="shared" si="44"/>
        <v>2650.9297167173254</v>
      </c>
      <c r="Q251" s="7">
        <f t="shared" si="45"/>
        <v>1021.0833333333335</v>
      </c>
      <c r="R251" s="7">
        <f t="shared" si="46"/>
        <v>1033.9297167173252</v>
      </c>
      <c r="S251" s="7">
        <v>2833</v>
      </c>
      <c r="T251" s="7">
        <v>5324</v>
      </c>
      <c r="U251" s="7">
        <v>1304</v>
      </c>
      <c r="V251" s="7">
        <v>99087</v>
      </c>
      <c r="W251" s="7">
        <f t="shared" si="48"/>
        <v>94950</v>
      </c>
      <c r="X251" s="103">
        <f t="shared" si="49"/>
        <v>99087</v>
      </c>
      <c r="Y251" s="103"/>
      <c r="Z251" s="7">
        <v>8156</v>
      </c>
      <c r="AB251" s="2">
        <v>0</v>
      </c>
      <c r="AC251" s="103">
        <v>115150</v>
      </c>
      <c r="AD251" s="103">
        <v>94950</v>
      </c>
      <c r="AE251" s="64">
        <f t="shared" si="50"/>
        <v>6.5163004776378639E-2</v>
      </c>
      <c r="AF251" s="64">
        <f t="shared" si="51"/>
        <v>0</v>
      </c>
      <c r="AG251" s="20">
        <f t="shared" si="54"/>
        <v>72.070283282674779</v>
      </c>
      <c r="AH251" s="20">
        <f t="shared" si="55"/>
        <v>0</v>
      </c>
      <c r="AI251" s="22"/>
    </row>
    <row r="252" spans="1:35">
      <c r="A252" s="28">
        <v>45908</v>
      </c>
      <c r="B252" s="3">
        <v>45</v>
      </c>
      <c r="C252" s="3">
        <v>196.00000000000003</v>
      </c>
      <c r="D252" s="3">
        <v>90</v>
      </c>
      <c r="E252" s="6">
        <v>384.66666666666663</v>
      </c>
      <c r="F252" s="3">
        <v>214.91666666666669</v>
      </c>
      <c r="G252" s="3">
        <v>151.08333333333334</v>
      </c>
      <c r="H252" s="3">
        <v>68.25</v>
      </c>
      <c r="I252" s="3">
        <v>1570.0833333333335</v>
      </c>
      <c r="J252" s="3">
        <v>97.25</v>
      </c>
      <c r="K252" s="3">
        <v>1375.6666666666665</v>
      </c>
      <c r="L252" s="3">
        <v>131.25</v>
      </c>
      <c r="M252" s="3">
        <v>332.16666666666669</v>
      </c>
      <c r="N252" s="107">
        <f t="shared" si="47"/>
        <v>56.838326097443314</v>
      </c>
      <c r="O252" s="7">
        <f t="shared" si="43"/>
        <v>3588.9166666666665</v>
      </c>
      <c r="P252" s="7">
        <f t="shared" si="44"/>
        <v>3532.0783405692232</v>
      </c>
      <c r="Q252" s="7">
        <f t="shared" si="45"/>
        <v>1570.0833333333335</v>
      </c>
      <c r="R252" s="7">
        <f t="shared" si="46"/>
        <v>1318.8283405692232</v>
      </c>
      <c r="S252" s="7">
        <v>4481</v>
      </c>
      <c r="T252" s="7">
        <v>7254</v>
      </c>
      <c r="U252" s="7">
        <v>1259</v>
      </c>
      <c r="V252" s="7">
        <v>120281</v>
      </c>
      <c r="W252" s="7">
        <f t="shared" si="48"/>
        <v>114541</v>
      </c>
      <c r="X252" s="103">
        <f t="shared" si="49"/>
        <v>120281</v>
      </c>
      <c r="Y252" s="103"/>
      <c r="Z252" s="7">
        <v>5710</v>
      </c>
      <c r="AB252" s="2">
        <v>0</v>
      </c>
      <c r="AC252" s="103">
        <v>127144</v>
      </c>
      <c r="AD252" s="103">
        <v>114541</v>
      </c>
      <c r="AE252" s="64">
        <f t="shared" si="50"/>
        <v>4.1316931982633864E-2</v>
      </c>
      <c r="AF252" s="64">
        <f t="shared" si="51"/>
        <v>0</v>
      </c>
      <c r="AG252" s="20">
        <f t="shared" si="54"/>
        <v>56.838326097443314</v>
      </c>
      <c r="AH252" s="20">
        <f t="shared" si="55"/>
        <v>0</v>
      </c>
      <c r="AI252" s="22"/>
    </row>
    <row r="253" spans="1:35">
      <c r="A253" s="28">
        <v>45909</v>
      </c>
      <c r="B253" s="3">
        <v>75</v>
      </c>
      <c r="C253" s="3">
        <v>338.91666666666674</v>
      </c>
      <c r="D253" s="3">
        <v>90</v>
      </c>
      <c r="E253" s="6">
        <v>342.16666666666669</v>
      </c>
      <c r="F253" s="3">
        <v>179.16666666666669</v>
      </c>
      <c r="G253" s="3">
        <v>153</v>
      </c>
      <c r="H253" s="3">
        <v>70.5</v>
      </c>
      <c r="I253" s="3">
        <v>1765.0833333333335</v>
      </c>
      <c r="J253" s="3">
        <v>107.66666666666666</v>
      </c>
      <c r="K253" s="3">
        <v>1493.1666666666665</v>
      </c>
      <c r="L253" s="3">
        <v>138.75</v>
      </c>
      <c r="M253" s="3">
        <v>321</v>
      </c>
      <c r="N253" s="107">
        <f t="shared" si="47"/>
        <v>298.22447839302077</v>
      </c>
      <c r="O253" s="7">
        <f t="shared" si="43"/>
        <v>4049</v>
      </c>
      <c r="P253" s="7">
        <f t="shared" si="44"/>
        <v>3750.7755216069791</v>
      </c>
      <c r="Q253" s="7">
        <f t="shared" si="45"/>
        <v>1572.2238639943785</v>
      </c>
      <c r="R253" s="7">
        <f t="shared" si="46"/>
        <v>1387.8016576126008</v>
      </c>
      <c r="S253" s="7">
        <v>5728</v>
      </c>
      <c r="T253" s="7">
        <v>9522</v>
      </c>
      <c r="U253" s="7">
        <v>1873</v>
      </c>
      <c r="V253" s="7">
        <v>120263</v>
      </c>
      <c r="W253" s="7">
        <f t="shared" si="48"/>
        <v>112662</v>
      </c>
      <c r="X253" s="103">
        <f t="shared" si="49"/>
        <v>143028</v>
      </c>
      <c r="Y253" s="103"/>
      <c r="Z253" s="7">
        <v>10674</v>
      </c>
      <c r="AB253" s="2">
        <v>22765</v>
      </c>
      <c r="AC253" s="103">
        <v>139164</v>
      </c>
      <c r="AD253" s="103">
        <v>135427</v>
      </c>
      <c r="AE253" s="64">
        <f t="shared" si="50"/>
        <v>7.0564801241700434E-2</v>
      </c>
      <c r="AF253" s="64">
        <f t="shared" si="51"/>
        <v>0.1092636623420736</v>
      </c>
      <c r="AG253" s="20">
        <f t="shared" si="54"/>
        <v>105.36500905406568</v>
      </c>
      <c r="AH253" s="20">
        <f t="shared" si="55"/>
        <v>192.85946933895511</v>
      </c>
      <c r="AI253" s="22"/>
    </row>
    <row r="254" spans="1:35">
      <c r="A254" s="28">
        <v>45910</v>
      </c>
      <c r="B254" s="3">
        <v>74.583333333333343</v>
      </c>
      <c r="C254" s="3">
        <v>345.16666666666669</v>
      </c>
      <c r="D254" s="3">
        <v>90</v>
      </c>
      <c r="E254" s="6">
        <v>393.66666666666663</v>
      </c>
      <c r="F254" s="3">
        <v>263.33333333333337</v>
      </c>
      <c r="G254" s="3">
        <v>138.91666666666666</v>
      </c>
      <c r="H254" s="3">
        <v>70.5</v>
      </c>
      <c r="I254" s="3">
        <v>2144.166666666667</v>
      </c>
      <c r="J254" s="3">
        <v>78</v>
      </c>
      <c r="K254" s="3">
        <v>1640.7499999999998</v>
      </c>
      <c r="L254" s="3">
        <v>143.08333333333331</v>
      </c>
      <c r="M254" s="3">
        <v>348.33333333333331</v>
      </c>
      <c r="N254" s="107">
        <f t="shared" si="47"/>
        <v>124.83017465153969</v>
      </c>
      <c r="O254" s="7">
        <f t="shared" si="43"/>
        <v>4636</v>
      </c>
      <c r="P254" s="7">
        <f t="shared" si="44"/>
        <v>4511.169825348461</v>
      </c>
      <c r="Q254" s="7">
        <f t="shared" si="45"/>
        <v>2144.166666666667</v>
      </c>
      <c r="R254" s="7">
        <f t="shared" si="46"/>
        <v>1515.9198253484601</v>
      </c>
      <c r="S254" s="7">
        <v>2151</v>
      </c>
      <c r="T254" s="7">
        <v>6464</v>
      </c>
      <c r="U254" s="7">
        <v>2607</v>
      </c>
      <c r="V254" s="7">
        <v>165327</v>
      </c>
      <c r="W254" s="7">
        <f t="shared" si="48"/>
        <v>160569</v>
      </c>
      <c r="X254" s="103">
        <f t="shared" si="49"/>
        <v>165327</v>
      </c>
      <c r="Y254" s="103"/>
      <c r="Z254" s="7">
        <v>12756</v>
      </c>
      <c r="AB254" s="2">
        <v>0</v>
      </c>
      <c r="AC254" s="103">
        <v>154250</v>
      </c>
      <c r="AD254" s="103">
        <v>160569</v>
      </c>
      <c r="AE254" s="64">
        <f t="shared" si="50"/>
        <v>7.6081166936790928E-2</v>
      </c>
      <c r="AF254" s="64">
        <f t="shared" si="51"/>
        <v>0</v>
      </c>
      <c r="AG254" s="20">
        <f t="shared" si="54"/>
        <v>124.83017465153969</v>
      </c>
      <c r="AH254" s="20">
        <f t="shared" si="55"/>
        <v>0</v>
      </c>
      <c r="AI254" s="22"/>
    </row>
    <row r="255" spans="1:35">
      <c r="A255" s="28">
        <v>45911</v>
      </c>
      <c r="B255" s="3">
        <v>52.5</v>
      </c>
      <c r="C255" s="3">
        <v>252</v>
      </c>
      <c r="D255" s="3">
        <v>76</v>
      </c>
      <c r="E255" s="6">
        <v>387.58333333333331</v>
      </c>
      <c r="F255" s="3">
        <v>252</v>
      </c>
      <c r="G255" s="3">
        <v>141.83333333333334</v>
      </c>
      <c r="H255" s="3">
        <v>79</v>
      </c>
      <c r="I255" s="3">
        <v>2456.666666666667</v>
      </c>
      <c r="J255" s="3">
        <v>130.5</v>
      </c>
      <c r="K255" s="3">
        <v>1808.6666666666667</v>
      </c>
      <c r="L255" s="3">
        <v>168.75</v>
      </c>
      <c r="M255" s="3">
        <v>334</v>
      </c>
      <c r="N255" s="107">
        <f t="shared" si="47"/>
        <v>399.28815704133029</v>
      </c>
      <c r="O255" s="7">
        <f t="shared" si="43"/>
        <v>5028.3333333333339</v>
      </c>
      <c r="P255" s="7">
        <f t="shared" si="44"/>
        <v>4629.0451762920038</v>
      </c>
      <c r="Q255" s="7">
        <f t="shared" si="45"/>
        <v>2456.666666666667</v>
      </c>
      <c r="R255" s="7">
        <f t="shared" si="46"/>
        <v>1409.3785096253364</v>
      </c>
      <c r="S255" s="7">
        <v>4579</v>
      </c>
      <c r="T255" s="7">
        <v>12700</v>
      </c>
      <c r="U255" s="7">
        <v>5107</v>
      </c>
      <c r="V255" s="7">
        <v>171410</v>
      </c>
      <c r="W255" s="7">
        <f t="shared" si="48"/>
        <v>161724</v>
      </c>
      <c r="X255" s="103">
        <f t="shared" si="49"/>
        <v>171410</v>
      </c>
      <c r="Y255" s="103"/>
      <c r="Z255" s="7">
        <v>51007</v>
      </c>
      <c r="AB255" s="2">
        <v>0</v>
      </c>
      <c r="AC255" s="103">
        <v>212564</v>
      </c>
      <c r="AD255" s="103">
        <v>161724</v>
      </c>
      <c r="AE255" s="64">
        <f t="shared" si="50"/>
        <v>0.22076381701511075</v>
      </c>
      <c r="AF255" s="64">
        <f t="shared" si="51"/>
        <v>0</v>
      </c>
      <c r="AG255" s="20">
        <f t="shared" si="54"/>
        <v>399.28815704133029</v>
      </c>
      <c r="AH255" s="20">
        <f t="shared" si="55"/>
        <v>0</v>
      </c>
      <c r="AI255" s="22"/>
    </row>
    <row r="256" spans="1:35">
      <c r="A256" s="28">
        <v>45912</v>
      </c>
      <c r="B256" s="3">
        <v>45</v>
      </c>
      <c r="C256" s="3">
        <v>309</v>
      </c>
      <c r="D256" s="3">
        <v>82.25</v>
      </c>
      <c r="E256" s="6">
        <v>354.75000000000011</v>
      </c>
      <c r="F256" s="3">
        <v>238.24999999999994</v>
      </c>
      <c r="G256" s="3">
        <v>140.83333333333331</v>
      </c>
      <c r="H256" s="3">
        <v>63</v>
      </c>
      <c r="I256" s="3">
        <v>2137.25</v>
      </c>
      <c r="J256" s="3">
        <v>109.5</v>
      </c>
      <c r="K256" s="3">
        <v>1461.9166666666665</v>
      </c>
      <c r="L256" s="3">
        <v>144.66666666666666</v>
      </c>
      <c r="M256" s="3">
        <v>319.41666666666669</v>
      </c>
      <c r="N256" s="107">
        <f t="shared" si="47"/>
        <v>644.79580594680135</v>
      </c>
      <c r="O256" s="7">
        <f t="shared" si="43"/>
        <v>4383.1666666666661</v>
      </c>
      <c r="P256" s="7">
        <f t="shared" si="44"/>
        <v>3738.370860719865</v>
      </c>
      <c r="Q256" s="7">
        <f t="shared" si="45"/>
        <v>1744.825215300441</v>
      </c>
      <c r="R256" s="7">
        <f t="shared" si="46"/>
        <v>1209.5456454194241</v>
      </c>
      <c r="S256" s="7">
        <v>4315</v>
      </c>
      <c r="T256" s="7">
        <v>9947</v>
      </c>
      <c r="U256" s="7">
        <v>2335</v>
      </c>
      <c r="V256" s="7">
        <v>129333</v>
      </c>
      <c r="W256" s="7">
        <f t="shared" si="48"/>
        <v>122683</v>
      </c>
      <c r="X256" s="103">
        <f t="shared" si="49"/>
        <v>177632</v>
      </c>
      <c r="Y256" s="103"/>
      <c r="Z256" s="7">
        <v>29741</v>
      </c>
      <c r="AB256" s="2">
        <v>48299</v>
      </c>
      <c r="AC256" s="103">
        <v>158499</v>
      </c>
      <c r="AD256" s="103">
        <v>170982</v>
      </c>
      <c r="AE256" s="64">
        <f t="shared" si="50"/>
        <v>0.17263023741474709</v>
      </c>
      <c r="AF256" s="64">
        <f t="shared" si="51"/>
        <v>0.18361201763928367</v>
      </c>
      <c r="AG256" s="20">
        <f t="shared" si="54"/>
        <v>252.37102124724231</v>
      </c>
      <c r="AH256" s="20">
        <f t="shared" si="55"/>
        <v>392.42478469955904</v>
      </c>
      <c r="AI256" s="22"/>
    </row>
    <row r="257" spans="1:35">
      <c r="A257" s="28">
        <v>45913</v>
      </c>
      <c r="B257" s="3">
        <v>52.5</v>
      </c>
      <c r="C257" s="3">
        <v>112.5</v>
      </c>
      <c r="D257" s="3">
        <v>42.583333333333329</v>
      </c>
      <c r="E257" s="6">
        <v>246.66666666666663</v>
      </c>
      <c r="F257" s="3">
        <v>142.5</v>
      </c>
      <c r="G257" s="3">
        <v>0</v>
      </c>
      <c r="H257" s="3">
        <v>22.5</v>
      </c>
      <c r="I257" s="3">
        <v>1482</v>
      </c>
      <c r="J257" s="3">
        <v>60</v>
      </c>
      <c r="K257" s="3">
        <v>1041.5</v>
      </c>
      <c r="L257" s="3">
        <v>112.5</v>
      </c>
      <c r="M257" s="3">
        <v>172.5</v>
      </c>
      <c r="N257" s="107">
        <f t="shared" si="47"/>
        <v>313.15095967869991</v>
      </c>
      <c r="O257" s="7">
        <f t="shared" si="43"/>
        <v>2933.583333333333</v>
      </c>
      <c r="P257" s="7">
        <f t="shared" si="44"/>
        <v>2620.4323736546335</v>
      </c>
      <c r="Q257" s="7">
        <f t="shared" si="45"/>
        <v>1326.3265816412149</v>
      </c>
      <c r="R257" s="7">
        <f t="shared" si="46"/>
        <v>884.02245868008515</v>
      </c>
      <c r="S257" s="7">
        <v>773</v>
      </c>
      <c r="T257" s="7">
        <v>7426</v>
      </c>
      <c r="U257" s="7">
        <v>2161</v>
      </c>
      <c r="V257" s="7">
        <v>97858</v>
      </c>
      <c r="W257" s="7">
        <f t="shared" si="48"/>
        <v>94924</v>
      </c>
      <c r="X257" s="103">
        <f t="shared" si="49"/>
        <v>116155</v>
      </c>
      <c r="Y257" s="103"/>
      <c r="Z257" s="7">
        <v>16984</v>
      </c>
      <c r="AB257" s="2">
        <v>18297</v>
      </c>
      <c r="AC257" s="103">
        <v>103340</v>
      </c>
      <c r="AD257" s="103">
        <v>113221</v>
      </c>
      <c r="AE257" s="64">
        <f t="shared" si="50"/>
        <v>0.15120263208825238</v>
      </c>
      <c r="AF257" s="64">
        <f t="shared" si="51"/>
        <v>0.1050427924148347</v>
      </c>
      <c r="AG257" s="20">
        <f t="shared" si="54"/>
        <v>157.47754131991485</v>
      </c>
      <c r="AH257" s="20">
        <f t="shared" si="55"/>
        <v>155.67341835878503</v>
      </c>
      <c r="AI257" s="22"/>
    </row>
    <row r="258" spans="1:35">
      <c r="A258" s="28">
        <v>45914</v>
      </c>
      <c r="B258" s="3"/>
      <c r="C258" s="3">
        <v>247.99999999999997</v>
      </c>
      <c r="D258" s="3">
        <v>37.5</v>
      </c>
      <c r="E258" s="6">
        <v>0</v>
      </c>
      <c r="F258" s="3">
        <v>127.5</v>
      </c>
      <c r="G258" s="3">
        <v>1.9166666666666665</v>
      </c>
      <c r="H258" s="3">
        <v>15</v>
      </c>
      <c r="I258" s="3">
        <v>792.83333333333326</v>
      </c>
      <c r="J258" s="3">
        <v>45</v>
      </c>
      <c r="K258" s="3">
        <v>632.5</v>
      </c>
      <c r="L258" s="3">
        <v>0</v>
      </c>
      <c r="M258" s="3">
        <v>133.33333333333331</v>
      </c>
      <c r="N258" s="107">
        <f t="shared" si="47"/>
        <v>35.583225806451615</v>
      </c>
      <c r="O258" s="7">
        <f t="shared" ref="O258:O321" si="56">+B258+C258+D258+F258+I258+K258+J258</f>
        <v>1883.3333333333333</v>
      </c>
      <c r="P258" s="7">
        <f t="shared" ref="P258:P321" si="57">+B258+C258+D258+F258+J258+Q258+R258</f>
        <v>1847.7501075268815</v>
      </c>
      <c r="Q258" s="7">
        <f t="shared" ref="Q258:Q321" si="58">+I258-AH258</f>
        <v>792.83333333333326</v>
      </c>
      <c r="R258" s="7">
        <f t="shared" ref="R258:R321" si="59">+K258-AG258</f>
        <v>596.91677419354835</v>
      </c>
      <c r="S258" s="7">
        <v>240</v>
      </c>
      <c r="T258" s="7">
        <v>4525</v>
      </c>
      <c r="U258" s="7">
        <v>1549</v>
      </c>
      <c r="V258" s="7">
        <v>57650</v>
      </c>
      <c r="W258" s="7">
        <f t="shared" si="48"/>
        <v>55861</v>
      </c>
      <c r="X258" s="103">
        <f t="shared" si="49"/>
        <v>57650</v>
      </c>
      <c r="Y258" s="103"/>
      <c r="Z258" s="7">
        <v>3706</v>
      </c>
      <c r="AB258" s="2">
        <v>0</v>
      </c>
      <c r="AC258" s="103">
        <v>60605</v>
      </c>
      <c r="AD258" s="103">
        <v>55861</v>
      </c>
      <c r="AE258" s="64">
        <f t="shared" si="50"/>
        <v>5.6258064516129039E-2</v>
      </c>
      <c r="AF258" s="64">
        <f t="shared" si="51"/>
        <v>0</v>
      </c>
      <c r="AG258" s="20">
        <f t="shared" si="54"/>
        <v>35.583225806451615</v>
      </c>
      <c r="AH258" s="20">
        <f t="shared" si="55"/>
        <v>0</v>
      </c>
      <c r="AI258" s="22"/>
    </row>
    <row r="259" spans="1:35">
      <c r="A259" s="28">
        <v>45915</v>
      </c>
      <c r="B259" s="3">
        <v>67.5</v>
      </c>
      <c r="C259" s="3">
        <v>319.66666666666669</v>
      </c>
      <c r="D259" s="3">
        <v>82.5</v>
      </c>
      <c r="E259" s="6">
        <v>378.33333333333337</v>
      </c>
      <c r="F259" s="3">
        <v>255.00000000000003</v>
      </c>
      <c r="G259" s="3">
        <v>109.41666666666667</v>
      </c>
      <c r="H259" s="3">
        <v>71.5</v>
      </c>
      <c r="I259" s="3">
        <v>1821.9166666666667</v>
      </c>
      <c r="J259" s="3">
        <v>121.5</v>
      </c>
      <c r="K259" s="3">
        <v>1312.5833333333333</v>
      </c>
      <c r="L259" s="3">
        <v>153</v>
      </c>
      <c r="M259" s="3">
        <v>305.91666666666669</v>
      </c>
      <c r="N259" s="107">
        <f t="shared" ref="N259:N322" si="60">+AH259+AG259</f>
        <v>327.37882297406014</v>
      </c>
      <c r="O259" s="7">
        <f t="shared" si="56"/>
        <v>3980.666666666667</v>
      </c>
      <c r="P259" s="7">
        <f t="shared" si="57"/>
        <v>3653.2878436926067</v>
      </c>
      <c r="Q259" s="7">
        <f t="shared" si="58"/>
        <v>1605.3577366771199</v>
      </c>
      <c r="R259" s="7">
        <f t="shared" si="59"/>
        <v>1201.76344034882</v>
      </c>
      <c r="S259" s="7">
        <v>5410</v>
      </c>
      <c r="T259" s="7">
        <v>9608</v>
      </c>
      <c r="U259" s="7">
        <v>2090</v>
      </c>
      <c r="V259" s="7">
        <v>121370</v>
      </c>
      <c r="W259" s="7">
        <f t="shared" ref="W259:W322" si="61">+V259-U259-S259+AA259</f>
        <v>113870</v>
      </c>
      <c r="X259" s="103">
        <f t="shared" ref="X259:X322" si="62">+V259+AB259+AA259</f>
        <v>146853</v>
      </c>
      <c r="Y259" s="103"/>
      <c r="Z259" s="7">
        <v>12523</v>
      </c>
      <c r="AB259" s="2">
        <v>25483</v>
      </c>
      <c r="AC259" s="103">
        <v>136460</v>
      </c>
      <c r="AD259" s="103">
        <v>139353</v>
      </c>
      <c r="AE259" s="64">
        <f t="shared" ref="AE259:AE322" si="63">+(Z259/AC259*0.92)</f>
        <v>8.4428843617177202E-2</v>
      </c>
      <c r="AF259" s="64">
        <f t="shared" ref="AF259:AF322" si="64">+(AB259/AD259*0.65)</f>
        <v>0.11886324657524418</v>
      </c>
      <c r="AG259" s="20">
        <f t="shared" si="54"/>
        <v>110.81989298451317</v>
      </c>
      <c r="AH259" s="20">
        <f t="shared" si="55"/>
        <v>216.55892998954695</v>
      </c>
      <c r="AI259" s="22"/>
    </row>
    <row r="260" spans="1:35">
      <c r="A260" s="28">
        <v>45916</v>
      </c>
      <c r="B260" s="3">
        <v>35</v>
      </c>
      <c r="C260" s="3">
        <v>366.41666666666669</v>
      </c>
      <c r="D260" s="3">
        <v>81</v>
      </c>
      <c r="E260" s="6">
        <v>343.66666666666663</v>
      </c>
      <c r="F260" s="3">
        <v>262.5</v>
      </c>
      <c r="G260" s="3">
        <v>121.41666666666667</v>
      </c>
      <c r="H260" s="3">
        <v>79</v>
      </c>
      <c r="I260" s="3">
        <v>1850.1666666666665</v>
      </c>
      <c r="J260" s="3">
        <v>135</v>
      </c>
      <c r="K260" s="3">
        <v>1309.9166666666667</v>
      </c>
      <c r="L260" s="3">
        <v>146.25</v>
      </c>
      <c r="M260" s="3">
        <v>320.75</v>
      </c>
      <c r="N260" s="107">
        <f t="shared" si="60"/>
        <v>121.24624583829797</v>
      </c>
      <c r="O260" s="7">
        <f t="shared" si="56"/>
        <v>4040</v>
      </c>
      <c r="P260" s="7">
        <f t="shared" si="57"/>
        <v>3918.7537541617021</v>
      </c>
      <c r="Q260" s="7">
        <f t="shared" si="58"/>
        <v>1850.1666666666665</v>
      </c>
      <c r="R260" s="7">
        <f t="shared" si="59"/>
        <v>1188.6704208283688</v>
      </c>
      <c r="S260" s="7">
        <v>6908</v>
      </c>
      <c r="T260" s="7">
        <v>10781</v>
      </c>
      <c r="U260" s="7">
        <v>2644</v>
      </c>
      <c r="V260" s="7">
        <v>143001</v>
      </c>
      <c r="W260" s="7">
        <f t="shared" si="61"/>
        <v>133449</v>
      </c>
      <c r="X260" s="103">
        <f t="shared" si="62"/>
        <v>143001</v>
      </c>
      <c r="Y260" s="103"/>
      <c r="Z260" s="7">
        <v>13679</v>
      </c>
      <c r="AB260" s="2">
        <v>0</v>
      </c>
      <c r="AC260" s="103">
        <v>135962</v>
      </c>
      <c r="AD260" s="103">
        <v>133449</v>
      </c>
      <c r="AE260" s="64">
        <f t="shared" si="63"/>
        <v>9.2560274194260161E-2</v>
      </c>
      <c r="AF260" s="64">
        <f t="shared" si="64"/>
        <v>0</v>
      </c>
      <c r="AG260" s="20">
        <f t="shared" si="54"/>
        <v>121.24624583829797</v>
      </c>
      <c r="AH260" s="20">
        <f t="shared" si="55"/>
        <v>0</v>
      </c>
      <c r="AI260" s="22"/>
    </row>
    <row r="261" spans="1:35">
      <c r="A261" s="28">
        <v>45917</v>
      </c>
      <c r="B261" s="3">
        <v>57.916666666666657</v>
      </c>
      <c r="C261" s="3">
        <v>367.5</v>
      </c>
      <c r="D261" s="3">
        <v>82.5</v>
      </c>
      <c r="E261" s="6">
        <v>399.58333333333331</v>
      </c>
      <c r="F261" s="3">
        <v>247.08333333333331</v>
      </c>
      <c r="G261" s="3">
        <v>138.58333333333334</v>
      </c>
      <c r="H261" s="3">
        <v>70.5</v>
      </c>
      <c r="I261" s="3">
        <v>1812.8333333333333</v>
      </c>
      <c r="J261" s="3">
        <v>132</v>
      </c>
      <c r="K261" s="3">
        <v>1151.5833333333333</v>
      </c>
      <c r="L261" s="3">
        <v>138.75</v>
      </c>
      <c r="M261" s="3">
        <v>325.16666666666663</v>
      </c>
      <c r="N261" s="107">
        <f t="shared" si="60"/>
        <v>384.24659736360184</v>
      </c>
      <c r="O261" s="7">
        <f t="shared" si="56"/>
        <v>3851.4166666666661</v>
      </c>
      <c r="P261" s="7">
        <f t="shared" si="57"/>
        <v>3467.1700693030648</v>
      </c>
      <c r="Q261" s="7">
        <f t="shared" si="58"/>
        <v>1576.5210639022516</v>
      </c>
      <c r="R261" s="7">
        <f t="shared" si="59"/>
        <v>1003.6490054008131</v>
      </c>
      <c r="S261" s="7">
        <v>6237</v>
      </c>
      <c r="T261" s="7">
        <v>12492</v>
      </c>
      <c r="U261" s="7">
        <v>2525</v>
      </c>
      <c r="V261" s="7">
        <v>146862</v>
      </c>
      <c r="W261" s="7">
        <f t="shared" si="61"/>
        <v>138100</v>
      </c>
      <c r="X261" s="103">
        <f t="shared" si="62"/>
        <v>181505</v>
      </c>
      <c r="Y261" s="103"/>
      <c r="Z261" s="7">
        <v>19175</v>
      </c>
      <c r="AB261" s="2">
        <v>34643</v>
      </c>
      <c r="AC261" s="103">
        <v>137325</v>
      </c>
      <c r="AD261" s="103">
        <v>172743</v>
      </c>
      <c r="AE261" s="64">
        <f t="shared" si="63"/>
        <v>0.12846167849990897</v>
      </c>
      <c r="AF261" s="64">
        <f t="shared" si="64"/>
        <v>0.13035520976247952</v>
      </c>
      <c r="AG261" s="20">
        <f t="shared" si="54"/>
        <v>147.93432793252018</v>
      </c>
      <c r="AH261" s="20">
        <f t="shared" si="55"/>
        <v>236.31226943108163</v>
      </c>
      <c r="AI261" s="22"/>
    </row>
    <row r="262" spans="1:35">
      <c r="A262" s="28">
        <v>45918</v>
      </c>
      <c r="B262" s="3">
        <v>82</v>
      </c>
      <c r="C262" s="3">
        <v>382.16666666666669</v>
      </c>
      <c r="D262" s="3">
        <v>74.666666666666657</v>
      </c>
      <c r="E262" s="6">
        <v>364.58333333333337</v>
      </c>
      <c r="F262" s="3">
        <v>267.66666666666669</v>
      </c>
      <c r="G262" s="3">
        <v>144.5</v>
      </c>
      <c r="H262" s="3">
        <v>76.166666666666657</v>
      </c>
      <c r="I262" s="3">
        <v>1618.8333333333335</v>
      </c>
      <c r="J262" s="3">
        <v>121.5</v>
      </c>
      <c r="K262" s="3">
        <v>1015.9999999999999</v>
      </c>
      <c r="L262" s="3">
        <v>130.25</v>
      </c>
      <c r="M262" s="3">
        <v>288.16666666666669</v>
      </c>
      <c r="N262" s="107">
        <f t="shared" si="60"/>
        <v>229.50346422272128</v>
      </c>
      <c r="O262" s="7">
        <f t="shared" si="56"/>
        <v>3562.8333333333335</v>
      </c>
      <c r="P262" s="7">
        <f t="shared" si="57"/>
        <v>3333.329869110612</v>
      </c>
      <c r="Q262" s="7">
        <f t="shared" si="58"/>
        <v>1471.1348317665042</v>
      </c>
      <c r="R262" s="7">
        <f t="shared" si="59"/>
        <v>934.19503734410796</v>
      </c>
      <c r="S262" s="7">
        <v>4966</v>
      </c>
      <c r="T262" s="7">
        <v>10507</v>
      </c>
      <c r="U262" s="7">
        <v>2772</v>
      </c>
      <c r="V262" s="7">
        <v>130909</v>
      </c>
      <c r="W262" s="7">
        <f t="shared" si="61"/>
        <v>123171</v>
      </c>
      <c r="X262" s="103">
        <f t="shared" si="62"/>
        <v>151021</v>
      </c>
      <c r="Y262" s="103"/>
      <c r="Z262" s="7">
        <v>10007</v>
      </c>
      <c r="AB262" s="2">
        <v>20112</v>
      </c>
      <c r="AC262" s="103">
        <v>114342</v>
      </c>
      <c r="AD262" s="103">
        <v>143283</v>
      </c>
      <c r="AE262" s="64">
        <f t="shared" si="63"/>
        <v>8.0516695527452734E-2</v>
      </c>
      <c r="AF262" s="64">
        <f t="shared" si="64"/>
        <v>9.1237620652833903E-2</v>
      </c>
      <c r="AG262" s="20">
        <f t="shared" ref="AG262:AG293" si="65">+AE262*K262</f>
        <v>81.80496265589197</v>
      </c>
      <c r="AH262" s="20">
        <f t="shared" ref="AH262:AH293" si="66">+AF262*I262</f>
        <v>147.69850156682929</v>
      </c>
      <c r="AI262" s="22"/>
    </row>
    <row r="263" spans="1:35">
      <c r="A263" s="28">
        <v>45919</v>
      </c>
      <c r="B263" s="3">
        <v>120</v>
      </c>
      <c r="C263" s="3">
        <v>380.75</v>
      </c>
      <c r="D263" s="3">
        <v>75</v>
      </c>
      <c r="E263" s="6">
        <v>372.58333333333331</v>
      </c>
      <c r="F263" s="3">
        <v>252.99999999999994</v>
      </c>
      <c r="G263" s="3">
        <v>135.66666666666666</v>
      </c>
      <c r="H263" s="3">
        <v>76.75</v>
      </c>
      <c r="I263" s="3">
        <v>1549.4166666666667</v>
      </c>
      <c r="J263" s="3">
        <v>117.5</v>
      </c>
      <c r="K263" s="3">
        <v>1019.9999999999999</v>
      </c>
      <c r="L263" s="3">
        <v>153.75</v>
      </c>
      <c r="M263" s="3">
        <v>287.83333333333337</v>
      </c>
      <c r="N263" s="107">
        <f t="shared" si="60"/>
        <v>135.18659529052789</v>
      </c>
      <c r="O263" s="7">
        <f t="shared" si="56"/>
        <v>3515.666666666667</v>
      </c>
      <c r="P263" s="7">
        <f t="shared" si="57"/>
        <v>3380.4800713761388</v>
      </c>
      <c r="Q263" s="7">
        <f t="shared" si="58"/>
        <v>1487.9041862796792</v>
      </c>
      <c r="R263" s="7">
        <f t="shared" si="59"/>
        <v>946.3258850964595</v>
      </c>
      <c r="S263" s="7">
        <v>6533</v>
      </c>
      <c r="T263" s="7">
        <v>8624</v>
      </c>
      <c r="U263" s="7">
        <v>1866</v>
      </c>
      <c r="V263" s="7">
        <v>106338</v>
      </c>
      <c r="W263" s="7">
        <f t="shared" si="61"/>
        <v>97939</v>
      </c>
      <c r="X263" s="103">
        <f t="shared" si="62"/>
        <v>112709</v>
      </c>
      <c r="Y263" s="103"/>
      <c r="Z263" s="7">
        <v>8888</v>
      </c>
      <c r="AB263" s="2">
        <v>6371</v>
      </c>
      <c r="AC263" s="103">
        <v>113208</v>
      </c>
      <c r="AD263" s="103">
        <v>104310</v>
      </c>
      <c r="AE263" s="64">
        <f t="shared" si="63"/>
        <v>7.2229524415235682E-2</v>
      </c>
      <c r="AF263" s="64">
        <f t="shared" si="64"/>
        <v>3.9700412232767712E-2</v>
      </c>
      <c r="AG263" s="20">
        <f t="shared" si="65"/>
        <v>73.674114903540385</v>
      </c>
      <c r="AH263" s="20">
        <f t="shared" si="66"/>
        <v>61.512480386987512</v>
      </c>
      <c r="AI263" s="22"/>
    </row>
    <row r="264" spans="1:35">
      <c r="A264" s="28">
        <v>45920</v>
      </c>
      <c r="B264" s="3">
        <v>52.5</v>
      </c>
      <c r="C264" s="3">
        <v>116.91666666666669</v>
      </c>
      <c r="D264" s="3">
        <v>52.5</v>
      </c>
      <c r="E264" s="6">
        <v>270.5</v>
      </c>
      <c r="F264" s="3">
        <v>147.5</v>
      </c>
      <c r="G264" s="3">
        <v>0</v>
      </c>
      <c r="H264" s="3">
        <v>22.5</v>
      </c>
      <c r="I264" s="3">
        <v>845.75</v>
      </c>
      <c r="J264" s="3">
        <v>60</v>
      </c>
      <c r="K264" s="3">
        <v>619.33333333333326</v>
      </c>
      <c r="L264" s="3">
        <v>120</v>
      </c>
      <c r="M264" s="3">
        <v>179.75</v>
      </c>
      <c r="N264" s="107">
        <f t="shared" si="60"/>
        <v>9.9724958347579253</v>
      </c>
      <c r="O264" s="7">
        <f t="shared" si="56"/>
        <v>1894.5</v>
      </c>
      <c r="P264" s="7">
        <f t="shared" si="57"/>
        <v>1884.5275041652421</v>
      </c>
      <c r="Q264" s="7">
        <f t="shared" si="58"/>
        <v>845.75</v>
      </c>
      <c r="R264" s="7">
        <f t="shared" si="59"/>
        <v>609.36083749857528</v>
      </c>
      <c r="S264" s="7">
        <v>1974</v>
      </c>
      <c r="T264" s="7">
        <v>6903</v>
      </c>
      <c r="U264" s="7">
        <v>1621</v>
      </c>
      <c r="V264" s="7">
        <v>83419</v>
      </c>
      <c r="W264" s="7">
        <f t="shared" si="61"/>
        <v>79824</v>
      </c>
      <c r="X264" s="103">
        <f t="shared" si="62"/>
        <v>83419</v>
      </c>
      <c r="Y264" s="103"/>
      <c r="Z264" s="7">
        <v>1075</v>
      </c>
      <c r="AB264" s="2">
        <v>0</v>
      </c>
      <c r="AC264" s="103">
        <v>61421</v>
      </c>
      <c r="AD264" s="103">
        <v>79824</v>
      </c>
      <c r="AE264" s="64">
        <f t="shared" si="63"/>
        <v>1.6101984663225932E-2</v>
      </c>
      <c r="AF264" s="64">
        <f t="shared" si="64"/>
        <v>0</v>
      </c>
      <c r="AG264" s="20">
        <f t="shared" si="65"/>
        <v>9.9724958347579253</v>
      </c>
      <c r="AH264" s="20">
        <f t="shared" si="66"/>
        <v>0</v>
      </c>
      <c r="AI264" s="22"/>
    </row>
    <row r="265" spans="1:35">
      <c r="A265" s="28">
        <v>45921</v>
      </c>
      <c r="B265" s="3"/>
      <c r="C265" s="3">
        <v>230.33333333333334</v>
      </c>
      <c r="D265" s="3">
        <v>30</v>
      </c>
      <c r="E265" s="6">
        <v>0</v>
      </c>
      <c r="F265" s="3">
        <v>124.91666666666666</v>
      </c>
      <c r="G265" s="3">
        <v>0</v>
      </c>
      <c r="H265" s="3">
        <v>15</v>
      </c>
      <c r="I265" s="3">
        <v>812.83333333333348</v>
      </c>
      <c r="J265" s="3">
        <v>30</v>
      </c>
      <c r="K265" s="3">
        <v>584</v>
      </c>
      <c r="L265" s="3">
        <v>0</v>
      </c>
      <c r="M265" s="3">
        <v>119.75</v>
      </c>
      <c r="N265" s="107">
        <f t="shared" si="60"/>
        <v>0</v>
      </c>
      <c r="O265" s="7">
        <f t="shared" si="56"/>
        <v>1812.0833333333335</v>
      </c>
      <c r="P265" s="7">
        <f t="shared" si="57"/>
        <v>1812.0833333333335</v>
      </c>
      <c r="Q265" s="7">
        <f t="shared" si="58"/>
        <v>812.83333333333348</v>
      </c>
      <c r="R265" s="7">
        <f t="shared" si="59"/>
        <v>584</v>
      </c>
      <c r="S265" s="7">
        <v>86</v>
      </c>
      <c r="T265" s="7">
        <v>3052</v>
      </c>
      <c r="U265" s="7">
        <v>1499</v>
      </c>
      <c r="V265" s="7">
        <v>74482</v>
      </c>
      <c r="W265" s="7">
        <f t="shared" si="61"/>
        <v>72897</v>
      </c>
      <c r="X265" s="103">
        <f t="shared" si="62"/>
        <v>74482</v>
      </c>
      <c r="Y265" s="103"/>
      <c r="Z265" s="7">
        <v>0</v>
      </c>
      <c r="AB265" s="2">
        <v>0</v>
      </c>
      <c r="AC265" s="103">
        <v>60708</v>
      </c>
      <c r="AD265" s="103">
        <v>72897</v>
      </c>
      <c r="AE265" s="64">
        <f t="shared" si="63"/>
        <v>0</v>
      </c>
      <c r="AF265" s="64">
        <f t="shared" si="64"/>
        <v>0</v>
      </c>
      <c r="AG265" s="20">
        <f t="shared" si="65"/>
        <v>0</v>
      </c>
      <c r="AH265" s="20">
        <f t="shared" si="66"/>
        <v>0</v>
      </c>
      <c r="AI265" s="22"/>
    </row>
    <row r="266" spans="1:35">
      <c r="A266" s="28">
        <v>45922</v>
      </c>
      <c r="B266" s="3">
        <v>60</v>
      </c>
      <c r="C266" s="3">
        <v>367.5</v>
      </c>
      <c r="D266" s="3">
        <v>81.666666666666671</v>
      </c>
      <c r="E266" s="6">
        <v>340</v>
      </c>
      <c r="F266" s="3">
        <v>259</v>
      </c>
      <c r="G266" s="3">
        <v>138.16666666666669</v>
      </c>
      <c r="H266" s="3">
        <v>71.5</v>
      </c>
      <c r="I266" s="3">
        <v>1607.5833333333335</v>
      </c>
      <c r="J266" s="3">
        <v>121.5</v>
      </c>
      <c r="K266" s="3">
        <v>1184.3333333333335</v>
      </c>
      <c r="L266" s="3">
        <v>172.66666666666666</v>
      </c>
      <c r="M266" s="3">
        <v>312</v>
      </c>
      <c r="N266" s="107">
        <f t="shared" si="60"/>
        <v>0</v>
      </c>
      <c r="O266" s="7">
        <f t="shared" si="56"/>
        <v>3681.5833333333335</v>
      </c>
      <c r="P266" s="7">
        <f t="shared" si="57"/>
        <v>3681.5833333333335</v>
      </c>
      <c r="Q266" s="7">
        <f t="shared" si="58"/>
        <v>1607.5833333333335</v>
      </c>
      <c r="R266" s="7">
        <f t="shared" si="59"/>
        <v>1184.3333333333335</v>
      </c>
      <c r="S266" s="7">
        <v>8728</v>
      </c>
      <c r="T266" s="7">
        <v>12143</v>
      </c>
      <c r="U266" s="7">
        <v>1947</v>
      </c>
      <c r="V266" s="7">
        <v>133599</v>
      </c>
      <c r="W266" s="7">
        <f t="shared" si="61"/>
        <v>122924</v>
      </c>
      <c r="X266" s="103">
        <f t="shared" si="62"/>
        <v>133599</v>
      </c>
      <c r="Y266" s="103"/>
      <c r="Z266" s="7">
        <v>0</v>
      </c>
      <c r="AB266" s="2">
        <v>0</v>
      </c>
      <c r="AC266" s="103">
        <v>120167</v>
      </c>
      <c r="AD266" s="103">
        <v>122924</v>
      </c>
      <c r="AE266" s="64">
        <f t="shared" si="63"/>
        <v>0</v>
      </c>
      <c r="AF266" s="64">
        <f t="shared" si="64"/>
        <v>0</v>
      </c>
      <c r="AG266" s="20">
        <f t="shared" si="65"/>
        <v>0</v>
      </c>
      <c r="AH266" s="20">
        <f t="shared" si="66"/>
        <v>0</v>
      </c>
      <c r="AI266" s="22"/>
    </row>
    <row r="267" spans="1:35">
      <c r="A267" s="28">
        <v>45923</v>
      </c>
      <c r="B267" s="3">
        <v>51.916666666666686</v>
      </c>
      <c r="C267" s="3">
        <v>397.83333333333331</v>
      </c>
      <c r="D267" s="3">
        <v>84.583333333333329</v>
      </c>
      <c r="E267" s="6">
        <v>269.33333333333326</v>
      </c>
      <c r="F267" s="3">
        <v>297</v>
      </c>
      <c r="G267" s="3">
        <v>143.5</v>
      </c>
      <c r="H267" s="3">
        <v>78</v>
      </c>
      <c r="I267" s="3">
        <v>1727.9166666666667</v>
      </c>
      <c r="J267" s="3">
        <v>124.5</v>
      </c>
      <c r="K267" s="3">
        <v>1486.75</v>
      </c>
      <c r="L267" s="3">
        <v>190.08333333333334</v>
      </c>
      <c r="M267" s="3">
        <v>313.33333333333331</v>
      </c>
      <c r="N267" s="107">
        <f t="shared" si="60"/>
        <v>0</v>
      </c>
      <c r="O267" s="7">
        <f t="shared" si="56"/>
        <v>4170.5</v>
      </c>
      <c r="P267" s="7">
        <f t="shared" si="57"/>
        <v>4170.5</v>
      </c>
      <c r="Q267" s="7">
        <f t="shared" si="58"/>
        <v>1727.9166666666667</v>
      </c>
      <c r="R267" s="7">
        <f t="shared" si="59"/>
        <v>1486.75</v>
      </c>
      <c r="S267" s="7">
        <v>6842</v>
      </c>
      <c r="T267" s="7">
        <v>13724</v>
      </c>
      <c r="U267" s="7">
        <v>4647</v>
      </c>
      <c r="V267" s="7">
        <v>173594</v>
      </c>
      <c r="W267" s="7">
        <f t="shared" si="61"/>
        <v>162105</v>
      </c>
      <c r="X267" s="103">
        <f t="shared" si="62"/>
        <v>173594</v>
      </c>
      <c r="Y267" s="103"/>
      <c r="Z267" s="7">
        <v>0</v>
      </c>
      <c r="AB267" s="2">
        <v>0</v>
      </c>
      <c r="AC267" s="103">
        <v>148785</v>
      </c>
      <c r="AD267" s="103">
        <v>162105</v>
      </c>
      <c r="AE267" s="64">
        <f t="shared" si="63"/>
        <v>0</v>
      </c>
      <c r="AF267" s="64">
        <f t="shared" si="64"/>
        <v>0</v>
      </c>
      <c r="AG267" s="20">
        <f t="shared" si="65"/>
        <v>0</v>
      </c>
      <c r="AH267" s="20">
        <f t="shared" si="66"/>
        <v>0</v>
      </c>
      <c r="AI267" s="22"/>
    </row>
    <row r="268" spans="1:35">
      <c r="A268" s="28">
        <v>45924</v>
      </c>
      <c r="B268" s="3">
        <v>70.5</v>
      </c>
      <c r="C268" s="3">
        <v>408.83333333333337</v>
      </c>
      <c r="D268" s="3">
        <v>82.5</v>
      </c>
      <c r="E268" s="6">
        <v>296.5</v>
      </c>
      <c r="F268" s="3">
        <v>287.66666666666669</v>
      </c>
      <c r="G268" s="3">
        <v>143.25</v>
      </c>
      <c r="H268" s="3">
        <v>70.5</v>
      </c>
      <c r="I268" s="3">
        <v>2022.25</v>
      </c>
      <c r="J268" s="3">
        <v>120</v>
      </c>
      <c r="K268" s="3">
        <v>1384.3333333333335</v>
      </c>
      <c r="L268" s="3">
        <v>123.58333333333334</v>
      </c>
      <c r="M268" s="3">
        <v>317.58333333333331</v>
      </c>
      <c r="N268" s="107">
        <f t="shared" si="60"/>
        <v>0</v>
      </c>
      <c r="O268" s="7">
        <f t="shared" si="56"/>
        <v>4376.0833333333339</v>
      </c>
      <c r="P268" s="7">
        <f t="shared" si="57"/>
        <v>4376.0833333333339</v>
      </c>
      <c r="Q268" s="7">
        <f t="shared" si="58"/>
        <v>2022.25</v>
      </c>
      <c r="R268" s="7">
        <f t="shared" si="59"/>
        <v>1384.3333333333335</v>
      </c>
      <c r="S268" s="7">
        <v>4807</v>
      </c>
      <c r="T268" s="7">
        <v>10142</v>
      </c>
      <c r="U268" s="7">
        <v>2709</v>
      </c>
      <c r="V268" s="7">
        <v>162614</v>
      </c>
      <c r="W268" s="7">
        <f t="shared" si="61"/>
        <v>155098</v>
      </c>
      <c r="X268" s="103">
        <f t="shared" si="62"/>
        <v>162614</v>
      </c>
      <c r="Y268" s="103"/>
      <c r="Z268" s="7">
        <v>0</v>
      </c>
      <c r="AB268" s="2">
        <v>0</v>
      </c>
      <c r="AC268" s="103">
        <v>136203</v>
      </c>
      <c r="AD268" s="103">
        <v>155098</v>
      </c>
      <c r="AE268" s="64">
        <f t="shared" si="63"/>
        <v>0</v>
      </c>
      <c r="AF268" s="64">
        <f t="shared" si="64"/>
        <v>0</v>
      </c>
      <c r="AG268" s="20">
        <f t="shared" si="65"/>
        <v>0</v>
      </c>
      <c r="AH268" s="20">
        <f t="shared" si="66"/>
        <v>0</v>
      </c>
      <c r="AI268" s="22"/>
    </row>
    <row r="269" spans="1:35">
      <c r="A269" s="28">
        <v>45925</v>
      </c>
      <c r="B269" s="3">
        <v>60</v>
      </c>
      <c r="C269" s="3">
        <v>368.16666666666669</v>
      </c>
      <c r="D269" s="3">
        <v>85.5</v>
      </c>
      <c r="E269" s="6">
        <v>327.5</v>
      </c>
      <c r="F269" s="3">
        <v>307.41666666666669</v>
      </c>
      <c r="G269" s="3">
        <v>144.5</v>
      </c>
      <c r="H269" s="3">
        <v>63</v>
      </c>
      <c r="I269" s="3">
        <v>2003.166666666667</v>
      </c>
      <c r="J269" s="3">
        <v>132</v>
      </c>
      <c r="K269" s="3">
        <v>1465.25</v>
      </c>
      <c r="L269" s="3">
        <v>190.58333333333331</v>
      </c>
      <c r="M269" s="3">
        <v>314.83333333333337</v>
      </c>
      <c r="N269" s="107">
        <f t="shared" si="60"/>
        <v>0</v>
      </c>
      <c r="O269" s="7">
        <f t="shared" si="56"/>
        <v>4421.5</v>
      </c>
      <c r="P269" s="7">
        <f t="shared" si="57"/>
        <v>4421.5</v>
      </c>
      <c r="Q269" s="7">
        <f t="shared" si="58"/>
        <v>2003.166666666667</v>
      </c>
      <c r="R269" s="7">
        <f t="shared" si="59"/>
        <v>1465.25</v>
      </c>
      <c r="S269" s="7">
        <v>4911</v>
      </c>
      <c r="T269" s="7">
        <v>13191</v>
      </c>
      <c r="U269" s="7">
        <v>2818</v>
      </c>
      <c r="V269" s="7">
        <v>183167</v>
      </c>
      <c r="W269" s="7">
        <f t="shared" si="61"/>
        <v>175438</v>
      </c>
      <c r="X269" s="103">
        <f t="shared" si="62"/>
        <v>183167</v>
      </c>
      <c r="Y269" s="103"/>
      <c r="Z269" s="7">
        <v>0</v>
      </c>
      <c r="AB269" s="2">
        <v>0</v>
      </c>
      <c r="AC269" s="103">
        <v>132615</v>
      </c>
      <c r="AD269" s="103">
        <v>175438</v>
      </c>
      <c r="AE269" s="64">
        <f t="shared" si="63"/>
        <v>0</v>
      </c>
      <c r="AF269" s="64">
        <f t="shared" si="64"/>
        <v>0</v>
      </c>
      <c r="AG269" s="20">
        <f t="shared" si="65"/>
        <v>0</v>
      </c>
      <c r="AH269" s="20">
        <f t="shared" si="66"/>
        <v>0</v>
      </c>
      <c r="AI269" s="22"/>
    </row>
    <row r="270" spans="1:35">
      <c r="A270" s="28">
        <v>45926</v>
      </c>
      <c r="B270" s="3">
        <v>67.5</v>
      </c>
      <c r="C270" s="3">
        <v>405</v>
      </c>
      <c r="D270" s="3">
        <v>85.5</v>
      </c>
      <c r="E270" s="6">
        <v>280.58333333333337</v>
      </c>
      <c r="F270" s="3">
        <v>329.41666666666663</v>
      </c>
      <c r="G270" s="3">
        <v>133.08333333333331</v>
      </c>
      <c r="H270" s="3">
        <v>61</v>
      </c>
      <c r="I270" s="3">
        <v>1947.9166666666667</v>
      </c>
      <c r="J270" s="3">
        <v>104.66666666666667</v>
      </c>
      <c r="K270" s="3">
        <v>1029.0833333333335</v>
      </c>
      <c r="L270" s="3">
        <v>123.5</v>
      </c>
      <c r="M270" s="3">
        <v>303.16666666666669</v>
      </c>
      <c r="N270" s="107">
        <f t="shared" si="60"/>
        <v>0.36420758975657092</v>
      </c>
      <c r="O270" s="7">
        <f t="shared" si="56"/>
        <v>3969.0833333333335</v>
      </c>
      <c r="P270" s="7">
        <f t="shared" si="57"/>
        <v>3968.719125743577</v>
      </c>
      <c r="Q270" s="7">
        <f t="shared" si="58"/>
        <v>1947.5524590769103</v>
      </c>
      <c r="R270" s="7">
        <f t="shared" si="59"/>
        <v>1029.0833333333335</v>
      </c>
      <c r="S270" s="7">
        <v>3850</v>
      </c>
      <c r="T270" s="7">
        <v>8097</v>
      </c>
      <c r="U270" s="7">
        <v>2562</v>
      </c>
      <c r="V270" s="7">
        <v>180184</v>
      </c>
      <c r="W270" s="7">
        <f t="shared" si="61"/>
        <v>173772</v>
      </c>
      <c r="X270" s="103">
        <f t="shared" si="62"/>
        <v>180234</v>
      </c>
      <c r="Y270" s="103"/>
      <c r="Z270" s="7">
        <v>0</v>
      </c>
      <c r="AB270" s="2">
        <v>50</v>
      </c>
      <c r="AC270" s="103">
        <v>92775</v>
      </c>
      <c r="AD270" s="103">
        <v>173822</v>
      </c>
      <c r="AE270" s="64">
        <f t="shared" si="63"/>
        <v>0</v>
      </c>
      <c r="AF270" s="64">
        <f t="shared" si="64"/>
        <v>1.8697288030283853E-4</v>
      </c>
      <c r="AG270" s="20">
        <f t="shared" si="65"/>
        <v>0</v>
      </c>
      <c r="AH270" s="20">
        <f t="shared" si="66"/>
        <v>0.36420758975657092</v>
      </c>
      <c r="AI270" s="22"/>
    </row>
    <row r="271" spans="1:35">
      <c r="A271" s="28">
        <v>45927</v>
      </c>
      <c r="B271" s="3">
        <v>30</v>
      </c>
      <c r="C271" s="3">
        <v>135.00000000000003</v>
      </c>
      <c r="D271" s="3">
        <v>52.5</v>
      </c>
      <c r="E271" s="6">
        <v>255.5</v>
      </c>
      <c r="F271" s="3">
        <v>172.5</v>
      </c>
      <c r="G271" s="3">
        <v>0</v>
      </c>
      <c r="H271" s="3">
        <v>22.5</v>
      </c>
      <c r="I271" s="3">
        <v>861.33333333333326</v>
      </c>
      <c r="J271" s="3">
        <v>67.5</v>
      </c>
      <c r="K271" s="3">
        <v>611</v>
      </c>
      <c r="L271" s="3">
        <v>162.16666666666669</v>
      </c>
      <c r="M271" s="3">
        <v>192.66666666666666</v>
      </c>
      <c r="N271" s="107">
        <f t="shared" si="60"/>
        <v>0</v>
      </c>
      <c r="O271" s="7">
        <f t="shared" si="56"/>
        <v>1929.8333333333333</v>
      </c>
      <c r="P271" s="7">
        <f t="shared" si="57"/>
        <v>1929.8333333333333</v>
      </c>
      <c r="Q271" s="7">
        <f t="shared" si="58"/>
        <v>861.33333333333326</v>
      </c>
      <c r="R271" s="7">
        <f t="shared" si="59"/>
        <v>611</v>
      </c>
      <c r="S271" s="7">
        <v>1114</v>
      </c>
      <c r="T271" s="7">
        <v>5010</v>
      </c>
      <c r="U271" s="7">
        <v>1550</v>
      </c>
      <c r="V271" s="7">
        <v>84488</v>
      </c>
      <c r="W271" s="7">
        <f t="shared" si="61"/>
        <v>81824</v>
      </c>
      <c r="X271" s="103">
        <f t="shared" si="62"/>
        <v>84488</v>
      </c>
      <c r="Y271" s="103"/>
      <c r="Z271" s="7">
        <v>0</v>
      </c>
      <c r="AB271" s="2">
        <v>0</v>
      </c>
      <c r="AC271" s="103">
        <v>59180</v>
      </c>
      <c r="AD271" s="103">
        <v>81824</v>
      </c>
      <c r="AE271" s="64">
        <f t="shared" si="63"/>
        <v>0</v>
      </c>
      <c r="AF271" s="64">
        <f t="shared" si="64"/>
        <v>0</v>
      </c>
      <c r="AG271" s="20">
        <f t="shared" si="65"/>
        <v>0</v>
      </c>
      <c r="AH271" s="20">
        <f t="shared" si="66"/>
        <v>0</v>
      </c>
      <c r="AI271" s="22"/>
    </row>
    <row r="272" spans="1:35">
      <c r="A272" s="28">
        <v>45928</v>
      </c>
      <c r="B272" s="3"/>
      <c r="C272" s="3">
        <v>239.33333333333334</v>
      </c>
      <c r="D272" s="3">
        <v>26.833333333333332</v>
      </c>
      <c r="E272" s="6">
        <v>0</v>
      </c>
      <c r="F272" s="3">
        <v>118.99999999999999</v>
      </c>
      <c r="G272" s="3">
        <v>0</v>
      </c>
      <c r="H272" s="3">
        <v>15</v>
      </c>
      <c r="I272" s="3">
        <v>772.08333333333326</v>
      </c>
      <c r="J272" s="3">
        <v>52.5</v>
      </c>
      <c r="K272" s="3">
        <v>636.83333333333326</v>
      </c>
      <c r="L272" s="3">
        <v>0</v>
      </c>
      <c r="M272" s="3">
        <v>127.16666666666667</v>
      </c>
      <c r="N272" s="107">
        <f t="shared" si="60"/>
        <v>0</v>
      </c>
      <c r="O272" s="7">
        <f t="shared" si="56"/>
        <v>1846.5833333333333</v>
      </c>
      <c r="P272" s="7">
        <f t="shared" si="57"/>
        <v>1846.5833333333333</v>
      </c>
      <c r="Q272" s="7">
        <f t="shared" si="58"/>
        <v>772.08333333333326</v>
      </c>
      <c r="R272" s="7">
        <f t="shared" si="59"/>
        <v>636.83333333333326</v>
      </c>
      <c r="S272" s="7">
        <v>359</v>
      </c>
      <c r="T272" s="7">
        <v>6175</v>
      </c>
      <c r="U272" s="7">
        <v>3090</v>
      </c>
      <c r="V272" s="7">
        <v>67238</v>
      </c>
      <c r="W272" s="7">
        <f t="shared" si="61"/>
        <v>63789</v>
      </c>
      <c r="X272" s="103">
        <f t="shared" si="62"/>
        <v>67238</v>
      </c>
      <c r="Y272" s="103"/>
      <c r="Z272" s="7">
        <v>0</v>
      </c>
      <c r="AB272" s="2">
        <v>0</v>
      </c>
      <c r="AC272" s="103">
        <v>65127</v>
      </c>
      <c r="AD272" s="103">
        <v>63789</v>
      </c>
      <c r="AE272" s="64">
        <f t="shared" si="63"/>
        <v>0</v>
      </c>
      <c r="AF272" s="64">
        <f t="shared" si="64"/>
        <v>0</v>
      </c>
      <c r="AG272" s="20">
        <f t="shared" si="65"/>
        <v>0</v>
      </c>
      <c r="AH272" s="20">
        <f t="shared" si="66"/>
        <v>0</v>
      </c>
      <c r="AI272" s="22"/>
    </row>
    <row r="273" spans="1:35">
      <c r="A273" s="28">
        <v>45929</v>
      </c>
      <c r="B273" s="3">
        <v>73.5</v>
      </c>
      <c r="C273" s="3">
        <v>405</v>
      </c>
      <c r="D273" s="3">
        <v>67.083333333333343</v>
      </c>
      <c r="E273" s="6">
        <v>311.58333333333337</v>
      </c>
      <c r="F273" s="3">
        <v>261.83333333333331</v>
      </c>
      <c r="G273" s="3">
        <v>161.50000000000003</v>
      </c>
      <c r="H273" s="3">
        <v>71.5</v>
      </c>
      <c r="I273" s="3">
        <v>1839.7499999999998</v>
      </c>
      <c r="J273" s="3">
        <v>120</v>
      </c>
      <c r="K273" s="3">
        <v>1694.1666666666667</v>
      </c>
      <c r="L273" s="3">
        <v>183.75</v>
      </c>
      <c r="M273" s="3">
        <v>304.41666666666663</v>
      </c>
      <c r="N273" s="107">
        <f t="shared" si="60"/>
        <v>0</v>
      </c>
      <c r="O273" s="7">
        <f t="shared" si="56"/>
        <v>4461.333333333333</v>
      </c>
      <c r="P273" s="7">
        <f t="shared" si="57"/>
        <v>4461.333333333333</v>
      </c>
      <c r="Q273" s="7">
        <f t="shared" si="58"/>
        <v>1839.7499999999998</v>
      </c>
      <c r="R273" s="7">
        <f t="shared" si="59"/>
        <v>1694.1666666666667</v>
      </c>
      <c r="S273" s="7">
        <v>7077</v>
      </c>
      <c r="T273" s="7">
        <v>10263</v>
      </c>
      <c r="U273" s="7">
        <v>1537</v>
      </c>
      <c r="V273" s="7">
        <v>145944</v>
      </c>
      <c r="W273" s="7">
        <f t="shared" si="61"/>
        <v>137330</v>
      </c>
      <c r="X273" s="103">
        <f t="shared" si="62"/>
        <v>145944</v>
      </c>
      <c r="Y273" s="103"/>
      <c r="Z273" s="7">
        <v>0</v>
      </c>
      <c r="AB273" s="2">
        <v>0</v>
      </c>
      <c r="AC273" s="103">
        <v>153072</v>
      </c>
      <c r="AD273" s="103">
        <v>137330</v>
      </c>
      <c r="AE273" s="64">
        <f t="shared" si="63"/>
        <v>0</v>
      </c>
      <c r="AF273" s="64">
        <f t="shared" si="64"/>
        <v>0</v>
      </c>
      <c r="AG273" s="20">
        <f t="shared" si="65"/>
        <v>0</v>
      </c>
      <c r="AH273" s="20">
        <f t="shared" si="66"/>
        <v>0</v>
      </c>
      <c r="AI273" s="22"/>
    </row>
    <row r="274" spans="1:35">
      <c r="A274" s="28">
        <v>45930</v>
      </c>
      <c r="B274" s="3">
        <v>112.5</v>
      </c>
      <c r="C274" s="3">
        <v>375.75</v>
      </c>
      <c r="D274" s="3">
        <v>82.5</v>
      </c>
      <c r="E274" s="6">
        <v>290.66666666666663</v>
      </c>
      <c r="F274" s="3">
        <v>261.58333333333331</v>
      </c>
      <c r="G274" s="3">
        <v>159.33333333333331</v>
      </c>
      <c r="H274" s="3">
        <v>70.5</v>
      </c>
      <c r="I274" s="3">
        <v>2059.916666666667</v>
      </c>
      <c r="J274" s="3">
        <v>112.5</v>
      </c>
      <c r="K274" s="3">
        <v>1644.6666666666667</v>
      </c>
      <c r="L274" s="3">
        <v>198.75</v>
      </c>
      <c r="M274" s="3">
        <v>290.58333333333337</v>
      </c>
      <c r="N274" s="107">
        <f t="shared" si="60"/>
        <v>0</v>
      </c>
      <c r="O274" s="7">
        <f t="shared" si="56"/>
        <v>4649.416666666667</v>
      </c>
      <c r="P274" s="7">
        <f t="shared" si="57"/>
        <v>4649.416666666667</v>
      </c>
      <c r="Q274" s="7">
        <f t="shared" si="58"/>
        <v>2059.916666666667</v>
      </c>
      <c r="R274" s="7">
        <f t="shared" si="59"/>
        <v>1644.6666666666667</v>
      </c>
      <c r="S274" s="7">
        <v>6135</v>
      </c>
      <c r="T274" s="7">
        <v>9664</v>
      </c>
      <c r="U274" s="7">
        <v>2664</v>
      </c>
      <c r="V274" s="7">
        <v>189656</v>
      </c>
      <c r="W274" s="7">
        <f t="shared" si="61"/>
        <v>180857</v>
      </c>
      <c r="X274" s="103">
        <f t="shared" si="62"/>
        <v>189656</v>
      </c>
      <c r="Y274" s="103"/>
      <c r="Z274" s="7">
        <v>0</v>
      </c>
      <c r="AB274" s="2">
        <v>0</v>
      </c>
      <c r="AC274" s="103">
        <v>161820</v>
      </c>
      <c r="AD274" s="103">
        <v>180857</v>
      </c>
      <c r="AE274" s="64">
        <f t="shared" si="63"/>
        <v>0</v>
      </c>
      <c r="AF274" s="64">
        <f t="shared" si="64"/>
        <v>0</v>
      </c>
      <c r="AG274" s="20">
        <f t="shared" si="65"/>
        <v>0</v>
      </c>
      <c r="AH274" s="20">
        <f t="shared" si="66"/>
        <v>0</v>
      </c>
      <c r="AI274" s="22"/>
    </row>
    <row r="275" spans="1:35">
      <c r="A275" s="28">
        <v>45931</v>
      </c>
      <c r="B275" s="3">
        <v>102</v>
      </c>
      <c r="C275" s="3">
        <v>336.66666666666669</v>
      </c>
      <c r="D275" s="3">
        <v>82.5</v>
      </c>
      <c r="E275" s="6">
        <v>323.58333333333337</v>
      </c>
      <c r="F275" s="3">
        <v>285</v>
      </c>
      <c r="G275" s="3">
        <v>139.5</v>
      </c>
      <c r="H275" s="3">
        <v>70.5</v>
      </c>
      <c r="I275" s="3">
        <v>2015</v>
      </c>
      <c r="J275" s="3">
        <v>110.33333333333333</v>
      </c>
      <c r="K275" s="3">
        <v>1518.0833333333335</v>
      </c>
      <c r="L275" s="3">
        <v>123.16666666666669</v>
      </c>
      <c r="M275" s="3">
        <v>294.41666666666663</v>
      </c>
      <c r="N275" s="107">
        <f t="shared" si="60"/>
        <v>64.320674319945439</v>
      </c>
      <c r="O275" s="7">
        <f t="shared" si="56"/>
        <v>4449.583333333333</v>
      </c>
      <c r="P275" s="7">
        <f t="shared" si="57"/>
        <v>4385.2626590133877</v>
      </c>
      <c r="Q275" s="7">
        <f t="shared" si="58"/>
        <v>2015</v>
      </c>
      <c r="R275" s="7">
        <f t="shared" si="59"/>
        <v>1453.762659013388</v>
      </c>
      <c r="S275" s="7">
        <v>6612</v>
      </c>
      <c r="T275" s="7">
        <v>11176</v>
      </c>
      <c r="U275" s="7">
        <v>2684</v>
      </c>
      <c r="V275" s="7">
        <v>162989</v>
      </c>
      <c r="W275" s="7">
        <f t="shared" si="61"/>
        <v>153693</v>
      </c>
      <c r="X275" s="103">
        <f t="shared" si="62"/>
        <v>162989</v>
      </c>
      <c r="Y275" s="103"/>
      <c r="Z275" s="7">
        <v>7201</v>
      </c>
      <c r="AB275" s="2">
        <v>0</v>
      </c>
      <c r="AC275" s="103">
        <v>156360</v>
      </c>
      <c r="AD275" s="103">
        <v>153693</v>
      </c>
      <c r="AE275" s="64">
        <f t="shared" si="63"/>
        <v>4.2369659759529298E-2</v>
      </c>
      <c r="AF275" s="64">
        <f t="shared" si="64"/>
        <v>0</v>
      </c>
      <c r="AG275" s="20">
        <f t="shared" si="65"/>
        <v>64.320674319945439</v>
      </c>
      <c r="AH275" s="20">
        <f t="shared" si="66"/>
        <v>0</v>
      </c>
      <c r="AI275" s="22"/>
    </row>
    <row r="276" spans="1:35">
      <c r="A276" s="28">
        <v>45932</v>
      </c>
      <c r="B276" s="3">
        <v>82.5</v>
      </c>
      <c r="C276" s="3">
        <v>361</v>
      </c>
      <c r="D276" s="3">
        <v>79.666666666666671</v>
      </c>
      <c r="E276" s="6">
        <v>325.66666666666674</v>
      </c>
      <c r="F276" s="3">
        <v>284.5</v>
      </c>
      <c r="G276" s="3">
        <v>156</v>
      </c>
      <c r="H276" s="3">
        <v>63</v>
      </c>
      <c r="I276" s="3">
        <v>2074.75</v>
      </c>
      <c r="J276" s="3">
        <v>104.58333333333334</v>
      </c>
      <c r="K276" s="3">
        <v>1212.666666666667</v>
      </c>
      <c r="L276" s="3">
        <v>198.91666666666666</v>
      </c>
      <c r="M276" s="3">
        <v>300.83333333333331</v>
      </c>
      <c r="N276" s="107">
        <f t="shared" si="60"/>
        <v>94.518567992175619</v>
      </c>
      <c r="O276" s="7">
        <f t="shared" si="56"/>
        <v>4199.666666666667</v>
      </c>
      <c r="P276" s="7">
        <f t="shared" si="57"/>
        <v>4105.1480986744918</v>
      </c>
      <c r="Q276" s="7">
        <f t="shared" si="58"/>
        <v>2074.75</v>
      </c>
      <c r="R276" s="7">
        <f t="shared" si="59"/>
        <v>1118.1480986744914</v>
      </c>
      <c r="S276" s="7">
        <v>5033</v>
      </c>
      <c r="T276" s="7">
        <v>10464</v>
      </c>
      <c r="U276" s="7">
        <v>3177</v>
      </c>
      <c r="V276" s="7">
        <v>168481</v>
      </c>
      <c r="W276" s="7">
        <f t="shared" si="61"/>
        <v>160271</v>
      </c>
      <c r="X276" s="103">
        <f t="shared" si="62"/>
        <v>168481</v>
      </c>
      <c r="Y276" s="103"/>
      <c r="Z276" s="7">
        <v>9615</v>
      </c>
      <c r="AB276" s="2">
        <v>0</v>
      </c>
      <c r="AC276" s="103">
        <v>113491</v>
      </c>
      <c r="AD276" s="103">
        <v>160271</v>
      </c>
      <c r="AE276" s="64">
        <f t="shared" si="63"/>
        <v>7.7942744358583504E-2</v>
      </c>
      <c r="AF276" s="64">
        <f t="shared" si="64"/>
        <v>0</v>
      </c>
      <c r="AG276" s="20">
        <f t="shared" si="65"/>
        <v>94.518567992175619</v>
      </c>
      <c r="AH276" s="20">
        <f t="shared" si="66"/>
        <v>0</v>
      </c>
      <c r="AI276" s="22"/>
    </row>
    <row r="277" spans="1:35">
      <c r="A277" s="28">
        <v>45933</v>
      </c>
      <c r="B277" s="3">
        <v>75</v>
      </c>
      <c r="C277" s="3">
        <v>343.66666666666663</v>
      </c>
      <c r="D277" s="3">
        <v>75</v>
      </c>
      <c r="E277" s="6">
        <v>320.25</v>
      </c>
      <c r="F277" s="3">
        <v>269.41666666666663</v>
      </c>
      <c r="G277" s="3">
        <v>151.83333333333334</v>
      </c>
      <c r="H277" s="3">
        <v>66.666666666666657</v>
      </c>
      <c r="I277" s="3">
        <v>1789.3333333333335</v>
      </c>
      <c r="J277" s="3">
        <v>105</v>
      </c>
      <c r="K277" s="3">
        <v>1218.6666666666665</v>
      </c>
      <c r="L277" s="3">
        <v>183.25</v>
      </c>
      <c r="M277" s="3">
        <v>273.16666666666663</v>
      </c>
      <c r="N277" s="107">
        <f t="shared" si="60"/>
        <v>32.371833248050372</v>
      </c>
      <c r="O277" s="7">
        <f t="shared" si="56"/>
        <v>3876.0833333333335</v>
      </c>
      <c r="P277" s="7">
        <f t="shared" si="57"/>
        <v>3843.7115000852832</v>
      </c>
      <c r="Q277" s="7">
        <f t="shared" si="58"/>
        <v>1789.3333333333335</v>
      </c>
      <c r="R277" s="7">
        <f t="shared" si="59"/>
        <v>1186.2948334186162</v>
      </c>
      <c r="S277" s="7">
        <v>4246</v>
      </c>
      <c r="T277" s="7">
        <v>9626</v>
      </c>
      <c r="U277" s="7">
        <v>3109</v>
      </c>
      <c r="V277" s="7">
        <v>137762</v>
      </c>
      <c r="W277" s="7">
        <f t="shared" si="61"/>
        <v>130407</v>
      </c>
      <c r="X277" s="103">
        <f t="shared" si="62"/>
        <v>137762</v>
      </c>
      <c r="Y277" s="103"/>
      <c r="Z277" s="7">
        <v>3442</v>
      </c>
      <c r="AB277" s="2">
        <v>0</v>
      </c>
      <c r="AC277" s="103">
        <v>119211</v>
      </c>
      <c r="AD277" s="103">
        <v>130407</v>
      </c>
      <c r="AE277" s="64">
        <f t="shared" si="63"/>
        <v>2.6563320498947246E-2</v>
      </c>
      <c r="AF277" s="64">
        <f t="shared" si="64"/>
        <v>0</v>
      </c>
      <c r="AG277" s="20">
        <f t="shared" si="65"/>
        <v>32.371833248050372</v>
      </c>
      <c r="AH277" s="20">
        <f t="shared" si="66"/>
        <v>0</v>
      </c>
      <c r="AI277" s="22"/>
    </row>
    <row r="278" spans="1:35">
      <c r="A278" s="28">
        <v>45934</v>
      </c>
      <c r="B278" s="3">
        <v>37.5</v>
      </c>
      <c r="C278" s="3">
        <v>102.25</v>
      </c>
      <c r="D278" s="3">
        <v>52.5</v>
      </c>
      <c r="E278" s="6">
        <v>239.41666666666663</v>
      </c>
      <c r="F278" s="3">
        <v>150</v>
      </c>
      <c r="G278" s="3">
        <v>0</v>
      </c>
      <c r="H278" s="3">
        <v>22.5</v>
      </c>
      <c r="I278" s="3">
        <v>913.16666666666674</v>
      </c>
      <c r="J278" s="3">
        <v>67.5</v>
      </c>
      <c r="K278" s="3">
        <v>644.58333333333326</v>
      </c>
      <c r="L278" s="3">
        <v>150</v>
      </c>
      <c r="M278" s="3">
        <v>178.66666666666666</v>
      </c>
      <c r="N278" s="107">
        <f t="shared" si="60"/>
        <v>9.8745532963647555</v>
      </c>
      <c r="O278" s="7">
        <f t="shared" si="56"/>
        <v>1967.5</v>
      </c>
      <c r="P278" s="7">
        <f t="shared" si="57"/>
        <v>1957.6254467036351</v>
      </c>
      <c r="Q278" s="7">
        <f t="shared" si="58"/>
        <v>913.16666666666674</v>
      </c>
      <c r="R278" s="7">
        <f t="shared" si="59"/>
        <v>634.70878003696851</v>
      </c>
      <c r="S278" s="7">
        <v>2394</v>
      </c>
      <c r="T278" s="7">
        <v>5299</v>
      </c>
      <c r="U278" s="7">
        <v>1432</v>
      </c>
      <c r="V278" s="7">
        <v>84001</v>
      </c>
      <c r="W278" s="7">
        <f t="shared" si="61"/>
        <v>80175</v>
      </c>
      <c r="X278" s="103">
        <f t="shared" si="62"/>
        <v>84001</v>
      </c>
      <c r="Y278" s="103"/>
      <c r="Z278" s="7">
        <v>1072</v>
      </c>
      <c r="AB278" s="2">
        <v>0</v>
      </c>
      <c r="AC278" s="103">
        <v>64379</v>
      </c>
      <c r="AD278" s="103">
        <v>80175</v>
      </c>
      <c r="AE278" s="64">
        <f t="shared" si="63"/>
        <v>1.5319281132046164E-2</v>
      </c>
      <c r="AF278" s="64">
        <f t="shared" si="64"/>
        <v>0</v>
      </c>
      <c r="AG278" s="20">
        <f t="shared" si="65"/>
        <v>9.8745532963647555</v>
      </c>
      <c r="AH278" s="20">
        <f t="shared" si="66"/>
        <v>0</v>
      </c>
      <c r="AI278" s="22"/>
    </row>
    <row r="279" spans="1:35">
      <c r="A279" s="28">
        <v>45935</v>
      </c>
      <c r="B279" s="3"/>
      <c r="C279" s="3">
        <v>216.16666666666666</v>
      </c>
      <c r="D279" s="3">
        <v>36.5</v>
      </c>
      <c r="E279" s="6">
        <v>0</v>
      </c>
      <c r="F279" s="3">
        <v>130.83333333333331</v>
      </c>
      <c r="G279" s="3">
        <v>0</v>
      </c>
      <c r="H279" s="3">
        <v>15</v>
      </c>
      <c r="I279" s="3">
        <v>816.33333333333348</v>
      </c>
      <c r="J279" s="3">
        <v>52.5</v>
      </c>
      <c r="K279" s="3">
        <v>598.58333333333326</v>
      </c>
      <c r="L279" s="3">
        <v>0</v>
      </c>
      <c r="M279" s="3">
        <v>127</v>
      </c>
      <c r="N279" s="107">
        <f t="shared" si="60"/>
        <v>0</v>
      </c>
      <c r="O279" s="7">
        <f t="shared" si="56"/>
        <v>1850.9166666666667</v>
      </c>
      <c r="P279" s="7">
        <f t="shared" si="57"/>
        <v>1850.9166666666667</v>
      </c>
      <c r="Q279" s="7">
        <f t="shared" si="58"/>
        <v>816.33333333333348</v>
      </c>
      <c r="R279" s="7">
        <f t="shared" si="59"/>
        <v>598.58333333333326</v>
      </c>
      <c r="S279" s="7">
        <v>1898</v>
      </c>
      <c r="T279" s="7">
        <v>4554</v>
      </c>
      <c r="U279" s="7">
        <v>1105</v>
      </c>
      <c r="V279" s="7">
        <v>72512</v>
      </c>
      <c r="W279" s="7">
        <f t="shared" si="61"/>
        <v>69509</v>
      </c>
      <c r="X279" s="103">
        <f t="shared" si="62"/>
        <v>72512</v>
      </c>
      <c r="Y279" s="103"/>
      <c r="Z279" s="7">
        <v>0</v>
      </c>
      <c r="AB279" s="2">
        <v>0</v>
      </c>
      <c r="AC279" s="103">
        <v>59694</v>
      </c>
      <c r="AD279" s="103">
        <v>69509</v>
      </c>
      <c r="AE279" s="64">
        <f t="shared" si="63"/>
        <v>0</v>
      </c>
      <c r="AF279" s="64">
        <f t="shared" si="64"/>
        <v>0</v>
      </c>
      <c r="AG279" s="20">
        <f t="shared" si="65"/>
        <v>0</v>
      </c>
      <c r="AH279" s="20">
        <f t="shared" si="66"/>
        <v>0</v>
      </c>
      <c r="AI279" s="22"/>
    </row>
    <row r="280" spans="1:35">
      <c r="A280" s="28">
        <v>45936</v>
      </c>
      <c r="B280" s="3">
        <v>52.5</v>
      </c>
      <c r="C280" s="3">
        <v>366</v>
      </c>
      <c r="D280" s="3">
        <v>95.5</v>
      </c>
      <c r="E280" s="6">
        <v>335.25</v>
      </c>
      <c r="F280" s="3">
        <v>285</v>
      </c>
      <c r="G280" s="3">
        <v>85</v>
      </c>
      <c r="H280" s="3">
        <v>63</v>
      </c>
      <c r="I280" s="3">
        <v>1716.3333333333335</v>
      </c>
      <c r="J280" s="3">
        <v>120</v>
      </c>
      <c r="K280" s="3">
        <v>1257.25</v>
      </c>
      <c r="L280" s="3">
        <v>123.5</v>
      </c>
      <c r="M280" s="3">
        <v>310.83333333333331</v>
      </c>
      <c r="N280" s="107">
        <f t="shared" si="60"/>
        <v>11.693124491970169</v>
      </c>
      <c r="O280" s="7">
        <f t="shared" si="56"/>
        <v>3892.5833333333335</v>
      </c>
      <c r="P280" s="7">
        <f t="shared" si="57"/>
        <v>3880.8902088413633</v>
      </c>
      <c r="Q280" s="7">
        <f t="shared" si="58"/>
        <v>1716.3333333333335</v>
      </c>
      <c r="R280" s="7">
        <f t="shared" si="59"/>
        <v>1245.5568755080299</v>
      </c>
      <c r="S280" s="7">
        <v>6585</v>
      </c>
      <c r="T280" s="7">
        <v>10248</v>
      </c>
      <c r="U280" s="7">
        <v>2399</v>
      </c>
      <c r="V280" s="7">
        <v>149075</v>
      </c>
      <c r="W280" s="7">
        <f t="shared" si="61"/>
        <v>140091</v>
      </c>
      <c r="X280" s="103">
        <f t="shared" si="62"/>
        <v>149075</v>
      </c>
      <c r="Y280" s="103"/>
      <c r="Z280" s="7">
        <v>1281</v>
      </c>
      <c r="AB280" s="2">
        <v>0</v>
      </c>
      <c r="AC280" s="103">
        <v>126715</v>
      </c>
      <c r="AD280" s="103">
        <v>140091</v>
      </c>
      <c r="AE280" s="64">
        <f t="shared" si="63"/>
        <v>9.3005563666495681E-3</v>
      </c>
      <c r="AF280" s="64">
        <f t="shared" si="64"/>
        <v>0</v>
      </c>
      <c r="AG280" s="20">
        <f t="shared" si="65"/>
        <v>11.693124491970169</v>
      </c>
      <c r="AH280" s="20">
        <f t="shared" si="66"/>
        <v>0</v>
      </c>
      <c r="AI280" s="22"/>
    </row>
    <row r="281" spans="1:35">
      <c r="A281" s="28">
        <v>45937</v>
      </c>
      <c r="B281" s="3">
        <v>43.333333333333314</v>
      </c>
      <c r="C281" s="3">
        <v>398.5</v>
      </c>
      <c r="D281" s="3">
        <v>95.166666666666657</v>
      </c>
      <c r="E281" s="6">
        <v>337.23333333333335</v>
      </c>
      <c r="F281" s="3">
        <v>300</v>
      </c>
      <c r="G281" s="3">
        <v>82.5</v>
      </c>
      <c r="H281" s="3">
        <v>62</v>
      </c>
      <c r="I281" s="3">
        <v>1711.0833333333335</v>
      </c>
      <c r="J281" s="3">
        <v>127.5</v>
      </c>
      <c r="K281" s="3">
        <v>1258.1000000000001</v>
      </c>
      <c r="L281" s="3">
        <v>191.25</v>
      </c>
      <c r="M281" s="3">
        <v>321.5</v>
      </c>
      <c r="N281" s="107">
        <f t="shared" si="60"/>
        <v>5.1083379928400783</v>
      </c>
      <c r="O281" s="7">
        <f t="shared" si="56"/>
        <v>3933.6833333333334</v>
      </c>
      <c r="P281" s="7">
        <f t="shared" si="57"/>
        <v>3928.5749953404938</v>
      </c>
      <c r="Q281" s="7">
        <f t="shared" si="58"/>
        <v>1711.0833333333335</v>
      </c>
      <c r="R281" s="7">
        <f t="shared" si="59"/>
        <v>1252.9916620071601</v>
      </c>
      <c r="S281" s="7">
        <v>7800</v>
      </c>
      <c r="T281" s="7">
        <v>13275</v>
      </c>
      <c r="U281" s="7">
        <v>4029</v>
      </c>
      <c r="V281" s="7">
        <v>164266</v>
      </c>
      <c r="W281" s="7">
        <f t="shared" si="61"/>
        <v>152437</v>
      </c>
      <c r="X281" s="103">
        <f t="shared" si="62"/>
        <v>164266</v>
      </c>
      <c r="Y281" s="103"/>
      <c r="Z281" s="7">
        <v>556</v>
      </c>
      <c r="AB281" s="2">
        <v>0</v>
      </c>
      <c r="AC281" s="103">
        <v>125979</v>
      </c>
      <c r="AD281" s="103">
        <v>152437</v>
      </c>
      <c r="AE281" s="64">
        <f t="shared" si="63"/>
        <v>4.0603592662269115E-3</v>
      </c>
      <c r="AF281" s="64">
        <f t="shared" si="64"/>
        <v>0</v>
      </c>
      <c r="AG281" s="20">
        <f t="shared" si="65"/>
        <v>5.1083379928400783</v>
      </c>
      <c r="AH281" s="20">
        <f t="shared" si="66"/>
        <v>0</v>
      </c>
      <c r="AI281" s="22"/>
    </row>
    <row r="282" spans="1:35">
      <c r="A282" s="28">
        <v>45938</v>
      </c>
      <c r="B282" s="3">
        <v>93</v>
      </c>
      <c r="C282" s="3">
        <v>625.5</v>
      </c>
      <c r="D282" s="3">
        <v>85.5</v>
      </c>
      <c r="E282" s="6">
        <v>342.58333333333337</v>
      </c>
      <c r="F282" s="3">
        <v>295.08333333333337</v>
      </c>
      <c r="G282" s="3">
        <v>76.5</v>
      </c>
      <c r="H282" s="3">
        <v>53.5</v>
      </c>
      <c r="I282" s="3">
        <v>2011.666666666667</v>
      </c>
      <c r="J282" s="3">
        <v>112.5</v>
      </c>
      <c r="K282" s="3">
        <v>1689.1666666666665</v>
      </c>
      <c r="L282" s="3">
        <v>129.75</v>
      </c>
      <c r="M282" s="3">
        <v>312.08333333333337</v>
      </c>
      <c r="N282" s="107">
        <f t="shared" si="60"/>
        <v>16.751611171345068</v>
      </c>
      <c r="O282" s="7">
        <f t="shared" si="56"/>
        <v>4912.416666666667</v>
      </c>
      <c r="P282" s="7">
        <f t="shared" si="57"/>
        <v>4895.6650554953221</v>
      </c>
      <c r="Q282" s="7">
        <f t="shared" si="58"/>
        <v>2011.666666666667</v>
      </c>
      <c r="R282" s="7">
        <f t="shared" si="59"/>
        <v>1672.4150554953214</v>
      </c>
      <c r="S282" s="7">
        <v>4601</v>
      </c>
      <c r="T282" s="7">
        <v>10462</v>
      </c>
      <c r="U282" s="7">
        <v>4026</v>
      </c>
      <c r="V282" s="7">
        <v>173891</v>
      </c>
      <c r="W282" s="7">
        <f t="shared" si="61"/>
        <v>165264</v>
      </c>
      <c r="X282" s="103">
        <f t="shared" si="62"/>
        <v>173891</v>
      </c>
      <c r="Y282" s="103"/>
      <c r="Z282" s="7">
        <v>1720</v>
      </c>
      <c r="AB282" s="2">
        <v>0</v>
      </c>
      <c r="AC282" s="103">
        <v>159563</v>
      </c>
      <c r="AD282" s="103">
        <v>165264</v>
      </c>
      <c r="AE282" s="64">
        <f t="shared" si="63"/>
        <v>9.917086041250165E-3</v>
      </c>
      <c r="AF282" s="64">
        <f t="shared" si="64"/>
        <v>0</v>
      </c>
      <c r="AG282" s="20">
        <f t="shared" si="65"/>
        <v>16.751611171345068</v>
      </c>
      <c r="AH282" s="20">
        <f t="shared" si="66"/>
        <v>0</v>
      </c>
      <c r="AI282" s="22"/>
    </row>
    <row r="283" spans="1:35">
      <c r="A283" s="28">
        <v>45939</v>
      </c>
      <c r="B283" s="3">
        <v>65</v>
      </c>
      <c r="C283" s="3">
        <v>719.16666666666663</v>
      </c>
      <c r="D283" s="3">
        <v>94.916666666666671</v>
      </c>
      <c r="E283" s="6">
        <v>320.91666666666663</v>
      </c>
      <c r="F283" s="3">
        <v>284.08333333333337</v>
      </c>
      <c r="G283" s="3">
        <v>76.5</v>
      </c>
      <c r="H283" s="3">
        <v>62</v>
      </c>
      <c r="I283" s="3">
        <v>2081.1666666666665</v>
      </c>
      <c r="J283" s="3">
        <v>116.16666666666667</v>
      </c>
      <c r="K283" s="3">
        <v>1751.6666666666667</v>
      </c>
      <c r="L283" s="3">
        <v>154.5</v>
      </c>
      <c r="M283" s="3">
        <v>290.83333333333331</v>
      </c>
      <c r="N283" s="107">
        <f t="shared" si="60"/>
        <v>243.17628858759696</v>
      </c>
      <c r="O283" s="7">
        <f t="shared" si="56"/>
        <v>5112.166666666667</v>
      </c>
      <c r="P283" s="7">
        <f t="shared" si="57"/>
        <v>4868.9903780790692</v>
      </c>
      <c r="Q283" s="7">
        <f t="shared" si="58"/>
        <v>2001.6519163925268</v>
      </c>
      <c r="R283" s="7">
        <f t="shared" si="59"/>
        <v>1588.0051283532096</v>
      </c>
      <c r="S283" s="7">
        <v>5131</v>
      </c>
      <c r="T283" s="7">
        <v>11222</v>
      </c>
      <c r="U283" s="7">
        <v>5255</v>
      </c>
      <c r="V283" s="7">
        <v>177190</v>
      </c>
      <c r="W283" s="7">
        <f t="shared" si="61"/>
        <v>166804</v>
      </c>
      <c r="X283" s="103">
        <f t="shared" si="62"/>
        <v>187607</v>
      </c>
      <c r="Y283" s="103"/>
      <c r="Z283" s="7">
        <v>17585</v>
      </c>
      <c r="AB283" s="2">
        <v>10417</v>
      </c>
      <c r="AC283" s="103">
        <v>173155</v>
      </c>
      <c r="AD283" s="103">
        <v>177221</v>
      </c>
      <c r="AE283" s="64">
        <f t="shared" si="63"/>
        <v>9.3431896277901313E-2</v>
      </c>
      <c r="AF283" s="64">
        <f t="shared" si="64"/>
        <v>3.820681521941531E-2</v>
      </c>
      <c r="AG283" s="20">
        <f t="shared" si="65"/>
        <v>163.66153831345713</v>
      </c>
      <c r="AH283" s="20">
        <f t="shared" si="66"/>
        <v>79.514750274139828</v>
      </c>
      <c r="AI283" s="22"/>
    </row>
    <row r="284" spans="1:35">
      <c r="A284" s="28">
        <v>45940</v>
      </c>
      <c r="B284" s="3">
        <v>93</v>
      </c>
      <c r="C284" s="3">
        <v>713.83333333333337</v>
      </c>
      <c r="D284" s="3">
        <v>82.583333333333329</v>
      </c>
      <c r="E284" s="6">
        <v>313.25</v>
      </c>
      <c r="F284" s="3">
        <v>333.83333333333331</v>
      </c>
      <c r="G284" s="3">
        <v>56.833333333333343</v>
      </c>
      <c r="H284" s="3">
        <v>70.5</v>
      </c>
      <c r="I284" s="3">
        <v>1922.1666666666665</v>
      </c>
      <c r="J284" s="3">
        <v>120</v>
      </c>
      <c r="K284" s="3">
        <v>1622.0833333333333</v>
      </c>
      <c r="L284" s="3">
        <v>123.5</v>
      </c>
      <c r="M284" s="3">
        <v>300.91666666666669</v>
      </c>
      <c r="N284" s="107">
        <f t="shared" si="60"/>
        <v>56.16725544942107</v>
      </c>
      <c r="O284" s="7">
        <f t="shared" si="56"/>
        <v>4887.5</v>
      </c>
      <c r="P284" s="7">
        <f t="shared" si="57"/>
        <v>4831.3327445505784</v>
      </c>
      <c r="Q284" s="7">
        <f t="shared" si="58"/>
        <v>1922.1666666666665</v>
      </c>
      <c r="R284" s="7">
        <f t="shared" si="59"/>
        <v>1565.9160778839123</v>
      </c>
      <c r="S284" s="7">
        <v>6290</v>
      </c>
      <c r="T284" s="7">
        <v>12738</v>
      </c>
      <c r="U284" s="7">
        <v>3473</v>
      </c>
      <c r="V284" s="7">
        <v>179760</v>
      </c>
      <c r="W284" s="7">
        <f t="shared" si="61"/>
        <v>169997</v>
      </c>
      <c r="X284" s="103">
        <f t="shared" si="62"/>
        <v>179760</v>
      </c>
      <c r="Y284" s="103"/>
      <c r="Z284" s="7">
        <v>5473</v>
      </c>
      <c r="AB284" s="2">
        <v>0</v>
      </c>
      <c r="AC284" s="103">
        <v>145413</v>
      </c>
      <c r="AD284" s="103">
        <v>169997</v>
      </c>
      <c r="AE284" s="64">
        <f t="shared" si="63"/>
        <v>3.4626615226974203E-2</v>
      </c>
      <c r="AF284" s="64">
        <f t="shared" si="64"/>
        <v>0</v>
      </c>
      <c r="AG284" s="20">
        <f t="shared" si="65"/>
        <v>56.16725544942107</v>
      </c>
      <c r="AH284" s="20">
        <f t="shared" si="66"/>
        <v>0</v>
      </c>
      <c r="AI284" s="22"/>
    </row>
    <row r="285" spans="1:35">
      <c r="A285" s="28">
        <v>45941</v>
      </c>
      <c r="B285" s="3">
        <v>52.083333333333343</v>
      </c>
      <c r="C285" s="3">
        <v>457.58333333333331</v>
      </c>
      <c r="D285" s="3">
        <v>52.5</v>
      </c>
      <c r="E285" s="6">
        <v>213</v>
      </c>
      <c r="F285" s="3">
        <v>207.91666666666669</v>
      </c>
      <c r="G285" s="3">
        <v>0</v>
      </c>
      <c r="H285" s="3">
        <v>22.5</v>
      </c>
      <c r="I285" s="3">
        <v>1327.5</v>
      </c>
      <c r="J285" s="3">
        <v>75</v>
      </c>
      <c r="K285" s="3">
        <v>1019</v>
      </c>
      <c r="L285" s="3">
        <v>165.16666666666669</v>
      </c>
      <c r="M285" s="3">
        <v>180.58333333333334</v>
      </c>
      <c r="N285" s="107">
        <f t="shared" si="60"/>
        <v>11.311845625993048</v>
      </c>
      <c r="O285" s="7">
        <f t="shared" si="56"/>
        <v>3191.583333333333</v>
      </c>
      <c r="P285" s="7">
        <f t="shared" si="57"/>
        <v>3180.2714877073399</v>
      </c>
      <c r="Q285" s="7">
        <f t="shared" si="58"/>
        <v>1327.5</v>
      </c>
      <c r="R285" s="7">
        <f t="shared" si="59"/>
        <v>1007.6881543740069</v>
      </c>
      <c r="S285" s="7">
        <v>3482</v>
      </c>
      <c r="T285" s="7">
        <v>6852</v>
      </c>
      <c r="U285" s="7">
        <v>1907</v>
      </c>
      <c r="V285" s="7">
        <v>103215</v>
      </c>
      <c r="W285" s="7">
        <f t="shared" si="61"/>
        <v>97826</v>
      </c>
      <c r="X285" s="103">
        <f t="shared" si="62"/>
        <v>103215</v>
      </c>
      <c r="Y285" s="103"/>
      <c r="Z285" s="7">
        <v>1048</v>
      </c>
      <c r="AB285" s="2">
        <v>0</v>
      </c>
      <c r="AC285" s="103">
        <v>86854</v>
      </c>
      <c r="AD285" s="103">
        <v>97826</v>
      </c>
      <c r="AE285" s="64">
        <f t="shared" si="63"/>
        <v>1.1100927994105052E-2</v>
      </c>
      <c r="AF285" s="64">
        <f t="shared" si="64"/>
        <v>0</v>
      </c>
      <c r="AG285" s="20">
        <f t="shared" si="65"/>
        <v>11.311845625993048</v>
      </c>
      <c r="AH285" s="20">
        <f t="shared" si="66"/>
        <v>0</v>
      </c>
      <c r="AI285" s="22"/>
    </row>
    <row r="286" spans="1:35">
      <c r="A286" s="28">
        <v>45942</v>
      </c>
      <c r="B286" s="3"/>
      <c r="C286" s="3">
        <v>230.16666666666666</v>
      </c>
      <c r="D286" s="3">
        <v>30</v>
      </c>
      <c r="E286" s="6">
        <v>0</v>
      </c>
      <c r="F286" s="3">
        <v>117.75000000000001</v>
      </c>
      <c r="G286" s="3">
        <v>0</v>
      </c>
      <c r="H286" s="3">
        <v>15</v>
      </c>
      <c r="I286" s="3">
        <v>783.83333333333326</v>
      </c>
      <c r="J286" s="3">
        <v>45</v>
      </c>
      <c r="K286" s="3">
        <v>604.66666666666663</v>
      </c>
      <c r="L286" s="3">
        <v>0</v>
      </c>
      <c r="M286" s="3">
        <v>126.58333333333333</v>
      </c>
      <c r="N286" s="107">
        <f t="shared" si="60"/>
        <v>61.038421756117621</v>
      </c>
      <c r="O286" s="7">
        <f t="shared" si="56"/>
        <v>1811.4166666666665</v>
      </c>
      <c r="P286" s="7">
        <f t="shared" si="57"/>
        <v>1750.3782449105488</v>
      </c>
      <c r="Q286" s="7">
        <f t="shared" si="58"/>
        <v>722.79491157721566</v>
      </c>
      <c r="R286" s="7">
        <f t="shared" si="59"/>
        <v>604.66666666666663</v>
      </c>
      <c r="S286" s="7">
        <v>483</v>
      </c>
      <c r="T286" s="7">
        <v>4661</v>
      </c>
      <c r="U286" s="7">
        <v>2926</v>
      </c>
      <c r="V286" s="7">
        <v>67615</v>
      </c>
      <c r="W286" s="7">
        <f t="shared" si="61"/>
        <v>64206</v>
      </c>
      <c r="X286" s="103">
        <f t="shared" si="62"/>
        <v>76354</v>
      </c>
      <c r="Y286" s="103"/>
      <c r="Z286" s="7">
        <v>0</v>
      </c>
      <c r="AB286" s="2">
        <v>8739</v>
      </c>
      <c r="AC286" s="103">
        <v>56169</v>
      </c>
      <c r="AD286" s="103">
        <v>72945</v>
      </c>
      <c r="AE286" s="64">
        <f t="shared" si="63"/>
        <v>0</v>
      </c>
      <c r="AF286" s="64">
        <f t="shared" si="64"/>
        <v>7.7871684145589148E-2</v>
      </c>
      <c r="AG286" s="20">
        <f t="shared" si="65"/>
        <v>0</v>
      </c>
      <c r="AH286" s="20">
        <f t="shared" si="66"/>
        <v>61.038421756117621</v>
      </c>
      <c r="AI286" s="22"/>
    </row>
    <row r="287" spans="1:35">
      <c r="A287" s="28">
        <v>45943</v>
      </c>
      <c r="B287" s="3">
        <v>115</v>
      </c>
      <c r="C287" s="3">
        <v>707</v>
      </c>
      <c r="D287" s="3">
        <v>85.5</v>
      </c>
      <c r="E287" s="6">
        <v>364.08333333333337</v>
      </c>
      <c r="F287" s="3">
        <v>375.41666666666663</v>
      </c>
      <c r="G287" s="3">
        <v>75.5</v>
      </c>
      <c r="H287" s="3">
        <v>54.5</v>
      </c>
      <c r="I287" s="3">
        <v>2053.416666666667</v>
      </c>
      <c r="J287" s="3">
        <v>120</v>
      </c>
      <c r="K287" s="3">
        <v>2099.4166666666665</v>
      </c>
      <c r="L287" s="3">
        <v>131</v>
      </c>
      <c r="M287" s="3">
        <v>314.66666666666669</v>
      </c>
      <c r="N287" s="107">
        <f t="shared" si="60"/>
        <v>15.167342262048145</v>
      </c>
      <c r="O287" s="7">
        <f t="shared" si="56"/>
        <v>5555.75</v>
      </c>
      <c r="P287" s="7">
        <f t="shared" si="57"/>
        <v>5540.5826577379521</v>
      </c>
      <c r="Q287" s="7">
        <f t="shared" si="58"/>
        <v>2053.416666666667</v>
      </c>
      <c r="R287" s="7">
        <f t="shared" si="59"/>
        <v>2084.2493244046182</v>
      </c>
      <c r="S287" s="7">
        <v>7774</v>
      </c>
      <c r="T287" s="7">
        <v>15716</v>
      </c>
      <c r="U287" s="7">
        <v>2656</v>
      </c>
      <c r="V287" s="7">
        <v>181138</v>
      </c>
      <c r="W287" s="7">
        <f t="shared" si="61"/>
        <v>170708</v>
      </c>
      <c r="X287" s="103">
        <f t="shared" si="62"/>
        <v>181138</v>
      </c>
      <c r="Y287" s="103"/>
      <c r="Z287" s="7">
        <v>1304</v>
      </c>
      <c r="AB287" s="2">
        <v>0</v>
      </c>
      <c r="AC287" s="103">
        <v>166056</v>
      </c>
      <c r="AD287" s="103">
        <v>170708</v>
      </c>
      <c r="AE287" s="64">
        <f t="shared" si="63"/>
        <v>7.2245507539625189E-3</v>
      </c>
      <c r="AF287" s="64">
        <f t="shared" si="64"/>
        <v>0</v>
      </c>
      <c r="AG287" s="20">
        <f t="shared" si="65"/>
        <v>15.167342262048145</v>
      </c>
      <c r="AH287" s="20">
        <f t="shared" si="66"/>
        <v>0</v>
      </c>
      <c r="AI287" s="22"/>
    </row>
    <row r="288" spans="1:35">
      <c r="A288" s="28">
        <v>45944</v>
      </c>
      <c r="B288" s="3">
        <v>90</v>
      </c>
      <c r="C288" s="3">
        <v>708</v>
      </c>
      <c r="D288" s="3">
        <v>85.5</v>
      </c>
      <c r="E288" s="6">
        <v>357.16666666666663</v>
      </c>
      <c r="F288" s="3">
        <v>361.5</v>
      </c>
      <c r="G288" s="3">
        <v>76.5</v>
      </c>
      <c r="H288" s="3">
        <v>63</v>
      </c>
      <c r="I288" s="3">
        <v>1988.5</v>
      </c>
      <c r="J288" s="3">
        <v>120</v>
      </c>
      <c r="K288" s="3">
        <v>2266.666666666667</v>
      </c>
      <c r="L288" s="3">
        <v>129.58333333333334</v>
      </c>
      <c r="M288" s="3">
        <v>327.5</v>
      </c>
      <c r="N288" s="107">
        <f t="shared" si="60"/>
        <v>9.8458928627011577</v>
      </c>
      <c r="O288" s="7">
        <f t="shared" si="56"/>
        <v>5620.166666666667</v>
      </c>
      <c r="P288" s="7">
        <f t="shared" si="57"/>
        <v>5610.3207738039655</v>
      </c>
      <c r="Q288" s="7">
        <f t="shared" si="58"/>
        <v>1988.5</v>
      </c>
      <c r="R288" s="7">
        <f t="shared" si="59"/>
        <v>2256.8207738039659</v>
      </c>
      <c r="S288" s="7">
        <v>10466</v>
      </c>
      <c r="T288" s="7">
        <v>14448</v>
      </c>
      <c r="U288" s="7">
        <v>3368</v>
      </c>
      <c r="V288" s="7">
        <v>171842</v>
      </c>
      <c r="W288" s="7">
        <f t="shared" si="61"/>
        <v>158008</v>
      </c>
      <c r="X288" s="103">
        <f t="shared" si="62"/>
        <v>171842</v>
      </c>
      <c r="Y288" s="103"/>
      <c r="Z288" s="7">
        <v>809</v>
      </c>
      <c r="AB288" s="2">
        <v>0</v>
      </c>
      <c r="AC288" s="103">
        <v>171344</v>
      </c>
      <c r="AD288" s="103">
        <v>158008</v>
      </c>
      <c r="AE288" s="64">
        <f t="shared" si="63"/>
        <v>4.3437762629563925E-3</v>
      </c>
      <c r="AF288" s="64">
        <f t="shared" si="64"/>
        <v>0</v>
      </c>
      <c r="AG288" s="20">
        <f t="shared" si="65"/>
        <v>9.8458928627011577</v>
      </c>
      <c r="AH288" s="20">
        <f t="shared" si="66"/>
        <v>0</v>
      </c>
      <c r="AI288" s="22"/>
    </row>
    <row r="289" spans="1:35">
      <c r="A289" s="28">
        <v>45945</v>
      </c>
      <c r="B289" s="3">
        <v>150</v>
      </c>
      <c r="C289" s="3">
        <v>397.5</v>
      </c>
      <c r="D289" s="3">
        <v>93</v>
      </c>
      <c r="E289" s="6">
        <v>362.08333333333331</v>
      </c>
      <c r="F289" s="3">
        <v>382.33333333333331</v>
      </c>
      <c r="G289" s="3">
        <v>76.25</v>
      </c>
      <c r="H289" s="3">
        <v>67.583333333333329</v>
      </c>
      <c r="I289" s="3">
        <v>2624.5</v>
      </c>
      <c r="J289" s="3">
        <v>124.5</v>
      </c>
      <c r="K289" s="3">
        <v>2271.916666666667</v>
      </c>
      <c r="L289" s="3">
        <v>184</v>
      </c>
      <c r="M289" s="3">
        <v>316.83333333333331</v>
      </c>
      <c r="N289" s="107">
        <f t="shared" si="60"/>
        <v>4.8666061619728911</v>
      </c>
      <c r="O289" s="7">
        <f t="shared" si="56"/>
        <v>6043.75</v>
      </c>
      <c r="P289" s="7">
        <f t="shared" si="57"/>
        <v>6038.8833938380267</v>
      </c>
      <c r="Q289" s="7">
        <f t="shared" si="58"/>
        <v>2624.5</v>
      </c>
      <c r="R289" s="7">
        <f t="shared" si="59"/>
        <v>2267.0500605046941</v>
      </c>
      <c r="S289" s="7">
        <v>4940</v>
      </c>
      <c r="T289" s="7">
        <v>13445</v>
      </c>
      <c r="U289" s="7">
        <v>5977</v>
      </c>
      <c r="V289" s="7">
        <v>203447</v>
      </c>
      <c r="W289" s="7">
        <f t="shared" si="61"/>
        <v>192530</v>
      </c>
      <c r="X289" s="103">
        <f t="shared" si="62"/>
        <v>203447</v>
      </c>
      <c r="Y289" s="103"/>
      <c r="Z289" s="7">
        <v>387</v>
      </c>
      <c r="AB289" s="2">
        <v>0</v>
      </c>
      <c r="AC289" s="103">
        <v>166213</v>
      </c>
      <c r="AD289" s="103">
        <v>192530</v>
      </c>
      <c r="AE289" s="64">
        <f t="shared" si="63"/>
        <v>2.1420707164902866E-3</v>
      </c>
      <c r="AF289" s="64">
        <f t="shared" si="64"/>
        <v>0</v>
      </c>
      <c r="AG289" s="20">
        <f t="shared" si="65"/>
        <v>4.8666061619728911</v>
      </c>
      <c r="AH289" s="20">
        <f t="shared" si="66"/>
        <v>0</v>
      </c>
      <c r="AI289" s="22"/>
    </row>
    <row r="290" spans="1:35">
      <c r="A290" s="28">
        <v>45946</v>
      </c>
      <c r="B290" s="3">
        <v>119.5</v>
      </c>
      <c r="C290" s="3">
        <v>343.41666666666663</v>
      </c>
      <c r="D290" s="3">
        <v>93.333333333333343</v>
      </c>
      <c r="E290" s="6">
        <v>354.91666666666669</v>
      </c>
      <c r="F290" s="3">
        <v>334.75</v>
      </c>
      <c r="G290" s="3">
        <v>73.083333333333329</v>
      </c>
      <c r="H290" s="3">
        <v>70.5</v>
      </c>
      <c r="I290" s="3">
        <v>2686.8333333333335</v>
      </c>
      <c r="J290" s="3">
        <v>137.25</v>
      </c>
      <c r="K290" s="3">
        <v>2370.8333333333339</v>
      </c>
      <c r="L290" s="3">
        <v>198.75</v>
      </c>
      <c r="M290" s="3">
        <v>320.83333333333337</v>
      </c>
      <c r="N290" s="107">
        <f t="shared" si="60"/>
        <v>1.7300178413828788</v>
      </c>
      <c r="O290" s="7">
        <f t="shared" si="56"/>
        <v>6085.9166666666679</v>
      </c>
      <c r="P290" s="7">
        <f t="shared" si="57"/>
        <v>6084.1866488252845</v>
      </c>
      <c r="Q290" s="7">
        <f t="shared" si="58"/>
        <v>2686.8333333333335</v>
      </c>
      <c r="R290" s="7">
        <f t="shared" si="59"/>
        <v>2369.103315491951</v>
      </c>
      <c r="S290" s="7">
        <v>4282</v>
      </c>
      <c r="T290" s="7">
        <v>13433</v>
      </c>
      <c r="U290" s="7">
        <v>5779</v>
      </c>
      <c r="V290" s="7">
        <v>213845</v>
      </c>
      <c r="W290" s="7">
        <f t="shared" si="61"/>
        <v>203784</v>
      </c>
      <c r="X290" s="103">
        <f t="shared" si="62"/>
        <v>213845</v>
      </c>
      <c r="Y290" s="103"/>
      <c r="Z290" s="7">
        <v>139</v>
      </c>
      <c r="AB290" s="2">
        <v>0</v>
      </c>
      <c r="AC290" s="103">
        <v>175248</v>
      </c>
      <c r="AD290" s="103">
        <v>203784</v>
      </c>
      <c r="AE290" s="64">
        <f t="shared" si="63"/>
        <v>7.2970875559207526E-4</v>
      </c>
      <c r="AF290" s="64">
        <f t="shared" si="64"/>
        <v>0</v>
      </c>
      <c r="AG290" s="20">
        <f t="shared" si="65"/>
        <v>1.7300178413828788</v>
      </c>
      <c r="AH290" s="20">
        <f t="shared" si="66"/>
        <v>0</v>
      </c>
      <c r="AI290" s="22"/>
    </row>
    <row r="291" spans="1:35">
      <c r="A291" s="28">
        <v>45947</v>
      </c>
      <c r="B291" s="3">
        <v>81.75</v>
      </c>
      <c r="C291" s="3">
        <v>371</v>
      </c>
      <c r="D291" s="3">
        <v>93</v>
      </c>
      <c r="E291" s="6">
        <v>359.5</v>
      </c>
      <c r="F291" s="3">
        <v>428.91666666666669</v>
      </c>
      <c r="G291" s="3">
        <v>72.25</v>
      </c>
      <c r="H291" s="3">
        <v>68.583333333333329</v>
      </c>
      <c r="I291" s="3">
        <v>2613.166666666667</v>
      </c>
      <c r="J291" s="3">
        <v>132.58333333333334</v>
      </c>
      <c r="K291" s="3">
        <v>2025.5833333333335</v>
      </c>
      <c r="L291" s="3">
        <v>128.33333333333334</v>
      </c>
      <c r="M291" s="3">
        <v>307.25</v>
      </c>
      <c r="N291" s="107">
        <f t="shared" si="60"/>
        <v>7.8908222658350367</v>
      </c>
      <c r="O291" s="7">
        <f t="shared" si="56"/>
        <v>5746.0000000000009</v>
      </c>
      <c r="P291" s="7">
        <f t="shared" si="57"/>
        <v>5738.1091777341653</v>
      </c>
      <c r="Q291" s="7">
        <f t="shared" si="58"/>
        <v>2613.166666666667</v>
      </c>
      <c r="R291" s="7">
        <f t="shared" si="59"/>
        <v>2017.6925110674983</v>
      </c>
      <c r="S291" s="7">
        <v>4131</v>
      </c>
      <c r="T291" s="7">
        <v>13211</v>
      </c>
      <c r="U291" s="7">
        <v>5846</v>
      </c>
      <c r="V291" s="7">
        <v>214373</v>
      </c>
      <c r="W291" s="7">
        <f t="shared" si="61"/>
        <v>204396</v>
      </c>
      <c r="X291" s="103">
        <f t="shared" si="62"/>
        <v>214373</v>
      </c>
      <c r="Y291" s="103"/>
      <c r="Z291" s="7">
        <v>630</v>
      </c>
      <c r="AB291" s="2">
        <v>0</v>
      </c>
      <c r="AC291" s="103">
        <v>148784</v>
      </c>
      <c r="AD291" s="103">
        <v>204396</v>
      </c>
      <c r="AE291" s="64">
        <f t="shared" si="63"/>
        <v>3.8955801699107431E-3</v>
      </c>
      <c r="AF291" s="64">
        <f t="shared" si="64"/>
        <v>0</v>
      </c>
      <c r="AG291" s="20">
        <f t="shared" si="65"/>
        <v>7.8908222658350367</v>
      </c>
      <c r="AH291" s="20">
        <f t="shared" si="66"/>
        <v>0</v>
      </c>
      <c r="AI291" s="22"/>
    </row>
    <row r="292" spans="1:35">
      <c r="A292" s="28">
        <v>45948</v>
      </c>
      <c r="B292" s="3">
        <v>120</v>
      </c>
      <c r="C292" s="3">
        <v>314.58333333333331</v>
      </c>
      <c r="D292" s="3">
        <v>90.166666666666671</v>
      </c>
      <c r="E292" s="6">
        <v>345</v>
      </c>
      <c r="F292" s="3">
        <v>412.25</v>
      </c>
      <c r="G292" s="3">
        <v>0</v>
      </c>
      <c r="H292" s="3">
        <v>37.5</v>
      </c>
      <c r="I292" s="3">
        <v>2747</v>
      </c>
      <c r="J292" s="3">
        <v>130.41666666666669</v>
      </c>
      <c r="K292" s="3">
        <v>1767.1666666666663</v>
      </c>
      <c r="L292" s="3">
        <v>183</v>
      </c>
      <c r="M292" s="3">
        <v>281.66666666666669</v>
      </c>
      <c r="N292" s="107">
        <f t="shared" si="60"/>
        <v>0</v>
      </c>
      <c r="O292" s="7">
        <f t="shared" si="56"/>
        <v>5581.583333333333</v>
      </c>
      <c r="P292" s="7">
        <f t="shared" si="57"/>
        <v>5581.583333333333</v>
      </c>
      <c r="Q292" s="7">
        <f t="shared" si="58"/>
        <v>2747</v>
      </c>
      <c r="R292" s="7">
        <f t="shared" si="59"/>
        <v>1767.1666666666663</v>
      </c>
      <c r="S292" s="7">
        <v>3532</v>
      </c>
      <c r="T292" s="7">
        <v>15905</v>
      </c>
      <c r="U292" s="7">
        <v>4195</v>
      </c>
      <c r="V292" s="7">
        <v>216578</v>
      </c>
      <c r="W292" s="7">
        <f t="shared" si="61"/>
        <v>208851</v>
      </c>
      <c r="X292" s="103">
        <f t="shared" si="62"/>
        <v>216578</v>
      </c>
      <c r="Y292" s="103"/>
      <c r="Z292" s="7">
        <v>0</v>
      </c>
      <c r="AB292" s="2">
        <v>0</v>
      </c>
      <c r="AC292" s="103">
        <v>139944</v>
      </c>
      <c r="AD292" s="103">
        <v>208851</v>
      </c>
      <c r="AE292" s="64">
        <f t="shared" si="63"/>
        <v>0</v>
      </c>
      <c r="AF292" s="64">
        <f t="shared" si="64"/>
        <v>0</v>
      </c>
      <c r="AG292" s="20">
        <f t="shared" si="65"/>
        <v>0</v>
      </c>
      <c r="AH292" s="20">
        <f t="shared" si="66"/>
        <v>0</v>
      </c>
      <c r="AI292" s="22"/>
    </row>
    <row r="293" spans="1:35">
      <c r="A293" s="28">
        <v>45949</v>
      </c>
      <c r="B293" s="3">
        <v>62</v>
      </c>
      <c r="C293" s="3">
        <v>342.5</v>
      </c>
      <c r="D293" s="3">
        <v>71.916666666666657</v>
      </c>
      <c r="E293" s="6">
        <v>0</v>
      </c>
      <c r="F293" s="3">
        <v>235.25</v>
      </c>
      <c r="G293" s="3">
        <v>0</v>
      </c>
      <c r="H293" s="3">
        <v>37.5</v>
      </c>
      <c r="I293" s="3">
        <v>1844.583333333333</v>
      </c>
      <c r="J293" s="3">
        <v>126.91666666666667</v>
      </c>
      <c r="K293" s="3">
        <v>1210.8333333333335</v>
      </c>
      <c r="L293" s="3">
        <v>142.58333333333334</v>
      </c>
      <c r="M293" s="3">
        <v>287.25</v>
      </c>
      <c r="N293" s="107">
        <f t="shared" si="60"/>
        <v>0</v>
      </c>
      <c r="O293" s="7">
        <f t="shared" si="56"/>
        <v>3893.9999999999995</v>
      </c>
      <c r="P293" s="7">
        <f t="shared" si="57"/>
        <v>3893.9999999999995</v>
      </c>
      <c r="Q293" s="7">
        <f t="shared" si="58"/>
        <v>1844.583333333333</v>
      </c>
      <c r="R293" s="7">
        <f t="shared" si="59"/>
        <v>1210.8333333333335</v>
      </c>
      <c r="S293" s="7">
        <v>806</v>
      </c>
      <c r="T293" s="7">
        <v>5914</v>
      </c>
      <c r="U293" s="7">
        <v>4443</v>
      </c>
      <c r="V293" s="7">
        <v>153818</v>
      </c>
      <c r="W293" s="7">
        <f t="shared" si="61"/>
        <v>148569</v>
      </c>
      <c r="X293" s="103">
        <f t="shared" si="62"/>
        <v>153818</v>
      </c>
      <c r="Y293" s="103"/>
      <c r="Z293" s="7">
        <v>0</v>
      </c>
      <c r="AB293" s="2">
        <v>0</v>
      </c>
      <c r="AC293" s="103">
        <v>111545</v>
      </c>
      <c r="AD293" s="103">
        <v>148569</v>
      </c>
      <c r="AE293" s="64">
        <f t="shared" si="63"/>
        <v>0</v>
      </c>
      <c r="AF293" s="64">
        <f t="shared" si="64"/>
        <v>0</v>
      </c>
      <c r="AG293" s="20">
        <f t="shared" si="65"/>
        <v>0</v>
      </c>
      <c r="AH293" s="20">
        <f t="shared" si="66"/>
        <v>0</v>
      </c>
      <c r="AI293" s="22"/>
    </row>
    <row r="294" spans="1:35">
      <c r="A294" s="28">
        <v>45950</v>
      </c>
      <c r="B294" s="3">
        <v>90</v>
      </c>
      <c r="C294" s="3">
        <v>340.66666666666669</v>
      </c>
      <c r="D294" s="3">
        <v>93</v>
      </c>
      <c r="E294" s="6">
        <v>443.58333333333337</v>
      </c>
      <c r="F294" s="3">
        <v>395.91666666666669</v>
      </c>
      <c r="G294" s="3">
        <v>160.25</v>
      </c>
      <c r="H294" s="3">
        <v>69</v>
      </c>
      <c r="I294" s="3">
        <v>2561</v>
      </c>
      <c r="J294" s="3">
        <v>141.41666666666669</v>
      </c>
      <c r="K294" s="3">
        <v>1982.833333333333</v>
      </c>
      <c r="L294" s="3">
        <v>168</v>
      </c>
      <c r="M294" s="3">
        <v>332.58333333333337</v>
      </c>
      <c r="N294" s="107">
        <f t="shared" si="60"/>
        <v>0</v>
      </c>
      <c r="O294" s="7">
        <f t="shared" si="56"/>
        <v>5604.833333333333</v>
      </c>
      <c r="P294" s="7">
        <f t="shared" si="57"/>
        <v>5604.833333333333</v>
      </c>
      <c r="Q294" s="7">
        <f t="shared" si="58"/>
        <v>2561</v>
      </c>
      <c r="R294" s="7">
        <f t="shared" si="59"/>
        <v>1982.833333333333</v>
      </c>
      <c r="S294" s="7">
        <v>7230</v>
      </c>
      <c r="T294" s="7">
        <v>17460</v>
      </c>
      <c r="U294" s="7">
        <v>5362</v>
      </c>
      <c r="V294" s="7">
        <v>199107</v>
      </c>
      <c r="W294" s="7">
        <f t="shared" si="61"/>
        <v>186515</v>
      </c>
      <c r="X294" s="103">
        <f t="shared" si="62"/>
        <v>199107</v>
      </c>
      <c r="Y294" s="103"/>
      <c r="Z294" s="7">
        <v>0</v>
      </c>
      <c r="AB294" s="2">
        <v>0</v>
      </c>
      <c r="AC294" s="103">
        <v>159219</v>
      </c>
      <c r="AD294" s="103">
        <v>186515</v>
      </c>
      <c r="AE294" s="64">
        <f t="shared" si="63"/>
        <v>0</v>
      </c>
      <c r="AF294" s="64">
        <f t="shared" si="64"/>
        <v>0</v>
      </c>
      <c r="AG294" s="20">
        <f t="shared" ref="AG294:AG325" si="67">+AE294*K294</f>
        <v>0</v>
      </c>
      <c r="AH294" s="20">
        <f t="shared" ref="AH294:AH325" si="68">+AF294*I294</f>
        <v>0</v>
      </c>
      <c r="AI294" s="22"/>
    </row>
    <row r="295" spans="1:35">
      <c r="A295" s="28">
        <v>45951</v>
      </c>
      <c r="B295" s="3">
        <v>90</v>
      </c>
      <c r="C295" s="3">
        <v>442.25</v>
      </c>
      <c r="D295" s="3">
        <v>93</v>
      </c>
      <c r="E295" s="6">
        <v>483.66666666666663</v>
      </c>
      <c r="F295" s="3">
        <v>439.5</v>
      </c>
      <c r="G295" s="3">
        <v>162.83333333333334</v>
      </c>
      <c r="H295" s="3">
        <v>64</v>
      </c>
      <c r="I295" s="3">
        <v>2707.3333333333335</v>
      </c>
      <c r="J295" s="3">
        <v>157</v>
      </c>
      <c r="K295" s="3">
        <v>1893.25</v>
      </c>
      <c r="L295" s="3">
        <v>191.5</v>
      </c>
      <c r="M295" s="3">
        <v>333.83333333333337</v>
      </c>
      <c r="N295" s="107">
        <f t="shared" si="60"/>
        <v>0</v>
      </c>
      <c r="O295" s="7">
        <f t="shared" si="56"/>
        <v>5822.3333333333339</v>
      </c>
      <c r="P295" s="7">
        <f t="shared" si="57"/>
        <v>5822.3333333333339</v>
      </c>
      <c r="Q295" s="7">
        <f t="shared" si="58"/>
        <v>2707.3333333333335</v>
      </c>
      <c r="R295" s="7">
        <f t="shared" si="59"/>
        <v>1893.25</v>
      </c>
      <c r="S295" s="7">
        <v>6536</v>
      </c>
      <c r="T295" s="7">
        <v>17374</v>
      </c>
      <c r="U295" s="7">
        <v>4848</v>
      </c>
      <c r="V295" s="7">
        <v>215894</v>
      </c>
      <c r="W295" s="7">
        <f t="shared" si="61"/>
        <v>204510</v>
      </c>
      <c r="X295" s="103">
        <f t="shared" si="62"/>
        <v>215894</v>
      </c>
      <c r="Y295" s="103"/>
      <c r="Z295" s="7">
        <v>0</v>
      </c>
      <c r="AB295" s="2">
        <v>0</v>
      </c>
      <c r="AC295" s="103">
        <v>152775</v>
      </c>
      <c r="AD295" s="103">
        <v>204510</v>
      </c>
      <c r="AE295" s="64">
        <f t="shared" si="63"/>
        <v>0</v>
      </c>
      <c r="AF295" s="64">
        <f t="shared" si="64"/>
        <v>0</v>
      </c>
      <c r="AG295" s="20">
        <f t="shared" si="67"/>
        <v>0</v>
      </c>
      <c r="AH295" s="20">
        <f t="shared" si="68"/>
        <v>0</v>
      </c>
      <c r="AI295" s="22"/>
    </row>
    <row r="296" spans="1:35">
      <c r="A296" s="28">
        <v>45952</v>
      </c>
      <c r="B296" s="3">
        <v>97</v>
      </c>
      <c r="C296" s="3">
        <v>442.5</v>
      </c>
      <c r="D296" s="3">
        <v>92.416666666666671</v>
      </c>
      <c r="E296" s="6">
        <v>471.08333333333331</v>
      </c>
      <c r="F296" s="3">
        <v>432.5</v>
      </c>
      <c r="G296" s="3">
        <v>158.66666666666666</v>
      </c>
      <c r="H296" s="3">
        <v>62.666666666666657</v>
      </c>
      <c r="I296" s="3">
        <v>3011.0833333333335</v>
      </c>
      <c r="J296" s="3">
        <v>111.5</v>
      </c>
      <c r="K296" s="3">
        <v>1874.0000000000002</v>
      </c>
      <c r="L296" s="3">
        <v>123.41666666666669</v>
      </c>
      <c r="M296" s="3">
        <v>335.58333333333337</v>
      </c>
      <c r="N296" s="107">
        <f t="shared" si="60"/>
        <v>0</v>
      </c>
      <c r="O296" s="7">
        <f t="shared" si="56"/>
        <v>6061</v>
      </c>
      <c r="P296" s="7">
        <f t="shared" si="57"/>
        <v>6061</v>
      </c>
      <c r="Q296" s="7">
        <f t="shared" si="58"/>
        <v>3011.0833333333335</v>
      </c>
      <c r="R296" s="7">
        <f t="shared" si="59"/>
        <v>1874.0000000000002</v>
      </c>
      <c r="S296" s="7">
        <v>6530</v>
      </c>
      <c r="T296" s="7">
        <v>13674</v>
      </c>
      <c r="U296" s="7">
        <v>3984</v>
      </c>
      <c r="V296" s="7">
        <v>203954</v>
      </c>
      <c r="W296" s="7">
        <f t="shared" si="61"/>
        <v>193440</v>
      </c>
      <c r="X296" s="103">
        <f t="shared" si="62"/>
        <v>203954</v>
      </c>
      <c r="Y296" s="103"/>
      <c r="Z296" s="7">
        <v>0</v>
      </c>
      <c r="AB296" s="2">
        <v>0</v>
      </c>
      <c r="AC296" s="103">
        <v>151971</v>
      </c>
      <c r="AD296" s="103">
        <v>193440</v>
      </c>
      <c r="AE296" s="64">
        <f t="shared" si="63"/>
        <v>0</v>
      </c>
      <c r="AF296" s="64">
        <f t="shared" si="64"/>
        <v>0</v>
      </c>
      <c r="AG296" s="20">
        <f t="shared" si="67"/>
        <v>0</v>
      </c>
      <c r="AH296" s="20">
        <f t="shared" si="68"/>
        <v>0</v>
      </c>
      <c r="AI296" s="22"/>
    </row>
    <row r="297" spans="1:35">
      <c r="A297" s="28">
        <v>45953</v>
      </c>
      <c r="B297" s="3">
        <v>120</v>
      </c>
      <c r="C297" s="3">
        <v>422.75</v>
      </c>
      <c r="D297" s="3">
        <v>86.583333333333329</v>
      </c>
      <c r="E297" s="6">
        <v>493.58333333333326</v>
      </c>
      <c r="F297" s="3">
        <v>379.16666666666669</v>
      </c>
      <c r="G297" s="3">
        <v>161.91666666666669</v>
      </c>
      <c r="H297" s="3">
        <v>78.666666666666657</v>
      </c>
      <c r="I297" s="3">
        <v>3002.583333333333</v>
      </c>
      <c r="J297" s="3">
        <v>156.5</v>
      </c>
      <c r="K297" s="3">
        <v>1832.25</v>
      </c>
      <c r="L297" s="3">
        <v>123.5</v>
      </c>
      <c r="M297" s="3">
        <v>340</v>
      </c>
      <c r="N297" s="107">
        <f t="shared" si="60"/>
        <v>0</v>
      </c>
      <c r="O297" s="7">
        <f t="shared" si="56"/>
        <v>5999.833333333333</v>
      </c>
      <c r="P297" s="7">
        <f t="shared" si="57"/>
        <v>5999.833333333333</v>
      </c>
      <c r="Q297" s="7">
        <f t="shared" si="58"/>
        <v>3002.583333333333</v>
      </c>
      <c r="R297" s="7">
        <f t="shared" si="59"/>
        <v>1832.25</v>
      </c>
      <c r="S297" s="7">
        <v>5925</v>
      </c>
      <c r="T297" s="7">
        <v>17647</v>
      </c>
      <c r="U297" s="7">
        <v>5947</v>
      </c>
      <c r="V297" s="7">
        <v>212985</v>
      </c>
      <c r="W297" s="7">
        <f t="shared" si="61"/>
        <v>201113</v>
      </c>
      <c r="X297" s="103">
        <f t="shared" si="62"/>
        <v>212985</v>
      </c>
      <c r="Y297" s="103"/>
      <c r="Z297" s="7">
        <v>0</v>
      </c>
      <c r="AB297" s="2">
        <v>0</v>
      </c>
      <c r="AC297" s="103">
        <v>150861</v>
      </c>
      <c r="AD297" s="103">
        <v>201113</v>
      </c>
      <c r="AE297" s="64">
        <f t="shared" si="63"/>
        <v>0</v>
      </c>
      <c r="AF297" s="64">
        <f t="shared" si="64"/>
        <v>0</v>
      </c>
      <c r="AG297" s="20">
        <f t="shared" si="67"/>
        <v>0</v>
      </c>
      <c r="AH297" s="20">
        <f t="shared" si="68"/>
        <v>0</v>
      </c>
      <c r="AI297" s="22"/>
    </row>
    <row r="298" spans="1:35">
      <c r="A298" s="28">
        <v>45954</v>
      </c>
      <c r="B298" s="3">
        <v>120</v>
      </c>
      <c r="C298" s="3">
        <v>407.25</v>
      </c>
      <c r="D298" s="3">
        <v>74.583333333333343</v>
      </c>
      <c r="E298" s="6">
        <v>462</v>
      </c>
      <c r="F298" s="3">
        <v>361.49999999999994</v>
      </c>
      <c r="G298" s="3">
        <v>139.66666666666666</v>
      </c>
      <c r="H298" s="3">
        <v>74.833333333333329</v>
      </c>
      <c r="I298" s="3">
        <v>2854.4166666666674</v>
      </c>
      <c r="J298" s="3">
        <v>143.75</v>
      </c>
      <c r="K298" s="3">
        <v>1818.6666666666665</v>
      </c>
      <c r="L298" s="3">
        <v>134</v>
      </c>
      <c r="M298" s="3">
        <v>326.66666666666663</v>
      </c>
      <c r="N298" s="107">
        <f t="shared" si="60"/>
        <v>0</v>
      </c>
      <c r="O298" s="7">
        <f t="shared" si="56"/>
        <v>5780.1666666666679</v>
      </c>
      <c r="P298" s="7">
        <f t="shared" si="57"/>
        <v>5780.1666666666679</v>
      </c>
      <c r="Q298" s="7">
        <f t="shared" si="58"/>
        <v>2854.4166666666674</v>
      </c>
      <c r="R298" s="7">
        <f t="shared" si="59"/>
        <v>1818.6666666666665</v>
      </c>
      <c r="S298" s="7">
        <v>6476</v>
      </c>
      <c r="T298" s="7">
        <v>15530</v>
      </c>
      <c r="U298" s="7">
        <v>4191</v>
      </c>
      <c r="V298" s="7">
        <v>197455</v>
      </c>
      <c r="W298" s="7">
        <f t="shared" si="61"/>
        <v>186788</v>
      </c>
      <c r="X298" s="103">
        <f t="shared" si="62"/>
        <v>197455</v>
      </c>
      <c r="Y298" s="103"/>
      <c r="Z298" s="7">
        <v>0</v>
      </c>
      <c r="AB298" s="2">
        <v>0</v>
      </c>
      <c r="AC298" s="103">
        <v>144865</v>
      </c>
      <c r="AD298" s="103">
        <v>186788</v>
      </c>
      <c r="AE298" s="64">
        <f t="shared" si="63"/>
        <v>0</v>
      </c>
      <c r="AF298" s="64">
        <f t="shared" si="64"/>
        <v>0</v>
      </c>
      <c r="AG298" s="20">
        <f t="shared" si="67"/>
        <v>0</v>
      </c>
      <c r="AH298" s="20">
        <f t="shared" si="68"/>
        <v>0</v>
      </c>
      <c r="AI298" s="22"/>
    </row>
    <row r="299" spans="1:35">
      <c r="A299" s="28">
        <v>45955</v>
      </c>
      <c r="B299" s="3">
        <v>67.166666666666657</v>
      </c>
      <c r="C299" s="3">
        <v>157.49999999999997</v>
      </c>
      <c r="D299" s="3">
        <v>44.25</v>
      </c>
      <c r="E299" s="6">
        <v>414.66666666666674</v>
      </c>
      <c r="F299" s="3">
        <v>270</v>
      </c>
      <c r="G299" s="3">
        <v>5.333333333333333</v>
      </c>
      <c r="H299" s="3">
        <v>30</v>
      </c>
      <c r="I299" s="3">
        <v>1892.4999999999998</v>
      </c>
      <c r="J299" s="3">
        <v>75</v>
      </c>
      <c r="K299" s="3">
        <v>1221.75</v>
      </c>
      <c r="L299" s="3">
        <v>195</v>
      </c>
      <c r="M299" s="3">
        <v>171.08333333333334</v>
      </c>
      <c r="N299" s="107">
        <f t="shared" si="60"/>
        <v>0</v>
      </c>
      <c r="O299" s="7">
        <f t="shared" si="56"/>
        <v>3728.1666666666665</v>
      </c>
      <c r="P299" s="7">
        <f t="shared" si="57"/>
        <v>3728.1666666666665</v>
      </c>
      <c r="Q299" s="7">
        <f t="shared" si="58"/>
        <v>1892.4999999999998</v>
      </c>
      <c r="R299" s="7">
        <f t="shared" si="59"/>
        <v>1221.75</v>
      </c>
      <c r="S299" s="7">
        <v>1805</v>
      </c>
      <c r="T299" s="7">
        <v>7009</v>
      </c>
      <c r="U299" s="7">
        <v>3439</v>
      </c>
      <c r="V299" s="7">
        <v>145735</v>
      </c>
      <c r="W299" s="7">
        <f t="shared" si="61"/>
        <v>140491</v>
      </c>
      <c r="X299" s="103">
        <f t="shared" si="62"/>
        <v>145735</v>
      </c>
      <c r="Y299" s="103"/>
      <c r="Z299" s="7">
        <v>0</v>
      </c>
      <c r="AB299" s="2">
        <v>0</v>
      </c>
      <c r="AC299" s="103">
        <v>99281</v>
      </c>
      <c r="AD299" s="103">
        <v>140491</v>
      </c>
      <c r="AE299" s="64">
        <f t="shared" si="63"/>
        <v>0</v>
      </c>
      <c r="AF299" s="64">
        <f t="shared" si="64"/>
        <v>0</v>
      </c>
      <c r="AG299" s="20">
        <f t="shared" si="67"/>
        <v>0</v>
      </c>
      <c r="AH299" s="20">
        <f t="shared" si="68"/>
        <v>0</v>
      </c>
      <c r="AI299" s="22"/>
    </row>
    <row r="300" spans="1:35">
      <c r="A300" s="28">
        <v>45956</v>
      </c>
      <c r="B300" s="3"/>
      <c r="C300" s="3">
        <v>252.25</v>
      </c>
      <c r="D300" s="3">
        <v>29.416666666666664</v>
      </c>
      <c r="E300" s="6">
        <v>0</v>
      </c>
      <c r="F300" s="3">
        <v>178.41666666666666</v>
      </c>
      <c r="G300" s="3">
        <v>0</v>
      </c>
      <c r="H300" s="3">
        <v>15</v>
      </c>
      <c r="I300" s="3">
        <v>1438.5833333333335</v>
      </c>
      <c r="J300" s="3">
        <v>60</v>
      </c>
      <c r="K300" s="3">
        <v>988.83333333333348</v>
      </c>
      <c r="L300" s="3">
        <v>0</v>
      </c>
      <c r="M300" s="3">
        <v>131.5</v>
      </c>
      <c r="N300" s="107">
        <f t="shared" si="60"/>
        <v>0</v>
      </c>
      <c r="O300" s="7">
        <f t="shared" si="56"/>
        <v>2947.5000000000005</v>
      </c>
      <c r="P300" s="7">
        <f t="shared" si="57"/>
        <v>2947.5000000000005</v>
      </c>
      <c r="Q300" s="7">
        <f t="shared" si="58"/>
        <v>1438.5833333333335</v>
      </c>
      <c r="R300" s="7">
        <f t="shared" si="59"/>
        <v>988.83333333333348</v>
      </c>
      <c r="S300" s="7">
        <v>271</v>
      </c>
      <c r="T300" s="7">
        <v>4404</v>
      </c>
      <c r="U300" s="7">
        <v>2094</v>
      </c>
      <c r="V300" s="7">
        <v>112433</v>
      </c>
      <c r="W300" s="7">
        <f t="shared" si="61"/>
        <v>110068</v>
      </c>
      <c r="X300" s="103">
        <f t="shared" si="62"/>
        <v>112433</v>
      </c>
      <c r="Y300" s="103"/>
      <c r="Z300" s="7">
        <v>0</v>
      </c>
      <c r="AB300" s="2">
        <v>0</v>
      </c>
      <c r="AC300" s="103">
        <v>81435</v>
      </c>
      <c r="AD300" s="103">
        <v>110068</v>
      </c>
      <c r="AE300" s="64">
        <f t="shared" si="63"/>
        <v>0</v>
      </c>
      <c r="AF300" s="64">
        <f t="shared" si="64"/>
        <v>0</v>
      </c>
      <c r="AG300" s="20">
        <f t="shared" si="67"/>
        <v>0</v>
      </c>
      <c r="AH300" s="20">
        <f t="shared" si="68"/>
        <v>0</v>
      </c>
      <c r="AI300" s="22"/>
    </row>
    <row r="301" spans="1:35">
      <c r="A301" s="28">
        <v>45957</v>
      </c>
      <c r="B301" s="2">
        <v>184</v>
      </c>
      <c r="C301" s="2">
        <v>327.58333333333331</v>
      </c>
      <c r="D301" s="2">
        <v>85.5</v>
      </c>
      <c r="E301" s="6">
        <v>375</v>
      </c>
      <c r="F301" s="2">
        <v>370.5</v>
      </c>
      <c r="G301" s="2">
        <v>158.66666666666669</v>
      </c>
      <c r="H301" s="2">
        <v>63</v>
      </c>
      <c r="I301" s="2">
        <v>3049.833333333333</v>
      </c>
      <c r="J301" s="2">
        <v>135</v>
      </c>
      <c r="K301" s="2">
        <v>2293.25</v>
      </c>
      <c r="L301" s="2">
        <v>196.83333333333331</v>
      </c>
      <c r="M301" s="3">
        <v>338.41666666666669</v>
      </c>
      <c r="N301" s="107">
        <f t="shared" si="60"/>
        <v>0</v>
      </c>
      <c r="O301" s="7">
        <f t="shared" si="56"/>
        <v>6445.6666666666661</v>
      </c>
      <c r="P301" s="7">
        <f t="shared" si="57"/>
        <v>6445.6666666666661</v>
      </c>
      <c r="Q301" s="7">
        <f t="shared" si="58"/>
        <v>3049.833333333333</v>
      </c>
      <c r="R301" s="7">
        <f t="shared" si="59"/>
        <v>2293.25</v>
      </c>
      <c r="S301" s="7">
        <v>7459</v>
      </c>
      <c r="T301" s="7">
        <v>15722</v>
      </c>
      <c r="U301" s="7">
        <v>4060</v>
      </c>
      <c r="V301" s="7">
        <v>196571</v>
      </c>
      <c r="W301" s="7">
        <f t="shared" si="61"/>
        <v>185052</v>
      </c>
      <c r="X301" s="103">
        <f t="shared" si="62"/>
        <v>196571</v>
      </c>
      <c r="Y301" s="103"/>
      <c r="Z301" s="7">
        <v>0</v>
      </c>
      <c r="AB301" s="2">
        <v>0</v>
      </c>
      <c r="AC301" s="103">
        <v>184895</v>
      </c>
      <c r="AD301" s="103">
        <v>185052</v>
      </c>
      <c r="AE301" s="64">
        <f t="shared" si="63"/>
        <v>0</v>
      </c>
      <c r="AF301" s="64">
        <f t="shared" si="64"/>
        <v>0</v>
      </c>
      <c r="AG301" s="20">
        <f t="shared" si="67"/>
        <v>0</v>
      </c>
      <c r="AH301" s="20">
        <f t="shared" si="68"/>
        <v>0</v>
      </c>
      <c r="AI301" s="22"/>
    </row>
    <row r="302" spans="1:35">
      <c r="A302" s="28">
        <v>45958</v>
      </c>
      <c r="B302" s="2">
        <v>173.66666666666669</v>
      </c>
      <c r="C302" s="2">
        <v>417</v>
      </c>
      <c r="D302" s="2">
        <v>82.5</v>
      </c>
      <c r="E302" s="6">
        <v>336.41666666666663</v>
      </c>
      <c r="F302" s="2">
        <v>379</v>
      </c>
      <c r="G302" s="2">
        <v>111.50000000000001</v>
      </c>
      <c r="H302" s="2">
        <v>54</v>
      </c>
      <c r="I302" s="2">
        <v>3047.5</v>
      </c>
      <c r="J302" s="2">
        <v>135</v>
      </c>
      <c r="K302" s="2">
        <v>1889.6666666666665</v>
      </c>
      <c r="L302" s="2">
        <v>193</v>
      </c>
      <c r="M302" s="3">
        <v>328.25</v>
      </c>
      <c r="N302" s="107">
        <f t="shared" si="60"/>
        <v>0</v>
      </c>
      <c r="O302" s="7">
        <f t="shared" si="56"/>
        <v>6124.3333333333339</v>
      </c>
      <c r="P302" s="7">
        <f t="shared" si="57"/>
        <v>6124.3333333333339</v>
      </c>
      <c r="Q302" s="7">
        <f t="shared" si="58"/>
        <v>3047.5</v>
      </c>
      <c r="R302" s="7">
        <f t="shared" si="59"/>
        <v>1889.6666666666665</v>
      </c>
      <c r="S302" s="7">
        <v>5385</v>
      </c>
      <c r="T302" s="7">
        <v>12128</v>
      </c>
      <c r="U302" s="7">
        <v>4264</v>
      </c>
      <c r="V302" s="7">
        <v>202583</v>
      </c>
      <c r="W302" s="7">
        <f t="shared" si="61"/>
        <v>192934</v>
      </c>
      <c r="X302" s="103">
        <f t="shared" si="62"/>
        <v>202583</v>
      </c>
      <c r="Y302" s="103"/>
      <c r="Z302" s="7">
        <v>0</v>
      </c>
      <c r="AB302" s="2">
        <v>0</v>
      </c>
      <c r="AC302" s="103">
        <v>150273</v>
      </c>
      <c r="AD302" s="103">
        <v>192934</v>
      </c>
      <c r="AE302" s="64">
        <f t="shared" si="63"/>
        <v>0</v>
      </c>
      <c r="AF302" s="64">
        <f t="shared" si="64"/>
        <v>0</v>
      </c>
      <c r="AG302" s="20">
        <f t="shared" si="67"/>
        <v>0</v>
      </c>
      <c r="AH302" s="20">
        <f t="shared" si="68"/>
        <v>0</v>
      </c>
      <c r="AI302" s="22"/>
    </row>
    <row r="303" spans="1:35">
      <c r="A303" s="28">
        <v>45959</v>
      </c>
      <c r="B303" s="2">
        <v>172.16666666666666</v>
      </c>
      <c r="C303" s="2">
        <v>290.08333333333331</v>
      </c>
      <c r="D303" s="2">
        <v>82.5</v>
      </c>
      <c r="E303" s="6">
        <v>300.5</v>
      </c>
      <c r="F303" s="2">
        <v>442.5</v>
      </c>
      <c r="G303" s="2">
        <v>48.25</v>
      </c>
      <c r="H303" s="2">
        <v>30</v>
      </c>
      <c r="I303" s="2">
        <v>2712.8333333333335</v>
      </c>
      <c r="J303" s="2">
        <v>135</v>
      </c>
      <c r="K303" s="2">
        <v>2209.166666666667</v>
      </c>
      <c r="L303" s="2">
        <v>150</v>
      </c>
      <c r="M303" s="3">
        <v>310.75</v>
      </c>
      <c r="N303" s="107">
        <f t="shared" si="60"/>
        <v>341.70964895100241</v>
      </c>
      <c r="O303" s="7">
        <f t="shared" si="56"/>
        <v>6044.25</v>
      </c>
      <c r="P303" s="7">
        <f t="shared" si="57"/>
        <v>5702.5403510489978</v>
      </c>
      <c r="Q303" s="7">
        <f t="shared" si="58"/>
        <v>2712.8333333333335</v>
      </c>
      <c r="R303" s="7">
        <f t="shared" si="59"/>
        <v>1867.4570177156645</v>
      </c>
      <c r="S303" s="7">
        <v>6847</v>
      </c>
      <c r="T303" s="7">
        <v>14688</v>
      </c>
      <c r="U303" s="7">
        <v>4477</v>
      </c>
      <c r="V303" s="7">
        <v>211064</v>
      </c>
      <c r="W303" s="7">
        <f t="shared" si="61"/>
        <v>199740</v>
      </c>
      <c r="X303" s="103">
        <f t="shared" si="62"/>
        <v>211064</v>
      </c>
      <c r="Y303" s="103"/>
      <c r="Z303" s="7">
        <v>38629</v>
      </c>
      <c r="AB303" s="2">
        <v>0</v>
      </c>
      <c r="AC303" s="103">
        <v>229759</v>
      </c>
      <c r="AD303" s="103">
        <v>199740</v>
      </c>
      <c r="AE303" s="64">
        <f t="shared" si="63"/>
        <v>0.15467807572282263</v>
      </c>
      <c r="AF303" s="64">
        <f t="shared" si="64"/>
        <v>0</v>
      </c>
      <c r="AG303" s="20">
        <f t="shared" si="67"/>
        <v>341.70964895100241</v>
      </c>
      <c r="AH303" s="20">
        <f t="shared" si="68"/>
        <v>0</v>
      </c>
      <c r="AI303" s="22"/>
    </row>
    <row r="304" spans="1:35">
      <c r="A304" s="28">
        <v>45960</v>
      </c>
      <c r="B304" s="2">
        <v>100</v>
      </c>
      <c r="C304" s="2">
        <v>563.41666666666674</v>
      </c>
      <c r="D304" s="2">
        <v>78</v>
      </c>
      <c r="E304" s="6">
        <v>455.75</v>
      </c>
      <c r="F304" s="2">
        <v>261.83333333333337</v>
      </c>
      <c r="G304" s="2">
        <v>156.16666666666669</v>
      </c>
      <c r="H304" s="2">
        <v>70.5</v>
      </c>
      <c r="I304" s="2">
        <v>2493.25</v>
      </c>
      <c r="J304" s="2">
        <v>127.5</v>
      </c>
      <c r="K304" s="2">
        <v>2213.4166666666665</v>
      </c>
      <c r="L304" s="2">
        <v>199</v>
      </c>
      <c r="M304" s="3">
        <v>315.91666666666663</v>
      </c>
      <c r="N304" s="107">
        <f t="shared" si="60"/>
        <v>603.64139114233546</v>
      </c>
      <c r="O304" s="7">
        <f t="shared" si="56"/>
        <v>5837.4166666666661</v>
      </c>
      <c r="P304" s="7">
        <f t="shared" si="57"/>
        <v>5233.7752755243309</v>
      </c>
      <c r="Q304" s="7">
        <f t="shared" si="58"/>
        <v>2493.25</v>
      </c>
      <c r="R304" s="7">
        <f t="shared" si="59"/>
        <v>1609.7752755243309</v>
      </c>
      <c r="S304" s="7">
        <v>4057</v>
      </c>
      <c r="T304" s="7">
        <v>11201</v>
      </c>
      <c r="U304" s="7">
        <v>4227</v>
      </c>
      <c r="V304" s="7">
        <v>174986</v>
      </c>
      <c r="W304" s="7">
        <f t="shared" si="61"/>
        <v>166702</v>
      </c>
      <c r="X304" s="103">
        <f t="shared" si="62"/>
        <v>174986</v>
      </c>
      <c r="Y304" s="103"/>
      <c r="Z304" s="7">
        <v>82363</v>
      </c>
      <c r="AB304" s="2">
        <v>0</v>
      </c>
      <c r="AC304" s="103">
        <v>277846</v>
      </c>
      <c r="AD304" s="103">
        <v>166702</v>
      </c>
      <c r="AE304" s="64">
        <f t="shared" si="63"/>
        <v>0.27271927614577862</v>
      </c>
      <c r="AF304" s="64">
        <f t="shared" si="64"/>
        <v>0</v>
      </c>
      <c r="AG304" s="20">
        <f t="shared" si="67"/>
        <v>603.64139114233546</v>
      </c>
      <c r="AH304" s="20">
        <f t="shared" si="68"/>
        <v>0</v>
      </c>
      <c r="AI304" s="22"/>
    </row>
    <row r="305" spans="1:35">
      <c r="A305" s="28">
        <v>45961</v>
      </c>
      <c r="B305" s="2">
        <v>120</v>
      </c>
      <c r="C305" s="2">
        <v>910</v>
      </c>
      <c r="D305" s="2">
        <v>78</v>
      </c>
      <c r="E305" s="6">
        <v>428.99999999999994</v>
      </c>
      <c r="F305" s="2">
        <v>322.24999999999994</v>
      </c>
      <c r="G305" s="2">
        <v>160.75</v>
      </c>
      <c r="H305" s="2">
        <v>51.000000000000007</v>
      </c>
      <c r="I305" s="2">
        <v>2495.9166666666665</v>
      </c>
      <c r="J305" s="2">
        <v>135</v>
      </c>
      <c r="K305" s="2">
        <v>2408.083333333333</v>
      </c>
      <c r="L305" s="2">
        <v>196.08333333333331</v>
      </c>
      <c r="M305" s="3">
        <v>318.58333333333331</v>
      </c>
      <c r="N305" s="107">
        <f t="shared" si="60"/>
        <v>646.3293631392155</v>
      </c>
      <c r="O305" s="7">
        <f t="shared" si="56"/>
        <v>6469.25</v>
      </c>
      <c r="P305" s="7">
        <f t="shared" si="57"/>
        <v>5822.9206368607838</v>
      </c>
      <c r="Q305" s="7">
        <f t="shared" si="58"/>
        <v>2495.9166666666665</v>
      </c>
      <c r="R305" s="7">
        <f t="shared" si="59"/>
        <v>1761.7539701941175</v>
      </c>
      <c r="S305" s="7">
        <v>5464</v>
      </c>
      <c r="T305" s="7">
        <v>11370</v>
      </c>
      <c r="U305" s="7">
        <v>3123</v>
      </c>
      <c r="V305" s="7">
        <v>156181</v>
      </c>
      <c r="W305" s="7">
        <f t="shared" si="61"/>
        <v>147594</v>
      </c>
      <c r="X305" s="103">
        <f t="shared" si="62"/>
        <v>156181</v>
      </c>
      <c r="Y305" s="103"/>
      <c r="Z305" s="7">
        <v>81462</v>
      </c>
      <c r="AB305" s="2">
        <v>0</v>
      </c>
      <c r="AC305" s="103">
        <v>279229</v>
      </c>
      <c r="AD305" s="103">
        <v>147594</v>
      </c>
      <c r="AE305" s="64">
        <f t="shared" si="63"/>
        <v>0.26839991548155817</v>
      </c>
      <c r="AF305" s="64">
        <f t="shared" si="64"/>
        <v>0</v>
      </c>
      <c r="AG305" s="20">
        <f t="shared" si="67"/>
        <v>646.3293631392155</v>
      </c>
      <c r="AH305" s="20">
        <f t="shared" si="68"/>
        <v>0</v>
      </c>
      <c r="AI305" s="22"/>
    </row>
    <row r="306" spans="1:35">
      <c r="A306" s="28">
        <v>45962</v>
      </c>
      <c r="B306" s="2">
        <v>145</v>
      </c>
      <c r="C306" s="2">
        <v>663.41666666666674</v>
      </c>
      <c r="D306" s="2">
        <v>34.916666666666671</v>
      </c>
      <c r="E306" s="6">
        <v>429</v>
      </c>
      <c r="F306" s="2">
        <v>199</v>
      </c>
      <c r="G306" s="2">
        <v>0</v>
      </c>
      <c r="H306" s="2">
        <v>30</v>
      </c>
      <c r="I306" s="2">
        <v>1248.9166666666667</v>
      </c>
      <c r="J306" s="2">
        <v>60</v>
      </c>
      <c r="K306" s="2">
        <v>1270.5833333333335</v>
      </c>
      <c r="L306" s="2">
        <v>180</v>
      </c>
      <c r="M306" s="3">
        <v>179.75</v>
      </c>
      <c r="N306" s="107">
        <f t="shared" si="60"/>
        <v>319.57293461147157</v>
      </c>
      <c r="O306" s="7">
        <f t="shared" si="56"/>
        <v>3621.8333333333335</v>
      </c>
      <c r="P306" s="7">
        <f t="shared" si="57"/>
        <v>3302.2603987218617</v>
      </c>
      <c r="Q306" s="7">
        <f t="shared" si="58"/>
        <v>1248.9166666666667</v>
      </c>
      <c r="R306" s="7">
        <f t="shared" si="59"/>
        <v>951.01039872186197</v>
      </c>
      <c r="S306" s="7">
        <v>1872</v>
      </c>
      <c r="T306" s="7">
        <v>6431</v>
      </c>
      <c r="U306" s="7">
        <v>2664</v>
      </c>
      <c r="V306" s="7">
        <v>99474</v>
      </c>
      <c r="W306" s="7">
        <f t="shared" si="61"/>
        <v>94938</v>
      </c>
      <c r="X306" s="103">
        <f t="shared" si="62"/>
        <v>99474</v>
      </c>
      <c r="Y306" s="103"/>
      <c r="Z306" s="7">
        <v>47114</v>
      </c>
      <c r="AB306" s="2">
        <v>0</v>
      </c>
      <c r="AC306" s="103">
        <v>172334</v>
      </c>
      <c r="AD306" s="103">
        <v>94938</v>
      </c>
      <c r="AE306" s="64">
        <f t="shared" si="63"/>
        <v>0.2515167059315051</v>
      </c>
      <c r="AF306" s="64">
        <f t="shared" si="64"/>
        <v>0</v>
      </c>
      <c r="AG306" s="20">
        <f t="shared" si="67"/>
        <v>319.57293461147157</v>
      </c>
      <c r="AH306" s="20">
        <f t="shared" si="68"/>
        <v>0</v>
      </c>
      <c r="AI306" s="22"/>
    </row>
    <row r="307" spans="1:35">
      <c r="A307" s="28">
        <v>45963</v>
      </c>
      <c r="B307" s="2"/>
      <c r="C307" s="2">
        <v>157.5</v>
      </c>
      <c r="D307" s="2">
        <v>52.5</v>
      </c>
      <c r="E307" s="6">
        <v>0</v>
      </c>
      <c r="F307" s="2">
        <v>154.91666666666669</v>
      </c>
      <c r="G307" s="2">
        <v>0</v>
      </c>
      <c r="H307" s="2">
        <v>7.5</v>
      </c>
      <c r="I307" s="2">
        <v>1163.5833333333335</v>
      </c>
      <c r="J307" s="2">
        <v>67.5</v>
      </c>
      <c r="K307" s="2">
        <v>629.5</v>
      </c>
      <c r="L307" s="2">
        <v>0</v>
      </c>
      <c r="M307" s="3">
        <v>127.5</v>
      </c>
      <c r="N307" s="107">
        <f t="shared" si="60"/>
        <v>0</v>
      </c>
      <c r="O307" s="7">
        <f t="shared" si="56"/>
        <v>2225.5</v>
      </c>
      <c r="P307" s="7">
        <f t="shared" si="57"/>
        <v>2225.5</v>
      </c>
      <c r="Q307" s="7">
        <f t="shared" si="58"/>
        <v>1163.5833333333335</v>
      </c>
      <c r="R307" s="7">
        <f t="shared" si="59"/>
        <v>629.5</v>
      </c>
      <c r="S307" s="7">
        <v>1259</v>
      </c>
      <c r="T307" s="7">
        <v>4210</v>
      </c>
      <c r="U307" s="7">
        <v>1685</v>
      </c>
      <c r="V307" s="7">
        <v>84537</v>
      </c>
      <c r="W307" s="7">
        <f t="shared" si="61"/>
        <v>81593</v>
      </c>
      <c r="X307" s="103">
        <f t="shared" si="62"/>
        <v>84537</v>
      </c>
      <c r="Y307" s="103"/>
      <c r="Z307" s="7">
        <v>0</v>
      </c>
      <c r="AB307" s="2">
        <v>0</v>
      </c>
      <c r="AC307" s="103">
        <v>63453</v>
      </c>
      <c r="AD307" s="103">
        <v>81593</v>
      </c>
      <c r="AE307" s="64">
        <f t="shared" si="63"/>
        <v>0</v>
      </c>
      <c r="AF307" s="64">
        <f t="shared" si="64"/>
        <v>0</v>
      </c>
      <c r="AG307" s="20">
        <f t="shared" si="67"/>
        <v>0</v>
      </c>
      <c r="AH307" s="20">
        <f t="shared" si="68"/>
        <v>0</v>
      </c>
      <c r="AI307" s="22"/>
    </row>
    <row r="308" spans="1:35">
      <c r="A308" s="28">
        <v>45964</v>
      </c>
      <c r="B308" s="3">
        <v>140</v>
      </c>
      <c r="C308" s="3">
        <v>1032</v>
      </c>
      <c r="D308" s="3">
        <v>96</v>
      </c>
      <c r="E308" s="6">
        <v>476.50000000000006</v>
      </c>
      <c r="F308" s="3">
        <v>350</v>
      </c>
      <c r="G308" s="3">
        <v>176.66666666666669</v>
      </c>
      <c r="H308" s="3">
        <v>55.5</v>
      </c>
      <c r="I308" s="3">
        <v>2305.416666666667</v>
      </c>
      <c r="J308" s="3">
        <v>150</v>
      </c>
      <c r="K308" s="3">
        <v>2375.916666666667</v>
      </c>
      <c r="L308" s="3">
        <v>132.16666666666669</v>
      </c>
      <c r="M308" s="3">
        <v>318.25</v>
      </c>
      <c r="N308" s="107">
        <f t="shared" si="60"/>
        <v>2.5094806472448417</v>
      </c>
      <c r="O308" s="7">
        <f t="shared" si="56"/>
        <v>6449.3333333333339</v>
      </c>
      <c r="P308" s="7">
        <f t="shared" si="57"/>
        <v>6446.8238526860896</v>
      </c>
      <c r="Q308" s="7">
        <f t="shared" si="58"/>
        <v>2305.416666666667</v>
      </c>
      <c r="R308" s="7">
        <f t="shared" si="59"/>
        <v>2373.4071860194222</v>
      </c>
      <c r="S308" s="7">
        <v>12988</v>
      </c>
      <c r="T308" s="7">
        <v>17639</v>
      </c>
      <c r="U308" s="7">
        <v>2859</v>
      </c>
      <c r="V308" s="7">
        <v>158534</v>
      </c>
      <c r="W308" s="7">
        <f t="shared" si="61"/>
        <v>142687</v>
      </c>
      <c r="X308" s="103">
        <f t="shared" si="62"/>
        <v>158534</v>
      </c>
      <c r="Y308" s="103"/>
      <c r="Z308" s="7">
        <v>205</v>
      </c>
      <c r="AB308" s="2">
        <v>0</v>
      </c>
      <c r="AC308" s="103">
        <v>178562</v>
      </c>
      <c r="AD308" s="103">
        <v>142687</v>
      </c>
      <c r="AE308" s="64">
        <f t="shared" si="63"/>
        <v>1.0562157681925607E-3</v>
      </c>
      <c r="AF308" s="64">
        <f t="shared" si="64"/>
        <v>0</v>
      </c>
      <c r="AG308" s="20">
        <f t="shared" si="67"/>
        <v>2.5094806472448417</v>
      </c>
      <c r="AH308" s="20">
        <f t="shared" si="68"/>
        <v>0</v>
      </c>
      <c r="AI308" s="22"/>
    </row>
    <row r="309" spans="1:35">
      <c r="A309" s="28">
        <v>45965</v>
      </c>
      <c r="B309" s="3">
        <v>120</v>
      </c>
      <c r="C309" s="3">
        <v>983.58333333333348</v>
      </c>
      <c r="D309" s="3">
        <v>90.916666666666671</v>
      </c>
      <c r="E309" s="6">
        <v>489.16666666666674</v>
      </c>
      <c r="F309" s="3">
        <v>394.58333333333337</v>
      </c>
      <c r="G309" s="3">
        <v>172.91666666666666</v>
      </c>
      <c r="H309" s="3">
        <v>63</v>
      </c>
      <c r="I309" s="3">
        <v>2774.75</v>
      </c>
      <c r="J309" s="3">
        <v>135</v>
      </c>
      <c r="K309" s="3">
        <v>2156.3333333333335</v>
      </c>
      <c r="L309" s="3">
        <v>189.5</v>
      </c>
      <c r="M309" s="3">
        <v>320.58333333333331</v>
      </c>
      <c r="N309" s="107">
        <f t="shared" si="60"/>
        <v>0</v>
      </c>
      <c r="O309" s="7">
        <f t="shared" si="56"/>
        <v>6655.1666666666679</v>
      </c>
      <c r="P309" s="7">
        <f t="shared" si="57"/>
        <v>6655.1666666666679</v>
      </c>
      <c r="Q309" s="7">
        <f t="shared" si="58"/>
        <v>2774.75</v>
      </c>
      <c r="R309" s="7">
        <f t="shared" si="59"/>
        <v>2156.3333333333335</v>
      </c>
      <c r="S309" s="7">
        <v>8888</v>
      </c>
      <c r="T309" s="7">
        <v>16306</v>
      </c>
      <c r="U309" s="7">
        <v>5136</v>
      </c>
      <c r="V309" s="7">
        <v>194645</v>
      </c>
      <c r="W309" s="7">
        <f t="shared" si="61"/>
        <v>180621</v>
      </c>
      <c r="X309" s="103">
        <f t="shared" si="62"/>
        <v>194645</v>
      </c>
      <c r="Y309" s="103"/>
      <c r="Z309" s="7">
        <v>0</v>
      </c>
      <c r="AB309" s="2">
        <v>0</v>
      </c>
      <c r="AC309" s="103">
        <v>170652</v>
      </c>
      <c r="AD309" s="103">
        <v>180621</v>
      </c>
      <c r="AE309" s="64">
        <f t="shared" si="63"/>
        <v>0</v>
      </c>
      <c r="AF309" s="64">
        <f t="shared" si="64"/>
        <v>0</v>
      </c>
      <c r="AG309" s="20">
        <f t="shared" si="67"/>
        <v>0</v>
      </c>
      <c r="AH309" s="20">
        <f t="shared" si="68"/>
        <v>0</v>
      </c>
      <c r="AI309" s="22"/>
    </row>
    <row r="310" spans="1:35">
      <c r="A310" s="28">
        <v>45966</v>
      </c>
      <c r="B310" s="3">
        <v>140</v>
      </c>
      <c r="C310" s="3">
        <v>768</v>
      </c>
      <c r="D310" s="3">
        <v>105.08333333333333</v>
      </c>
      <c r="E310" s="6">
        <v>445.25</v>
      </c>
      <c r="F310" s="3">
        <v>365.83333333333337</v>
      </c>
      <c r="G310" s="3">
        <v>179.16666666666669</v>
      </c>
      <c r="H310" s="3">
        <v>55.5</v>
      </c>
      <c r="I310" s="3">
        <v>2485.666666666667</v>
      </c>
      <c r="J310" s="3">
        <v>135</v>
      </c>
      <c r="K310" s="3">
        <v>1885.75</v>
      </c>
      <c r="L310" s="3">
        <v>190</v>
      </c>
      <c r="M310" s="3">
        <v>331.08333333333331</v>
      </c>
      <c r="N310" s="107">
        <f t="shared" si="60"/>
        <v>236.59197809475296</v>
      </c>
      <c r="O310" s="7">
        <f t="shared" si="56"/>
        <v>5885.3333333333339</v>
      </c>
      <c r="P310" s="7">
        <f t="shared" si="57"/>
        <v>5648.7413552385806</v>
      </c>
      <c r="Q310" s="7">
        <f t="shared" si="58"/>
        <v>2485.666666666667</v>
      </c>
      <c r="R310" s="7">
        <f t="shared" si="59"/>
        <v>1649.1580219052471</v>
      </c>
      <c r="S310" s="7">
        <v>6693</v>
      </c>
      <c r="T310" s="7">
        <v>14423</v>
      </c>
      <c r="U310" s="7">
        <v>6210</v>
      </c>
      <c r="V310" s="7">
        <v>188010</v>
      </c>
      <c r="W310" s="7">
        <f t="shared" si="61"/>
        <v>175107</v>
      </c>
      <c r="X310" s="103">
        <f t="shared" si="62"/>
        <v>188010</v>
      </c>
      <c r="Y310" s="103"/>
      <c r="Z310" s="7">
        <v>24093</v>
      </c>
      <c r="AB310" s="2">
        <v>0</v>
      </c>
      <c r="AC310" s="103">
        <v>176670</v>
      </c>
      <c r="AD310" s="103">
        <v>175107</v>
      </c>
      <c r="AE310" s="64">
        <f t="shared" si="63"/>
        <v>0.12546306673458993</v>
      </c>
      <c r="AF310" s="64">
        <f t="shared" si="64"/>
        <v>0</v>
      </c>
      <c r="AG310" s="20">
        <f t="shared" si="67"/>
        <v>236.59197809475296</v>
      </c>
      <c r="AH310" s="20">
        <f t="shared" si="68"/>
        <v>0</v>
      </c>
      <c r="AI310" s="22"/>
    </row>
    <row r="311" spans="1:35">
      <c r="A311" s="28">
        <v>45967</v>
      </c>
      <c r="B311" s="3">
        <v>164.33333333333331</v>
      </c>
      <c r="C311" s="3">
        <v>391.33333333333337</v>
      </c>
      <c r="D311" s="3">
        <v>100</v>
      </c>
      <c r="E311" s="6">
        <v>370.08333333333331</v>
      </c>
      <c r="F311" s="3">
        <v>319.41666666666663</v>
      </c>
      <c r="G311" s="3">
        <v>189.91666666666669</v>
      </c>
      <c r="H311" s="3">
        <v>60.666666666666671</v>
      </c>
      <c r="I311" s="3">
        <v>2383</v>
      </c>
      <c r="J311" s="3">
        <v>142.5</v>
      </c>
      <c r="K311" s="3">
        <v>1289.6666666666665</v>
      </c>
      <c r="L311" s="3">
        <v>191.5</v>
      </c>
      <c r="M311" s="3">
        <v>303.33333333333337</v>
      </c>
      <c r="N311" s="107">
        <f t="shared" si="60"/>
        <v>213.79090779075855</v>
      </c>
      <c r="O311" s="7">
        <f t="shared" si="56"/>
        <v>4790.25</v>
      </c>
      <c r="P311" s="7">
        <f t="shared" si="57"/>
        <v>4576.4590922092411</v>
      </c>
      <c r="Q311" s="7">
        <f t="shared" si="58"/>
        <v>2383</v>
      </c>
      <c r="R311" s="7">
        <f t="shared" si="59"/>
        <v>1075.8757588759079</v>
      </c>
      <c r="S311" s="7">
        <v>6117</v>
      </c>
      <c r="T311" s="7">
        <v>16949</v>
      </c>
      <c r="U311" s="7">
        <v>6758</v>
      </c>
      <c r="V311" s="7">
        <v>167672</v>
      </c>
      <c r="W311" s="7">
        <f t="shared" si="61"/>
        <v>154797</v>
      </c>
      <c r="X311" s="103">
        <f t="shared" si="62"/>
        <v>167672</v>
      </c>
      <c r="Y311" s="103"/>
      <c r="Z311" s="7">
        <v>26374</v>
      </c>
      <c r="AB311" s="2">
        <v>0</v>
      </c>
      <c r="AC311" s="103">
        <v>146370</v>
      </c>
      <c r="AD311" s="103">
        <v>154797</v>
      </c>
      <c r="AE311" s="64">
        <f t="shared" si="63"/>
        <v>0.16577222108355538</v>
      </c>
      <c r="AF311" s="64">
        <f t="shared" si="64"/>
        <v>0</v>
      </c>
      <c r="AG311" s="20">
        <f t="shared" si="67"/>
        <v>213.79090779075855</v>
      </c>
      <c r="AH311" s="20">
        <f t="shared" si="68"/>
        <v>0</v>
      </c>
      <c r="AI311" s="22"/>
    </row>
    <row r="312" spans="1:35">
      <c r="A312" s="28">
        <v>45968</v>
      </c>
      <c r="B312" s="3">
        <v>164.33333333333331</v>
      </c>
      <c r="C312" s="3">
        <v>474.41666666666657</v>
      </c>
      <c r="D312" s="3">
        <v>103.08333333333334</v>
      </c>
      <c r="E312" s="6">
        <v>348.33333333333337</v>
      </c>
      <c r="F312" s="3">
        <v>266.08333333333337</v>
      </c>
      <c r="G312" s="3">
        <v>167.41666666666666</v>
      </c>
      <c r="H312" s="3">
        <v>54.166666666666664</v>
      </c>
      <c r="I312" s="3">
        <v>2125.0833333333335</v>
      </c>
      <c r="J312" s="3">
        <v>141</v>
      </c>
      <c r="K312" s="3">
        <v>1384.25</v>
      </c>
      <c r="L312" s="3">
        <v>132.83333333333334</v>
      </c>
      <c r="M312" s="3">
        <v>318.08333333333331</v>
      </c>
      <c r="N312" s="107">
        <f t="shared" si="60"/>
        <v>142.0489276120839</v>
      </c>
      <c r="O312" s="7">
        <f t="shared" si="56"/>
        <v>4658.25</v>
      </c>
      <c r="P312" s="7">
        <f t="shared" si="57"/>
        <v>4516.2010723879157</v>
      </c>
      <c r="Q312" s="7">
        <f t="shared" si="58"/>
        <v>2125.0833333333335</v>
      </c>
      <c r="R312" s="7">
        <f t="shared" si="59"/>
        <v>1242.2010723879162</v>
      </c>
      <c r="S312" s="7">
        <v>8064</v>
      </c>
      <c r="T312" s="7">
        <v>13414</v>
      </c>
      <c r="U312" s="7">
        <v>3197</v>
      </c>
      <c r="V312" s="7">
        <v>86129</v>
      </c>
      <c r="W312" s="7">
        <f t="shared" si="61"/>
        <v>74868</v>
      </c>
      <c r="X312" s="103">
        <f t="shared" si="62"/>
        <v>86129</v>
      </c>
      <c r="Y312" s="103"/>
      <c r="Z312" s="7">
        <v>14492</v>
      </c>
      <c r="AB312" s="2">
        <v>0</v>
      </c>
      <c r="AC312" s="103">
        <v>129925</v>
      </c>
      <c r="AD312" s="103">
        <v>74868</v>
      </c>
      <c r="AE312" s="64">
        <f t="shared" si="63"/>
        <v>0.10261797190686936</v>
      </c>
      <c r="AF312" s="64">
        <f t="shared" si="64"/>
        <v>0</v>
      </c>
      <c r="AG312" s="20">
        <f t="shared" si="67"/>
        <v>142.0489276120839</v>
      </c>
      <c r="AH312" s="20">
        <f t="shared" si="68"/>
        <v>0</v>
      </c>
      <c r="AI312" s="22"/>
    </row>
    <row r="313" spans="1:35">
      <c r="A313" s="28">
        <v>45969</v>
      </c>
      <c r="B313" s="3">
        <v>105</v>
      </c>
      <c r="C313" s="3">
        <v>269.25</v>
      </c>
      <c r="D313" s="3">
        <v>37.5</v>
      </c>
      <c r="E313" s="6">
        <v>255.5</v>
      </c>
      <c r="F313" s="3">
        <v>135</v>
      </c>
      <c r="G313" s="3">
        <v>7.5</v>
      </c>
      <c r="H313" s="3">
        <v>30</v>
      </c>
      <c r="I313" s="3">
        <v>1287.6666666666667</v>
      </c>
      <c r="J313" s="3">
        <v>74.166666666666657</v>
      </c>
      <c r="K313" s="3">
        <v>717.41666666666663</v>
      </c>
      <c r="L313" s="3">
        <v>180</v>
      </c>
      <c r="M313" s="3">
        <v>187.5</v>
      </c>
      <c r="N313" s="107">
        <f t="shared" si="60"/>
        <v>7.6778786900529106</v>
      </c>
      <c r="O313" s="7">
        <f t="shared" si="56"/>
        <v>2626</v>
      </c>
      <c r="P313" s="7">
        <f t="shared" si="57"/>
        <v>2618.3221213099473</v>
      </c>
      <c r="Q313" s="7">
        <f t="shared" si="58"/>
        <v>1287.1657324569098</v>
      </c>
      <c r="R313" s="7">
        <f t="shared" si="59"/>
        <v>710.23972218637061</v>
      </c>
      <c r="S313" s="7">
        <v>843</v>
      </c>
      <c r="T313" s="7">
        <v>4846</v>
      </c>
      <c r="U313" s="7">
        <v>1833</v>
      </c>
      <c r="V313" s="7">
        <v>99527</v>
      </c>
      <c r="W313" s="7">
        <f t="shared" si="61"/>
        <v>96851</v>
      </c>
      <c r="X313" s="103">
        <f t="shared" si="62"/>
        <v>99585</v>
      </c>
      <c r="Y313" s="103"/>
      <c r="Z313" s="7">
        <v>674</v>
      </c>
      <c r="AB313" s="2">
        <v>58</v>
      </c>
      <c r="AC313" s="103">
        <v>61984</v>
      </c>
      <c r="AD313" s="103">
        <v>96909</v>
      </c>
      <c r="AE313" s="64">
        <f t="shared" si="63"/>
        <v>1.0003871966959217E-2</v>
      </c>
      <c r="AF313" s="64">
        <f t="shared" si="64"/>
        <v>3.8902475518269716E-4</v>
      </c>
      <c r="AG313" s="20">
        <f t="shared" si="67"/>
        <v>7.1769444802959912</v>
      </c>
      <c r="AH313" s="20">
        <f t="shared" si="68"/>
        <v>0.50093420975691971</v>
      </c>
      <c r="AI313" s="22"/>
    </row>
    <row r="314" spans="1:35">
      <c r="A314" s="28">
        <v>45970</v>
      </c>
      <c r="B314" s="3"/>
      <c r="C314" s="3">
        <v>186.16666666666666</v>
      </c>
      <c r="D314" s="3">
        <v>59.25</v>
      </c>
      <c r="E314" s="6">
        <v>0</v>
      </c>
      <c r="F314" s="3">
        <v>142.24999999999997</v>
      </c>
      <c r="G314" s="3">
        <v>0</v>
      </c>
      <c r="H314" s="3">
        <v>15</v>
      </c>
      <c r="I314" s="3">
        <v>1258.8333333333333</v>
      </c>
      <c r="J314" s="3">
        <v>67.5</v>
      </c>
      <c r="K314" s="3">
        <v>676.16666666666674</v>
      </c>
      <c r="L314" s="3">
        <v>0</v>
      </c>
      <c r="M314" s="3">
        <v>139.33333333333331</v>
      </c>
      <c r="N314" s="107">
        <f t="shared" si="60"/>
        <v>0</v>
      </c>
      <c r="O314" s="7">
        <f t="shared" si="56"/>
        <v>2390.166666666667</v>
      </c>
      <c r="P314" s="7">
        <f t="shared" si="57"/>
        <v>2390.166666666667</v>
      </c>
      <c r="Q314" s="7">
        <f t="shared" si="58"/>
        <v>1258.8333333333333</v>
      </c>
      <c r="R314" s="7">
        <f t="shared" si="59"/>
        <v>676.16666666666674</v>
      </c>
      <c r="S314" s="7">
        <v>1331</v>
      </c>
      <c r="T314" s="7">
        <v>4329</v>
      </c>
      <c r="U314" s="7">
        <v>1848</v>
      </c>
      <c r="V314" s="7">
        <v>89670</v>
      </c>
      <c r="W314" s="7">
        <f t="shared" si="61"/>
        <v>86491</v>
      </c>
      <c r="X314" s="103">
        <f t="shared" si="62"/>
        <v>89670</v>
      </c>
      <c r="Y314" s="103"/>
      <c r="Z314" s="7">
        <v>0</v>
      </c>
      <c r="AB314" s="2">
        <v>0</v>
      </c>
      <c r="AC314" s="103">
        <v>62095</v>
      </c>
      <c r="AD314" s="103">
        <v>86491</v>
      </c>
      <c r="AE314" s="64">
        <f t="shared" si="63"/>
        <v>0</v>
      </c>
      <c r="AF314" s="64">
        <f t="shared" si="64"/>
        <v>0</v>
      </c>
      <c r="AG314" s="20">
        <f t="shared" si="67"/>
        <v>0</v>
      </c>
      <c r="AH314" s="20">
        <f t="shared" si="68"/>
        <v>0</v>
      </c>
      <c r="AI314" s="22"/>
    </row>
    <row r="315" spans="1:35">
      <c r="A315" s="28">
        <v>45971</v>
      </c>
      <c r="B315" s="3">
        <v>142.5</v>
      </c>
      <c r="C315" s="3">
        <v>705</v>
      </c>
      <c r="D315" s="3">
        <v>96.25</v>
      </c>
      <c r="E315" s="6">
        <v>313.58333333333331</v>
      </c>
      <c r="F315" s="3">
        <v>284.99999999999994</v>
      </c>
      <c r="G315" s="3">
        <v>160.08333333333331</v>
      </c>
      <c r="H315" s="3">
        <v>63</v>
      </c>
      <c r="I315" s="3">
        <v>1936.2499999999998</v>
      </c>
      <c r="J315" s="3">
        <v>141.91666666666669</v>
      </c>
      <c r="K315" s="3">
        <v>1573.75</v>
      </c>
      <c r="L315" s="3">
        <v>123.58333333333331</v>
      </c>
      <c r="M315" s="3">
        <v>319.5</v>
      </c>
      <c r="N315" s="107">
        <f t="shared" si="60"/>
        <v>0</v>
      </c>
      <c r="O315" s="7">
        <f t="shared" si="56"/>
        <v>4880.666666666667</v>
      </c>
      <c r="P315" s="7">
        <f t="shared" si="57"/>
        <v>4880.6666666666661</v>
      </c>
      <c r="Q315" s="7">
        <f t="shared" si="58"/>
        <v>1936.2499999999998</v>
      </c>
      <c r="R315" s="7">
        <f t="shared" si="59"/>
        <v>1573.75</v>
      </c>
      <c r="S315" s="7">
        <v>6029</v>
      </c>
      <c r="T315" s="7">
        <v>10480</v>
      </c>
      <c r="U315" s="7">
        <v>2858</v>
      </c>
      <c r="V315" s="7">
        <v>115079</v>
      </c>
      <c r="W315" s="7">
        <f t="shared" si="61"/>
        <v>106192</v>
      </c>
      <c r="X315" s="103">
        <f t="shared" si="62"/>
        <v>115079</v>
      </c>
      <c r="Y315" s="103"/>
      <c r="Z315" s="7">
        <v>0</v>
      </c>
      <c r="AB315" s="2">
        <v>0</v>
      </c>
      <c r="AC315" s="103">
        <v>116212</v>
      </c>
      <c r="AD315" s="103">
        <v>106192</v>
      </c>
      <c r="AE315" s="64">
        <f t="shared" si="63"/>
        <v>0</v>
      </c>
      <c r="AF315" s="64">
        <f t="shared" si="64"/>
        <v>0</v>
      </c>
      <c r="AG315" s="20">
        <f t="shared" si="67"/>
        <v>0</v>
      </c>
      <c r="AH315" s="20">
        <f t="shared" si="68"/>
        <v>0</v>
      </c>
      <c r="AI315" s="22"/>
    </row>
    <row r="316" spans="1:35">
      <c r="A316" s="28">
        <v>45972</v>
      </c>
      <c r="B316" s="3">
        <v>140.75</v>
      </c>
      <c r="C316" s="3">
        <v>727.50000000000011</v>
      </c>
      <c r="D316" s="3">
        <v>95.833333333333343</v>
      </c>
      <c r="E316" s="6">
        <v>313.33333333333331</v>
      </c>
      <c r="F316" s="3">
        <v>284.99999999999994</v>
      </c>
      <c r="G316" s="3">
        <v>181.5</v>
      </c>
      <c r="H316" s="3">
        <v>70.5</v>
      </c>
      <c r="I316" s="3">
        <v>1967.2499999999998</v>
      </c>
      <c r="J316" s="3">
        <v>140.5</v>
      </c>
      <c r="K316" s="3">
        <v>1573.1666666666665</v>
      </c>
      <c r="L316" s="3">
        <v>131.5</v>
      </c>
      <c r="M316" s="3">
        <v>317.25</v>
      </c>
      <c r="N316" s="107">
        <f t="shared" si="60"/>
        <v>0</v>
      </c>
      <c r="O316" s="7">
        <f t="shared" si="56"/>
        <v>4930</v>
      </c>
      <c r="P316" s="7">
        <f t="shared" si="57"/>
        <v>4930</v>
      </c>
      <c r="Q316" s="7">
        <f t="shared" si="58"/>
        <v>1967.2499999999998</v>
      </c>
      <c r="R316" s="7">
        <f t="shared" si="59"/>
        <v>1573.1666666666665</v>
      </c>
      <c r="S316" s="7">
        <v>6581</v>
      </c>
      <c r="T316" s="7">
        <v>11011</v>
      </c>
      <c r="U316" s="7">
        <v>3325</v>
      </c>
      <c r="V316" s="7">
        <v>117252</v>
      </c>
      <c r="W316" s="7">
        <f t="shared" si="61"/>
        <v>107346</v>
      </c>
      <c r="X316" s="103">
        <f t="shared" si="62"/>
        <v>117252</v>
      </c>
      <c r="Y316" s="103"/>
      <c r="Z316" s="7">
        <v>0</v>
      </c>
      <c r="AB316" s="2">
        <v>0</v>
      </c>
      <c r="AC316" s="103">
        <v>91725</v>
      </c>
      <c r="AD316" s="103">
        <v>107346</v>
      </c>
      <c r="AE316" s="64">
        <f t="shared" si="63"/>
        <v>0</v>
      </c>
      <c r="AF316" s="64">
        <f t="shared" si="64"/>
        <v>0</v>
      </c>
      <c r="AG316" s="20">
        <f t="shared" si="67"/>
        <v>0</v>
      </c>
      <c r="AH316" s="20">
        <f t="shared" si="68"/>
        <v>0</v>
      </c>
      <c r="AI316" s="22"/>
    </row>
    <row r="317" spans="1:35">
      <c r="A317" s="28">
        <v>45973</v>
      </c>
      <c r="B317" s="3">
        <v>172.25</v>
      </c>
      <c r="C317" s="3">
        <v>619.25</v>
      </c>
      <c r="D317" s="3">
        <v>97.5</v>
      </c>
      <c r="E317" s="6">
        <v>299.41666666666663</v>
      </c>
      <c r="F317" s="3">
        <v>270</v>
      </c>
      <c r="G317" s="3">
        <v>161.5</v>
      </c>
      <c r="H317" s="3">
        <v>70.5</v>
      </c>
      <c r="I317" s="3">
        <v>1980.0833333333328</v>
      </c>
      <c r="J317" s="3">
        <v>141.83333333333331</v>
      </c>
      <c r="K317" s="3">
        <v>1587.5833333333333</v>
      </c>
      <c r="L317" s="3">
        <v>136.41666666666663</v>
      </c>
      <c r="M317" s="3">
        <v>313.5</v>
      </c>
      <c r="N317" s="107">
        <f t="shared" si="60"/>
        <v>149.66398030724815</v>
      </c>
      <c r="O317" s="7">
        <f t="shared" si="56"/>
        <v>4868.4999999999991</v>
      </c>
      <c r="P317" s="7">
        <f t="shared" si="57"/>
        <v>4718.8360196927515</v>
      </c>
      <c r="Q317" s="7">
        <f t="shared" si="58"/>
        <v>1980.0833333333328</v>
      </c>
      <c r="R317" s="7">
        <f t="shared" si="59"/>
        <v>1437.919353026085</v>
      </c>
      <c r="S317" s="7">
        <v>4864</v>
      </c>
      <c r="T317" s="7">
        <v>12432</v>
      </c>
      <c r="U317" s="7">
        <v>4886</v>
      </c>
      <c r="V317" s="7">
        <v>130169</v>
      </c>
      <c r="W317" s="7">
        <f t="shared" si="61"/>
        <v>120419</v>
      </c>
      <c r="X317" s="103">
        <f t="shared" si="62"/>
        <v>130169</v>
      </c>
      <c r="Y317" s="103"/>
      <c r="Z317" s="7">
        <v>15239</v>
      </c>
      <c r="AB317" s="2">
        <v>0</v>
      </c>
      <c r="AC317" s="103">
        <v>148718</v>
      </c>
      <c r="AD317" s="103">
        <v>120419</v>
      </c>
      <c r="AE317" s="64">
        <f t="shared" si="63"/>
        <v>9.4271574389112281E-2</v>
      </c>
      <c r="AF317" s="64">
        <f t="shared" si="64"/>
        <v>0</v>
      </c>
      <c r="AG317" s="20">
        <f t="shared" si="67"/>
        <v>149.66398030724815</v>
      </c>
      <c r="AH317" s="20">
        <f t="shared" si="68"/>
        <v>0</v>
      </c>
      <c r="AI317" s="22"/>
    </row>
    <row r="318" spans="1:35">
      <c r="A318" s="28">
        <v>45974</v>
      </c>
      <c r="B318" s="3">
        <v>142.5</v>
      </c>
      <c r="C318" s="3">
        <v>630</v>
      </c>
      <c r="D318" s="3">
        <v>90</v>
      </c>
      <c r="E318" s="6">
        <v>297.33333333333326</v>
      </c>
      <c r="F318" s="3">
        <v>370.58333333333331</v>
      </c>
      <c r="G318" s="3">
        <v>149.41666666666666</v>
      </c>
      <c r="H318" s="3">
        <v>70.5</v>
      </c>
      <c r="I318" s="3">
        <v>2092.666666666667</v>
      </c>
      <c r="J318" s="3">
        <v>142.5</v>
      </c>
      <c r="K318" s="3">
        <v>1573.0000000000002</v>
      </c>
      <c r="L318" s="3">
        <v>122.83333333333334</v>
      </c>
      <c r="M318" s="3">
        <v>322.16666666666663</v>
      </c>
      <c r="N318" s="107">
        <f t="shared" si="60"/>
        <v>615.95715500673896</v>
      </c>
      <c r="O318" s="7">
        <f t="shared" si="56"/>
        <v>5041.25</v>
      </c>
      <c r="P318" s="7">
        <f t="shared" si="57"/>
        <v>4425.2928449932615</v>
      </c>
      <c r="Q318" s="7">
        <f t="shared" si="58"/>
        <v>1841.6077145222901</v>
      </c>
      <c r="R318" s="7">
        <f t="shared" si="59"/>
        <v>1208.1017971376382</v>
      </c>
      <c r="S318" s="7">
        <v>7530</v>
      </c>
      <c r="T318" s="7">
        <v>14011</v>
      </c>
      <c r="U318" s="7">
        <v>4367</v>
      </c>
      <c r="V318" s="7">
        <v>132371</v>
      </c>
      <c r="W318" s="7">
        <f t="shared" si="61"/>
        <v>120474</v>
      </c>
      <c r="X318" s="103">
        <f t="shared" si="62"/>
        <v>159640</v>
      </c>
      <c r="Y318" s="103"/>
      <c r="Z318" s="7">
        <v>49278</v>
      </c>
      <c r="AB318" s="2">
        <v>27269</v>
      </c>
      <c r="AC318" s="103">
        <v>195433</v>
      </c>
      <c r="AD318" s="103">
        <v>147743</v>
      </c>
      <c r="AE318" s="64">
        <f t="shared" si="63"/>
        <v>0.23197597130474382</v>
      </c>
      <c r="AF318" s="64">
        <f t="shared" si="64"/>
        <v>0.1199708277211103</v>
      </c>
      <c r="AG318" s="20">
        <f t="shared" si="67"/>
        <v>364.8982028623621</v>
      </c>
      <c r="AH318" s="20">
        <f t="shared" si="68"/>
        <v>251.05895214437686</v>
      </c>
      <c r="AI318" s="22"/>
    </row>
    <row r="319" spans="1:35">
      <c r="A319" s="28">
        <v>45975</v>
      </c>
      <c r="B319" s="3">
        <v>134.75</v>
      </c>
      <c r="C319" s="3">
        <v>690</v>
      </c>
      <c r="D319" s="3">
        <v>90</v>
      </c>
      <c r="E319" s="6">
        <v>284.91666666666663</v>
      </c>
      <c r="F319" s="3">
        <v>262.16666666666663</v>
      </c>
      <c r="G319" s="3">
        <v>139.41666666666666</v>
      </c>
      <c r="H319" s="3">
        <v>70.000000000000014</v>
      </c>
      <c r="I319" s="3">
        <v>2117.5833333333335</v>
      </c>
      <c r="J319" s="3">
        <v>140.25</v>
      </c>
      <c r="K319" s="3">
        <v>1536.8333333333335</v>
      </c>
      <c r="L319" s="3">
        <v>124</v>
      </c>
      <c r="M319" s="3">
        <v>311.99999999999994</v>
      </c>
      <c r="N319" s="107">
        <f t="shared" si="60"/>
        <v>465.83280224554363</v>
      </c>
      <c r="O319" s="7">
        <f t="shared" si="56"/>
        <v>4971.5833333333339</v>
      </c>
      <c r="P319" s="7">
        <f t="shared" si="57"/>
        <v>4505.7505310877896</v>
      </c>
      <c r="Q319" s="7">
        <f t="shared" si="58"/>
        <v>1872.0173632521382</v>
      </c>
      <c r="R319" s="7">
        <f t="shared" si="59"/>
        <v>1316.566501168985</v>
      </c>
      <c r="S319" s="7">
        <v>5239</v>
      </c>
      <c r="T319" s="7">
        <v>9255</v>
      </c>
      <c r="U319" s="7">
        <v>2742</v>
      </c>
      <c r="V319" s="7">
        <v>118039</v>
      </c>
      <c r="W319" s="7">
        <f t="shared" si="61"/>
        <v>110058</v>
      </c>
      <c r="X319" s="103">
        <f t="shared" si="62"/>
        <v>141938</v>
      </c>
      <c r="Y319" s="103"/>
      <c r="Z319" s="7">
        <v>25121</v>
      </c>
      <c r="AB319" s="2">
        <v>23899</v>
      </c>
      <c r="AC319" s="103">
        <v>161251</v>
      </c>
      <c r="AD319" s="103">
        <v>133957</v>
      </c>
      <c r="AE319" s="64">
        <f t="shared" si="63"/>
        <v>0.14332512666588115</v>
      </c>
      <c r="AF319" s="64">
        <f t="shared" si="64"/>
        <v>0.11596519778734968</v>
      </c>
      <c r="AG319" s="20">
        <f t="shared" si="67"/>
        <v>220.26683216434839</v>
      </c>
      <c r="AH319" s="20">
        <f t="shared" si="68"/>
        <v>245.56597008119525</v>
      </c>
      <c r="AI319" s="22"/>
    </row>
    <row r="320" spans="1:35">
      <c r="A320" s="28">
        <v>45976</v>
      </c>
      <c r="B320" s="3">
        <v>74.666666666666657</v>
      </c>
      <c r="C320" s="3">
        <v>322.5</v>
      </c>
      <c r="D320" s="3">
        <v>37.5</v>
      </c>
      <c r="E320" s="6">
        <v>195.5</v>
      </c>
      <c r="F320" s="3">
        <v>184.25</v>
      </c>
      <c r="G320" s="3">
        <v>0</v>
      </c>
      <c r="H320" s="3">
        <v>22.5</v>
      </c>
      <c r="I320" s="3">
        <v>1271.5</v>
      </c>
      <c r="J320" s="3">
        <v>74.75</v>
      </c>
      <c r="K320" s="3">
        <v>731.25</v>
      </c>
      <c r="L320" s="3">
        <v>79.416666666666686</v>
      </c>
      <c r="M320" s="3">
        <v>176.5</v>
      </c>
      <c r="N320" s="107">
        <f t="shared" si="60"/>
        <v>0</v>
      </c>
      <c r="O320" s="7">
        <f t="shared" si="56"/>
        <v>2696.4166666666665</v>
      </c>
      <c r="P320" s="7">
        <f t="shared" si="57"/>
        <v>2696.4166666666665</v>
      </c>
      <c r="Q320" s="7">
        <f t="shared" si="58"/>
        <v>1271.5</v>
      </c>
      <c r="R320" s="7">
        <f t="shared" si="59"/>
        <v>731.25</v>
      </c>
      <c r="S320" s="7">
        <v>531</v>
      </c>
      <c r="T320" s="7">
        <v>4687</v>
      </c>
      <c r="U320" s="7">
        <v>2204</v>
      </c>
      <c r="V320" s="7">
        <v>97736</v>
      </c>
      <c r="W320" s="7">
        <f t="shared" si="61"/>
        <v>95001</v>
      </c>
      <c r="X320" s="103">
        <f t="shared" si="62"/>
        <v>97736</v>
      </c>
      <c r="Y320" s="103"/>
      <c r="Z320" s="7">
        <v>0</v>
      </c>
      <c r="AB320" s="2">
        <v>0</v>
      </c>
      <c r="AC320" s="103">
        <v>67954</v>
      </c>
      <c r="AD320" s="103">
        <v>95001</v>
      </c>
      <c r="AE320" s="64">
        <f t="shared" si="63"/>
        <v>0</v>
      </c>
      <c r="AF320" s="64">
        <f t="shared" si="64"/>
        <v>0</v>
      </c>
      <c r="AG320" s="20">
        <f t="shared" si="67"/>
        <v>0</v>
      </c>
      <c r="AH320" s="20">
        <f t="shared" si="68"/>
        <v>0</v>
      </c>
      <c r="AI320" s="22"/>
    </row>
    <row r="321" spans="1:35">
      <c r="A321" s="28">
        <v>45977</v>
      </c>
      <c r="B321" s="3"/>
      <c r="C321" s="3">
        <v>162.5</v>
      </c>
      <c r="D321" s="3">
        <v>52.5</v>
      </c>
      <c r="E321" s="6">
        <v>0</v>
      </c>
      <c r="F321" s="3">
        <v>179.33333333333334</v>
      </c>
      <c r="G321" s="3">
        <v>0</v>
      </c>
      <c r="H321" s="3">
        <v>15</v>
      </c>
      <c r="I321" s="3">
        <v>1232.6666666666667</v>
      </c>
      <c r="J321" s="3">
        <v>67.5</v>
      </c>
      <c r="K321" s="3">
        <v>689.25</v>
      </c>
      <c r="L321" s="3">
        <v>0</v>
      </c>
      <c r="M321" s="3">
        <v>142.16666666666666</v>
      </c>
      <c r="N321" s="107">
        <f t="shared" si="60"/>
        <v>0</v>
      </c>
      <c r="O321" s="7">
        <f t="shared" si="56"/>
        <v>2383.75</v>
      </c>
      <c r="P321" s="7">
        <f t="shared" si="57"/>
        <v>2383.75</v>
      </c>
      <c r="Q321" s="7">
        <f t="shared" si="58"/>
        <v>1232.6666666666667</v>
      </c>
      <c r="R321" s="7">
        <f t="shared" si="59"/>
        <v>689.25</v>
      </c>
      <c r="S321" s="7">
        <v>887</v>
      </c>
      <c r="T321" s="7">
        <v>5985</v>
      </c>
      <c r="U321" s="7">
        <v>1217</v>
      </c>
      <c r="V321" s="7">
        <v>97473</v>
      </c>
      <c r="W321" s="7">
        <f t="shared" si="61"/>
        <v>95369</v>
      </c>
      <c r="X321" s="103">
        <f t="shared" si="62"/>
        <v>97473</v>
      </c>
      <c r="Y321" s="103"/>
      <c r="Z321" s="7">
        <v>0</v>
      </c>
      <c r="AB321" s="2">
        <v>0</v>
      </c>
      <c r="AC321" s="103">
        <v>73071</v>
      </c>
      <c r="AD321" s="103">
        <v>95369</v>
      </c>
      <c r="AE321" s="64">
        <f t="shared" si="63"/>
        <v>0</v>
      </c>
      <c r="AF321" s="64">
        <f t="shared" si="64"/>
        <v>0</v>
      </c>
      <c r="AG321" s="20">
        <f t="shared" si="67"/>
        <v>0</v>
      </c>
      <c r="AH321" s="20">
        <f t="shared" si="68"/>
        <v>0</v>
      </c>
      <c r="AI321" s="22"/>
    </row>
    <row r="322" spans="1:35">
      <c r="A322" s="28">
        <v>45978</v>
      </c>
      <c r="B322" s="3">
        <v>153.91666666666666</v>
      </c>
      <c r="C322" s="3">
        <v>471</v>
      </c>
      <c r="D322" s="3">
        <v>90</v>
      </c>
      <c r="E322" s="6">
        <v>344.75</v>
      </c>
      <c r="F322" s="3">
        <v>315.00000000000006</v>
      </c>
      <c r="G322" s="3">
        <v>147.5</v>
      </c>
      <c r="H322" s="3">
        <v>55.5</v>
      </c>
      <c r="I322" s="3">
        <v>2068.8333333333335</v>
      </c>
      <c r="J322" s="3">
        <v>142.5</v>
      </c>
      <c r="K322" s="3">
        <v>2264.333333333333</v>
      </c>
      <c r="L322" s="3">
        <v>129.25</v>
      </c>
      <c r="M322" s="3">
        <v>319.58333333333337</v>
      </c>
      <c r="N322" s="107">
        <f t="shared" si="60"/>
        <v>318.94134751615212</v>
      </c>
      <c r="O322" s="7">
        <f t="shared" ref="O322:O370" si="69">+B322+C322+D322+F322+I322+K322+J322</f>
        <v>5505.583333333333</v>
      </c>
      <c r="P322" s="7">
        <f t="shared" ref="P322:P385" si="70">+B322+C322+D322+F322+J322+Q322+R322</f>
        <v>5186.6419858171812</v>
      </c>
      <c r="Q322" s="7">
        <f t="shared" ref="Q322:Q385" si="71">+I322-AH322</f>
        <v>1750.6019461869641</v>
      </c>
      <c r="R322" s="7">
        <f t="shared" ref="R322:R385" si="72">+K322-AG322</f>
        <v>2263.6233729635505</v>
      </c>
      <c r="S322" s="7">
        <v>9131</v>
      </c>
      <c r="T322" s="7">
        <v>13364</v>
      </c>
      <c r="U322" s="7">
        <v>3244</v>
      </c>
      <c r="V322" s="7">
        <v>125909</v>
      </c>
      <c r="W322" s="7">
        <f t="shared" si="61"/>
        <v>113534</v>
      </c>
      <c r="X322" s="103">
        <f t="shared" si="62"/>
        <v>161106</v>
      </c>
      <c r="Y322" s="103"/>
      <c r="Z322" s="7">
        <v>61</v>
      </c>
      <c r="AB322" s="2">
        <v>35197</v>
      </c>
      <c r="AC322" s="103">
        <v>178988</v>
      </c>
      <c r="AD322" s="103">
        <v>148731</v>
      </c>
      <c r="AE322" s="64">
        <f t="shared" si="63"/>
        <v>3.1354057255234989E-4</v>
      </c>
      <c r="AF322" s="64">
        <f t="shared" si="64"/>
        <v>0.15382166461598457</v>
      </c>
      <c r="AG322" s="20">
        <f t="shared" si="67"/>
        <v>0.70996036978270416</v>
      </c>
      <c r="AH322" s="20">
        <f t="shared" si="68"/>
        <v>318.2313871463694</v>
      </c>
      <c r="AI322" s="22"/>
    </row>
    <row r="323" spans="1:35">
      <c r="A323" s="28">
        <v>45979</v>
      </c>
      <c r="B323" s="3">
        <v>85.5</v>
      </c>
      <c r="C323" s="3">
        <v>741.58333333333326</v>
      </c>
      <c r="D323" s="3">
        <v>90</v>
      </c>
      <c r="E323" s="6">
        <v>386.91666666666663</v>
      </c>
      <c r="F323" s="3">
        <v>382.5</v>
      </c>
      <c r="G323" s="3">
        <v>149.75</v>
      </c>
      <c r="H323" s="3">
        <v>63</v>
      </c>
      <c r="I323" s="3">
        <v>2367.9166666666665</v>
      </c>
      <c r="J323" s="3">
        <v>142.5</v>
      </c>
      <c r="K323" s="3">
        <v>1591.3333333333335</v>
      </c>
      <c r="L323" s="3">
        <v>143.58333333333334</v>
      </c>
      <c r="M323" s="3">
        <v>329</v>
      </c>
      <c r="N323" s="107">
        <f t="shared" ref="N323:N363" si="73">+AH323+AG323</f>
        <v>116.57367557537943</v>
      </c>
      <c r="O323" s="7">
        <f t="shared" si="69"/>
        <v>5401.3333333333339</v>
      </c>
      <c r="P323" s="7">
        <f t="shared" si="70"/>
        <v>5284.7596577579543</v>
      </c>
      <c r="Q323" s="7">
        <f t="shared" si="71"/>
        <v>2367.9166666666665</v>
      </c>
      <c r="R323" s="7">
        <f t="shared" si="72"/>
        <v>1474.7596577579541</v>
      </c>
      <c r="S323" s="7">
        <v>8277</v>
      </c>
      <c r="T323" s="7">
        <v>14607</v>
      </c>
      <c r="U323" s="7">
        <v>4702</v>
      </c>
      <c r="V323" s="7">
        <v>176181</v>
      </c>
      <c r="W323" s="7">
        <f t="shared" ref="W323:W386" si="74">+V323-U323-S323+AA323</f>
        <v>163202</v>
      </c>
      <c r="X323" s="103">
        <f t="shared" ref="X323:X386" si="75">+V323+AB323+AA323</f>
        <v>176181</v>
      </c>
      <c r="Y323" s="103"/>
      <c r="Z323" s="7">
        <v>13246</v>
      </c>
      <c r="AB323" s="2">
        <v>0</v>
      </c>
      <c r="AC323" s="103">
        <v>166354</v>
      </c>
      <c r="AD323" s="103">
        <v>163202</v>
      </c>
      <c r="AE323" s="64">
        <f t="shared" ref="AE323:AE374" si="76">+(Z323/AC323*0.92)</f>
        <v>7.3255347031030218E-2</v>
      </c>
      <c r="AF323" s="64">
        <f t="shared" ref="AF323:AF374" si="77">+(AB323/AD323*0.65)</f>
        <v>0</v>
      </c>
      <c r="AG323" s="20">
        <f t="shared" si="67"/>
        <v>116.57367557537943</v>
      </c>
      <c r="AH323" s="20">
        <f t="shared" si="68"/>
        <v>0</v>
      </c>
      <c r="AI323" s="22"/>
    </row>
    <row r="324" spans="1:35">
      <c r="A324" s="28">
        <v>45980</v>
      </c>
      <c r="B324" s="3">
        <v>79.333333333333314</v>
      </c>
      <c r="C324" s="3">
        <v>529.16666666666663</v>
      </c>
      <c r="D324" s="3">
        <v>86.75</v>
      </c>
      <c r="E324" s="6">
        <v>342.58333333333337</v>
      </c>
      <c r="F324" s="3">
        <v>287</v>
      </c>
      <c r="G324" s="3">
        <v>151.75</v>
      </c>
      <c r="H324" s="3">
        <v>63</v>
      </c>
      <c r="I324" s="3">
        <v>2505</v>
      </c>
      <c r="J324" s="3">
        <v>142.5</v>
      </c>
      <c r="K324" s="3">
        <v>1292.5833333333333</v>
      </c>
      <c r="L324" s="3">
        <v>94</v>
      </c>
      <c r="M324" s="3">
        <v>329.66666666666663</v>
      </c>
      <c r="N324" s="107">
        <f t="shared" si="73"/>
        <v>364.04768590970787</v>
      </c>
      <c r="O324" s="7">
        <f t="shared" si="69"/>
        <v>4922.333333333333</v>
      </c>
      <c r="P324" s="7">
        <f t="shared" si="70"/>
        <v>4558.2856474236251</v>
      </c>
      <c r="Q324" s="7">
        <f t="shared" si="71"/>
        <v>2367.4365078094484</v>
      </c>
      <c r="R324" s="7">
        <f t="shared" si="72"/>
        <v>1066.0991396141771</v>
      </c>
      <c r="S324" s="7">
        <v>7965</v>
      </c>
      <c r="T324" s="7">
        <v>15405</v>
      </c>
      <c r="U324" s="7">
        <v>5144</v>
      </c>
      <c r="V324" s="7">
        <v>156073</v>
      </c>
      <c r="W324" s="7">
        <f t="shared" si="74"/>
        <v>142964</v>
      </c>
      <c r="X324" s="103">
        <f t="shared" si="75"/>
        <v>169266</v>
      </c>
      <c r="Y324" s="103"/>
      <c r="Z324" s="7">
        <v>32379</v>
      </c>
      <c r="AB324" s="2">
        <v>13193</v>
      </c>
      <c r="AC324" s="103">
        <v>170009</v>
      </c>
      <c r="AD324" s="103">
        <v>156157</v>
      </c>
      <c r="AE324" s="64">
        <f t="shared" si="76"/>
        <v>0.17521825315130377</v>
      </c>
      <c r="AF324" s="64">
        <f t="shared" si="77"/>
        <v>5.4915565744731269E-2</v>
      </c>
      <c r="AG324" s="20">
        <f t="shared" si="67"/>
        <v>226.48419371915605</v>
      </c>
      <c r="AH324" s="20">
        <f t="shared" si="68"/>
        <v>137.56349219055184</v>
      </c>
      <c r="AI324" s="22"/>
    </row>
    <row r="325" spans="1:35">
      <c r="A325" s="28">
        <v>45981</v>
      </c>
      <c r="B325" s="3">
        <v>78.75</v>
      </c>
      <c r="C325" s="3">
        <v>740.91666666666663</v>
      </c>
      <c r="D325" s="3">
        <v>87.333333333333343</v>
      </c>
      <c r="E325" s="6">
        <v>314.91666666666663</v>
      </c>
      <c r="F325" s="3">
        <v>365.00000000000006</v>
      </c>
      <c r="G325" s="3">
        <v>152.33333333333331</v>
      </c>
      <c r="H325" s="3">
        <v>63</v>
      </c>
      <c r="I325" s="3">
        <v>2105.8333333333339</v>
      </c>
      <c r="J325" s="3">
        <v>142.5</v>
      </c>
      <c r="K325" s="3">
        <v>1333.5833333333333</v>
      </c>
      <c r="L325" s="3">
        <v>165.08333333333334</v>
      </c>
      <c r="M325" s="3">
        <v>323.25</v>
      </c>
      <c r="N325" s="107">
        <f t="shared" si="73"/>
        <v>157.9678101630833</v>
      </c>
      <c r="O325" s="7">
        <f t="shared" si="69"/>
        <v>4853.916666666667</v>
      </c>
      <c r="P325" s="7">
        <f t="shared" si="70"/>
        <v>4695.9488565035845</v>
      </c>
      <c r="Q325" s="7">
        <f t="shared" si="71"/>
        <v>2002.9962332313585</v>
      </c>
      <c r="R325" s="7">
        <f t="shared" si="72"/>
        <v>1278.4526232722255</v>
      </c>
      <c r="S325" s="7">
        <v>8616</v>
      </c>
      <c r="T325" s="7">
        <v>15936</v>
      </c>
      <c r="U325" s="7">
        <v>4014</v>
      </c>
      <c r="V325" s="7">
        <v>129627</v>
      </c>
      <c r="W325" s="7">
        <f t="shared" si="74"/>
        <v>116997</v>
      </c>
      <c r="X325" s="103">
        <f t="shared" si="75"/>
        <v>139131</v>
      </c>
      <c r="Y325" s="103"/>
      <c r="Z325" s="7">
        <v>5493</v>
      </c>
      <c r="AB325" s="2">
        <v>9504</v>
      </c>
      <c r="AC325" s="103">
        <v>122243</v>
      </c>
      <c r="AD325" s="103">
        <v>126501</v>
      </c>
      <c r="AE325" s="64">
        <f t="shared" si="76"/>
        <v>4.1340281243097771E-2</v>
      </c>
      <c r="AF325" s="64">
        <f t="shared" si="77"/>
        <v>4.8834396566035054E-2</v>
      </c>
      <c r="AG325" s="20">
        <f t="shared" si="67"/>
        <v>55.130710061107798</v>
      </c>
      <c r="AH325" s="20">
        <f t="shared" si="68"/>
        <v>102.83710010197551</v>
      </c>
      <c r="AI325" s="22"/>
    </row>
    <row r="326" spans="1:35">
      <c r="A326" s="28">
        <v>45982</v>
      </c>
      <c r="B326" s="3">
        <v>41.25</v>
      </c>
      <c r="C326" s="3">
        <v>966.41666666666663</v>
      </c>
      <c r="D326" s="3">
        <v>89.666666666666657</v>
      </c>
      <c r="E326" s="6">
        <v>297.58333333333337</v>
      </c>
      <c r="F326" s="3">
        <v>329.75</v>
      </c>
      <c r="G326" s="3">
        <v>142.25</v>
      </c>
      <c r="H326" s="3">
        <v>62</v>
      </c>
      <c r="I326" s="3">
        <v>2028.7499999999995</v>
      </c>
      <c r="J326" s="3">
        <v>142.5</v>
      </c>
      <c r="K326" s="3">
        <v>1267.1666666666667</v>
      </c>
      <c r="L326" s="3">
        <v>125.33333333333334</v>
      </c>
      <c r="M326" s="3">
        <v>323.75</v>
      </c>
      <c r="N326" s="107">
        <f t="shared" si="73"/>
        <v>233.6807968511045</v>
      </c>
      <c r="O326" s="7">
        <f t="shared" si="69"/>
        <v>4865.5</v>
      </c>
      <c r="P326" s="7">
        <f t="shared" si="70"/>
        <v>4631.8192031488952</v>
      </c>
      <c r="Q326" s="7">
        <f t="shared" si="71"/>
        <v>1812.7287389699259</v>
      </c>
      <c r="R326" s="7">
        <f t="shared" si="72"/>
        <v>1249.5071308456361</v>
      </c>
      <c r="S326" s="7">
        <v>5636</v>
      </c>
      <c r="T326" s="7">
        <v>11495</v>
      </c>
      <c r="U326" s="7">
        <v>3779</v>
      </c>
      <c r="V326" s="7">
        <v>134785</v>
      </c>
      <c r="W326" s="7">
        <f t="shared" si="74"/>
        <v>125370</v>
      </c>
      <c r="X326" s="103">
        <f t="shared" si="75"/>
        <v>159346</v>
      </c>
      <c r="Y326" s="103"/>
      <c r="Z326" s="7">
        <v>1338</v>
      </c>
      <c r="AB326" s="2">
        <v>24561</v>
      </c>
      <c r="AC326" s="103">
        <v>88328</v>
      </c>
      <c r="AD326" s="103">
        <v>149931</v>
      </c>
      <c r="AE326" s="64">
        <f t="shared" si="76"/>
        <v>1.3936237659632282E-2</v>
      </c>
      <c r="AF326" s="64">
        <f t="shared" si="77"/>
        <v>0.10647998079116394</v>
      </c>
      <c r="AG326" s="20">
        <f t="shared" ref="AG326:AG357" si="78">+AE326*K326</f>
        <v>17.659535821030708</v>
      </c>
      <c r="AH326" s="20">
        <f t="shared" ref="AH326:AH357" si="79">+AF326*I326</f>
        <v>216.02126103007379</v>
      </c>
      <c r="AI326" s="22"/>
    </row>
    <row r="327" spans="1:35">
      <c r="A327" s="28">
        <v>45983</v>
      </c>
      <c r="B327" s="3">
        <v>34.25</v>
      </c>
      <c r="C327" s="3">
        <v>403.83333333333337</v>
      </c>
      <c r="D327" s="3">
        <v>37.166666666666664</v>
      </c>
      <c r="E327" s="6">
        <v>210.5</v>
      </c>
      <c r="F327" s="3">
        <v>142.5</v>
      </c>
      <c r="G327" s="3">
        <v>0</v>
      </c>
      <c r="H327" s="3">
        <v>15</v>
      </c>
      <c r="I327" s="3">
        <v>1264</v>
      </c>
      <c r="J327" s="3">
        <v>75</v>
      </c>
      <c r="K327" s="3">
        <v>696.33333333333337</v>
      </c>
      <c r="L327" s="3">
        <v>67.5</v>
      </c>
      <c r="M327" s="3">
        <v>165</v>
      </c>
      <c r="N327" s="107">
        <f t="shared" si="73"/>
        <v>9.4279126808928145E-3</v>
      </c>
      <c r="O327" s="7">
        <f t="shared" si="69"/>
        <v>2653.0833333333335</v>
      </c>
      <c r="P327" s="7">
        <f t="shared" si="70"/>
        <v>2653.0739054206524</v>
      </c>
      <c r="Q327" s="7">
        <f t="shared" si="71"/>
        <v>1264</v>
      </c>
      <c r="R327" s="7">
        <f t="shared" si="72"/>
        <v>696.32390542065252</v>
      </c>
      <c r="S327" s="7">
        <v>763</v>
      </c>
      <c r="T327" s="7">
        <v>4806</v>
      </c>
      <c r="U327" s="7">
        <v>2769</v>
      </c>
      <c r="V327" s="7">
        <v>81720</v>
      </c>
      <c r="W327" s="7">
        <f t="shared" si="74"/>
        <v>78188</v>
      </c>
      <c r="X327" s="103">
        <f t="shared" si="75"/>
        <v>81720</v>
      </c>
      <c r="Y327" s="103"/>
      <c r="Z327" s="7">
        <v>1</v>
      </c>
      <c r="AB327" s="2">
        <v>0</v>
      </c>
      <c r="AC327" s="103">
        <v>67950</v>
      </c>
      <c r="AD327" s="103">
        <v>78188</v>
      </c>
      <c r="AE327" s="64">
        <f t="shared" si="76"/>
        <v>1.3539367181751287E-5</v>
      </c>
      <c r="AF327" s="64">
        <f t="shared" si="77"/>
        <v>0</v>
      </c>
      <c r="AG327" s="20">
        <f t="shared" si="78"/>
        <v>9.4279126808928145E-3</v>
      </c>
      <c r="AH327" s="20">
        <f t="shared" si="79"/>
        <v>0</v>
      </c>
      <c r="AI327" s="22"/>
    </row>
    <row r="328" spans="1:35">
      <c r="A328" s="28">
        <v>45984</v>
      </c>
      <c r="B328" s="3"/>
      <c r="C328" s="3">
        <v>225</v>
      </c>
      <c r="D328" s="3">
        <v>58.916666666666664</v>
      </c>
      <c r="E328" s="6">
        <v>0</v>
      </c>
      <c r="F328" s="3">
        <v>146.16666666666666</v>
      </c>
      <c r="G328" s="3">
        <v>0</v>
      </c>
      <c r="H328" s="3">
        <v>15</v>
      </c>
      <c r="I328" s="3">
        <v>1182.0833333333333</v>
      </c>
      <c r="J328" s="3">
        <v>60</v>
      </c>
      <c r="K328" s="3">
        <v>705.41666666666674</v>
      </c>
      <c r="L328" s="3">
        <v>0</v>
      </c>
      <c r="M328" s="3">
        <v>141.33333333333334</v>
      </c>
      <c r="N328" s="107">
        <f t="shared" si="73"/>
        <v>0</v>
      </c>
      <c r="O328" s="7">
        <f t="shared" si="69"/>
        <v>2377.583333333333</v>
      </c>
      <c r="P328" s="7">
        <f t="shared" si="70"/>
        <v>2377.583333333333</v>
      </c>
      <c r="Q328" s="7">
        <f t="shared" si="71"/>
        <v>1182.0833333333333</v>
      </c>
      <c r="R328" s="7">
        <f t="shared" si="72"/>
        <v>705.41666666666674</v>
      </c>
      <c r="S328" s="7">
        <v>858</v>
      </c>
      <c r="T328" s="7">
        <v>4401</v>
      </c>
      <c r="U328" s="7">
        <v>1600</v>
      </c>
      <c r="V328" s="7">
        <v>75000</v>
      </c>
      <c r="W328" s="7">
        <f t="shared" si="74"/>
        <v>72542</v>
      </c>
      <c r="X328" s="103">
        <f t="shared" si="75"/>
        <v>75000</v>
      </c>
      <c r="Y328" s="103"/>
      <c r="Z328" s="7">
        <v>0</v>
      </c>
      <c r="AB328" s="2">
        <v>0</v>
      </c>
      <c r="AC328" s="103">
        <v>77429</v>
      </c>
      <c r="AD328" s="103">
        <v>72542</v>
      </c>
      <c r="AE328" s="64">
        <f t="shared" si="76"/>
        <v>0</v>
      </c>
      <c r="AF328" s="64">
        <f t="shared" si="77"/>
        <v>0</v>
      </c>
      <c r="AG328" s="20">
        <f t="shared" si="78"/>
        <v>0</v>
      </c>
      <c r="AH328" s="20">
        <f t="shared" si="79"/>
        <v>0</v>
      </c>
      <c r="AI328" s="22"/>
    </row>
    <row r="329" spans="1:35">
      <c r="A329" s="28">
        <v>45985</v>
      </c>
      <c r="B329" s="3">
        <v>104.66666666666666</v>
      </c>
      <c r="C329" s="3">
        <v>818.25</v>
      </c>
      <c r="D329" s="3">
        <v>97.25</v>
      </c>
      <c r="E329" s="6">
        <v>284.25</v>
      </c>
      <c r="F329" s="3">
        <v>335.83333333333331</v>
      </c>
      <c r="G329" s="3">
        <v>140.66666666666666</v>
      </c>
      <c r="H329" s="3">
        <v>47</v>
      </c>
      <c r="I329" s="3">
        <v>1627.2499999999998</v>
      </c>
      <c r="J329" s="3">
        <v>142.5</v>
      </c>
      <c r="K329" s="3">
        <v>1551.5</v>
      </c>
      <c r="L329" s="3">
        <v>93</v>
      </c>
      <c r="M329" s="3">
        <v>327.5</v>
      </c>
      <c r="N329" s="107">
        <f t="shared" si="73"/>
        <v>6.6411296121364218</v>
      </c>
      <c r="O329" s="7">
        <f t="shared" si="69"/>
        <v>4677.25</v>
      </c>
      <c r="P329" s="7">
        <f t="shared" si="70"/>
        <v>4670.6088703878631</v>
      </c>
      <c r="Q329" s="7">
        <f t="shared" si="71"/>
        <v>1627.2499999999998</v>
      </c>
      <c r="R329" s="7">
        <f t="shared" si="72"/>
        <v>1544.8588703878636</v>
      </c>
      <c r="S329" s="7">
        <v>11524</v>
      </c>
      <c r="T329" s="7">
        <v>16295</v>
      </c>
      <c r="U329" s="7">
        <v>2845</v>
      </c>
      <c r="V329" s="7">
        <v>111431</v>
      </c>
      <c r="W329" s="7">
        <f t="shared" si="74"/>
        <v>97062</v>
      </c>
      <c r="X329" s="103">
        <f t="shared" si="75"/>
        <v>111431</v>
      </c>
      <c r="Y329" s="103"/>
      <c r="Z329" s="7">
        <v>660</v>
      </c>
      <c r="AB329" s="2">
        <v>0</v>
      </c>
      <c r="AC329" s="103">
        <v>141854</v>
      </c>
      <c r="AD329" s="103">
        <v>97062</v>
      </c>
      <c r="AE329" s="64">
        <f t="shared" si="76"/>
        <v>4.2804573716638235E-3</v>
      </c>
      <c r="AF329" s="64">
        <f t="shared" si="77"/>
        <v>0</v>
      </c>
      <c r="AG329" s="20">
        <f t="shared" si="78"/>
        <v>6.6411296121364218</v>
      </c>
      <c r="AH329" s="20">
        <f t="shared" si="79"/>
        <v>0</v>
      </c>
      <c r="AI329" s="22"/>
    </row>
    <row r="330" spans="1:35">
      <c r="A330" s="28">
        <v>45986</v>
      </c>
      <c r="B330" s="3">
        <v>67.166666666666657</v>
      </c>
      <c r="C330" s="3">
        <v>621.58333333333337</v>
      </c>
      <c r="D330" s="3">
        <v>82.5</v>
      </c>
      <c r="E330" s="6">
        <v>292.41666666666663</v>
      </c>
      <c r="F330" s="3">
        <v>250.99999999999997</v>
      </c>
      <c r="G330" s="3">
        <v>144.5</v>
      </c>
      <c r="H330" s="3">
        <v>63</v>
      </c>
      <c r="I330" s="3">
        <v>2129.8333333333335</v>
      </c>
      <c r="J330" s="3">
        <v>142.5</v>
      </c>
      <c r="K330" s="3">
        <v>1362.3333333333333</v>
      </c>
      <c r="L330" s="3">
        <v>92.666666666666657</v>
      </c>
      <c r="M330" s="3">
        <v>326.16666666666663</v>
      </c>
      <c r="N330" s="107">
        <f t="shared" si="73"/>
        <v>105.51633869365224</v>
      </c>
      <c r="O330" s="7">
        <f t="shared" si="69"/>
        <v>4656.916666666667</v>
      </c>
      <c r="P330" s="7">
        <f t="shared" si="70"/>
        <v>4551.400327973015</v>
      </c>
      <c r="Q330" s="7">
        <f t="shared" si="71"/>
        <v>2129.8333333333335</v>
      </c>
      <c r="R330" s="7">
        <f t="shared" si="72"/>
        <v>1256.8169946396811</v>
      </c>
      <c r="S330" s="7">
        <v>5526</v>
      </c>
      <c r="T330" s="7">
        <v>11033</v>
      </c>
      <c r="U330" s="7">
        <v>4581</v>
      </c>
      <c r="V330" s="7">
        <v>145629</v>
      </c>
      <c r="W330" s="7">
        <f t="shared" si="74"/>
        <v>135522</v>
      </c>
      <c r="X330" s="103">
        <f t="shared" si="75"/>
        <v>145629</v>
      </c>
      <c r="Y330" s="103"/>
      <c r="Z330" s="7">
        <v>11439</v>
      </c>
      <c r="AB330" s="2">
        <v>0</v>
      </c>
      <c r="AC330" s="103">
        <v>135875</v>
      </c>
      <c r="AD330" s="103">
        <v>135522</v>
      </c>
      <c r="AE330" s="64">
        <f t="shared" si="76"/>
        <v>7.7452658693652254E-2</v>
      </c>
      <c r="AF330" s="64">
        <f t="shared" si="77"/>
        <v>0</v>
      </c>
      <c r="AG330" s="20">
        <f t="shared" si="78"/>
        <v>105.51633869365224</v>
      </c>
      <c r="AH330" s="20">
        <f t="shared" si="79"/>
        <v>0</v>
      </c>
      <c r="AI330" s="22"/>
    </row>
    <row r="331" spans="1:35">
      <c r="A331" s="28">
        <v>45987</v>
      </c>
      <c r="B331" s="3">
        <v>82.166666666666657</v>
      </c>
      <c r="C331" s="3">
        <v>574.08333333333326</v>
      </c>
      <c r="D331" s="3">
        <v>78.416666666666657</v>
      </c>
      <c r="E331" s="6">
        <v>322.41666666666663</v>
      </c>
      <c r="F331" s="3">
        <v>282.41666666666663</v>
      </c>
      <c r="G331" s="3">
        <v>133.91666666666666</v>
      </c>
      <c r="H331" s="3">
        <v>63</v>
      </c>
      <c r="I331" s="3">
        <v>2071.5833333333335</v>
      </c>
      <c r="J331" s="3">
        <v>142.5</v>
      </c>
      <c r="K331" s="3">
        <v>1448</v>
      </c>
      <c r="L331" s="3">
        <v>101.5</v>
      </c>
      <c r="M331" s="3">
        <v>320.5</v>
      </c>
      <c r="N331" s="107">
        <f t="shared" si="73"/>
        <v>172.2970301170364</v>
      </c>
      <c r="O331" s="7">
        <f t="shared" si="69"/>
        <v>4679.1666666666661</v>
      </c>
      <c r="P331" s="7">
        <f t="shared" si="70"/>
        <v>4506.8696365496298</v>
      </c>
      <c r="Q331" s="7">
        <f t="shared" si="71"/>
        <v>2071.5833333333335</v>
      </c>
      <c r="R331" s="7">
        <f t="shared" si="72"/>
        <v>1275.7029698829635</v>
      </c>
      <c r="S331" s="7">
        <v>6732</v>
      </c>
      <c r="T331" s="7">
        <v>14517</v>
      </c>
      <c r="U331" s="7">
        <v>4535</v>
      </c>
      <c r="V331" s="7">
        <v>159338</v>
      </c>
      <c r="W331" s="7">
        <f t="shared" si="74"/>
        <v>148071</v>
      </c>
      <c r="X331" s="103">
        <f t="shared" si="75"/>
        <v>159338</v>
      </c>
      <c r="Y331" s="103"/>
      <c r="Z331" s="7">
        <v>21030</v>
      </c>
      <c r="AB331" s="2">
        <v>0</v>
      </c>
      <c r="AC331" s="103">
        <v>162599</v>
      </c>
      <c r="AD331" s="103">
        <v>148071</v>
      </c>
      <c r="AE331" s="64">
        <f t="shared" si="76"/>
        <v>0.11898966168303619</v>
      </c>
      <c r="AF331" s="64">
        <f t="shared" si="77"/>
        <v>0</v>
      </c>
      <c r="AG331" s="20">
        <f t="shared" si="78"/>
        <v>172.2970301170364</v>
      </c>
      <c r="AH331" s="20">
        <f t="shared" si="79"/>
        <v>0</v>
      </c>
      <c r="AI331" s="22"/>
    </row>
    <row r="332" spans="1:35">
      <c r="A332" s="28">
        <v>45988</v>
      </c>
      <c r="B332" s="3">
        <v>59.75</v>
      </c>
      <c r="C332" s="3">
        <v>866.91666666666674</v>
      </c>
      <c r="D332" s="3">
        <v>81.333333333333343</v>
      </c>
      <c r="E332" s="6">
        <v>337.75</v>
      </c>
      <c r="F332" s="3">
        <v>319.75</v>
      </c>
      <c r="G332" s="3">
        <v>144.25</v>
      </c>
      <c r="H332" s="3">
        <v>63</v>
      </c>
      <c r="I332" s="3">
        <v>2383.1666666666665</v>
      </c>
      <c r="J332" s="3">
        <v>140.83333333333334</v>
      </c>
      <c r="K332" s="3">
        <v>1443.75</v>
      </c>
      <c r="L332" s="3">
        <v>137.83333333333334</v>
      </c>
      <c r="M332" s="3">
        <v>322</v>
      </c>
      <c r="N332" s="107">
        <f t="shared" si="73"/>
        <v>269.03272444035571</v>
      </c>
      <c r="O332" s="7">
        <f t="shared" si="69"/>
        <v>5295.4999999999991</v>
      </c>
      <c r="P332" s="7">
        <f t="shared" si="70"/>
        <v>5026.4672755596439</v>
      </c>
      <c r="Q332" s="7">
        <f t="shared" si="71"/>
        <v>2149.8811055796491</v>
      </c>
      <c r="R332" s="7">
        <f t="shared" si="72"/>
        <v>1408.0028366466618</v>
      </c>
      <c r="S332" s="7">
        <v>6125</v>
      </c>
      <c r="T332" s="7">
        <v>13918</v>
      </c>
      <c r="U332" s="7">
        <v>5449</v>
      </c>
      <c r="V332" s="7">
        <v>161208</v>
      </c>
      <c r="W332" s="7">
        <f t="shared" si="74"/>
        <v>149634</v>
      </c>
      <c r="X332" s="103">
        <f t="shared" si="75"/>
        <v>187738</v>
      </c>
      <c r="Y332" s="103"/>
      <c r="Z332" s="7">
        <v>3731</v>
      </c>
      <c r="AB332" s="2">
        <v>26530</v>
      </c>
      <c r="AC332" s="103">
        <v>138632</v>
      </c>
      <c r="AD332" s="103">
        <v>176164</v>
      </c>
      <c r="AE332" s="64">
        <f t="shared" si="76"/>
        <v>2.4759939984996249E-2</v>
      </c>
      <c r="AF332" s="64">
        <f t="shared" si="77"/>
        <v>9.7888898980495451E-2</v>
      </c>
      <c r="AG332" s="20">
        <f t="shared" si="78"/>
        <v>35.747163353338337</v>
      </c>
      <c r="AH332" s="20">
        <f t="shared" si="79"/>
        <v>233.28556108701738</v>
      </c>
      <c r="AI332" s="22"/>
    </row>
    <row r="333" spans="1:35">
      <c r="A333" s="28">
        <v>45989</v>
      </c>
      <c r="B333" s="3">
        <v>82.5</v>
      </c>
      <c r="C333" s="3">
        <v>817.5</v>
      </c>
      <c r="D333" s="3">
        <v>81.083333333333343</v>
      </c>
      <c r="E333" s="6">
        <v>283.41666666666669</v>
      </c>
      <c r="F333" s="3">
        <v>307.16666666666663</v>
      </c>
      <c r="G333" s="3">
        <v>137.66666666666666</v>
      </c>
      <c r="H333" s="3">
        <v>63</v>
      </c>
      <c r="I333" s="3">
        <v>2097.75</v>
      </c>
      <c r="J333" s="3">
        <v>127.5</v>
      </c>
      <c r="K333" s="3">
        <v>1747</v>
      </c>
      <c r="L333" s="3">
        <v>94</v>
      </c>
      <c r="M333" s="3">
        <v>297.08333333333331</v>
      </c>
      <c r="N333" s="107">
        <f t="shared" si="73"/>
        <v>7.4296764158749706</v>
      </c>
      <c r="O333" s="7">
        <f t="shared" si="69"/>
        <v>5260.5</v>
      </c>
      <c r="P333" s="7">
        <f t="shared" si="70"/>
        <v>5253.0703235841247</v>
      </c>
      <c r="Q333" s="7">
        <f t="shared" si="71"/>
        <v>2097.75</v>
      </c>
      <c r="R333" s="7">
        <f t="shared" si="72"/>
        <v>1739.5703235841249</v>
      </c>
      <c r="S333" s="7">
        <v>3877</v>
      </c>
      <c r="T333" s="7">
        <v>10520</v>
      </c>
      <c r="U333" s="7">
        <v>4936</v>
      </c>
      <c r="V333" s="7">
        <v>143780</v>
      </c>
      <c r="W333" s="7">
        <f t="shared" si="74"/>
        <v>134967</v>
      </c>
      <c r="X333" s="103">
        <f t="shared" si="75"/>
        <v>143780</v>
      </c>
      <c r="Y333" s="103"/>
      <c r="Z333" s="7">
        <v>743</v>
      </c>
      <c r="AB333" s="2">
        <v>0</v>
      </c>
      <c r="AC333" s="103">
        <v>160731</v>
      </c>
      <c r="AD333" s="103">
        <v>134967</v>
      </c>
      <c r="AE333" s="64">
        <f t="shared" si="76"/>
        <v>4.2528199289496114E-3</v>
      </c>
      <c r="AF333" s="64">
        <f t="shared" si="77"/>
        <v>0</v>
      </c>
      <c r="AG333" s="20">
        <f t="shared" si="78"/>
        <v>7.4296764158749706</v>
      </c>
      <c r="AH333" s="20">
        <f t="shared" si="79"/>
        <v>0</v>
      </c>
      <c r="AI333" s="22"/>
    </row>
    <row r="334" spans="1:35">
      <c r="A334" s="28">
        <v>45990</v>
      </c>
      <c r="B334" s="3">
        <v>127.5</v>
      </c>
      <c r="C334" s="3">
        <v>562.5</v>
      </c>
      <c r="D334" s="3">
        <v>32.916666666666664</v>
      </c>
      <c r="E334" s="6">
        <v>164.66666666666663</v>
      </c>
      <c r="F334" s="3">
        <v>260.5</v>
      </c>
      <c r="G334" s="3">
        <v>0</v>
      </c>
      <c r="H334" s="3">
        <v>15</v>
      </c>
      <c r="I334" s="3">
        <v>1219</v>
      </c>
      <c r="J334" s="3">
        <v>75</v>
      </c>
      <c r="K334" s="3">
        <v>974.25</v>
      </c>
      <c r="L334" s="3">
        <v>90</v>
      </c>
      <c r="M334" s="3">
        <v>164.5</v>
      </c>
      <c r="N334" s="107">
        <f t="shared" si="73"/>
        <v>3.3649114502570803</v>
      </c>
      <c r="O334" s="7">
        <f t="shared" si="69"/>
        <v>3251.6666666666665</v>
      </c>
      <c r="P334" s="7">
        <f t="shared" si="70"/>
        <v>3248.3017552164092</v>
      </c>
      <c r="Q334" s="7">
        <f t="shared" si="71"/>
        <v>1219</v>
      </c>
      <c r="R334" s="7">
        <f t="shared" si="72"/>
        <v>970.88508854974293</v>
      </c>
      <c r="S334" s="7">
        <v>1639</v>
      </c>
      <c r="T334" s="7">
        <v>8734</v>
      </c>
      <c r="U334" s="7">
        <v>5060</v>
      </c>
      <c r="V334" s="7">
        <v>87582</v>
      </c>
      <c r="W334" s="7">
        <f t="shared" si="74"/>
        <v>80883</v>
      </c>
      <c r="X334" s="103">
        <f t="shared" si="75"/>
        <v>87582</v>
      </c>
      <c r="Y334" s="103"/>
      <c r="Z334" s="7">
        <v>322</v>
      </c>
      <c r="AB334" s="2">
        <v>0</v>
      </c>
      <c r="AC334" s="103">
        <v>85771</v>
      </c>
      <c r="AD334" s="103">
        <v>80883</v>
      </c>
      <c r="AE334" s="64">
        <f t="shared" si="76"/>
        <v>3.453848037215376E-3</v>
      </c>
      <c r="AF334" s="64">
        <f t="shared" si="77"/>
        <v>0</v>
      </c>
      <c r="AG334" s="20">
        <f t="shared" si="78"/>
        <v>3.3649114502570803</v>
      </c>
      <c r="AH334" s="20">
        <f t="shared" si="79"/>
        <v>0</v>
      </c>
      <c r="AI334" s="22"/>
    </row>
    <row r="335" spans="1:35">
      <c r="A335" s="28">
        <v>45991</v>
      </c>
      <c r="B335" s="3"/>
      <c r="C335" s="3">
        <v>164.33333333333331</v>
      </c>
      <c r="D335" s="3">
        <v>41.75</v>
      </c>
      <c r="E335" s="6">
        <v>0</v>
      </c>
      <c r="F335" s="3">
        <v>154.08333333333331</v>
      </c>
      <c r="G335" s="3">
        <v>7.5</v>
      </c>
      <c r="H335" s="3">
        <v>15</v>
      </c>
      <c r="I335" s="3">
        <v>1176.0833333333335</v>
      </c>
      <c r="J335" s="3">
        <v>60</v>
      </c>
      <c r="K335" s="3">
        <v>582.5</v>
      </c>
      <c r="L335" s="3">
        <v>0</v>
      </c>
      <c r="M335" s="3">
        <v>142.5</v>
      </c>
      <c r="N335" s="107">
        <f t="shared" si="73"/>
        <v>0</v>
      </c>
      <c r="O335" s="7">
        <f t="shared" si="69"/>
        <v>2178.75</v>
      </c>
      <c r="P335" s="7">
        <f t="shared" si="70"/>
        <v>2178.75</v>
      </c>
      <c r="Q335" s="7">
        <f t="shared" si="71"/>
        <v>1176.0833333333335</v>
      </c>
      <c r="R335" s="7">
        <f t="shared" si="72"/>
        <v>582.5</v>
      </c>
      <c r="S335" s="7">
        <v>395</v>
      </c>
      <c r="T335" s="7">
        <v>4283</v>
      </c>
      <c r="U335" s="7">
        <v>2672</v>
      </c>
      <c r="V335" s="7">
        <v>82023</v>
      </c>
      <c r="W335" s="7">
        <f t="shared" si="74"/>
        <v>78956</v>
      </c>
      <c r="X335" s="103">
        <f t="shared" si="75"/>
        <v>82023</v>
      </c>
      <c r="Y335" s="103"/>
      <c r="Z335" s="7">
        <v>0</v>
      </c>
      <c r="AB335" s="2">
        <v>0</v>
      </c>
      <c r="AC335" s="103">
        <v>58431</v>
      </c>
      <c r="AD335" s="103">
        <v>78956</v>
      </c>
      <c r="AE335" s="64">
        <f t="shared" si="76"/>
        <v>0</v>
      </c>
      <c r="AF335" s="64">
        <f t="shared" si="77"/>
        <v>0</v>
      </c>
      <c r="AG335" s="20">
        <f t="shared" si="78"/>
        <v>0</v>
      </c>
      <c r="AH335" s="20">
        <f t="shared" si="79"/>
        <v>0</v>
      </c>
      <c r="AI335" s="22"/>
    </row>
    <row r="336" spans="1:35">
      <c r="A336" s="28">
        <v>45992</v>
      </c>
      <c r="B336" s="3">
        <v>126.58333333333331</v>
      </c>
      <c r="C336" s="3">
        <v>791.41666666666674</v>
      </c>
      <c r="D336" s="3">
        <v>90</v>
      </c>
      <c r="E336" s="6">
        <v>302.5</v>
      </c>
      <c r="F336" s="3">
        <v>422.66666666666663</v>
      </c>
      <c r="G336" s="3">
        <v>144.25</v>
      </c>
      <c r="H336" s="3">
        <v>48</v>
      </c>
      <c r="I336" s="3">
        <v>2248.416666666667</v>
      </c>
      <c r="J336" s="3">
        <v>135</v>
      </c>
      <c r="K336" s="3">
        <v>2073.2325910623099</v>
      </c>
      <c r="L336" s="3">
        <v>85.5</v>
      </c>
      <c r="M336" s="3">
        <v>292.5</v>
      </c>
      <c r="N336" s="107">
        <f t="shared" si="73"/>
        <v>0</v>
      </c>
      <c r="O336" s="7">
        <f t="shared" si="69"/>
        <v>5887.3159243956434</v>
      </c>
      <c r="P336" s="7">
        <f t="shared" si="70"/>
        <v>5887.3159243956434</v>
      </c>
      <c r="Q336" s="7">
        <f t="shared" si="71"/>
        <v>2248.416666666667</v>
      </c>
      <c r="R336" s="7">
        <f t="shared" si="72"/>
        <v>2073.2325910623099</v>
      </c>
      <c r="S336" s="7">
        <v>10714</v>
      </c>
      <c r="T336" s="7">
        <v>17246</v>
      </c>
      <c r="U336" s="7">
        <v>3922</v>
      </c>
      <c r="V336" s="7">
        <v>173818</v>
      </c>
      <c r="W336" s="7">
        <f t="shared" si="74"/>
        <v>159182</v>
      </c>
      <c r="X336" s="103">
        <f t="shared" si="75"/>
        <v>173818</v>
      </c>
      <c r="Y336" s="103"/>
      <c r="Z336" s="7">
        <v>0</v>
      </c>
      <c r="AB336" s="2">
        <v>0</v>
      </c>
      <c r="AC336" s="103">
        <v>172452</v>
      </c>
      <c r="AD336" s="103">
        <v>159182</v>
      </c>
      <c r="AE336" s="64">
        <f t="shared" si="76"/>
        <v>0</v>
      </c>
      <c r="AF336" s="64">
        <f t="shared" si="77"/>
        <v>0</v>
      </c>
      <c r="AG336" s="20">
        <f t="shared" si="78"/>
        <v>0</v>
      </c>
      <c r="AH336" s="20">
        <f t="shared" si="79"/>
        <v>0</v>
      </c>
      <c r="AI336" s="22"/>
    </row>
    <row r="337" spans="1:35">
      <c r="A337" s="28">
        <v>45993</v>
      </c>
      <c r="B337" s="3">
        <v>104.08333333333331</v>
      </c>
      <c r="C337" s="3">
        <v>772.5</v>
      </c>
      <c r="D337" s="3">
        <v>83.916666666666657</v>
      </c>
      <c r="E337" s="6">
        <v>330</v>
      </c>
      <c r="F337" s="3">
        <v>424.75</v>
      </c>
      <c r="G337" s="3">
        <v>124.91666666666667</v>
      </c>
      <c r="H337" s="3">
        <v>55.5</v>
      </c>
      <c r="I337" s="3">
        <v>2282.333333333333</v>
      </c>
      <c r="J337" s="3">
        <v>135</v>
      </c>
      <c r="K337" s="3">
        <v>2006.1475378608045</v>
      </c>
      <c r="L337" s="3">
        <v>105.08333333333334</v>
      </c>
      <c r="M337" s="3">
        <v>306</v>
      </c>
      <c r="N337" s="107">
        <f t="shared" si="73"/>
        <v>0</v>
      </c>
      <c r="O337" s="7">
        <f t="shared" si="69"/>
        <v>5808.7308711941378</v>
      </c>
      <c r="P337" s="7">
        <f t="shared" si="70"/>
        <v>5808.7308711941378</v>
      </c>
      <c r="Q337" s="7">
        <f t="shared" si="71"/>
        <v>2282.333333333333</v>
      </c>
      <c r="R337" s="7">
        <f t="shared" si="72"/>
        <v>2006.1475378608045</v>
      </c>
      <c r="S337" s="7">
        <v>8329</v>
      </c>
      <c r="T337" s="7">
        <v>16750</v>
      </c>
      <c r="U337" s="7">
        <v>5876</v>
      </c>
      <c r="V337" s="7">
        <v>167365</v>
      </c>
      <c r="W337" s="7">
        <f t="shared" si="74"/>
        <v>153160</v>
      </c>
      <c r="X337" s="103">
        <f t="shared" si="75"/>
        <v>167365</v>
      </c>
      <c r="Y337" s="103"/>
      <c r="Z337" s="7">
        <v>0</v>
      </c>
      <c r="AB337" s="2">
        <v>0</v>
      </c>
      <c r="AC337" s="103">
        <v>178740</v>
      </c>
      <c r="AD337" s="103">
        <v>153160</v>
      </c>
      <c r="AE337" s="64">
        <f t="shared" si="76"/>
        <v>0</v>
      </c>
      <c r="AF337" s="64">
        <f t="shared" si="77"/>
        <v>0</v>
      </c>
      <c r="AG337" s="20">
        <f t="shared" si="78"/>
        <v>0</v>
      </c>
      <c r="AH337" s="20">
        <f t="shared" si="79"/>
        <v>0</v>
      </c>
      <c r="AI337" s="22"/>
    </row>
    <row r="338" spans="1:35">
      <c r="A338" s="28">
        <v>45994</v>
      </c>
      <c r="B338" s="3">
        <v>81.833333333333314</v>
      </c>
      <c r="C338" s="3">
        <v>667.16666666666674</v>
      </c>
      <c r="D338" s="3">
        <v>75.916666666666657</v>
      </c>
      <c r="E338" s="6">
        <v>219.33333333333331</v>
      </c>
      <c r="F338" s="3">
        <v>405</v>
      </c>
      <c r="G338" s="3">
        <v>127.25</v>
      </c>
      <c r="H338" s="3">
        <v>30</v>
      </c>
      <c r="I338" s="3">
        <v>2297.1666666666665</v>
      </c>
      <c r="J338" s="3">
        <v>127.5</v>
      </c>
      <c r="K338" s="3">
        <v>1769.2109947169736</v>
      </c>
      <c r="L338" s="3">
        <v>60</v>
      </c>
      <c r="M338" s="3">
        <v>307.5</v>
      </c>
      <c r="N338" s="107">
        <f t="shared" si="73"/>
        <v>351.52514744274731</v>
      </c>
      <c r="O338" s="7">
        <f t="shared" si="69"/>
        <v>5423.7943280503068</v>
      </c>
      <c r="P338" s="7">
        <f t="shared" si="70"/>
        <v>5072.2691806075591</v>
      </c>
      <c r="Q338" s="7">
        <f t="shared" si="71"/>
        <v>2297.1666666666665</v>
      </c>
      <c r="R338" s="7">
        <f t="shared" si="72"/>
        <v>1417.6858472742263</v>
      </c>
      <c r="S338" s="7">
        <v>8179</v>
      </c>
      <c r="T338" s="7">
        <v>17032</v>
      </c>
      <c r="U338" s="7">
        <v>5620</v>
      </c>
      <c r="V338" s="7">
        <v>175196</v>
      </c>
      <c r="W338" s="7">
        <f t="shared" si="74"/>
        <v>161397</v>
      </c>
      <c r="X338" s="103">
        <f t="shared" si="75"/>
        <v>175196</v>
      </c>
      <c r="Y338" s="103"/>
      <c r="Z338" s="7">
        <v>39775</v>
      </c>
      <c r="AB338" s="2">
        <v>0</v>
      </c>
      <c r="AC338" s="103">
        <v>184171</v>
      </c>
      <c r="AD338" s="103">
        <v>161397</v>
      </c>
      <c r="AE338" s="64">
        <f t="shared" si="76"/>
        <v>0.19869034755743303</v>
      </c>
      <c r="AF338" s="64">
        <f t="shared" si="77"/>
        <v>0</v>
      </c>
      <c r="AG338" s="20">
        <f t="shared" si="78"/>
        <v>351.52514744274731</v>
      </c>
      <c r="AH338" s="20">
        <f t="shared" si="79"/>
        <v>0</v>
      </c>
      <c r="AI338" s="22"/>
    </row>
    <row r="339" spans="1:35">
      <c r="A339" s="28">
        <v>45995</v>
      </c>
      <c r="B339" s="3">
        <v>89.583333333333314</v>
      </c>
      <c r="C339" s="3">
        <v>646.58333333333326</v>
      </c>
      <c r="D339" s="3">
        <v>86.833333333333329</v>
      </c>
      <c r="E339" s="6">
        <v>317.66666666666663</v>
      </c>
      <c r="F339" s="3">
        <v>344.66666666666663</v>
      </c>
      <c r="G339" s="3">
        <v>127.25</v>
      </c>
      <c r="H339" s="3">
        <v>61.416666666666671</v>
      </c>
      <c r="I339" s="3">
        <v>2467.916666666667</v>
      </c>
      <c r="J339" s="3">
        <v>127.5</v>
      </c>
      <c r="K339" s="3">
        <v>1919.2601709330052</v>
      </c>
      <c r="L339" s="3">
        <v>99.083333333333343</v>
      </c>
      <c r="M339" s="3">
        <v>321</v>
      </c>
      <c r="N339" s="107">
        <f t="shared" si="73"/>
        <v>693.96702168553907</v>
      </c>
      <c r="O339" s="7">
        <f t="shared" si="69"/>
        <v>5682.3435042663386</v>
      </c>
      <c r="P339" s="7">
        <f t="shared" si="70"/>
        <v>4988.3764825807993</v>
      </c>
      <c r="Q339" s="7">
        <f t="shared" si="71"/>
        <v>2113.8034513688499</v>
      </c>
      <c r="R339" s="7">
        <f t="shared" si="72"/>
        <v>1579.4063645452829</v>
      </c>
      <c r="S339" s="7">
        <v>5309</v>
      </c>
      <c r="T339" s="7">
        <v>11321</v>
      </c>
      <c r="U339" s="7">
        <v>4583</v>
      </c>
      <c r="V339" s="7">
        <v>155446</v>
      </c>
      <c r="W339" s="7">
        <f t="shared" si="74"/>
        <v>145554</v>
      </c>
      <c r="X339" s="103">
        <f t="shared" si="75"/>
        <v>196679</v>
      </c>
      <c r="Y339" s="103"/>
      <c r="Z339" s="7">
        <v>38312</v>
      </c>
      <c r="AB339" s="2">
        <v>41233</v>
      </c>
      <c r="AC339" s="103">
        <v>199051</v>
      </c>
      <c r="AD339" s="103">
        <v>186787</v>
      </c>
      <c r="AE339" s="64">
        <f t="shared" si="76"/>
        <v>0.17707542288157307</v>
      </c>
      <c r="AF339" s="64">
        <f t="shared" si="77"/>
        <v>0.14348669875312522</v>
      </c>
      <c r="AG339" s="20">
        <f t="shared" si="78"/>
        <v>339.8538063877221</v>
      </c>
      <c r="AH339" s="20">
        <f t="shared" si="79"/>
        <v>354.11321529781702</v>
      </c>
      <c r="AI339" s="22"/>
    </row>
    <row r="340" spans="1:35">
      <c r="A340" s="28">
        <v>45996</v>
      </c>
      <c r="B340" s="3">
        <v>74.666666666666686</v>
      </c>
      <c r="C340" s="3">
        <v>584.41666666666674</v>
      </c>
      <c r="D340" s="3">
        <v>75</v>
      </c>
      <c r="E340" s="6">
        <v>306</v>
      </c>
      <c r="F340" s="3">
        <v>393</v>
      </c>
      <c r="G340" s="3">
        <v>117.66666666666667</v>
      </c>
      <c r="H340" s="3">
        <v>62.083333333333329</v>
      </c>
      <c r="I340" s="3">
        <v>2211.6666666666665</v>
      </c>
      <c r="J340" s="3">
        <v>132.16666666666666</v>
      </c>
      <c r="K340" s="3">
        <v>1746.0085139715145</v>
      </c>
      <c r="L340" s="3">
        <v>131.5</v>
      </c>
      <c r="M340" s="3">
        <v>318</v>
      </c>
      <c r="N340" s="107">
        <f t="shared" si="73"/>
        <v>309.07551121299554</v>
      </c>
      <c r="O340" s="7">
        <f t="shared" si="69"/>
        <v>5216.9251806381817</v>
      </c>
      <c r="P340" s="7">
        <f t="shared" si="70"/>
        <v>4907.8496694251862</v>
      </c>
      <c r="Q340" s="7">
        <f t="shared" si="71"/>
        <v>1977.4926703378844</v>
      </c>
      <c r="R340" s="7">
        <f t="shared" si="72"/>
        <v>1671.1069990873011</v>
      </c>
      <c r="S340" s="7">
        <v>7408</v>
      </c>
      <c r="T340" s="7">
        <v>15195</v>
      </c>
      <c r="U340" s="7">
        <v>5037</v>
      </c>
      <c r="V340" s="7">
        <v>159897</v>
      </c>
      <c r="W340" s="7">
        <f t="shared" si="74"/>
        <v>147452</v>
      </c>
      <c r="X340" s="103">
        <f t="shared" si="75"/>
        <v>188590</v>
      </c>
      <c r="Y340" s="103"/>
      <c r="Z340" s="7">
        <v>7583</v>
      </c>
      <c r="AB340" s="2">
        <v>28693</v>
      </c>
      <c r="AC340" s="103">
        <v>162624</v>
      </c>
      <c r="AD340" s="103">
        <v>176145</v>
      </c>
      <c r="AE340" s="64">
        <f t="shared" si="76"/>
        <v>4.2898711137347501E-2</v>
      </c>
      <c r="AF340" s="64">
        <f t="shared" si="77"/>
        <v>0.10588123421045162</v>
      </c>
      <c r="AG340" s="20">
        <f t="shared" si="78"/>
        <v>74.90151488421337</v>
      </c>
      <c r="AH340" s="20">
        <f t="shared" si="79"/>
        <v>234.17399632878215</v>
      </c>
      <c r="AI340" s="22"/>
    </row>
    <row r="341" spans="1:35">
      <c r="A341" s="28">
        <v>45997</v>
      </c>
      <c r="B341" s="3">
        <v>66.75</v>
      </c>
      <c r="C341" s="3">
        <v>577.5</v>
      </c>
      <c r="D341" s="3">
        <v>30</v>
      </c>
      <c r="E341" s="6">
        <v>160.25000000000003</v>
      </c>
      <c r="F341" s="3">
        <v>172.5</v>
      </c>
      <c r="G341" s="3">
        <v>0</v>
      </c>
      <c r="H341" s="3">
        <v>15</v>
      </c>
      <c r="I341" s="3">
        <v>1234.75</v>
      </c>
      <c r="J341" s="3">
        <v>75</v>
      </c>
      <c r="K341" s="3">
        <v>1033.8406746375035</v>
      </c>
      <c r="L341" s="3">
        <v>105</v>
      </c>
      <c r="M341" s="3">
        <v>177</v>
      </c>
      <c r="N341" s="107">
        <f t="shared" si="73"/>
        <v>56.733868990807252</v>
      </c>
      <c r="O341" s="7">
        <f t="shared" si="69"/>
        <v>3190.3406746375035</v>
      </c>
      <c r="P341" s="7">
        <f t="shared" si="70"/>
        <v>3133.6068056466961</v>
      </c>
      <c r="Q341" s="7">
        <f t="shared" si="71"/>
        <v>1178.0161310091928</v>
      </c>
      <c r="R341" s="7">
        <f t="shared" si="72"/>
        <v>1033.8406746375035</v>
      </c>
      <c r="S341" s="7">
        <v>293</v>
      </c>
      <c r="T341" s="7">
        <v>5475</v>
      </c>
      <c r="U341" s="7">
        <v>3339</v>
      </c>
      <c r="V341" s="7">
        <v>96131</v>
      </c>
      <c r="W341" s="7">
        <f t="shared" si="74"/>
        <v>92499</v>
      </c>
      <c r="X341" s="103">
        <f t="shared" si="75"/>
        <v>103167</v>
      </c>
      <c r="Y341" s="103"/>
      <c r="Z341" s="7">
        <v>0</v>
      </c>
      <c r="AB341" s="2">
        <v>7036</v>
      </c>
      <c r="AC341" s="103">
        <v>93313</v>
      </c>
      <c r="AD341" s="103">
        <v>99535</v>
      </c>
      <c r="AE341" s="64">
        <f t="shared" si="76"/>
        <v>0</v>
      </c>
      <c r="AF341" s="64">
        <f t="shared" si="77"/>
        <v>4.5947656603204899E-2</v>
      </c>
      <c r="AG341" s="20">
        <f t="shared" si="78"/>
        <v>0</v>
      </c>
      <c r="AH341" s="20">
        <f t="shared" si="79"/>
        <v>56.733868990807252</v>
      </c>
      <c r="AI341" s="22"/>
    </row>
    <row r="342" spans="1:35">
      <c r="A342" s="28">
        <v>45998</v>
      </c>
      <c r="B342" s="3"/>
      <c r="C342" s="3">
        <v>170.66666666666666</v>
      </c>
      <c r="D342" s="3">
        <v>42</v>
      </c>
      <c r="E342" s="6">
        <v>0</v>
      </c>
      <c r="F342" s="3">
        <v>132.75</v>
      </c>
      <c r="G342" s="3">
        <v>0</v>
      </c>
      <c r="H342" s="3">
        <v>15</v>
      </c>
      <c r="I342" s="3">
        <v>1162.5833333333333</v>
      </c>
      <c r="J342" s="3">
        <v>67.5</v>
      </c>
      <c r="K342" s="3">
        <v>596.84642883324238</v>
      </c>
      <c r="L342" s="3">
        <v>0</v>
      </c>
      <c r="M342" s="3">
        <v>134.66666666666666</v>
      </c>
      <c r="N342" s="107">
        <f t="shared" si="73"/>
        <v>71.952749296340968</v>
      </c>
      <c r="O342" s="7">
        <f t="shared" si="69"/>
        <v>2172.3464288332425</v>
      </c>
      <c r="P342" s="7">
        <f t="shared" si="70"/>
        <v>2100.3936795369013</v>
      </c>
      <c r="Q342" s="7">
        <f t="shared" si="71"/>
        <v>1090.6305840369923</v>
      </c>
      <c r="R342" s="7">
        <f t="shared" si="72"/>
        <v>596.84642883324238</v>
      </c>
      <c r="S342" s="7">
        <v>35</v>
      </c>
      <c r="T342" s="7">
        <v>5836</v>
      </c>
      <c r="U342" s="7">
        <v>3557</v>
      </c>
      <c r="V342" s="7">
        <v>71848</v>
      </c>
      <c r="W342" s="7">
        <f t="shared" si="74"/>
        <v>68256</v>
      </c>
      <c r="X342" s="103">
        <f t="shared" si="75"/>
        <v>79031</v>
      </c>
      <c r="Y342" s="103"/>
      <c r="Z342" s="7">
        <v>0</v>
      </c>
      <c r="AB342" s="2">
        <v>7183</v>
      </c>
      <c r="AC342" s="103">
        <v>67239</v>
      </c>
      <c r="AD342" s="103">
        <v>75439</v>
      </c>
      <c r="AE342" s="64">
        <f t="shared" si="76"/>
        <v>0</v>
      </c>
      <c r="AF342" s="64">
        <f t="shared" si="77"/>
        <v>6.1890401516457007E-2</v>
      </c>
      <c r="AG342" s="20">
        <f t="shared" si="78"/>
        <v>0</v>
      </c>
      <c r="AH342" s="20">
        <f t="shared" si="79"/>
        <v>71.952749296340968</v>
      </c>
      <c r="AI342" s="22"/>
    </row>
    <row r="343" spans="1:35">
      <c r="A343" s="28">
        <v>45999</v>
      </c>
      <c r="B343" s="3">
        <v>131.66666666666669</v>
      </c>
      <c r="C343" s="7">
        <v>356.25</v>
      </c>
      <c r="D343" s="3">
        <v>87.25</v>
      </c>
      <c r="E343" s="6">
        <v>299.25</v>
      </c>
      <c r="F343" s="3">
        <v>411.33333333333337</v>
      </c>
      <c r="G343" s="3">
        <v>66.916666666666657</v>
      </c>
      <c r="H343" s="3">
        <v>37.583333333333329</v>
      </c>
      <c r="I343" s="3">
        <v>2257.166666666667</v>
      </c>
      <c r="J343" s="3">
        <v>136.58333333333331</v>
      </c>
      <c r="K343" s="3">
        <v>1896.1253323873277</v>
      </c>
      <c r="L343" s="3">
        <v>125.25</v>
      </c>
      <c r="M343" s="3">
        <v>322.25</v>
      </c>
      <c r="N343" s="107">
        <f t="shared" si="73"/>
        <v>0</v>
      </c>
      <c r="O343" s="7">
        <f t="shared" si="69"/>
        <v>5276.3753323873279</v>
      </c>
      <c r="P343" s="7">
        <f t="shared" si="70"/>
        <v>5276.3753323873279</v>
      </c>
      <c r="Q343" s="7">
        <f t="shared" si="71"/>
        <v>2257.166666666667</v>
      </c>
      <c r="R343" s="7">
        <f t="shared" si="72"/>
        <v>1896.1253323873277</v>
      </c>
      <c r="S343" s="7">
        <v>7788</v>
      </c>
      <c r="T343" s="7">
        <v>14390</v>
      </c>
      <c r="U343" s="7">
        <v>2949</v>
      </c>
      <c r="V343" s="7">
        <v>162076</v>
      </c>
      <c r="W343" s="7">
        <f t="shared" si="74"/>
        <v>151339</v>
      </c>
      <c r="X343" s="103">
        <f t="shared" si="75"/>
        <v>162076</v>
      </c>
      <c r="Y343" s="103"/>
      <c r="Z343" s="7">
        <v>0</v>
      </c>
      <c r="AB343" s="2">
        <v>0</v>
      </c>
      <c r="AC343" s="103">
        <v>173088</v>
      </c>
      <c r="AD343" s="103">
        <v>162076</v>
      </c>
      <c r="AE343" s="64">
        <f t="shared" si="76"/>
        <v>0</v>
      </c>
      <c r="AF343" s="64">
        <f t="shared" si="77"/>
        <v>0</v>
      </c>
      <c r="AG343" s="20">
        <f t="shared" si="78"/>
        <v>0</v>
      </c>
      <c r="AH343" s="20">
        <f t="shared" si="79"/>
        <v>0</v>
      </c>
      <c r="AI343" s="22"/>
    </row>
    <row r="344" spans="1:35">
      <c r="A344" s="28">
        <v>46000</v>
      </c>
      <c r="B344" s="3">
        <v>95.166666666666686</v>
      </c>
      <c r="C344" s="7">
        <v>301.41666666666674</v>
      </c>
      <c r="D344" s="3">
        <v>67</v>
      </c>
      <c r="E344" s="6">
        <v>301.08333333333331</v>
      </c>
      <c r="F344" s="3">
        <v>438.5</v>
      </c>
      <c r="G344" s="3">
        <v>66.916666666666657</v>
      </c>
      <c r="H344" s="3">
        <v>63</v>
      </c>
      <c r="I344" s="3">
        <v>2593.75</v>
      </c>
      <c r="J344" s="3">
        <v>140</v>
      </c>
      <c r="K344" s="3">
        <v>2071.1491586814191</v>
      </c>
      <c r="L344" s="3">
        <v>109</v>
      </c>
      <c r="M344" s="3">
        <v>303.16666666666669</v>
      </c>
      <c r="N344" s="107">
        <f t="shared" si="73"/>
        <v>0</v>
      </c>
      <c r="O344" s="7">
        <f t="shared" si="69"/>
        <v>5706.982492014753</v>
      </c>
      <c r="P344" s="7">
        <f t="shared" si="70"/>
        <v>5706.982492014753</v>
      </c>
      <c r="Q344" s="7">
        <f t="shared" si="71"/>
        <v>2593.75</v>
      </c>
      <c r="R344" s="7">
        <f t="shared" si="72"/>
        <v>2071.1491586814191</v>
      </c>
      <c r="S344" s="7">
        <v>10806</v>
      </c>
      <c r="T344" s="7">
        <v>17024</v>
      </c>
      <c r="U344" s="7">
        <v>4415</v>
      </c>
      <c r="V344" s="7">
        <v>188867</v>
      </c>
      <c r="W344" s="7">
        <f t="shared" si="74"/>
        <v>173646</v>
      </c>
      <c r="X344" s="103">
        <f t="shared" si="75"/>
        <v>188867</v>
      </c>
      <c r="Y344" s="103"/>
      <c r="Z344" s="7">
        <v>0</v>
      </c>
      <c r="AB344" s="2">
        <v>0</v>
      </c>
      <c r="AC344" s="103">
        <v>189441</v>
      </c>
      <c r="AD344" s="103">
        <v>188867</v>
      </c>
      <c r="AE344" s="64">
        <f t="shared" si="76"/>
        <v>0</v>
      </c>
      <c r="AF344" s="64">
        <f t="shared" si="77"/>
        <v>0</v>
      </c>
      <c r="AG344" s="20">
        <f t="shared" si="78"/>
        <v>0</v>
      </c>
      <c r="AH344" s="20">
        <f t="shared" si="79"/>
        <v>0</v>
      </c>
      <c r="AI344" s="22"/>
    </row>
    <row r="345" spans="1:35">
      <c r="A345" s="28">
        <v>46001</v>
      </c>
      <c r="B345" s="3">
        <v>109.5</v>
      </c>
      <c r="C345" s="7">
        <v>320</v>
      </c>
      <c r="D345" s="3">
        <v>75</v>
      </c>
      <c r="E345" s="6">
        <v>285</v>
      </c>
      <c r="F345" s="3">
        <v>441.58333333333337</v>
      </c>
      <c r="G345" s="3">
        <v>51</v>
      </c>
      <c r="H345" s="3">
        <v>63</v>
      </c>
      <c r="I345" s="3">
        <v>2777.1666666666665</v>
      </c>
      <c r="J345" s="3">
        <v>134.41666666666669</v>
      </c>
      <c r="K345" s="3">
        <v>1899.8075946038039</v>
      </c>
      <c r="L345" s="3">
        <v>124</v>
      </c>
      <c r="M345" s="3">
        <v>315</v>
      </c>
      <c r="N345" s="107">
        <f t="shared" si="73"/>
        <v>306.55658196376845</v>
      </c>
      <c r="O345" s="7">
        <f t="shared" si="69"/>
        <v>5757.4742612704713</v>
      </c>
      <c r="P345" s="7">
        <f t="shared" si="70"/>
        <v>5450.9176793067018</v>
      </c>
      <c r="Q345" s="7">
        <f t="shared" si="71"/>
        <v>2777.1666666666665</v>
      </c>
      <c r="R345" s="7">
        <f t="shared" si="72"/>
        <v>1593.2510126400355</v>
      </c>
      <c r="S345" s="7">
        <v>5204</v>
      </c>
      <c r="T345" s="7">
        <v>15188</v>
      </c>
      <c r="U345" s="7">
        <v>6524</v>
      </c>
      <c r="V345" s="7">
        <v>196941</v>
      </c>
      <c r="W345" s="7">
        <f t="shared" si="74"/>
        <v>185213</v>
      </c>
      <c r="X345" s="103">
        <f t="shared" si="75"/>
        <v>196941</v>
      </c>
      <c r="Y345" s="103"/>
      <c r="Z345" s="7">
        <v>37497</v>
      </c>
      <c r="AB345" s="2">
        <v>0</v>
      </c>
      <c r="AC345" s="103">
        <v>213788</v>
      </c>
      <c r="AD345" s="103">
        <v>196941</v>
      </c>
      <c r="AE345" s="64">
        <f t="shared" si="76"/>
        <v>0.16136190992946284</v>
      </c>
      <c r="AF345" s="64">
        <f t="shared" si="77"/>
        <v>0</v>
      </c>
      <c r="AG345" s="20">
        <f t="shared" si="78"/>
        <v>306.55658196376845</v>
      </c>
      <c r="AH345" s="20">
        <f t="shared" si="79"/>
        <v>0</v>
      </c>
      <c r="AI345" s="22"/>
    </row>
    <row r="346" spans="1:35">
      <c r="A346" s="28">
        <v>46002</v>
      </c>
      <c r="B346" s="3">
        <v>90</v>
      </c>
      <c r="C346" s="7">
        <v>323.58333333333337</v>
      </c>
      <c r="D346" s="3">
        <v>75</v>
      </c>
      <c r="E346" s="6">
        <v>292.25</v>
      </c>
      <c r="F346" s="3">
        <v>465</v>
      </c>
      <c r="G346" s="3">
        <v>49.833333333333329</v>
      </c>
      <c r="H346" s="3">
        <v>63</v>
      </c>
      <c r="I346" s="3">
        <v>2555.75</v>
      </c>
      <c r="J346" s="3">
        <v>124.83333333333334</v>
      </c>
      <c r="K346" s="3">
        <v>1634.8551043744772</v>
      </c>
      <c r="L346" s="3">
        <v>124.58333333333334</v>
      </c>
      <c r="M346" s="3">
        <v>307.5</v>
      </c>
      <c r="N346" s="107">
        <f t="shared" si="73"/>
        <v>174.6134392189885</v>
      </c>
      <c r="O346" s="7">
        <f t="shared" si="69"/>
        <v>5269.0217710411434</v>
      </c>
      <c r="P346" s="7">
        <f t="shared" si="70"/>
        <v>5094.4083318221556</v>
      </c>
      <c r="Q346" s="7">
        <f t="shared" si="71"/>
        <v>2485.5946095298978</v>
      </c>
      <c r="R346" s="7">
        <f t="shared" si="72"/>
        <v>1530.3970556255911</v>
      </c>
      <c r="S346" s="7">
        <v>6254</v>
      </c>
      <c r="T346" s="7">
        <v>14684</v>
      </c>
      <c r="U346" s="7">
        <v>6081</v>
      </c>
      <c r="V346" s="7">
        <v>191777</v>
      </c>
      <c r="W346" s="7">
        <f t="shared" si="74"/>
        <v>179442</v>
      </c>
      <c r="X346" s="103">
        <f t="shared" si="75"/>
        <v>200233</v>
      </c>
      <c r="Y346" s="103"/>
      <c r="Z346" s="7">
        <v>10510</v>
      </c>
      <c r="AB346" s="2">
        <v>8456</v>
      </c>
      <c r="AC346" s="103">
        <v>151331</v>
      </c>
      <c r="AD346" s="103">
        <v>200233</v>
      </c>
      <c r="AE346" s="64">
        <f t="shared" si="76"/>
        <v>6.3894377226080573E-2</v>
      </c>
      <c r="AF346" s="64">
        <f t="shared" si="77"/>
        <v>2.7450020725854379E-2</v>
      </c>
      <c r="AG346" s="20">
        <f t="shared" si="78"/>
        <v>104.45804874888617</v>
      </c>
      <c r="AH346" s="20">
        <f t="shared" si="79"/>
        <v>70.155390470102333</v>
      </c>
      <c r="AI346" s="22"/>
    </row>
    <row r="347" spans="1:35">
      <c r="A347" s="28">
        <v>46003</v>
      </c>
      <c r="B347" s="3">
        <v>37.5</v>
      </c>
      <c r="C347" s="7">
        <v>423.66666666666674</v>
      </c>
      <c r="D347" s="3">
        <v>82.5</v>
      </c>
      <c r="E347" s="6">
        <v>278.75</v>
      </c>
      <c r="F347" s="3">
        <v>404.5</v>
      </c>
      <c r="G347" s="3">
        <v>71.25</v>
      </c>
      <c r="H347" s="3">
        <v>63</v>
      </c>
      <c r="I347" s="3">
        <v>2421.833333333333</v>
      </c>
      <c r="J347" s="3">
        <v>119.08333333333333</v>
      </c>
      <c r="K347" s="3">
        <v>1349.7404923699951</v>
      </c>
      <c r="L347" s="3">
        <v>119.33333333333331</v>
      </c>
      <c r="M347" s="3">
        <v>296.75</v>
      </c>
      <c r="N347" s="107">
        <f t="shared" si="73"/>
        <v>292.77317821186949</v>
      </c>
      <c r="O347" s="7">
        <f t="shared" si="69"/>
        <v>4838.8238257033281</v>
      </c>
      <c r="P347" s="7">
        <f t="shared" si="70"/>
        <v>4546.0506474914582</v>
      </c>
      <c r="Q347" s="7">
        <f t="shared" si="71"/>
        <v>2129.0601551214636</v>
      </c>
      <c r="R347" s="7">
        <f t="shared" si="72"/>
        <v>1349.7404923699951</v>
      </c>
      <c r="S347" s="7">
        <v>5290</v>
      </c>
      <c r="T347" s="7">
        <v>14117</v>
      </c>
      <c r="U347" s="7">
        <v>4666</v>
      </c>
      <c r="V347" s="7">
        <v>160227</v>
      </c>
      <c r="W347" s="7">
        <f t="shared" si="74"/>
        <v>150271</v>
      </c>
      <c r="X347" s="103">
        <f t="shared" si="75"/>
        <v>196835</v>
      </c>
      <c r="Y347" s="103"/>
      <c r="Z347" s="7">
        <v>0</v>
      </c>
      <c r="AB347" s="2">
        <v>36608</v>
      </c>
      <c r="AC347" s="103">
        <v>119825</v>
      </c>
      <c r="AD347" s="103">
        <v>196835</v>
      </c>
      <c r="AE347" s="64">
        <f t="shared" si="76"/>
        <v>0</v>
      </c>
      <c r="AF347" s="64">
        <f t="shared" si="77"/>
        <v>0.12088906952523688</v>
      </c>
      <c r="AG347" s="20">
        <f t="shared" si="78"/>
        <v>0</v>
      </c>
      <c r="AH347" s="20">
        <f t="shared" si="79"/>
        <v>292.77317821186949</v>
      </c>
      <c r="AI347" s="22"/>
    </row>
    <row r="348" spans="1:35">
      <c r="A348" s="28">
        <v>46004</v>
      </c>
      <c r="B348" s="3">
        <v>52.083333333333343</v>
      </c>
      <c r="C348" s="7">
        <v>258.75</v>
      </c>
      <c r="D348" s="3">
        <v>34.833333333333336</v>
      </c>
      <c r="E348" s="6">
        <v>168.25</v>
      </c>
      <c r="F348" s="3">
        <v>300</v>
      </c>
      <c r="G348" s="3">
        <v>0</v>
      </c>
      <c r="H348" s="3">
        <v>22.5</v>
      </c>
      <c r="I348" s="3">
        <v>1233.8333333333335</v>
      </c>
      <c r="J348" s="3">
        <v>52.5</v>
      </c>
      <c r="K348" s="3">
        <v>935.38893324143169</v>
      </c>
      <c r="L348" s="3">
        <v>67.5</v>
      </c>
      <c r="M348" s="3">
        <v>158.83333333333334</v>
      </c>
      <c r="N348" s="107">
        <f t="shared" si="73"/>
        <v>0</v>
      </c>
      <c r="O348" s="7">
        <f t="shared" si="69"/>
        <v>2867.3889332414319</v>
      </c>
      <c r="P348" s="7">
        <f t="shared" si="70"/>
        <v>2867.3889332414319</v>
      </c>
      <c r="Q348" s="7">
        <f t="shared" si="71"/>
        <v>1233.8333333333335</v>
      </c>
      <c r="R348" s="7">
        <f t="shared" si="72"/>
        <v>935.38893324143169</v>
      </c>
      <c r="S348" s="7">
        <v>4147</v>
      </c>
      <c r="T348" s="7">
        <v>9928</v>
      </c>
      <c r="U348" s="7">
        <v>3261</v>
      </c>
      <c r="V348" s="7">
        <v>111542</v>
      </c>
      <c r="W348" s="7">
        <f t="shared" si="74"/>
        <v>104134</v>
      </c>
      <c r="X348" s="103">
        <f t="shared" si="75"/>
        <v>111542</v>
      </c>
      <c r="Y348" s="103"/>
      <c r="Z348" s="7">
        <v>0</v>
      </c>
      <c r="AB348" s="2">
        <v>0</v>
      </c>
      <c r="AC348" s="103">
        <v>87657</v>
      </c>
      <c r="AD348" s="103">
        <v>111542</v>
      </c>
      <c r="AE348" s="64">
        <f t="shared" si="76"/>
        <v>0</v>
      </c>
      <c r="AF348" s="64">
        <f t="shared" si="77"/>
        <v>0</v>
      </c>
      <c r="AG348" s="20">
        <f t="shared" si="78"/>
        <v>0</v>
      </c>
      <c r="AH348" s="20">
        <f t="shared" si="79"/>
        <v>0</v>
      </c>
      <c r="AI348" s="22"/>
    </row>
    <row r="349" spans="1:35">
      <c r="A349" s="28">
        <v>46005</v>
      </c>
      <c r="B349" s="3"/>
      <c r="C349" s="7">
        <v>172.5</v>
      </c>
      <c r="D349" s="3">
        <v>52.5</v>
      </c>
      <c r="E349" s="6">
        <v>0</v>
      </c>
      <c r="F349" s="3">
        <v>135</v>
      </c>
      <c r="G349" s="3">
        <v>0</v>
      </c>
      <c r="H349" s="3">
        <v>15</v>
      </c>
      <c r="I349" s="3">
        <v>1163</v>
      </c>
      <c r="J349" s="3">
        <v>60</v>
      </c>
      <c r="K349" s="3">
        <v>531.66666666666674</v>
      </c>
      <c r="L349" s="3">
        <v>0</v>
      </c>
      <c r="M349" s="3">
        <v>135</v>
      </c>
      <c r="N349" s="107">
        <f t="shared" si="73"/>
        <v>0</v>
      </c>
      <c r="O349" s="7">
        <f t="shared" si="69"/>
        <v>2114.666666666667</v>
      </c>
      <c r="P349" s="7">
        <f t="shared" si="70"/>
        <v>2114.666666666667</v>
      </c>
      <c r="Q349" s="7">
        <f t="shared" si="71"/>
        <v>1163</v>
      </c>
      <c r="R349" s="7">
        <f t="shared" si="72"/>
        <v>531.66666666666674</v>
      </c>
      <c r="S349" s="7">
        <v>90</v>
      </c>
      <c r="T349" s="7">
        <v>4765</v>
      </c>
      <c r="U349" s="7">
        <v>2144</v>
      </c>
      <c r="V349" s="7">
        <v>84103</v>
      </c>
      <c r="W349" s="7">
        <f t="shared" si="74"/>
        <v>81869</v>
      </c>
      <c r="X349" s="103">
        <f t="shared" si="75"/>
        <v>84103</v>
      </c>
      <c r="Y349" s="103"/>
      <c r="Z349" s="7">
        <v>0</v>
      </c>
      <c r="AB349" s="2">
        <v>0</v>
      </c>
      <c r="AC349" s="103">
        <v>60830</v>
      </c>
      <c r="AD349" s="103">
        <v>84103</v>
      </c>
      <c r="AE349" s="64">
        <f t="shared" si="76"/>
        <v>0</v>
      </c>
      <c r="AF349" s="64">
        <f t="shared" si="77"/>
        <v>0</v>
      </c>
      <c r="AG349" s="20">
        <f t="shared" si="78"/>
        <v>0</v>
      </c>
      <c r="AH349" s="20">
        <f t="shared" si="79"/>
        <v>0</v>
      </c>
      <c r="AI349" s="22"/>
    </row>
    <row r="350" spans="1:35" ht="16.8">
      <c r="A350" s="28">
        <v>46006</v>
      </c>
      <c r="B350" s="3">
        <v>82.5</v>
      </c>
      <c r="C350" s="3">
        <v>382</v>
      </c>
      <c r="D350" s="3">
        <v>97.5</v>
      </c>
      <c r="E350" s="6">
        <v>258.58333333333331</v>
      </c>
      <c r="F350" s="3">
        <v>412.5</v>
      </c>
      <c r="G350" s="3">
        <v>83.25</v>
      </c>
      <c r="H350" s="3">
        <v>47</v>
      </c>
      <c r="I350" s="3">
        <v>1744.3333333333335</v>
      </c>
      <c r="J350" s="3">
        <v>111.41666666666666</v>
      </c>
      <c r="K350" s="3">
        <v>1335.0352777778171</v>
      </c>
      <c r="L350" s="3">
        <v>139</v>
      </c>
      <c r="M350" s="3">
        <v>304.5</v>
      </c>
      <c r="N350" s="107">
        <f t="shared" si="73"/>
        <v>0</v>
      </c>
      <c r="O350" s="7">
        <f t="shared" si="69"/>
        <v>4165.2852777778171</v>
      </c>
      <c r="P350" s="7">
        <f t="shared" si="70"/>
        <v>4165.2852777778171</v>
      </c>
      <c r="Q350" s="7">
        <f t="shared" si="71"/>
        <v>1744.3333333333335</v>
      </c>
      <c r="R350" s="7">
        <f t="shared" si="72"/>
        <v>1335.0352777778171</v>
      </c>
      <c r="S350" s="7">
        <v>10454</v>
      </c>
      <c r="T350" s="7">
        <v>16429</v>
      </c>
      <c r="U350" s="81">
        <v>2595</v>
      </c>
      <c r="V350" s="7">
        <v>127258</v>
      </c>
      <c r="W350" s="7">
        <f t="shared" si="74"/>
        <v>114209</v>
      </c>
      <c r="X350" s="103">
        <f t="shared" si="75"/>
        <v>127258</v>
      </c>
      <c r="Y350" s="103"/>
      <c r="Z350" s="7">
        <v>0</v>
      </c>
      <c r="AB350" s="2">
        <v>0</v>
      </c>
      <c r="AC350" s="103">
        <v>125765</v>
      </c>
      <c r="AD350" s="103">
        <v>127258</v>
      </c>
      <c r="AE350" s="64">
        <f t="shared" si="76"/>
        <v>0</v>
      </c>
      <c r="AF350" s="64">
        <f t="shared" si="77"/>
        <v>0</v>
      </c>
      <c r="AG350" s="20">
        <f t="shared" si="78"/>
        <v>0</v>
      </c>
      <c r="AH350" s="20">
        <f t="shared" si="79"/>
        <v>0</v>
      </c>
      <c r="AI350" s="22"/>
    </row>
    <row r="351" spans="1:35" ht="16.8">
      <c r="A351" s="28">
        <v>46007</v>
      </c>
      <c r="B351" s="3">
        <v>105</v>
      </c>
      <c r="C351" s="3">
        <v>360</v>
      </c>
      <c r="D351" s="3">
        <v>90</v>
      </c>
      <c r="E351" s="6">
        <v>283.66666666666669</v>
      </c>
      <c r="F351" s="3">
        <v>375</v>
      </c>
      <c r="G351" s="3">
        <v>85</v>
      </c>
      <c r="H351" s="3">
        <v>63</v>
      </c>
      <c r="I351" s="3">
        <v>1728.25</v>
      </c>
      <c r="J351" s="3">
        <v>112.5</v>
      </c>
      <c r="K351" s="3">
        <v>1522.0350255613025</v>
      </c>
      <c r="L351" s="3">
        <v>129.91666666666669</v>
      </c>
      <c r="M351" s="3">
        <v>283.33333333333337</v>
      </c>
      <c r="N351" s="107">
        <f t="shared" si="73"/>
        <v>0</v>
      </c>
      <c r="O351" s="7">
        <f t="shared" si="69"/>
        <v>4292.785025561303</v>
      </c>
      <c r="P351" s="7">
        <f t="shared" si="70"/>
        <v>4292.785025561303</v>
      </c>
      <c r="Q351" s="7">
        <f t="shared" si="71"/>
        <v>1728.25</v>
      </c>
      <c r="R351" s="7">
        <f t="shared" si="72"/>
        <v>1522.0350255613025</v>
      </c>
      <c r="S351" s="7">
        <v>12079</v>
      </c>
      <c r="T351" s="7">
        <v>18091</v>
      </c>
      <c r="U351" s="81">
        <v>3644</v>
      </c>
      <c r="V351" s="7">
        <v>130803</v>
      </c>
      <c r="W351" s="7">
        <f t="shared" si="74"/>
        <v>115080</v>
      </c>
      <c r="X351" s="103">
        <f t="shared" si="75"/>
        <v>130803</v>
      </c>
      <c r="Y351" s="103"/>
      <c r="Z351" s="7">
        <v>0</v>
      </c>
      <c r="AB351" s="2">
        <v>0</v>
      </c>
      <c r="AC351" s="103">
        <v>137509</v>
      </c>
      <c r="AD351" s="103">
        <v>130803</v>
      </c>
      <c r="AE351" s="64">
        <f t="shared" si="76"/>
        <v>0</v>
      </c>
      <c r="AF351" s="64">
        <f t="shared" si="77"/>
        <v>0</v>
      </c>
      <c r="AG351" s="20">
        <f t="shared" si="78"/>
        <v>0</v>
      </c>
      <c r="AH351" s="20">
        <f t="shared" si="79"/>
        <v>0</v>
      </c>
      <c r="AI351" s="22"/>
    </row>
    <row r="352" spans="1:35" ht="16.8">
      <c r="A352" s="28">
        <v>46008</v>
      </c>
      <c r="B352" s="3">
        <v>165</v>
      </c>
      <c r="C352" s="3">
        <v>364.5</v>
      </c>
      <c r="D352" s="3">
        <v>90</v>
      </c>
      <c r="E352" s="6">
        <v>370.58333333333337</v>
      </c>
      <c r="F352" s="3">
        <v>366.75</v>
      </c>
      <c r="G352" s="3">
        <v>84.416666666666671</v>
      </c>
      <c r="H352" s="3">
        <v>63</v>
      </c>
      <c r="I352" s="3">
        <v>1726</v>
      </c>
      <c r="J352" s="3">
        <v>120</v>
      </c>
      <c r="K352" s="3">
        <v>1545.0792720684356</v>
      </c>
      <c r="L352" s="3">
        <v>150.91666666666666</v>
      </c>
      <c r="M352" s="3">
        <v>294.41666666666669</v>
      </c>
      <c r="N352" s="107">
        <f t="shared" si="73"/>
        <v>157.9124535027417</v>
      </c>
      <c r="O352" s="7">
        <f t="shared" si="69"/>
        <v>4377.3292720684358</v>
      </c>
      <c r="P352" s="7">
        <f t="shared" si="70"/>
        <v>4219.4168185656936</v>
      </c>
      <c r="Q352" s="7">
        <f t="shared" si="71"/>
        <v>1726</v>
      </c>
      <c r="R352" s="7">
        <f t="shared" si="72"/>
        <v>1387.1668185656938</v>
      </c>
      <c r="S352" s="7">
        <v>9979</v>
      </c>
      <c r="T352" s="7">
        <v>14669</v>
      </c>
      <c r="U352" s="81">
        <v>3661</v>
      </c>
      <c r="V352" s="7">
        <v>137569</v>
      </c>
      <c r="W352" s="7">
        <f t="shared" si="74"/>
        <v>123929</v>
      </c>
      <c r="X352" s="103">
        <f t="shared" si="75"/>
        <v>137569</v>
      </c>
      <c r="Y352" s="103"/>
      <c r="Z352" s="7">
        <v>17556</v>
      </c>
      <c r="AB352" s="2">
        <v>0</v>
      </c>
      <c r="AC352" s="103">
        <v>158033</v>
      </c>
      <c r="AD352" s="103">
        <v>137569</v>
      </c>
      <c r="AE352" s="64">
        <f t="shared" si="76"/>
        <v>0.10220346383350314</v>
      </c>
      <c r="AF352" s="64">
        <f t="shared" si="77"/>
        <v>0</v>
      </c>
      <c r="AG352" s="20">
        <f t="shared" si="78"/>
        <v>157.9124535027417</v>
      </c>
      <c r="AH352" s="20">
        <f t="shared" si="79"/>
        <v>0</v>
      </c>
      <c r="AI352" s="22"/>
    </row>
    <row r="353" spans="1:36" ht="16.8">
      <c r="A353" s="28">
        <v>46009</v>
      </c>
      <c r="B353" s="3">
        <v>154.33333333333331</v>
      </c>
      <c r="C353" s="3">
        <v>389.66666666666674</v>
      </c>
      <c r="D353" s="3">
        <v>90</v>
      </c>
      <c r="E353" s="6">
        <v>326.16666666666663</v>
      </c>
      <c r="F353" s="3">
        <v>284.33333333333331</v>
      </c>
      <c r="G353" s="3">
        <v>72.333333333333329</v>
      </c>
      <c r="H353" s="3">
        <v>63</v>
      </c>
      <c r="I353" s="3">
        <v>2085</v>
      </c>
      <c r="J353" s="3">
        <v>120</v>
      </c>
      <c r="K353" s="3">
        <v>1332.6253205501116</v>
      </c>
      <c r="L353" s="3">
        <v>179.08333333333334</v>
      </c>
      <c r="M353" s="3">
        <v>288</v>
      </c>
      <c r="N353" s="107">
        <f t="shared" si="73"/>
        <v>89.799042885375357</v>
      </c>
      <c r="O353" s="7">
        <f t="shared" si="69"/>
        <v>4455.9586538834446</v>
      </c>
      <c r="P353" s="7">
        <f t="shared" si="70"/>
        <v>4366.1596109980692</v>
      </c>
      <c r="Q353" s="7">
        <f t="shared" si="71"/>
        <v>2085</v>
      </c>
      <c r="R353" s="7">
        <f t="shared" si="72"/>
        <v>1242.8262776647362</v>
      </c>
      <c r="S353" s="7">
        <v>5909</v>
      </c>
      <c r="T353" s="7">
        <v>11015</v>
      </c>
      <c r="U353" s="81">
        <v>3262</v>
      </c>
      <c r="V353" s="7">
        <v>135661</v>
      </c>
      <c r="W353" s="7">
        <f t="shared" si="74"/>
        <v>126490</v>
      </c>
      <c r="X353" s="103">
        <f t="shared" si="75"/>
        <v>135661</v>
      </c>
      <c r="Y353" s="103"/>
      <c r="Z353" s="7">
        <v>11748</v>
      </c>
      <c r="AB353" s="2">
        <v>0</v>
      </c>
      <c r="AC353" s="103">
        <v>160394</v>
      </c>
      <c r="AD353" s="103">
        <v>135661</v>
      </c>
      <c r="AE353" s="64">
        <f t="shared" si="76"/>
        <v>6.7385064279212439E-2</v>
      </c>
      <c r="AF353" s="64">
        <f t="shared" si="77"/>
        <v>0</v>
      </c>
      <c r="AG353" s="20">
        <f t="shared" si="78"/>
        <v>89.799042885375357</v>
      </c>
      <c r="AH353" s="20">
        <f t="shared" si="79"/>
        <v>0</v>
      </c>
      <c r="AI353" s="22"/>
    </row>
    <row r="354" spans="1:36" ht="16.8">
      <c r="A354" s="28">
        <v>46010</v>
      </c>
      <c r="B354" s="3">
        <v>154.5</v>
      </c>
      <c r="C354" s="3">
        <v>363.75</v>
      </c>
      <c r="D354" s="3">
        <v>90</v>
      </c>
      <c r="E354" s="6">
        <v>313.5</v>
      </c>
      <c r="F354" s="3">
        <v>296.5</v>
      </c>
      <c r="G354" s="3">
        <v>67.166666666666671</v>
      </c>
      <c r="H354" s="3">
        <v>55.5</v>
      </c>
      <c r="I354" s="3">
        <v>1994</v>
      </c>
      <c r="J354" s="3">
        <v>112.16666666666666</v>
      </c>
      <c r="K354" s="3">
        <v>1174.0124008333271</v>
      </c>
      <c r="L354" s="3">
        <v>146.16666666666666</v>
      </c>
      <c r="M354" s="3">
        <v>289</v>
      </c>
      <c r="N354" s="107">
        <f t="shared" si="73"/>
        <v>412.15031587769499</v>
      </c>
      <c r="O354" s="7">
        <f t="shared" si="69"/>
        <v>4184.9290674999938</v>
      </c>
      <c r="P354" s="7">
        <f t="shared" si="70"/>
        <v>3772.7787516222988</v>
      </c>
      <c r="Q354" s="7">
        <f t="shared" si="71"/>
        <v>1765.1260833497197</v>
      </c>
      <c r="R354" s="7">
        <f t="shared" si="72"/>
        <v>990.73600160591241</v>
      </c>
      <c r="S354" s="7">
        <v>5998</v>
      </c>
      <c r="T354" s="7">
        <v>11430</v>
      </c>
      <c r="U354" s="81">
        <v>3331</v>
      </c>
      <c r="V354" s="7">
        <v>133999</v>
      </c>
      <c r="W354" s="7">
        <f t="shared" si="74"/>
        <v>124670</v>
      </c>
      <c r="X354" s="103">
        <f t="shared" si="75"/>
        <v>162736</v>
      </c>
      <c r="Y354" s="103"/>
      <c r="Z354" s="7">
        <v>23454</v>
      </c>
      <c r="AB354" s="2">
        <v>28737</v>
      </c>
      <c r="AC354" s="103">
        <v>138220</v>
      </c>
      <c r="AD354" s="103">
        <v>162736</v>
      </c>
      <c r="AE354" s="64">
        <f t="shared" si="76"/>
        <v>0.15611112718854001</v>
      </c>
      <c r="AF354" s="64">
        <f t="shared" si="77"/>
        <v>0.11478130223183562</v>
      </c>
      <c r="AG354" s="20">
        <f t="shared" si="78"/>
        <v>183.27639922741474</v>
      </c>
      <c r="AH354" s="20">
        <f t="shared" si="79"/>
        <v>228.87391665028022</v>
      </c>
      <c r="AI354" s="22"/>
    </row>
    <row r="355" spans="1:36" ht="16.8">
      <c r="A355" s="28">
        <v>46011</v>
      </c>
      <c r="B355" s="3">
        <v>120</v>
      </c>
      <c r="C355" s="3">
        <v>337.5</v>
      </c>
      <c r="D355" s="3">
        <v>90</v>
      </c>
      <c r="E355" s="6">
        <v>160.75</v>
      </c>
      <c r="F355" s="3">
        <v>270</v>
      </c>
      <c r="G355" s="3">
        <v>0</v>
      </c>
      <c r="H355" s="3">
        <v>37.5</v>
      </c>
      <c r="I355" s="3">
        <v>1953.083333333333</v>
      </c>
      <c r="J355" s="3">
        <v>119.58333333333334</v>
      </c>
      <c r="K355" s="3">
        <v>1188.3902813526838</v>
      </c>
      <c r="L355" s="3">
        <v>112.5</v>
      </c>
      <c r="M355" s="3">
        <v>291.58333333333331</v>
      </c>
      <c r="N355" s="107">
        <f t="shared" si="73"/>
        <v>341.16088800086732</v>
      </c>
      <c r="O355" s="7">
        <f t="shared" si="69"/>
        <v>4078.5569480193503</v>
      </c>
      <c r="P355" s="7">
        <f t="shared" si="70"/>
        <v>3737.3960600184828</v>
      </c>
      <c r="Q355" s="7">
        <f t="shared" si="71"/>
        <v>1727.1114453907653</v>
      </c>
      <c r="R355" s="7">
        <f t="shared" si="72"/>
        <v>1073.2012812943842</v>
      </c>
      <c r="S355" s="7">
        <v>7509</v>
      </c>
      <c r="T355" s="7">
        <v>12663</v>
      </c>
      <c r="U355" s="81">
        <v>3304</v>
      </c>
      <c r="V355" s="7">
        <v>128412</v>
      </c>
      <c r="W355" s="7">
        <f t="shared" si="74"/>
        <v>117599</v>
      </c>
      <c r="X355" s="103">
        <f t="shared" si="75"/>
        <v>156219</v>
      </c>
      <c r="Y355" s="103"/>
      <c r="Z355" s="7">
        <v>14805</v>
      </c>
      <c r="AB355" s="2">
        <v>27807</v>
      </c>
      <c r="AC355" s="103">
        <v>140522</v>
      </c>
      <c r="AD355" s="103">
        <v>156219</v>
      </c>
      <c r="AE355" s="64">
        <f t="shared" si="76"/>
        <v>9.6928594810776966E-2</v>
      </c>
      <c r="AF355" s="64">
        <f t="shared" si="77"/>
        <v>0.11570007489485915</v>
      </c>
      <c r="AG355" s="20">
        <f t="shared" si="78"/>
        <v>115.18900005829953</v>
      </c>
      <c r="AH355" s="20">
        <f t="shared" si="79"/>
        <v>225.97188794256778</v>
      </c>
      <c r="AI355" s="22"/>
    </row>
    <row r="356" spans="1:36">
      <c r="A356" s="28">
        <v>46012</v>
      </c>
      <c r="B356" s="3">
        <v>105</v>
      </c>
      <c r="C356" s="3">
        <v>352.16666666666663</v>
      </c>
      <c r="D356" s="3">
        <v>94.5</v>
      </c>
      <c r="E356" s="6">
        <v>120.5</v>
      </c>
      <c r="F356" s="3">
        <v>298.66666666666663</v>
      </c>
      <c r="G356" s="3">
        <v>0</v>
      </c>
      <c r="H356" s="3">
        <v>37.5</v>
      </c>
      <c r="I356" s="3">
        <v>1794</v>
      </c>
      <c r="J356" s="3">
        <v>120</v>
      </c>
      <c r="K356" s="3">
        <v>1332.9917565009832</v>
      </c>
      <c r="L356" s="3">
        <v>0</v>
      </c>
      <c r="M356" s="3">
        <v>275.5</v>
      </c>
      <c r="N356" s="107">
        <f t="shared" si="73"/>
        <v>371.08967113184553</v>
      </c>
      <c r="O356" s="7">
        <f t="shared" si="69"/>
        <v>4097.3250898343158</v>
      </c>
      <c r="P356" s="7">
        <f t="shared" si="70"/>
        <v>3726.2354187024712</v>
      </c>
      <c r="Q356" s="7">
        <f t="shared" si="71"/>
        <v>1651.6221426719583</v>
      </c>
      <c r="R356" s="7">
        <f t="shared" si="72"/>
        <v>1104.2799426971794</v>
      </c>
      <c r="S356" s="7">
        <v>8972</v>
      </c>
      <c r="T356" s="7">
        <v>13572</v>
      </c>
      <c r="U356" s="7">
        <v>2841</v>
      </c>
      <c r="V356" s="7">
        <v>132062</v>
      </c>
      <c r="W356" s="7">
        <f t="shared" si="74"/>
        <v>120249</v>
      </c>
      <c r="X356" s="103">
        <f t="shared" si="75"/>
        <v>150429</v>
      </c>
      <c r="Y356" s="103"/>
      <c r="Z356" s="7">
        <v>29141</v>
      </c>
      <c r="AB356" s="2">
        <v>18367</v>
      </c>
      <c r="AC356" s="103">
        <v>156254</v>
      </c>
      <c r="AD356" s="103">
        <v>150429</v>
      </c>
      <c r="AE356" s="64">
        <f t="shared" si="76"/>
        <v>0.17157781560792046</v>
      </c>
      <c r="AF356" s="64">
        <f t="shared" si="77"/>
        <v>7.9363354140491532E-2</v>
      </c>
      <c r="AG356" s="20">
        <f t="shared" si="78"/>
        <v>228.71181380380372</v>
      </c>
      <c r="AH356" s="20">
        <f t="shared" si="79"/>
        <v>142.37785732804181</v>
      </c>
      <c r="AI356" s="22"/>
    </row>
    <row r="357" spans="1:36">
      <c r="A357" s="28">
        <v>46013</v>
      </c>
      <c r="B357" s="3">
        <v>160</v>
      </c>
      <c r="C357" s="3">
        <v>375</v>
      </c>
      <c r="D357" s="3">
        <v>96.833333333333329</v>
      </c>
      <c r="E357" s="3">
        <v>348.08333333333337</v>
      </c>
      <c r="F357" s="3">
        <v>243.91666666666663</v>
      </c>
      <c r="G357" s="3">
        <v>149.25</v>
      </c>
      <c r="H357" s="3">
        <v>55.5</v>
      </c>
      <c r="I357" s="3">
        <v>1805.166666666667</v>
      </c>
      <c r="J357" s="3">
        <v>135</v>
      </c>
      <c r="K357" s="3">
        <v>1441.6666666666665</v>
      </c>
      <c r="L357" s="3">
        <v>78</v>
      </c>
      <c r="M357" s="3">
        <v>303.16666666666669</v>
      </c>
      <c r="N357" s="107">
        <f t="shared" si="73"/>
        <v>154.31792854465093</v>
      </c>
      <c r="O357" s="7">
        <f t="shared" si="69"/>
        <v>4257.5833333333339</v>
      </c>
      <c r="P357" s="7">
        <f t="shared" si="70"/>
        <v>4103.2654047886826</v>
      </c>
      <c r="Q357" s="7">
        <f t="shared" si="71"/>
        <v>1650.8487381220161</v>
      </c>
      <c r="R357" s="7">
        <f t="shared" si="72"/>
        <v>1441.6666666666665</v>
      </c>
      <c r="S357" s="7">
        <v>4933</v>
      </c>
      <c r="T357" s="7">
        <v>10456</v>
      </c>
      <c r="U357" s="7">
        <v>2556</v>
      </c>
      <c r="V357" s="7">
        <v>128960</v>
      </c>
      <c r="W357" s="7">
        <f t="shared" si="74"/>
        <v>121471</v>
      </c>
      <c r="X357" s="103">
        <f t="shared" si="75"/>
        <v>148489</v>
      </c>
      <c r="Y357" s="103"/>
      <c r="Z357" s="7">
        <v>0</v>
      </c>
      <c r="AB357" s="2">
        <v>19529</v>
      </c>
      <c r="AC357" s="90">
        <v>148187</v>
      </c>
      <c r="AD357" s="103">
        <f t="shared" ref="AD357:AD420" si="80">+X357</f>
        <v>148489</v>
      </c>
      <c r="AE357" s="64">
        <f t="shared" si="76"/>
        <v>0</v>
      </c>
      <c r="AF357" s="64">
        <f t="shared" si="77"/>
        <v>8.5486803736303699E-2</v>
      </c>
      <c r="AG357" s="20">
        <f t="shared" si="78"/>
        <v>0</v>
      </c>
      <c r="AH357" s="20">
        <f t="shared" si="79"/>
        <v>154.31792854465093</v>
      </c>
      <c r="AI357" s="20"/>
    </row>
    <row r="358" spans="1:36">
      <c r="A358" s="28">
        <v>46014</v>
      </c>
      <c r="B358" s="3">
        <v>195</v>
      </c>
      <c r="C358" s="3">
        <v>397.5</v>
      </c>
      <c r="D358" s="3">
        <v>90</v>
      </c>
      <c r="E358" s="3">
        <v>362.41666666666663</v>
      </c>
      <c r="F358" s="3">
        <v>246.66666666666663</v>
      </c>
      <c r="G358" s="3">
        <v>131.75</v>
      </c>
      <c r="H358" s="3">
        <v>47</v>
      </c>
      <c r="I358" s="3">
        <v>1615.083333333333</v>
      </c>
      <c r="J358" s="3">
        <v>172.5</v>
      </c>
      <c r="K358" s="3">
        <v>1237.5</v>
      </c>
      <c r="L358" s="3">
        <v>68.5</v>
      </c>
      <c r="M358" s="3">
        <v>309.66666666666663</v>
      </c>
      <c r="N358" s="107">
        <f t="shared" si="73"/>
        <v>0</v>
      </c>
      <c r="O358" s="7">
        <f t="shared" si="69"/>
        <v>3954.2499999999995</v>
      </c>
      <c r="P358" s="7">
        <f t="shared" si="70"/>
        <v>3954.2499999999995</v>
      </c>
      <c r="Q358" s="7">
        <f t="shared" si="71"/>
        <v>1615.083333333333</v>
      </c>
      <c r="R358" s="7">
        <f t="shared" si="72"/>
        <v>1237.5</v>
      </c>
      <c r="S358" s="7">
        <v>7121</v>
      </c>
      <c r="T358" s="7">
        <v>13981</v>
      </c>
      <c r="U358" s="7">
        <v>5081</v>
      </c>
      <c r="V358" s="7">
        <v>129343</v>
      </c>
      <c r="W358" s="7">
        <f t="shared" si="74"/>
        <v>117141</v>
      </c>
      <c r="X358" s="103">
        <f t="shared" si="75"/>
        <v>129343</v>
      </c>
      <c r="Y358" s="103"/>
      <c r="Z358" s="7">
        <v>0</v>
      </c>
      <c r="AB358" s="2">
        <v>0</v>
      </c>
      <c r="AC358" s="90">
        <v>136103</v>
      </c>
      <c r="AD358" s="103">
        <f t="shared" si="80"/>
        <v>129343</v>
      </c>
      <c r="AE358" s="64">
        <f t="shared" si="76"/>
        <v>0</v>
      </c>
      <c r="AF358" s="64">
        <f t="shared" si="77"/>
        <v>0</v>
      </c>
      <c r="AG358" s="20">
        <f t="shared" ref="AG358:AG366" si="81">+AE358*K358</f>
        <v>0</v>
      </c>
      <c r="AH358" s="20">
        <f t="shared" ref="AH358:AH366" si="82">+AF358*I358</f>
        <v>0</v>
      </c>
      <c r="AI358" s="20"/>
    </row>
    <row r="359" spans="1:36">
      <c r="A359" s="28">
        <v>46015</v>
      </c>
      <c r="B359" s="3">
        <v>162.91666666666669</v>
      </c>
      <c r="C359" s="3">
        <v>402.33333333333326</v>
      </c>
      <c r="D359" s="3">
        <v>90</v>
      </c>
      <c r="E359" s="3">
        <v>363.66666666666663</v>
      </c>
      <c r="F359" s="3">
        <v>225</v>
      </c>
      <c r="G359" s="3">
        <v>146.16666666666669</v>
      </c>
      <c r="H359" s="3">
        <v>54.5</v>
      </c>
      <c r="I359" s="3">
        <v>1778.0833333333335</v>
      </c>
      <c r="J359" s="3">
        <v>180</v>
      </c>
      <c r="K359" s="3">
        <v>1111.0833333333335</v>
      </c>
      <c r="L359" s="3">
        <v>70.5</v>
      </c>
      <c r="M359" s="3">
        <v>304.25</v>
      </c>
      <c r="N359" s="107">
        <f t="shared" si="73"/>
        <v>78.304199733391641</v>
      </c>
      <c r="O359" s="7">
        <f t="shared" si="69"/>
        <v>3949.416666666667</v>
      </c>
      <c r="P359" s="7">
        <f t="shared" si="70"/>
        <v>3871.1124669332758</v>
      </c>
      <c r="Q359" s="7">
        <f t="shared" si="71"/>
        <v>1757.1883240261511</v>
      </c>
      <c r="R359" s="7">
        <f t="shared" si="72"/>
        <v>1053.6741429071242</v>
      </c>
      <c r="S359" s="7">
        <v>7419</v>
      </c>
      <c r="T359" s="7">
        <v>13125</v>
      </c>
      <c r="U359" s="7">
        <v>3762</v>
      </c>
      <c r="V359" s="7">
        <v>136976</v>
      </c>
      <c r="W359" s="7">
        <f t="shared" si="74"/>
        <v>125795</v>
      </c>
      <c r="X359" s="103">
        <f t="shared" si="75"/>
        <v>139498</v>
      </c>
      <c r="Y359" s="103"/>
      <c r="Z359" s="7">
        <v>6528</v>
      </c>
      <c r="AB359" s="2">
        <v>2522</v>
      </c>
      <c r="AC359" s="90">
        <v>116234</v>
      </c>
      <c r="AD359" s="103">
        <f t="shared" si="80"/>
        <v>139498</v>
      </c>
      <c r="AE359" s="64">
        <f t="shared" si="76"/>
        <v>5.1669563122666351E-2</v>
      </c>
      <c r="AF359" s="64">
        <f t="shared" si="77"/>
        <v>1.1751422959468953E-2</v>
      </c>
      <c r="AG359" s="20">
        <f t="shared" si="81"/>
        <v>57.409190426209214</v>
      </c>
      <c r="AH359" s="20">
        <f t="shared" si="82"/>
        <v>20.895009307182423</v>
      </c>
      <c r="AI359" s="20"/>
    </row>
    <row r="360" spans="1:36">
      <c r="A360" s="28">
        <v>46016</v>
      </c>
      <c r="B360" s="3">
        <v>225.83333333333331</v>
      </c>
      <c r="C360" s="3">
        <v>380.75</v>
      </c>
      <c r="D360" s="3">
        <v>90</v>
      </c>
      <c r="E360" s="3">
        <v>419.16666666666669</v>
      </c>
      <c r="F360" s="3">
        <v>253.75</v>
      </c>
      <c r="G360" s="3">
        <v>127.5</v>
      </c>
      <c r="H360" s="3">
        <v>52.666666666666671</v>
      </c>
      <c r="I360" s="3">
        <v>1685.0833333333335</v>
      </c>
      <c r="J360" s="3">
        <v>195</v>
      </c>
      <c r="K360" s="3">
        <v>1139.3333333333335</v>
      </c>
      <c r="L360" s="3">
        <v>84.5</v>
      </c>
      <c r="M360" s="3">
        <v>308.16666666666669</v>
      </c>
      <c r="N360" s="107">
        <f t="shared" si="73"/>
        <v>154.43315705382912</v>
      </c>
      <c r="O360" s="7">
        <f t="shared" si="69"/>
        <v>3969.7500000000005</v>
      </c>
      <c r="P360" s="7">
        <f t="shared" si="70"/>
        <v>3815.3168429461712</v>
      </c>
      <c r="Q360" s="7">
        <f t="shared" si="71"/>
        <v>1685.0833333333335</v>
      </c>
      <c r="R360" s="7">
        <f t="shared" si="72"/>
        <v>984.90017627950442</v>
      </c>
      <c r="S360" s="7">
        <v>8895</v>
      </c>
      <c r="T360" s="7">
        <v>13616</v>
      </c>
      <c r="U360" s="7">
        <v>2799</v>
      </c>
      <c r="V360" s="7">
        <v>142075</v>
      </c>
      <c r="W360" s="7">
        <f t="shared" si="74"/>
        <v>130381</v>
      </c>
      <c r="X360" s="103">
        <f t="shared" si="75"/>
        <v>142075</v>
      </c>
      <c r="Y360" s="103"/>
      <c r="Z360" s="7">
        <v>17613</v>
      </c>
      <c r="AB360" s="2">
        <v>0</v>
      </c>
      <c r="AC360" s="90">
        <v>119545</v>
      </c>
      <c r="AD360" s="103">
        <f t="shared" si="80"/>
        <v>142075</v>
      </c>
      <c r="AE360" s="64">
        <f t="shared" si="76"/>
        <v>0.13554694884771426</v>
      </c>
      <c r="AF360" s="64">
        <f t="shared" si="77"/>
        <v>0</v>
      </c>
      <c r="AG360" s="20">
        <f t="shared" si="81"/>
        <v>154.43315705382912</v>
      </c>
      <c r="AH360" s="20">
        <f t="shared" si="82"/>
        <v>0</v>
      </c>
      <c r="AI360" s="20"/>
    </row>
    <row r="361" spans="1:36">
      <c r="A361" s="28">
        <v>46017</v>
      </c>
      <c r="B361" s="3">
        <v>253.66666666666666</v>
      </c>
      <c r="C361" s="3">
        <v>381.91666666666674</v>
      </c>
      <c r="D361" s="3">
        <v>80.25</v>
      </c>
      <c r="E361" s="3">
        <v>358</v>
      </c>
      <c r="F361" s="3">
        <v>259.83333333333331</v>
      </c>
      <c r="G361" s="3">
        <v>143.25</v>
      </c>
      <c r="H361" s="3">
        <v>54.5</v>
      </c>
      <c r="I361" s="3">
        <v>1772.3333333333335</v>
      </c>
      <c r="J361" s="3">
        <v>127.5</v>
      </c>
      <c r="K361" s="3">
        <v>1074.5833333333335</v>
      </c>
      <c r="L361" s="3">
        <v>93</v>
      </c>
      <c r="M361" s="3">
        <v>296.25</v>
      </c>
      <c r="N361" s="107">
        <f t="shared" si="73"/>
        <v>263.78507696180941</v>
      </c>
      <c r="O361" s="7">
        <f t="shared" si="69"/>
        <v>3950.0833333333335</v>
      </c>
      <c r="P361" s="7">
        <f t="shared" si="70"/>
        <v>3686.2982563715241</v>
      </c>
      <c r="Q361" s="7">
        <f t="shared" si="71"/>
        <v>1674.3258439191648</v>
      </c>
      <c r="R361" s="7">
        <f t="shared" si="72"/>
        <v>908.80574578569281</v>
      </c>
      <c r="S361" s="7">
        <v>2983</v>
      </c>
      <c r="T361" s="7">
        <v>7754</v>
      </c>
      <c r="U361" s="7">
        <v>3054</v>
      </c>
      <c r="V361" s="7">
        <v>124170</v>
      </c>
      <c r="W361" s="7">
        <f t="shared" si="74"/>
        <v>118133</v>
      </c>
      <c r="X361" s="103">
        <f t="shared" si="75"/>
        <v>135716</v>
      </c>
      <c r="Y361" s="103"/>
      <c r="Z361" s="7">
        <v>19623</v>
      </c>
      <c r="AB361" s="2">
        <v>11546</v>
      </c>
      <c r="AC361" s="90">
        <v>117022</v>
      </c>
      <c r="AD361" s="103">
        <f t="shared" si="80"/>
        <v>135716</v>
      </c>
      <c r="AE361" s="64">
        <f t="shared" si="76"/>
        <v>0.15427150450342669</v>
      </c>
      <c r="AF361" s="64">
        <f t="shared" si="77"/>
        <v>5.529856464970969E-2</v>
      </c>
      <c r="AG361" s="20">
        <f t="shared" si="81"/>
        <v>165.77758754764062</v>
      </c>
      <c r="AH361" s="20">
        <f t="shared" si="82"/>
        <v>98.007489414168816</v>
      </c>
      <c r="AI361" s="20"/>
    </row>
    <row r="362" spans="1:36">
      <c r="A362" s="28">
        <v>46018</v>
      </c>
      <c r="B362" s="3">
        <v>140.5</v>
      </c>
      <c r="C362" s="3">
        <v>206.25</v>
      </c>
      <c r="D362" s="3">
        <v>37.5</v>
      </c>
      <c r="E362" s="3">
        <v>202.5</v>
      </c>
      <c r="F362" s="3">
        <v>112.5</v>
      </c>
      <c r="G362" s="3">
        <v>0</v>
      </c>
      <c r="H362" s="3">
        <v>22.5</v>
      </c>
      <c r="I362" s="3">
        <v>1132.5</v>
      </c>
      <c r="J362" s="3">
        <v>82.166666666666657</v>
      </c>
      <c r="K362" s="3">
        <v>566.83333333333337</v>
      </c>
      <c r="L362" s="3">
        <v>45</v>
      </c>
      <c r="M362" s="3">
        <v>162.83333333333334</v>
      </c>
      <c r="N362" s="107">
        <f t="shared" si="73"/>
        <v>72.769724365599387</v>
      </c>
      <c r="O362" s="7">
        <f t="shared" si="69"/>
        <v>2278.25</v>
      </c>
      <c r="P362" s="7">
        <f t="shared" si="70"/>
        <v>2205.4802756344006</v>
      </c>
      <c r="Q362" s="7">
        <f t="shared" si="71"/>
        <v>1059.7302756344006</v>
      </c>
      <c r="R362" s="7">
        <f t="shared" si="72"/>
        <v>566.83333333333337</v>
      </c>
      <c r="S362" s="7">
        <v>1080</v>
      </c>
      <c r="T362" s="7">
        <v>4752</v>
      </c>
      <c r="U362" s="7">
        <v>2088</v>
      </c>
      <c r="V362" s="7">
        <v>89809</v>
      </c>
      <c r="W362" s="7">
        <f t="shared" si="74"/>
        <v>86641</v>
      </c>
      <c r="X362" s="103">
        <f t="shared" si="75"/>
        <v>99661</v>
      </c>
      <c r="Y362" s="103"/>
      <c r="Z362" s="7">
        <v>0</v>
      </c>
      <c r="AB362" s="2">
        <v>9852</v>
      </c>
      <c r="AC362" s="90">
        <v>65946</v>
      </c>
      <c r="AD362" s="103">
        <f t="shared" si="80"/>
        <v>99661</v>
      </c>
      <c r="AE362" s="64">
        <f t="shared" si="76"/>
        <v>0</v>
      </c>
      <c r="AF362" s="64">
        <f t="shared" si="77"/>
        <v>6.4255827254392398E-2</v>
      </c>
      <c r="AG362" s="20">
        <f t="shared" si="81"/>
        <v>0</v>
      </c>
      <c r="AH362" s="20">
        <f t="shared" si="82"/>
        <v>72.769724365599387</v>
      </c>
      <c r="AI362" s="20"/>
    </row>
    <row r="363" spans="1:36">
      <c r="A363" s="28">
        <v>46019</v>
      </c>
      <c r="B363" s="3"/>
      <c r="C363" s="3">
        <v>178.58333333333331</v>
      </c>
      <c r="D363" s="3">
        <v>59.666666666666664</v>
      </c>
      <c r="E363" s="3">
        <v>0</v>
      </c>
      <c r="F363" s="3">
        <v>141.91666666666669</v>
      </c>
      <c r="G363" s="3">
        <v>0</v>
      </c>
      <c r="H363" s="3">
        <v>7.5</v>
      </c>
      <c r="I363" s="3">
        <v>1124.8333333333333</v>
      </c>
      <c r="J363" s="3">
        <v>67.5</v>
      </c>
      <c r="K363" s="3">
        <v>592.25</v>
      </c>
      <c r="L363" s="3">
        <v>0</v>
      </c>
      <c r="M363" s="3">
        <v>134.33333333333334</v>
      </c>
      <c r="N363" s="107">
        <f t="shared" si="73"/>
        <v>139.70661933568587</v>
      </c>
      <c r="O363" s="7">
        <f t="shared" si="69"/>
        <v>2164.75</v>
      </c>
      <c r="P363" s="7">
        <f t="shared" si="70"/>
        <v>2025.0433806643141</v>
      </c>
      <c r="Q363" s="7">
        <f t="shared" si="71"/>
        <v>985.12671399764736</v>
      </c>
      <c r="R363" s="7">
        <f t="shared" si="72"/>
        <v>592.25</v>
      </c>
      <c r="S363" s="7">
        <v>635</v>
      </c>
      <c r="T363" s="7">
        <v>4632</v>
      </c>
      <c r="U363" s="7">
        <v>2105</v>
      </c>
      <c r="V363" s="7">
        <v>81836</v>
      </c>
      <c r="W363" s="7">
        <f t="shared" si="74"/>
        <v>79096</v>
      </c>
      <c r="X363" s="103">
        <f t="shared" si="75"/>
        <v>101167</v>
      </c>
      <c r="Y363" s="103"/>
      <c r="Z363" s="7">
        <v>0</v>
      </c>
      <c r="AB363" s="2">
        <v>19331</v>
      </c>
      <c r="AC363" s="90">
        <v>71169</v>
      </c>
      <c r="AD363" s="103">
        <f t="shared" si="80"/>
        <v>101167</v>
      </c>
      <c r="AE363" s="64">
        <f t="shared" si="76"/>
        <v>0</v>
      </c>
      <c r="AF363" s="64">
        <f t="shared" si="77"/>
        <v>0.12420206193719296</v>
      </c>
      <c r="AG363" s="20">
        <f t="shared" si="81"/>
        <v>0</v>
      </c>
      <c r="AH363" s="20">
        <f t="shared" si="82"/>
        <v>139.70661933568587</v>
      </c>
      <c r="AI363" s="20"/>
    </row>
    <row r="364" spans="1:36">
      <c r="A364" s="28">
        <v>46020</v>
      </c>
      <c r="B364" s="3">
        <v>225</v>
      </c>
      <c r="C364" s="3">
        <v>150</v>
      </c>
      <c r="D364" s="3">
        <v>86.666666666666657</v>
      </c>
      <c r="E364" s="3">
        <v>336.08333333333331</v>
      </c>
      <c r="F364" s="3">
        <v>360</v>
      </c>
      <c r="G364" s="3">
        <v>151.75</v>
      </c>
      <c r="H364" s="3">
        <v>39.5</v>
      </c>
      <c r="I364" s="3">
        <v>1710.583333333333</v>
      </c>
      <c r="J364" s="3">
        <v>142.5</v>
      </c>
      <c r="K364" s="3">
        <v>1151.5</v>
      </c>
      <c r="L364" s="3">
        <v>75.25</v>
      </c>
      <c r="M364" s="3">
        <v>313.83333333333337</v>
      </c>
      <c r="N364" s="107">
        <f t="shared" ref="N364:N369" si="83">+AH364+AG364</f>
        <v>0</v>
      </c>
      <c r="O364" s="7">
        <f t="shared" si="69"/>
        <v>3826.2499999999995</v>
      </c>
      <c r="P364" s="7">
        <f t="shared" si="70"/>
        <v>3826.2499999999995</v>
      </c>
      <c r="Q364" s="7">
        <f t="shared" si="71"/>
        <v>1710.583333333333</v>
      </c>
      <c r="R364" s="7">
        <f t="shared" si="72"/>
        <v>1151.5</v>
      </c>
      <c r="S364" s="7">
        <v>14988</v>
      </c>
      <c r="T364" s="7">
        <v>19403</v>
      </c>
      <c r="U364" s="7">
        <v>2850</v>
      </c>
      <c r="V364" s="7">
        <v>136048</v>
      </c>
      <c r="W364" s="7">
        <f t="shared" si="74"/>
        <v>118210</v>
      </c>
      <c r="X364" s="103">
        <f t="shared" si="75"/>
        <v>136048</v>
      </c>
      <c r="Y364" s="103"/>
      <c r="Z364" s="7">
        <v>0</v>
      </c>
      <c r="AB364" s="103">
        <v>0</v>
      </c>
      <c r="AC364" s="90">
        <v>137937</v>
      </c>
      <c r="AD364" s="103">
        <f t="shared" si="80"/>
        <v>136048</v>
      </c>
      <c r="AE364" s="64">
        <f t="shared" si="76"/>
        <v>0</v>
      </c>
      <c r="AF364" s="64">
        <f t="shared" si="77"/>
        <v>0</v>
      </c>
      <c r="AG364" s="20">
        <f t="shared" si="81"/>
        <v>0</v>
      </c>
      <c r="AH364" s="20">
        <f t="shared" si="82"/>
        <v>0</v>
      </c>
      <c r="AI364" s="20"/>
    </row>
    <row r="365" spans="1:36">
      <c r="A365" s="28">
        <v>46021</v>
      </c>
      <c r="B365" s="3">
        <v>190</v>
      </c>
      <c r="C365" s="3">
        <v>166.58333333333331</v>
      </c>
      <c r="D365" s="3">
        <v>88.416666666666657</v>
      </c>
      <c r="E365" s="3">
        <v>454.99999999999994</v>
      </c>
      <c r="F365" s="3">
        <v>359</v>
      </c>
      <c r="G365" s="3">
        <v>152.91666666666666</v>
      </c>
      <c r="H365" s="3">
        <v>48</v>
      </c>
      <c r="I365" s="3">
        <v>1699.6666666666665</v>
      </c>
      <c r="J365" s="3">
        <v>129.5</v>
      </c>
      <c r="K365" s="3">
        <v>1132.5</v>
      </c>
      <c r="L365" s="3">
        <v>76.333333333333343</v>
      </c>
      <c r="M365" s="3">
        <v>318.66666666666663</v>
      </c>
      <c r="N365" s="107">
        <f t="shared" si="83"/>
        <v>280.41904159479884</v>
      </c>
      <c r="O365" s="7">
        <f t="shared" si="69"/>
        <v>3765.6666666666665</v>
      </c>
      <c r="P365" s="7">
        <f t="shared" si="70"/>
        <v>3485.2476250718678</v>
      </c>
      <c r="Q365" s="7">
        <f t="shared" si="71"/>
        <v>1625.7060576284539</v>
      </c>
      <c r="R365" s="7">
        <f t="shared" si="72"/>
        <v>926.04156744341378</v>
      </c>
      <c r="S365" s="7">
        <v>11808</v>
      </c>
      <c r="T365" s="7">
        <v>16147</v>
      </c>
      <c r="U365" s="7">
        <v>3095</v>
      </c>
      <c r="V365" s="7">
        <v>138162</v>
      </c>
      <c r="W365" s="7">
        <f t="shared" si="74"/>
        <v>123259</v>
      </c>
      <c r="X365" s="103">
        <f t="shared" si="75"/>
        <v>148075</v>
      </c>
      <c r="Y365" s="103"/>
      <c r="Z365" s="7">
        <v>29074</v>
      </c>
      <c r="AB365" s="2">
        <v>9913</v>
      </c>
      <c r="AC365" s="90">
        <v>146723</v>
      </c>
      <c r="AD365" s="103">
        <f t="shared" si="80"/>
        <v>148075</v>
      </c>
      <c r="AE365" s="64">
        <f t="shared" si="76"/>
        <v>0.18230325170559492</v>
      </c>
      <c r="AF365" s="64">
        <f t="shared" si="77"/>
        <v>4.3514772919128822E-2</v>
      </c>
      <c r="AG365" s="20">
        <f t="shared" si="81"/>
        <v>206.45843255658625</v>
      </c>
      <c r="AH365" s="20">
        <f t="shared" si="82"/>
        <v>73.96060903821261</v>
      </c>
      <c r="AI365" s="20"/>
      <c r="AJ365" s="64"/>
    </row>
    <row r="366" spans="1:36" s="45" customFormat="1">
      <c r="A366" s="43">
        <v>46022</v>
      </c>
      <c r="B366" s="3">
        <v>156.91666666666669</v>
      </c>
      <c r="C366" s="169">
        <v>97.25</v>
      </c>
      <c r="D366" s="169">
        <v>67.5</v>
      </c>
      <c r="E366" s="169">
        <v>214.83333333333331</v>
      </c>
      <c r="F366" s="169">
        <v>214.16666666666669</v>
      </c>
      <c r="G366" s="169">
        <v>114.33333333333333</v>
      </c>
      <c r="H366" s="169">
        <v>37.5</v>
      </c>
      <c r="I366" s="169">
        <v>1212.5</v>
      </c>
      <c r="J366" s="169">
        <v>95</v>
      </c>
      <c r="K366" s="169">
        <v>731.25000000000011</v>
      </c>
      <c r="L366" s="169">
        <v>149.75</v>
      </c>
      <c r="M366" s="169">
        <v>201.91666666666666</v>
      </c>
      <c r="N366" s="170">
        <f t="shared" si="83"/>
        <v>389.99047249675448</v>
      </c>
      <c r="O366" s="30">
        <f t="shared" si="69"/>
        <v>2574.5833333333335</v>
      </c>
      <c r="P366" s="30">
        <f t="shared" si="70"/>
        <v>2184.5928608365793</v>
      </c>
      <c r="Q366" s="30">
        <f t="shared" si="71"/>
        <v>1079.2211028970942</v>
      </c>
      <c r="R366" s="30">
        <f t="shared" si="72"/>
        <v>474.53842460615158</v>
      </c>
      <c r="S366" s="30">
        <v>6345</v>
      </c>
      <c r="T366" s="30">
        <v>10393</v>
      </c>
      <c r="U366" s="30">
        <v>2651</v>
      </c>
      <c r="V366" s="30">
        <v>94243</v>
      </c>
      <c r="W366" s="7">
        <f t="shared" si="74"/>
        <v>85247</v>
      </c>
      <c r="X366" s="103">
        <f t="shared" si="75"/>
        <v>113424</v>
      </c>
      <c r="Y366" s="103"/>
      <c r="Z366" s="30">
        <v>38149</v>
      </c>
      <c r="AA366" s="30"/>
      <c r="AB366" s="172">
        <v>19181</v>
      </c>
      <c r="AC366" s="173">
        <v>99975</v>
      </c>
      <c r="AD366" s="171">
        <f t="shared" si="80"/>
        <v>113424</v>
      </c>
      <c r="AE366" s="174">
        <f t="shared" si="76"/>
        <v>0.35105856464116031</v>
      </c>
      <c r="AF366" s="174">
        <f t="shared" si="77"/>
        <v>0.10992073987868528</v>
      </c>
      <c r="AG366" s="175">
        <f t="shared" si="81"/>
        <v>256.71157539384853</v>
      </c>
      <c r="AH366" s="175">
        <f t="shared" si="82"/>
        <v>133.27889710290592</v>
      </c>
      <c r="AI366" s="175"/>
    </row>
    <row r="367" spans="1:36" s="202" customFormat="1">
      <c r="A367" s="193">
        <v>46023</v>
      </c>
      <c r="B367" s="194">
        <v>0</v>
      </c>
      <c r="C367" s="194">
        <v>0</v>
      </c>
      <c r="D367" s="194">
        <v>0</v>
      </c>
      <c r="E367" s="194">
        <v>0</v>
      </c>
      <c r="F367" s="194">
        <v>0</v>
      </c>
      <c r="G367" s="194">
        <v>0</v>
      </c>
      <c r="H367" s="194">
        <v>0</v>
      </c>
      <c r="I367" s="194">
        <v>0</v>
      </c>
      <c r="J367" s="194">
        <v>0</v>
      </c>
      <c r="K367" s="194">
        <v>0</v>
      </c>
      <c r="L367" s="194">
        <v>0</v>
      </c>
      <c r="M367" s="194">
        <v>0</v>
      </c>
      <c r="N367" s="195">
        <f t="shared" si="83"/>
        <v>0</v>
      </c>
      <c r="O367" s="196">
        <f t="shared" si="69"/>
        <v>0</v>
      </c>
      <c r="P367" s="196">
        <f t="shared" si="70"/>
        <v>0</v>
      </c>
      <c r="Q367" s="196">
        <f t="shared" si="71"/>
        <v>0</v>
      </c>
      <c r="R367" s="196">
        <f t="shared" si="72"/>
        <v>0</v>
      </c>
      <c r="S367" s="196">
        <v>0</v>
      </c>
      <c r="T367" s="196">
        <v>0</v>
      </c>
      <c r="U367" s="196">
        <v>0</v>
      </c>
      <c r="V367" s="196">
        <v>0</v>
      </c>
      <c r="W367" s="7">
        <f t="shared" si="74"/>
        <v>0</v>
      </c>
      <c r="X367" s="103">
        <f t="shared" si="75"/>
        <v>0</v>
      </c>
      <c r="Y367" s="103"/>
      <c r="Z367" s="196">
        <v>0</v>
      </c>
      <c r="AA367" s="196"/>
      <c r="AB367" s="198">
        <v>0</v>
      </c>
      <c r="AC367" s="199">
        <v>0</v>
      </c>
      <c r="AD367" s="197">
        <f t="shared" si="80"/>
        <v>0</v>
      </c>
      <c r="AE367" s="200" t="e">
        <f t="shared" si="76"/>
        <v>#DIV/0!</v>
      </c>
      <c r="AF367" s="200"/>
      <c r="AG367" s="201"/>
      <c r="AH367" s="201"/>
      <c r="AI367" s="201"/>
    </row>
    <row r="368" spans="1:36">
      <c r="A368" s="28">
        <v>46024</v>
      </c>
      <c r="B368" s="3">
        <v>240</v>
      </c>
      <c r="C368" s="3">
        <v>206.83333333333331</v>
      </c>
      <c r="D368" s="3">
        <v>96.833333333333343</v>
      </c>
      <c r="E368" s="3">
        <v>401.91666666666669</v>
      </c>
      <c r="F368" s="3">
        <v>320.66666666666669</v>
      </c>
      <c r="G368" s="3">
        <v>62.25</v>
      </c>
      <c r="H368" s="3">
        <v>44.5</v>
      </c>
      <c r="I368" s="3">
        <v>1789.083333333333</v>
      </c>
      <c r="J368" s="3">
        <v>141.5</v>
      </c>
      <c r="K368" s="3">
        <v>1100</v>
      </c>
      <c r="L368" s="3">
        <v>130.5</v>
      </c>
      <c r="M368" s="3">
        <v>313.74999999999994</v>
      </c>
      <c r="N368" s="107">
        <f t="shared" si="83"/>
        <v>329.01926366387261</v>
      </c>
      <c r="O368" s="7">
        <f t="shared" si="69"/>
        <v>3894.9166666666661</v>
      </c>
      <c r="P368" s="7">
        <f t="shared" si="70"/>
        <v>3565.8974030027939</v>
      </c>
      <c r="Q368" s="7">
        <f t="shared" si="71"/>
        <v>1519.3960134431318</v>
      </c>
      <c r="R368" s="7">
        <f t="shared" si="72"/>
        <v>1040.6680562263289</v>
      </c>
      <c r="S368" s="7">
        <v>11686</v>
      </c>
      <c r="T368" s="7">
        <v>16019</v>
      </c>
      <c r="U368" s="7">
        <v>1649</v>
      </c>
      <c r="V368" s="7">
        <v>126338</v>
      </c>
      <c r="W368" s="7">
        <f t="shared" si="74"/>
        <v>113003</v>
      </c>
      <c r="X368" s="103">
        <f t="shared" si="75"/>
        <v>164483</v>
      </c>
      <c r="Y368" s="103"/>
      <c r="Z368" s="7">
        <v>9226</v>
      </c>
      <c r="AB368" s="2">
        <v>38145</v>
      </c>
      <c r="AC368" s="90">
        <v>157364</v>
      </c>
      <c r="AD368" s="103">
        <f t="shared" si="80"/>
        <v>164483</v>
      </c>
      <c r="AE368" s="64">
        <f t="shared" si="76"/>
        <v>5.3938130703337486E-2</v>
      </c>
      <c r="AF368" s="64">
        <f t="shared" si="77"/>
        <v>0.15074050205796344</v>
      </c>
      <c r="AG368" s="20">
        <f>+AE368*K368</f>
        <v>59.331943773671235</v>
      </c>
      <c r="AH368" s="20">
        <f>+AF368*I368</f>
        <v>269.68731989020137</v>
      </c>
      <c r="AI368" s="20"/>
    </row>
    <row r="369" spans="1:41">
      <c r="A369" s="28">
        <v>46025</v>
      </c>
      <c r="B369" s="3">
        <v>202.5</v>
      </c>
      <c r="C369" s="3">
        <v>167.66666666666663</v>
      </c>
      <c r="D369" s="3">
        <v>84</v>
      </c>
      <c r="E369" s="3">
        <v>382.5</v>
      </c>
      <c r="F369" s="3">
        <v>351</v>
      </c>
      <c r="G369" s="3">
        <v>0</v>
      </c>
      <c r="H369" s="3">
        <v>22.5</v>
      </c>
      <c r="I369" s="3">
        <v>1735.5000000000005</v>
      </c>
      <c r="J369" s="3">
        <v>142.5</v>
      </c>
      <c r="K369" s="3">
        <v>1165.3333333333335</v>
      </c>
      <c r="L369" s="3">
        <v>120</v>
      </c>
      <c r="M369" s="3">
        <v>297.5</v>
      </c>
      <c r="N369" s="107">
        <f t="shared" si="83"/>
        <v>181.06833453190984</v>
      </c>
      <c r="O369" s="7">
        <f t="shared" si="69"/>
        <v>3848.5000000000005</v>
      </c>
      <c r="P369" s="7">
        <f t="shared" si="70"/>
        <v>3667.4316654680906</v>
      </c>
      <c r="Q369" s="7">
        <f t="shared" si="71"/>
        <v>1554.4316654680906</v>
      </c>
      <c r="R369" s="7">
        <f t="shared" si="72"/>
        <v>1165.3333333333335</v>
      </c>
      <c r="S369" s="7">
        <v>13812</v>
      </c>
      <c r="T369" s="7">
        <v>16982</v>
      </c>
      <c r="U369" s="7">
        <v>2595</v>
      </c>
      <c r="V369" s="7">
        <v>136579</v>
      </c>
      <c r="W369" s="7">
        <f t="shared" si="74"/>
        <v>120172</v>
      </c>
      <c r="X369" s="103">
        <f t="shared" si="75"/>
        <v>162693</v>
      </c>
      <c r="Y369" s="103"/>
      <c r="Z369" s="7">
        <v>0</v>
      </c>
      <c r="AB369" s="2">
        <v>26114</v>
      </c>
      <c r="AC369" s="90">
        <v>155727</v>
      </c>
      <c r="AD369" s="103">
        <f t="shared" si="80"/>
        <v>162693</v>
      </c>
      <c r="AE369" s="64">
        <f t="shared" si="76"/>
        <v>0</v>
      </c>
      <c r="AF369" s="64">
        <f t="shared" si="77"/>
        <v>0.10433208558450578</v>
      </c>
      <c r="AG369" s="20">
        <f>+AE369*K369</f>
        <v>0</v>
      </c>
      <c r="AH369" s="20">
        <f>+AF369*I369</f>
        <v>181.06833453190984</v>
      </c>
      <c r="AI369" s="20"/>
      <c r="AO369" s="7"/>
    </row>
    <row r="370" spans="1:41">
      <c r="A370" s="28">
        <v>46026</v>
      </c>
      <c r="B370" s="3">
        <v>0</v>
      </c>
      <c r="C370" s="3">
        <v>0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107">
        <f t="shared" ref="N370" si="84">+AH370+AG370</f>
        <v>0</v>
      </c>
      <c r="O370" s="7">
        <f t="shared" si="69"/>
        <v>0</v>
      </c>
      <c r="P370" s="7">
        <f t="shared" si="70"/>
        <v>0</v>
      </c>
      <c r="Q370" s="7">
        <f t="shared" si="71"/>
        <v>0</v>
      </c>
      <c r="R370" s="7">
        <f t="shared" si="72"/>
        <v>0</v>
      </c>
      <c r="S370" s="7">
        <v>0</v>
      </c>
      <c r="T370" s="7">
        <v>0</v>
      </c>
      <c r="U370" s="7">
        <v>0</v>
      </c>
      <c r="V370" s="7">
        <v>0</v>
      </c>
      <c r="W370" s="7">
        <f t="shared" si="74"/>
        <v>0</v>
      </c>
      <c r="X370" s="103">
        <f t="shared" si="75"/>
        <v>0</v>
      </c>
      <c r="Y370" s="103"/>
      <c r="Z370" s="7">
        <v>0</v>
      </c>
      <c r="AB370" s="2">
        <v>0</v>
      </c>
      <c r="AC370" s="90">
        <v>0</v>
      </c>
      <c r="AD370" s="103">
        <f t="shared" si="80"/>
        <v>0</v>
      </c>
      <c r="AE370" s="64" t="e">
        <f t="shared" si="76"/>
        <v>#DIV/0!</v>
      </c>
      <c r="AF370" s="64"/>
      <c r="AG370" s="20"/>
      <c r="AH370" s="20"/>
      <c r="AI370" s="20"/>
      <c r="AO370"/>
    </row>
    <row r="371" spans="1:41">
      <c r="A371" s="28">
        <v>46027</v>
      </c>
      <c r="B371" s="3">
        <v>157.5</v>
      </c>
      <c r="C371" s="3">
        <v>483.08333333333331</v>
      </c>
      <c r="D371" s="3">
        <v>97.5</v>
      </c>
      <c r="E371" s="3">
        <v>383.50000000000006</v>
      </c>
      <c r="F371" s="3">
        <v>239.58333333333337</v>
      </c>
      <c r="G371" s="3">
        <v>81.75</v>
      </c>
      <c r="H371" s="3">
        <v>63</v>
      </c>
      <c r="I371" s="3">
        <v>1675.333333333333</v>
      </c>
      <c r="J371" s="3">
        <v>172.5</v>
      </c>
      <c r="K371" s="3">
        <v>1159.6666666666665</v>
      </c>
      <c r="L371" s="3">
        <v>160.5</v>
      </c>
      <c r="M371" s="3">
        <v>308.58333333333331</v>
      </c>
      <c r="N371" s="107">
        <f t="shared" ref="N371:N377" si="85">+AH371+AG371</f>
        <v>5.8627135110709441</v>
      </c>
      <c r="O371" s="7">
        <f t="shared" ref="O371:O377" si="86">+B371+C371+D371+F371+I371+K371+J371</f>
        <v>3985.1666666666661</v>
      </c>
      <c r="P371" s="7">
        <f t="shared" si="70"/>
        <v>3979.3039531555951</v>
      </c>
      <c r="Q371" s="7">
        <f t="shared" si="71"/>
        <v>1675.333333333333</v>
      </c>
      <c r="R371" s="7">
        <f t="shared" si="72"/>
        <v>1153.8039531555955</v>
      </c>
      <c r="S371" s="7">
        <v>10114</v>
      </c>
      <c r="T371" s="7">
        <v>15076</v>
      </c>
      <c r="U371" s="7">
        <v>1210</v>
      </c>
      <c r="V371" s="7">
        <v>134660</v>
      </c>
      <c r="W371" s="7">
        <f t="shared" si="74"/>
        <v>123336</v>
      </c>
      <c r="X371" s="103">
        <f t="shared" si="75"/>
        <v>134660</v>
      </c>
      <c r="Y371" s="103"/>
      <c r="Z371" s="7">
        <v>681</v>
      </c>
      <c r="AB371" s="2">
        <v>0</v>
      </c>
      <c r="AC371" s="90">
        <v>123928</v>
      </c>
      <c r="AD371" s="103">
        <f t="shared" si="80"/>
        <v>134660</v>
      </c>
      <c r="AE371" s="64">
        <f t="shared" si="76"/>
        <v>5.0555161061261377E-3</v>
      </c>
      <c r="AF371" s="64">
        <f t="shared" si="77"/>
        <v>0</v>
      </c>
      <c r="AG371" s="20">
        <f t="shared" ref="AG371:AG402" si="87">+AE371*K371</f>
        <v>5.8627135110709441</v>
      </c>
      <c r="AH371" s="20">
        <f t="shared" ref="AH371:AH402" si="88">+AF371*I371</f>
        <v>0</v>
      </c>
      <c r="AI371" s="20"/>
      <c r="AO371"/>
    </row>
    <row r="372" spans="1:41">
      <c r="A372" s="28">
        <v>46028</v>
      </c>
      <c r="B372" s="3">
        <v>157.5</v>
      </c>
      <c r="C372" s="3">
        <v>405</v>
      </c>
      <c r="D372" s="3">
        <v>97.5</v>
      </c>
      <c r="E372" s="3">
        <v>393.41666666666663</v>
      </c>
      <c r="F372" s="3">
        <v>259.41666666666669</v>
      </c>
      <c r="G372" s="3">
        <v>76.5</v>
      </c>
      <c r="H372" s="3">
        <v>55.5</v>
      </c>
      <c r="I372" s="3">
        <v>1993.833333333333</v>
      </c>
      <c r="J372" s="3">
        <v>112</v>
      </c>
      <c r="K372" s="3">
        <v>1194.5833333333333</v>
      </c>
      <c r="L372" s="3">
        <v>159.33333333333331</v>
      </c>
      <c r="M372" s="3">
        <v>311.75</v>
      </c>
      <c r="N372" s="107">
        <f t="shared" si="85"/>
        <v>7.9321172156043724</v>
      </c>
      <c r="O372" s="7">
        <f t="shared" si="86"/>
        <v>4219.833333333333</v>
      </c>
      <c r="P372" s="7">
        <f t="shared" si="70"/>
        <v>4211.9012161177288</v>
      </c>
      <c r="Q372" s="7">
        <f t="shared" si="71"/>
        <v>1987.7168536086056</v>
      </c>
      <c r="R372" s="7">
        <f t="shared" si="72"/>
        <v>1192.7676958424565</v>
      </c>
      <c r="S372" s="7">
        <v>4790</v>
      </c>
      <c r="T372" s="7">
        <v>8204</v>
      </c>
      <c r="U372" s="7">
        <v>2804</v>
      </c>
      <c r="V372" s="7">
        <v>146987</v>
      </c>
      <c r="W372" s="7">
        <f t="shared" si="74"/>
        <v>139393</v>
      </c>
      <c r="X372" s="103">
        <f t="shared" si="75"/>
        <v>147684</v>
      </c>
      <c r="Y372" s="103"/>
      <c r="Z372" s="7">
        <v>209</v>
      </c>
      <c r="AB372" s="2">
        <v>697</v>
      </c>
      <c r="AC372" s="90">
        <v>126509</v>
      </c>
      <c r="AD372" s="103">
        <f t="shared" si="80"/>
        <v>147684</v>
      </c>
      <c r="AE372" s="64">
        <f t="shared" si="76"/>
        <v>1.5198918654008807E-3</v>
      </c>
      <c r="AF372" s="64">
        <f t="shared" si="77"/>
        <v>3.0676985997129006E-3</v>
      </c>
      <c r="AG372" s="20">
        <f t="shared" si="87"/>
        <v>1.815637490876802</v>
      </c>
      <c r="AH372" s="20">
        <f t="shared" si="88"/>
        <v>6.1164797247275704</v>
      </c>
      <c r="AI372" s="20"/>
      <c r="AO372"/>
    </row>
    <row r="373" spans="1:41">
      <c r="A373" s="28">
        <v>46029</v>
      </c>
      <c r="B373" s="3">
        <v>164.5</v>
      </c>
      <c r="C373" s="3">
        <v>374.66666666666663</v>
      </c>
      <c r="D373" s="3">
        <v>88.5</v>
      </c>
      <c r="E373" s="3">
        <v>399.58333333333337</v>
      </c>
      <c r="F373" s="3">
        <v>268.33333333333331</v>
      </c>
      <c r="G373" s="3">
        <v>82.25</v>
      </c>
      <c r="H373" s="3">
        <v>54.5</v>
      </c>
      <c r="I373" s="3">
        <v>2117</v>
      </c>
      <c r="J373" s="3">
        <v>120</v>
      </c>
      <c r="K373" s="3">
        <v>1071.0833333333335</v>
      </c>
      <c r="L373" s="3">
        <v>126.91666666666667</v>
      </c>
      <c r="M373" s="3">
        <v>314.5</v>
      </c>
      <c r="N373" s="107">
        <f t="shared" si="85"/>
        <v>285.71028574081254</v>
      </c>
      <c r="O373" s="7">
        <f t="shared" si="86"/>
        <v>4204.0833333333339</v>
      </c>
      <c r="P373" s="7">
        <f t="shared" si="70"/>
        <v>3918.3730475925208</v>
      </c>
      <c r="Q373" s="7">
        <f t="shared" si="71"/>
        <v>2046.3929661718544</v>
      </c>
      <c r="R373" s="7">
        <f t="shared" si="72"/>
        <v>855.98008142066658</v>
      </c>
      <c r="S373" s="7">
        <v>6287</v>
      </c>
      <c r="T373" s="7">
        <v>11687</v>
      </c>
      <c r="U373" s="7">
        <v>2811</v>
      </c>
      <c r="V373" s="7">
        <v>165013</v>
      </c>
      <c r="W373" s="7">
        <f t="shared" si="74"/>
        <v>155915</v>
      </c>
      <c r="X373" s="103">
        <f t="shared" si="75"/>
        <v>173938</v>
      </c>
      <c r="Y373" s="103"/>
      <c r="Z373" s="7">
        <v>27838</v>
      </c>
      <c r="AB373" s="2">
        <v>8925</v>
      </c>
      <c r="AC373" s="90">
        <v>127527</v>
      </c>
      <c r="AD373" s="103">
        <f t="shared" si="80"/>
        <v>173938</v>
      </c>
      <c r="AE373" s="64">
        <f t="shared" si="76"/>
        <v>0.20082774628117969</v>
      </c>
      <c r="AF373" s="64">
        <f t="shared" si="77"/>
        <v>3.3352401430394737E-2</v>
      </c>
      <c r="AG373" s="20">
        <f t="shared" si="87"/>
        <v>215.10325191266691</v>
      </c>
      <c r="AH373" s="20">
        <f t="shared" si="88"/>
        <v>70.60703382814566</v>
      </c>
      <c r="AI373" s="20"/>
      <c r="AO373"/>
    </row>
    <row r="374" spans="1:41">
      <c r="A374" s="28">
        <v>46030</v>
      </c>
      <c r="B374" s="3">
        <v>165</v>
      </c>
      <c r="C374" s="3">
        <v>366.16666666666663</v>
      </c>
      <c r="D374" s="3">
        <v>90</v>
      </c>
      <c r="E374" s="3">
        <v>376.33333333333337</v>
      </c>
      <c r="F374" s="3">
        <v>244.25</v>
      </c>
      <c r="G374" s="3">
        <v>78.583333333333329</v>
      </c>
      <c r="H374" s="3">
        <v>63</v>
      </c>
      <c r="I374" s="3">
        <v>2103.5833333333335</v>
      </c>
      <c r="J374" s="3">
        <v>150</v>
      </c>
      <c r="K374" s="3">
        <v>1105.8333333333335</v>
      </c>
      <c r="L374" s="3">
        <v>137</v>
      </c>
      <c r="M374" s="3">
        <v>330</v>
      </c>
      <c r="N374" s="107">
        <f t="shared" si="85"/>
        <v>547.88789124705465</v>
      </c>
      <c r="O374" s="7">
        <f t="shared" si="86"/>
        <v>4224.8333333333339</v>
      </c>
      <c r="P374" s="7">
        <f t="shared" si="70"/>
        <v>3676.9454420862789</v>
      </c>
      <c r="Q374" s="7">
        <f t="shared" si="71"/>
        <v>1827.1569131987103</v>
      </c>
      <c r="R374" s="7">
        <f t="shared" si="72"/>
        <v>834.37186222090213</v>
      </c>
      <c r="S374" s="7">
        <v>6483</v>
      </c>
      <c r="T374" s="7">
        <v>11662</v>
      </c>
      <c r="U374" s="7">
        <v>3007</v>
      </c>
      <c r="V374" s="7">
        <v>145474</v>
      </c>
      <c r="W374" s="7">
        <f t="shared" si="74"/>
        <v>135984</v>
      </c>
      <c r="X374" s="103">
        <f t="shared" si="75"/>
        <v>182336</v>
      </c>
      <c r="Y374" s="103"/>
      <c r="Z374" s="7">
        <v>35931</v>
      </c>
      <c r="AB374" s="2">
        <v>36862</v>
      </c>
      <c r="AC374" s="90">
        <v>134660</v>
      </c>
      <c r="AD374" s="103">
        <f t="shared" si="80"/>
        <v>182336</v>
      </c>
      <c r="AE374" s="64">
        <f t="shared" si="76"/>
        <v>0.24548136046338928</v>
      </c>
      <c r="AF374" s="64">
        <f t="shared" si="77"/>
        <v>0.13140740171990173</v>
      </c>
      <c r="AG374" s="20">
        <f t="shared" si="87"/>
        <v>271.46147111243135</v>
      </c>
      <c r="AH374" s="20">
        <f t="shared" si="88"/>
        <v>276.4264201346233</v>
      </c>
      <c r="AI374" s="20"/>
      <c r="AO374"/>
    </row>
    <row r="375" spans="1:41">
      <c r="A375" s="28">
        <v>46031</v>
      </c>
      <c r="B375" s="3">
        <v>157.08333333333331</v>
      </c>
      <c r="C375" s="3">
        <v>458.16666666666663</v>
      </c>
      <c r="D375" s="3">
        <v>97.5</v>
      </c>
      <c r="E375" s="3">
        <v>352</v>
      </c>
      <c r="F375" s="3">
        <v>251.91666666666669</v>
      </c>
      <c r="G375" s="3">
        <v>80.083333333333343</v>
      </c>
      <c r="H375" s="3">
        <v>61.833333333333329</v>
      </c>
      <c r="I375" s="3">
        <v>1754</v>
      </c>
      <c r="J375" s="3">
        <v>202.25</v>
      </c>
      <c r="K375" s="3">
        <v>1054.0833333333335</v>
      </c>
      <c r="L375" s="3">
        <v>144.5</v>
      </c>
      <c r="M375" s="3">
        <v>325.83333333333331</v>
      </c>
      <c r="N375" s="107">
        <f t="shared" si="85"/>
        <v>190.81340014112675</v>
      </c>
      <c r="O375" s="7">
        <f>+B375+C375+D375+F375+I375+K375+J375</f>
        <v>3975.0000000000005</v>
      </c>
      <c r="P375" s="7">
        <f t="shared" si="70"/>
        <v>3784.1865998588737</v>
      </c>
      <c r="Q375" s="7">
        <f t="shared" si="71"/>
        <v>1592.2494567370859</v>
      </c>
      <c r="R375" s="7">
        <f t="shared" si="72"/>
        <v>1025.0204764551211</v>
      </c>
      <c r="S375" s="7">
        <v>10814</v>
      </c>
      <c r="T375" s="7">
        <v>15259</v>
      </c>
      <c r="U375" s="7">
        <v>2274</v>
      </c>
      <c r="V375" s="7">
        <v>123444</v>
      </c>
      <c r="W375" s="7">
        <f t="shared" si="74"/>
        <v>110356</v>
      </c>
      <c r="X375" s="103">
        <f t="shared" si="75"/>
        <v>143853</v>
      </c>
      <c r="Y375" s="103"/>
      <c r="Z375" s="7">
        <v>3613</v>
      </c>
      <c r="AB375" s="2">
        <v>20409</v>
      </c>
      <c r="AC375" s="90">
        <v>120557</v>
      </c>
      <c r="AD375" s="103">
        <f t="shared" si="80"/>
        <v>143853</v>
      </c>
      <c r="AE375" s="64">
        <f t="shared" ref="AE375:AE412" si="89">+(Z375/AC375*0.92)</f>
        <v>2.7571688081156634E-2</v>
      </c>
      <c r="AF375" s="64">
        <f t="shared" ref="AF375:AF412" si="90">+(AB375/AD375*0.65)</f>
        <v>9.22180976413422E-2</v>
      </c>
      <c r="AG375" s="20">
        <f t="shared" si="87"/>
        <v>29.062856878212525</v>
      </c>
      <c r="AH375" s="20">
        <f t="shared" si="88"/>
        <v>161.75054326291422</v>
      </c>
      <c r="AI375" s="20"/>
      <c r="AO375" s="7"/>
    </row>
    <row r="376" spans="1:41">
      <c r="A376" s="28">
        <v>46032</v>
      </c>
      <c r="B376" s="3">
        <v>127.5</v>
      </c>
      <c r="C376" s="3">
        <v>465</v>
      </c>
      <c r="D376" s="3">
        <v>82.5</v>
      </c>
      <c r="E376" s="3">
        <v>266.66666666666663</v>
      </c>
      <c r="F376" s="3">
        <v>239.08333333333337</v>
      </c>
      <c r="G376" s="3">
        <v>0</v>
      </c>
      <c r="H376" s="3">
        <v>30</v>
      </c>
      <c r="I376" s="3">
        <v>1587.583333333333</v>
      </c>
      <c r="J376" s="3">
        <v>157.5</v>
      </c>
      <c r="K376" s="3">
        <v>740.25</v>
      </c>
      <c r="L376" s="3">
        <v>120</v>
      </c>
      <c r="M376" s="3">
        <v>269.33333333333331</v>
      </c>
      <c r="N376" s="107">
        <f t="shared" si="85"/>
        <v>9.181928953985258</v>
      </c>
      <c r="O376" s="7">
        <f t="shared" si="86"/>
        <v>3399.4166666666665</v>
      </c>
      <c r="P376" s="7">
        <f t="shared" si="70"/>
        <v>3390.2347377126812</v>
      </c>
      <c r="Q376" s="7">
        <f t="shared" si="71"/>
        <v>1584.5936245384355</v>
      </c>
      <c r="R376" s="7">
        <f t="shared" si="72"/>
        <v>734.0577798409123</v>
      </c>
      <c r="S376" s="7">
        <v>5922</v>
      </c>
      <c r="T376" s="7">
        <v>12205</v>
      </c>
      <c r="U376" s="7">
        <v>3435</v>
      </c>
      <c r="V376" s="7">
        <v>128716</v>
      </c>
      <c r="W376" s="7">
        <f t="shared" si="74"/>
        <v>119359</v>
      </c>
      <c r="X376" s="103">
        <f t="shared" si="75"/>
        <v>129090</v>
      </c>
      <c r="Y376" s="103"/>
      <c r="Z376" s="7">
        <v>759</v>
      </c>
      <c r="AB376" s="2">
        <v>374</v>
      </c>
      <c r="AC376" s="90">
        <v>83476</v>
      </c>
      <c r="AD376" s="103">
        <f t="shared" si="80"/>
        <v>129090</v>
      </c>
      <c r="AE376" s="64">
        <f t="shared" si="89"/>
        <v>8.3650390531410223E-3</v>
      </c>
      <c r="AF376" s="64">
        <f t="shared" si="90"/>
        <v>1.8831822759315206E-3</v>
      </c>
      <c r="AG376" s="20">
        <f t="shared" si="87"/>
        <v>6.1922201590876416</v>
      </c>
      <c r="AH376" s="20">
        <f t="shared" si="88"/>
        <v>2.989708794897616</v>
      </c>
      <c r="AI376" s="20"/>
    </row>
    <row r="377" spans="1:41">
      <c r="A377" s="28">
        <v>46033</v>
      </c>
      <c r="B377" s="3">
        <v>0</v>
      </c>
      <c r="C377" s="3"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/>
      <c r="K377" s="3">
        <v>0</v>
      </c>
      <c r="L377" s="3">
        <v>0</v>
      </c>
      <c r="M377" s="3">
        <v>0</v>
      </c>
      <c r="N377" s="107" t="e">
        <f t="shared" si="85"/>
        <v>#DIV/0!</v>
      </c>
      <c r="O377" s="7">
        <f t="shared" si="86"/>
        <v>0</v>
      </c>
      <c r="P377" s="7" t="e">
        <f t="shared" si="70"/>
        <v>#DIV/0!</v>
      </c>
      <c r="Q377" s="7" t="e">
        <f t="shared" si="71"/>
        <v>#DIV/0!</v>
      </c>
      <c r="R377" s="7" t="e">
        <f t="shared" si="72"/>
        <v>#DIV/0!</v>
      </c>
      <c r="S377" s="7">
        <v>0</v>
      </c>
      <c r="T377" s="7">
        <v>0</v>
      </c>
      <c r="U377" s="7">
        <v>0</v>
      </c>
      <c r="V377" s="7">
        <v>0</v>
      </c>
      <c r="W377" s="7">
        <f t="shared" si="74"/>
        <v>0</v>
      </c>
      <c r="X377" s="103">
        <f t="shared" si="75"/>
        <v>0</v>
      </c>
      <c r="Y377" s="103"/>
      <c r="Z377" s="7">
        <v>0</v>
      </c>
      <c r="AB377" s="2"/>
      <c r="AC377" s="90">
        <v>0</v>
      </c>
      <c r="AD377" s="103">
        <f t="shared" si="80"/>
        <v>0</v>
      </c>
      <c r="AE377" s="64" t="e">
        <f t="shared" si="89"/>
        <v>#DIV/0!</v>
      </c>
      <c r="AF377" s="64" t="e">
        <f t="shared" si="90"/>
        <v>#DIV/0!</v>
      </c>
      <c r="AG377" s="20" t="e">
        <f t="shared" si="87"/>
        <v>#DIV/0!</v>
      </c>
      <c r="AH377" s="20" t="e">
        <f t="shared" si="88"/>
        <v>#DIV/0!</v>
      </c>
      <c r="AI377" s="20"/>
    </row>
    <row r="378" spans="1:41">
      <c r="A378" s="28">
        <v>46034</v>
      </c>
      <c r="B378" s="3">
        <v>255</v>
      </c>
      <c r="C378" s="3">
        <v>382.5</v>
      </c>
      <c r="D378" s="3">
        <v>78.666666666666671</v>
      </c>
      <c r="E378" s="3">
        <v>293.25</v>
      </c>
      <c r="F378" s="3">
        <v>244.16666666666666</v>
      </c>
      <c r="G378" s="3">
        <v>144.25</v>
      </c>
      <c r="H378" s="3">
        <v>30</v>
      </c>
      <c r="I378" s="3">
        <v>1883.166666666667</v>
      </c>
      <c r="J378" s="3">
        <v>127.5</v>
      </c>
      <c r="K378" s="3">
        <v>1044.75</v>
      </c>
      <c r="L378" s="3">
        <v>120</v>
      </c>
      <c r="M378" s="3">
        <v>314.25</v>
      </c>
      <c r="N378" s="107">
        <f t="shared" ref="N378:N384" si="91">+AH378+AG378</f>
        <v>21.705092772623221</v>
      </c>
      <c r="O378" s="7">
        <f t="shared" ref="O378:O383" si="92">+B378+C378+D378+F378+I378+K378+J378</f>
        <v>4015.75</v>
      </c>
      <c r="P378" s="7">
        <f t="shared" si="70"/>
        <v>3994.0449072273768</v>
      </c>
      <c r="Q378" s="7">
        <f t="shared" si="71"/>
        <v>1873.2353795143804</v>
      </c>
      <c r="R378" s="7">
        <f t="shared" si="72"/>
        <v>1032.9761943796632</v>
      </c>
      <c r="S378" s="7">
        <v>5660</v>
      </c>
      <c r="T378" s="7">
        <v>11650</v>
      </c>
      <c r="U378" s="7">
        <v>1274</v>
      </c>
      <c r="V378" s="7">
        <v>145114</v>
      </c>
      <c r="W378" s="7">
        <f t="shared" si="74"/>
        <v>138180</v>
      </c>
      <c r="X378" s="103">
        <f t="shared" si="75"/>
        <v>146301</v>
      </c>
      <c r="Y378" s="103"/>
      <c r="Z378" s="7">
        <v>1581</v>
      </c>
      <c r="AB378" s="2">
        <v>1187</v>
      </c>
      <c r="AC378" s="90">
        <v>129067</v>
      </c>
      <c r="AD378" s="103">
        <f t="shared" si="80"/>
        <v>146301</v>
      </c>
      <c r="AE378" s="64">
        <f t="shared" si="89"/>
        <v>1.1269495688285929E-2</v>
      </c>
      <c r="AF378" s="64">
        <f t="shared" si="90"/>
        <v>5.2737165159499931E-3</v>
      </c>
      <c r="AG378" s="20">
        <f t="shared" si="87"/>
        <v>11.773805620336724</v>
      </c>
      <c r="AH378" s="20">
        <f t="shared" si="88"/>
        <v>9.9312871522864974</v>
      </c>
      <c r="AI378" s="20"/>
      <c r="AJ378" s="20"/>
    </row>
    <row r="379" spans="1:41">
      <c r="A379" s="28">
        <v>46035</v>
      </c>
      <c r="B379" s="3">
        <v>297</v>
      </c>
      <c r="C379" s="3">
        <v>408.66666666666663</v>
      </c>
      <c r="D379" s="3">
        <v>81.833333333333329</v>
      </c>
      <c r="E379" s="3">
        <v>410.58333333333337</v>
      </c>
      <c r="F379" s="3">
        <v>240</v>
      </c>
      <c r="G379" s="3">
        <v>134.75</v>
      </c>
      <c r="H379" s="3">
        <v>55.5</v>
      </c>
      <c r="I379" s="3">
        <v>1874.416666666667</v>
      </c>
      <c r="J379" s="3">
        <v>180</v>
      </c>
      <c r="K379" s="3">
        <v>1189.5</v>
      </c>
      <c r="L379" s="3">
        <v>144.5</v>
      </c>
      <c r="M379" s="3">
        <v>310.25</v>
      </c>
      <c r="N379" s="107">
        <f t="shared" si="91"/>
        <v>94.602865690207921</v>
      </c>
      <c r="O379" s="7">
        <f t="shared" si="92"/>
        <v>4271.416666666667</v>
      </c>
      <c r="P379" s="7">
        <f t="shared" si="70"/>
        <v>4176.8138009764589</v>
      </c>
      <c r="Q379" s="7">
        <f t="shared" si="71"/>
        <v>1863.3803141767883</v>
      </c>
      <c r="R379" s="7">
        <f t="shared" si="72"/>
        <v>1105.9334867996708</v>
      </c>
      <c r="S379" s="7">
        <v>9040</v>
      </c>
      <c r="T379" s="7">
        <v>14150</v>
      </c>
      <c r="U379" s="7">
        <v>3870</v>
      </c>
      <c r="V379" s="7">
        <v>136417</v>
      </c>
      <c r="W379" s="7">
        <f t="shared" si="74"/>
        <v>123507</v>
      </c>
      <c r="X379" s="103">
        <f t="shared" si="75"/>
        <v>137664</v>
      </c>
      <c r="Y379" s="103"/>
      <c r="Z379" s="7">
        <v>10300</v>
      </c>
      <c r="AB379" s="2">
        <v>1247</v>
      </c>
      <c r="AC379" s="90">
        <v>134883</v>
      </c>
      <c r="AD379" s="103">
        <f t="shared" si="80"/>
        <v>137664</v>
      </c>
      <c r="AE379" s="64">
        <f t="shared" si="89"/>
        <v>7.0253478941008141E-2</v>
      </c>
      <c r="AF379" s="64">
        <f t="shared" si="90"/>
        <v>5.8878864481636452E-3</v>
      </c>
      <c r="AG379" s="20">
        <f t="shared" si="87"/>
        <v>83.566513200329183</v>
      </c>
      <c r="AH379" s="20">
        <f t="shared" si="88"/>
        <v>11.036352489878741</v>
      </c>
      <c r="AI379" s="20"/>
      <c r="AJ379" s="20"/>
      <c r="AL379" s="2"/>
    </row>
    <row r="380" spans="1:41">
      <c r="A380" s="28">
        <v>46036</v>
      </c>
      <c r="B380" s="3">
        <v>238.5</v>
      </c>
      <c r="C380" s="3">
        <v>379.41666666666674</v>
      </c>
      <c r="D380" s="3">
        <v>67.5</v>
      </c>
      <c r="E380" s="3">
        <v>399.66666666666669</v>
      </c>
      <c r="F380" s="3">
        <v>255</v>
      </c>
      <c r="G380" s="3">
        <v>127.5</v>
      </c>
      <c r="H380" s="3">
        <v>55.5</v>
      </c>
      <c r="I380" s="3">
        <v>1961.666666666667</v>
      </c>
      <c r="J380" s="3">
        <v>112.5</v>
      </c>
      <c r="K380" s="3">
        <v>1173</v>
      </c>
      <c r="L380" s="3">
        <v>132.5</v>
      </c>
      <c r="M380" s="3">
        <v>317.75</v>
      </c>
      <c r="N380" s="107">
        <f t="shared" si="91"/>
        <v>573.72255953846184</v>
      </c>
      <c r="O380" s="7">
        <f t="shared" si="92"/>
        <v>4187.5833333333339</v>
      </c>
      <c r="P380" s="7">
        <f t="shared" si="70"/>
        <v>3613.8607737948714</v>
      </c>
      <c r="Q380" s="7">
        <f t="shared" si="71"/>
        <v>1739.4579955546537</v>
      </c>
      <c r="R380" s="7">
        <f t="shared" si="72"/>
        <v>821.4861115735514</v>
      </c>
      <c r="S380" s="7">
        <v>3615</v>
      </c>
      <c r="T380" s="7">
        <v>8511</v>
      </c>
      <c r="U380" s="7">
        <v>3373</v>
      </c>
      <c r="V380" s="7">
        <v>138323</v>
      </c>
      <c r="W380" s="7">
        <f t="shared" si="74"/>
        <v>131335</v>
      </c>
      <c r="X380" s="103">
        <f t="shared" si="75"/>
        <v>167516</v>
      </c>
      <c r="Y380" s="103"/>
      <c r="Z380" s="7">
        <v>39523</v>
      </c>
      <c r="AB380" s="2">
        <v>29193</v>
      </c>
      <c r="AC380" s="90">
        <v>121337</v>
      </c>
      <c r="AD380" s="103">
        <f t="shared" si="80"/>
        <v>167516</v>
      </c>
      <c r="AE380" s="64">
        <f t="shared" si="89"/>
        <v>0.2996708341231446</v>
      </c>
      <c r="AF380" s="64">
        <f t="shared" si="90"/>
        <v>0.11327544831538482</v>
      </c>
      <c r="AG380" s="20">
        <f t="shared" si="87"/>
        <v>351.5138884264486</v>
      </c>
      <c r="AH380" s="20">
        <f t="shared" si="88"/>
        <v>222.20867111201323</v>
      </c>
      <c r="AI380" s="20"/>
      <c r="AJ380" s="20"/>
      <c r="AL380" s="2"/>
    </row>
    <row r="381" spans="1:41">
      <c r="A381" s="28">
        <v>46037</v>
      </c>
      <c r="B381" s="3">
        <v>270</v>
      </c>
      <c r="C381" s="3">
        <v>673</v>
      </c>
      <c r="D381" s="3">
        <v>82.5</v>
      </c>
      <c r="E381" s="3">
        <v>418.5</v>
      </c>
      <c r="F381" s="3">
        <v>217.5</v>
      </c>
      <c r="G381" s="3">
        <v>124.91666666666667</v>
      </c>
      <c r="H381" s="3">
        <v>55.5</v>
      </c>
      <c r="I381" s="3">
        <v>1622.2499999999995</v>
      </c>
      <c r="J381" s="3">
        <v>127.5</v>
      </c>
      <c r="K381" s="3">
        <v>1195.5</v>
      </c>
      <c r="L381" s="3">
        <v>133.16666666666669</v>
      </c>
      <c r="M381" s="3">
        <v>319</v>
      </c>
      <c r="N381" s="107">
        <f t="shared" si="91"/>
        <v>163.20646127254653</v>
      </c>
      <c r="O381" s="7">
        <f t="shared" si="92"/>
        <v>4188.25</v>
      </c>
      <c r="P381" s="7">
        <f t="shared" si="70"/>
        <v>4025.0435387274529</v>
      </c>
      <c r="Q381" s="7">
        <f t="shared" si="71"/>
        <v>1475.4351565927122</v>
      </c>
      <c r="R381" s="7">
        <f t="shared" si="72"/>
        <v>1179.1083821347406</v>
      </c>
      <c r="S381" s="7">
        <v>6345</v>
      </c>
      <c r="T381" s="7">
        <v>10474</v>
      </c>
      <c r="U381" s="7">
        <v>2649</v>
      </c>
      <c r="V381" s="7">
        <v>129506</v>
      </c>
      <c r="W381" s="7">
        <f t="shared" si="74"/>
        <v>120512</v>
      </c>
      <c r="X381" s="103">
        <f t="shared" si="75"/>
        <v>150454</v>
      </c>
      <c r="Y381" s="103"/>
      <c r="Z381" s="7">
        <v>1587</v>
      </c>
      <c r="AB381" s="2">
        <v>20948</v>
      </c>
      <c r="AC381" s="90">
        <v>106486</v>
      </c>
      <c r="AD381" s="103">
        <f t="shared" si="80"/>
        <v>150454</v>
      </c>
      <c r="AE381" s="64">
        <f t="shared" si="89"/>
        <v>1.3711098172529723E-2</v>
      </c>
      <c r="AF381" s="64">
        <f t="shared" si="90"/>
        <v>9.0500751060124701E-2</v>
      </c>
      <c r="AG381" s="20">
        <f t="shared" si="87"/>
        <v>16.391617865259285</v>
      </c>
      <c r="AH381" s="20">
        <f t="shared" si="88"/>
        <v>146.81484340728724</v>
      </c>
      <c r="AI381" s="20"/>
      <c r="AJ381" s="20"/>
      <c r="AL381" s="2"/>
    </row>
    <row r="382" spans="1:41">
      <c r="A382" s="28">
        <v>46038</v>
      </c>
      <c r="B382" s="3">
        <v>312</v>
      </c>
      <c r="C382" s="3">
        <v>751</v>
      </c>
      <c r="D382" s="3">
        <v>82.5</v>
      </c>
      <c r="E382" s="3">
        <v>394.25</v>
      </c>
      <c r="F382" s="3">
        <v>224</v>
      </c>
      <c r="G382" s="3">
        <v>116.75</v>
      </c>
      <c r="H382" s="3">
        <v>48</v>
      </c>
      <c r="I382" s="3">
        <v>1334.3333333333335</v>
      </c>
      <c r="J382" s="3">
        <v>165</v>
      </c>
      <c r="K382" s="3">
        <v>1215.4166666666665</v>
      </c>
      <c r="L382" s="3">
        <v>145.5</v>
      </c>
      <c r="M382" s="3">
        <v>298.08333333333331</v>
      </c>
      <c r="N382" s="107">
        <f t="shared" si="91"/>
        <v>10.062206652141146</v>
      </c>
      <c r="O382" s="7">
        <f t="shared" si="92"/>
        <v>4084.25</v>
      </c>
      <c r="P382" s="7">
        <f t="shared" si="70"/>
        <v>4074.187793347859</v>
      </c>
      <c r="Q382" s="7">
        <f t="shared" si="71"/>
        <v>1331.1970870840066</v>
      </c>
      <c r="R382" s="7">
        <f t="shared" si="72"/>
        <v>1208.4907062638522</v>
      </c>
      <c r="S382" s="7">
        <v>8098</v>
      </c>
      <c r="T382" s="7">
        <v>13419</v>
      </c>
      <c r="U382" s="7">
        <v>3484</v>
      </c>
      <c r="V382" s="7">
        <v>116556</v>
      </c>
      <c r="W382" s="7">
        <f t="shared" si="74"/>
        <v>104974</v>
      </c>
      <c r="X382" s="103">
        <f t="shared" si="75"/>
        <v>116979</v>
      </c>
      <c r="Y382" s="103"/>
      <c r="Z382" s="7">
        <v>694</v>
      </c>
      <c r="AB382" s="2">
        <v>423</v>
      </c>
      <c r="AC382" s="90">
        <v>112045</v>
      </c>
      <c r="AD382" s="103">
        <f>+X382</f>
        <v>116979</v>
      </c>
      <c r="AE382" s="64">
        <f t="shared" si="89"/>
        <v>5.698424740059797E-3</v>
      </c>
      <c r="AF382" s="64">
        <f t="shared" si="90"/>
        <v>2.3504218705921575E-3</v>
      </c>
      <c r="AG382" s="20">
        <f t="shared" si="87"/>
        <v>6.9259604028143444</v>
      </c>
      <c r="AH382" s="20">
        <f t="shared" si="88"/>
        <v>3.1362462493268026</v>
      </c>
      <c r="AI382" s="20"/>
      <c r="AJ382" s="20"/>
      <c r="AL382" s="2"/>
    </row>
    <row r="383" spans="1:41">
      <c r="A383" s="28">
        <v>46039</v>
      </c>
      <c r="B383" s="3">
        <v>345</v>
      </c>
      <c r="C383" s="3">
        <v>705</v>
      </c>
      <c r="D383" s="3">
        <v>88.75</v>
      </c>
      <c r="E383" s="3">
        <v>253.33333333333331</v>
      </c>
      <c r="F383" s="3">
        <v>165</v>
      </c>
      <c r="G383" s="3">
        <v>0</v>
      </c>
      <c r="H383" s="3">
        <v>22.5</v>
      </c>
      <c r="I383" s="3">
        <v>1361.5833333333335</v>
      </c>
      <c r="J383" s="3">
        <v>128</v>
      </c>
      <c r="K383" s="3">
        <v>1248.2499999999998</v>
      </c>
      <c r="L383" s="3">
        <v>120</v>
      </c>
      <c r="M383" s="3">
        <v>267.33333333333331</v>
      </c>
      <c r="N383" s="107">
        <f t="shared" si="91"/>
        <v>3.3838195569386933</v>
      </c>
      <c r="O383" s="7">
        <f t="shared" si="92"/>
        <v>4041.583333333333</v>
      </c>
      <c r="P383" s="7">
        <f t="shared" si="70"/>
        <v>4038.1995137763943</v>
      </c>
      <c r="Q383" s="7">
        <f t="shared" si="71"/>
        <v>1359.486875064784</v>
      </c>
      <c r="R383" s="7">
        <f t="shared" si="72"/>
        <v>1246.9626387116107</v>
      </c>
      <c r="S383" s="7">
        <v>5638</v>
      </c>
      <c r="T383" s="7">
        <v>9704</v>
      </c>
      <c r="U383" s="7">
        <v>2285</v>
      </c>
      <c r="V383" s="7">
        <v>109079</v>
      </c>
      <c r="W383" s="7">
        <f t="shared" si="74"/>
        <v>101156</v>
      </c>
      <c r="X383" s="103">
        <f t="shared" si="75"/>
        <v>109338</v>
      </c>
      <c r="Y383" s="103"/>
      <c r="Z383" s="7">
        <v>101</v>
      </c>
      <c r="AB383" s="2">
        <v>259</v>
      </c>
      <c r="AC383" s="90">
        <v>90097</v>
      </c>
      <c r="AD383" s="103">
        <f t="shared" si="80"/>
        <v>109338</v>
      </c>
      <c r="AE383" s="64">
        <f t="shared" si="89"/>
        <v>1.031332896766818E-3</v>
      </c>
      <c r="AF383" s="64">
        <f t="shared" si="90"/>
        <v>1.5397208655728108E-3</v>
      </c>
      <c r="AG383" s="20">
        <f t="shared" si="87"/>
        <v>1.2873612883891803</v>
      </c>
      <c r="AH383" s="20">
        <f t="shared" si="88"/>
        <v>2.096458268549513</v>
      </c>
      <c r="AI383" s="20"/>
      <c r="AJ383" s="20"/>
      <c r="AL383" s="2"/>
    </row>
    <row r="384" spans="1:41">
      <c r="A384" s="28">
        <v>46040</v>
      </c>
      <c r="N384" s="107" t="e">
        <f t="shared" si="91"/>
        <v>#DIV/0!</v>
      </c>
      <c r="O384" s="7">
        <f t="shared" ref="O384:O415" si="93">+B384+C384+D384+F384+I384+K384+J384</f>
        <v>0</v>
      </c>
      <c r="P384" s="7" t="e">
        <f t="shared" si="70"/>
        <v>#DIV/0!</v>
      </c>
      <c r="Q384" s="7" t="e">
        <f t="shared" si="71"/>
        <v>#DIV/0!</v>
      </c>
      <c r="R384" s="7" t="e">
        <f t="shared" si="72"/>
        <v>#DIV/0!</v>
      </c>
      <c r="T384" s="7"/>
      <c r="V384" s="7"/>
      <c r="W384" s="7">
        <f t="shared" si="74"/>
        <v>0</v>
      </c>
      <c r="X384" s="103">
        <f t="shared" si="75"/>
        <v>0</v>
      </c>
      <c r="Y384" s="103"/>
      <c r="AB384" s="2"/>
      <c r="AC384" s="90"/>
      <c r="AD384" s="103"/>
      <c r="AE384" s="64" t="e">
        <f t="shared" si="89"/>
        <v>#DIV/0!</v>
      </c>
      <c r="AF384" s="64" t="e">
        <f t="shared" si="90"/>
        <v>#DIV/0!</v>
      </c>
      <c r="AG384" s="20" t="e">
        <f t="shared" si="87"/>
        <v>#DIV/0!</v>
      </c>
      <c r="AH384" s="20" t="e">
        <f t="shared" si="88"/>
        <v>#DIV/0!</v>
      </c>
      <c r="AL384" s="2"/>
    </row>
    <row r="385" spans="1:35">
      <c r="A385" s="28">
        <v>46041</v>
      </c>
      <c r="B385" s="3">
        <v>262.5</v>
      </c>
      <c r="C385" s="3">
        <v>415.41666666666663</v>
      </c>
      <c r="D385" s="3">
        <v>90</v>
      </c>
      <c r="E385" s="3">
        <v>313</v>
      </c>
      <c r="F385" s="3">
        <v>216.66666666666666</v>
      </c>
      <c r="G385" s="3">
        <v>87.666666666666671</v>
      </c>
      <c r="H385" s="3">
        <v>51.583333333333329</v>
      </c>
      <c r="I385" s="3">
        <v>1571.3333333333333</v>
      </c>
      <c r="J385" s="3">
        <v>120</v>
      </c>
      <c r="K385" s="3">
        <v>1033.75</v>
      </c>
      <c r="L385" s="3">
        <v>126.75</v>
      </c>
      <c r="M385" s="3">
        <v>274.16666666666663</v>
      </c>
      <c r="N385" s="107">
        <f t="shared" ref="N385:N415" si="94">+AH385+AG385</f>
        <v>0</v>
      </c>
      <c r="O385" s="7">
        <f t="shared" si="93"/>
        <v>3709.6666666666665</v>
      </c>
      <c r="P385" s="7">
        <f t="shared" si="70"/>
        <v>3709.6666666666665</v>
      </c>
      <c r="Q385" s="7">
        <f t="shared" si="71"/>
        <v>1571.3333333333333</v>
      </c>
      <c r="R385" s="7">
        <f t="shared" si="72"/>
        <v>1033.75</v>
      </c>
      <c r="S385" s="7">
        <v>4896</v>
      </c>
      <c r="T385" s="7">
        <v>9033</v>
      </c>
      <c r="U385" s="7">
        <v>1342</v>
      </c>
      <c r="V385" s="7">
        <v>128127</v>
      </c>
      <c r="W385" s="7">
        <f t="shared" si="74"/>
        <v>121889</v>
      </c>
      <c r="X385" s="103">
        <f t="shared" si="75"/>
        <v>128127</v>
      </c>
      <c r="Y385" s="103"/>
      <c r="AB385" s="2"/>
      <c r="AC385" s="90">
        <v>116390</v>
      </c>
      <c r="AD385" s="103">
        <f t="shared" si="80"/>
        <v>128127</v>
      </c>
      <c r="AE385" s="64">
        <f t="shared" si="89"/>
        <v>0</v>
      </c>
      <c r="AF385" s="64">
        <f t="shared" si="90"/>
        <v>0</v>
      </c>
      <c r="AG385" s="20">
        <f t="shared" si="87"/>
        <v>0</v>
      </c>
      <c r="AH385" s="20">
        <f t="shared" si="88"/>
        <v>0</v>
      </c>
      <c r="AI385" s="20"/>
    </row>
    <row r="386" spans="1:35">
      <c r="A386" s="28">
        <v>46042</v>
      </c>
      <c r="B386" s="3">
        <v>390</v>
      </c>
      <c r="C386" s="3">
        <v>463.08333333333331</v>
      </c>
      <c r="D386" s="3">
        <v>90</v>
      </c>
      <c r="E386" s="3">
        <v>347</v>
      </c>
      <c r="F386" s="3">
        <v>305.41666666666669</v>
      </c>
      <c r="G386" s="3">
        <v>134.91666666666666</v>
      </c>
      <c r="H386" s="3">
        <v>63</v>
      </c>
      <c r="I386" s="3">
        <v>1526.9166666666665</v>
      </c>
      <c r="J386" s="3">
        <v>180</v>
      </c>
      <c r="K386" s="3">
        <v>1046.8333333333333</v>
      </c>
      <c r="L386" s="3">
        <v>138</v>
      </c>
      <c r="M386" s="3">
        <v>298</v>
      </c>
      <c r="N386" s="107">
        <f t="shared" si="94"/>
        <v>44.777133818039957</v>
      </c>
      <c r="O386" s="7">
        <f t="shared" si="93"/>
        <v>4002.25</v>
      </c>
      <c r="P386" s="7">
        <f t="shared" ref="P386:P425" si="95">+B386+C386+D386+F386+J386+Q386+R386</f>
        <v>3957.4728661819599</v>
      </c>
      <c r="Q386" s="7">
        <f t="shared" ref="Q386:Q425" si="96">+I386-AH386</f>
        <v>1526.9166666666665</v>
      </c>
      <c r="R386" s="7">
        <f t="shared" ref="R386:R425" si="97">+K386-AG386</f>
        <v>1002.0561995152933</v>
      </c>
      <c r="S386" s="7">
        <v>13001</v>
      </c>
      <c r="T386" s="7">
        <v>15872</v>
      </c>
      <c r="U386" s="7">
        <v>2624</v>
      </c>
      <c r="V386" s="7">
        <v>131650</v>
      </c>
      <c r="W386" s="7">
        <f t="shared" si="74"/>
        <v>116025</v>
      </c>
      <c r="X386" s="103">
        <f t="shared" si="75"/>
        <v>131650</v>
      </c>
      <c r="Y386" s="103"/>
      <c r="Z386" s="7">
        <v>5800</v>
      </c>
      <c r="AB386" s="2"/>
      <c r="AC386" s="90">
        <v>124749</v>
      </c>
      <c r="AD386" s="103">
        <f t="shared" si="80"/>
        <v>131650</v>
      </c>
      <c r="AE386" s="64">
        <f t="shared" si="89"/>
        <v>4.2773889971061893E-2</v>
      </c>
      <c r="AF386" s="64">
        <f t="shared" si="90"/>
        <v>0</v>
      </c>
      <c r="AG386" s="20">
        <f t="shared" si="87"/>
        <v>44.777133818039957</v>
      </c>
      <c r="AH386" s="20">
        <f t="shared" si="88"/>
        <v>0</v>
      </c>
      <c r="AI386" s="20"/>
    </row>
    <row r="387" spans="1:35">
      <c r="A387" s="28">
        <v>46043</v>
      </c>
      <c r="B387" s="3">
        <v>277.5</v>
      </c>
      <c r="C387" s="3">
        <v>435</v>
      </c>
      <c r="D387" s="3">
        <v>90</v>
      </c>
      <c r="E387" s="3">
        <v>425.66666666666669</v>
      </c>
      <c r="F387" s="3">
        <v>307.25</v>
      </c>
      <c r="G387" s="3">
        <v>135.25</v>
      </c>
      <c r="H387" s="3">
        <v>60.666666666666671</v>
      </c>
      <c r="I387" s="3">
        <v>1536.0833333333335</v>
      </c>
      <c r="J387" s="3">
        <v>187.08333333333331</v>
      </c>
      <c r="K387" s="3">
        <v>1177.5</v>
      </c>
      <c r="L387" s="3">
        <v>153</v>
      </c>
      <c r="M387" s="3">
        <v>292.75</v>
      </c>
      <c r="N387" s="107">
        <f t="shared" si="94"/>
        <v>191.21106029032566</v>
      </c>
      <c r="O387" s="7">
        <f>+B387+C387+D387+F387+I387+K387+J387</f>
        <v>4010.416666666667</v>
      </c>
      <c r="P387" s="7">
        <f t="shared" si="95"/>
        <v>3819.2056063763412</v>
      </c>
      <c r="Q387" s="7">
        <f t="shared" si="96"/>
        <v>1460.6281198172014</v>
      </c>
      <c r="R387" s="7">
        <f t="shared" si="97"/>
        <v>1061.7441532258065</v>
      </c>
      <c r="S387" s="7">
        <v>11367</v>
      </c>
      <c r="T387" s="7">
        <v>15437</v>
      </c>
      <c r="U387" s="7">
        <v>2508</v>
      </c>
      <c r="V387" s="7">
        <v>126899</v>
      </c>
      <c r="W387" s="7">
        <f t="shared" ref="W387:W450" si="98">+V387-U387-S387+AA387</f>
        <v>113024</v>
      </c>
      <c r="X387" s="103">
        <f t="shared" ref="X387:X450" si="99">+V387+AB387+AA387</f>
        <v>137273</v>
      </c>
      <c r="Y387" s="103"/>
      <c r="Z387" s="7">
        <v>14999</v>
      </c>
      <c r="AB387" s="2">
        <v>10374</v>
      </c>
      <c r="AC387" s="90">
        <v>140368</v>
      </c>
      <c r="AD387" s="103">
        <f>+X387</f>
        <v>137273</v>
      </c>
      <c r="AE387" s="64">
        <f t="shared" si="89"/>
        <v>9.8306451612903231E-2</v>
      </c>
      <c r="AF387" s="64">
        <f t="shared" si="90"/>
        <v>4.9121822936775625E-2</v>
      </c>
      <c r="AG387" s="20">
        <f t="shared" si="87"/>
        <v>115.75584677419356</v>
      </c>
      <c r="AH387" s="20">
        <f t="shared" si="88"/>
        <v>75.455213516132105</v>
      </c>
      <c r="AI387" s="20"/>
    </row>
    <row r="388" spans="1:35">
      <c r="A388" s="28">
        <v>46044</v>
      </c>
      <c r="B388" s="3">
        <v>308.5</v>
      </c>
      <c r="C388" s="3">
        <v>427.75</v>
      </c>
      <c r="D388" s="3">
        <v>97.166666666666671</v>
      </c>
      <c r="E388" s="3">
        <v>499.83333333333337</v>
      </c>
      <c r="F388" s="3">
        <v>252</v>
      </c>
      <c r="G388" s="3">
        <v>132.16666666666669</v>
      </c>
      <c r="H388" s="3">
        <v>63</v>
      </c>
      <c r="I388" s="3">
        <v>1605.833333333333</v>
      </c>
      <c r="J388" s="3">
        <v>135.66666666666666</v>
      </c>
      <c r="K388" s="3">
        <v>1191.4166666666665</v>
      </c>
      <c r="L388" s="3">
        <v>160.5</v>
      </c>
      <c r="M388" s="3">
        <v>311.58333333333331</v>
      </c>
      <c r="N388" s="107">
        <f t="shared" si="94"/>
        <v>308.14955442240193</v>
      </c>
      <c r="O388" s="7">
        <f t="shared" si="93"/>
        <v>4018.3333333333326</v>
      </c>
      <c r="P388" s="7">
        <f t="shared" si="95"/>
        <v>3710.1837789109313</v>
      </c>
      <c r="Q388" s="7">
        <f t="shared" si="96"/>
        <v>1528.9532487780739</v>
      </c>
      <c r="R388" s="7">
        <f t="shared" si="97"/>
        <v>960.14719679952373</v>
      </c>
      <c r="S388" s="7">
        <v>6263</v>
      </c>
      <c r="T388" s="7">
        <v>10479</v>
      </c>
      <c r="U388" s="7">
        <v>2117</v>
      </c>
      <c r="V388" s="7">
        <v>122939</v>
      </c>
      <c r="W388" s="7">
        <f t="shared" si="98"/>
        <v>114559</v>
      </c>
      <c r="X388" s="103">
        <f t="shared" si="99"/>
        <v>132714</v>
      </c>
      <c r="Y388" s="103"/>
      <c r="Z388" s="7">
        <v>29306</v>
      </c>
      <c r="AB388" s="2">
        <v>9775</v>
      </c>
      <c r="AC388" s="90">
        <v>138896</v>
      </c>
      <c r="AD388" s="103">
        <f t="shared" si="80"/>
        <v>132714</v>
      </c>
      <c r="AE388" s="64">
        <f t="shared" si="89"/>
        <v>0.1941130054141228</v>
      </c>
      <c r="AF388" s="64">
        <f t="shared" si="90"/>
        <v>4.7875506728755068E-2</v>
      </c>
      <c r="AG388" s="20">
        <f t="shared" si="87"/>
        <v>231.26946986714276</v>
      </c>
      <c r="AH388" s="20">
        <f t="shared" si="88"/>
        <v>76.88008455525916</v>
      </c>
      <c r="AI388" s="20"/>
    </row>
    <row r="389" spans="1:35">
      <c r="A389" s="28">
        <v>46045</v>
      </c>
      <c r="B389" s="3">
        <v>172.5</v>
      </c>
      <c r="C389" s="3">
        <v>420.83333333333331</v>
      </c>
      <c r="D389" s="3">
        <v>97.5</v>
      </c>
      <c r="E389" s="3">
        <v>375.08333333333337</v>
      </c>
      <c r="F389" s="3">
        <v>262.5</v>
      </c>
      <c r="G389" s="3">
        <v>135.58333333333334</v>
      </c>
      <c r="H389" s="3">
        <v>63</v>
      </c>
      <c r="I389" s="3">
        <v>1722.3333333333335</v>
      </c>
      <c r="J389" s="3">
        <v>135</v>
      </c>
      <c r="K389" s="3">
        <v>1210.0833333333335</v>
      </c>
      <c r="L389" s="3">
        <v>160.5</v>
      </c>
      <c r="M389" s="3">
        <v>306.91666666666663</v>
      </c>
      <c r="N389" s="107">
        <f t="shared" si="94"/>
        <v>471.57261832909575</v>
      </c>
      <c r="O389" s="7">
        <f t="shared" si="93"/>
        <v>4020.7500000000005</v>
      </c>
      <c r="P389" s="7">
        <f t="shared" si="95"/>
        <v>3549.1773816709047</v>
      </c>
      <c r="Q389" s="7">
        <f t="shared" si="96"/>
        <v>1465.1184311467985</v>
      </c>
      <c r="R389" s="7">
        <f t="shared" si="97"/>
        <v>995.72561719077282</v>
      </c>
      <c r="S389" s="7">
        <v>6518</v>
      </c>
      <c r="T389" s="7">
        <v>11066</v>
      </c>
      <c r="U389" s="7">
        <v>2462</v>
      </c>
      <c r="V389" s="7">
        <v>129787</v>
      </c>
      <c r="W389" s="7">
        <f t="shared" si="98"/>
        <v>120807</v>
      </c>
      <c r="X389" s="103">
        <f t="shared" si="99"/>
        <v>168501</v>
      </c>
      <c r="Y389" s="103"/>
      <c r="Z389" s="7">
        <v>27425</v>
      </c>
      <c r="AB389" s="2">
        <v>38714</v>
      </c>
      <c r="AC389" s="90">
        <v>142433</v>
      </c>
      <c r="AD389" s="103">
        <f t="shared" si="80"/>
        <v>168501</v>
      </c>
      <c r="AE389" s="64">
        <f t="shared" si="89"/>
        <v>0.17714293738108447</v>
      </c>
      <c r="AF389" s="64">
        <f t="shared" si="90"/>
        <v>0.14934095346615156</v>
      </c>
      <c r="AG389" s="20">
        <f t="shared" si="87"/>
        <v>214.35771614256066</v>
      </c>
      <c r="AH389" s="20">
        <f t="shared" si="88"/>
        <v>257.21490218653508</v>
      </c>
      <c r="AI389" s="20"/>
    </row>
    <row r="390" spans="1:35">
      <c r="A390" s="28">
        <v>46046</v>
      </c>
      <c r="B390" s="3">
        <v>142.5</v>
      </c>
      <c r="C390" s="3">
        <v>417.83333333333337</v>
      </c>
      <c r="D390" s="3">
        <v>93.583333333333329</v>
      </c>
      <c r="E390" s="3">
        <v>277.16666666666663</v>
      </c>
      <c r="F390" s="3">
        <v>247.5</v>
      </c>
      <c r="G390" s="3">
        <v>0</v>
      </c>
      <c r="H390" s="3">
        <v>37.5</v>
      </c>
      <c r="I390" s="3">
        <v>1812.416666666667</v>
      </c>
      <c r="J390" s="3">
        <v>127.5</v>
      </c>
      <c r="K390" s="3">
        <v>1030.0833333333335</v>
      </c>
      <c r="L390" s="3">
        <v>120</v>
      </c>
      <c r="M390" s="3">
        <v>292.16666666666669</v>
      </c>
      <c r="N390" s="107">
        <f t="shared" si="94"/>
        <v>63.825439243760485</v>
      </c>
      <c r="O390" s="7">
        <f t="shared" si="93"/>
        <v>3871.4166666666674</v>
      </c>
      <c r="P390" s="7">
        <f t="shared" si="95"/>
        <v>3807.5912274229067</v>
      </c>
      <c r="Q390" s="7">
        <f t="shared" si="96"/>
        <v>1748.5912274229065</v>
      </c>
      <c r="R390" s="7">
        <f t="shared" si="97"/>
        <v>1030.0833333333335</v>
      </c>
      <c r="S390" s="7">
        <v>6657</v>
      </c>
      <c r="T390" s="7">
        <v>11228</v>
      </c>
      <c r="U390" s="7">
        <v>2474</v>
      </c>
      <c r="V390" s="7">
        <v>133307</v>
      </c>
      <c r="W390" s="7">
        <f t="shared" si="98"/>
        <v>124176</v>
      </c>
      <c r="X390" s="103">
        <f t="shared" si="99"/>
        <v>140943</v>
      </c>
      <c r="Y390" s="103"/>
      <c r="AB390" s="2">
        <v>7636</v>
      </c>
      <c r="AC390" s="90">
        <v>94887</v>
      </c>
      <c r="AD390" s="103">
        <f t="shared" si="80"/>
        <v>140943</v>
      </c>
      <c r="AE390" s="64">
        <f t="shared" si="89"/>
        <v>0</v>
      </c>
      <c r="AF390" s="64">
        <f t="shared" si="90"/>
        <v>3.5215654555387638E-2</v>
      </c>
      <c r="AG390" s="20">
        <f t="shared" si="87"/>
        <v>0</v>
      </c>
      <c r="AH390" s="20">
        <f t="shared" si="88"/>
        <v>63.825439243760485</v>
      </c>
      <c r="AI390" s="20"/>
    </row>
    <row r="391" spans="1:35">
      <c r="A391" s="28">
        <v>46047</v>
      </c>
      <c r="B391" s="3">
        <v>0</v>
      </c>
      <c r="C391" s="3"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107" t="e">
        <f t="shared" si="94"/>
        <v>#DIV/0!</v>
      </c>
      <c r="O391" s="7">
        <f t="shared" si="93"/>
        <v>0</v>
      </c>
      <c r="P391" s="7" t="e">
        <f t="shared" si="95"/>
        <v>#DIV/0!</v>
      </c>
      <c r="Q391" s="7" t="e">
        <f t="shared" si="96"/>
        <v>#DIV/0!</v>
      </c>
      <c r="R391" s="7" t="e">
        <f t="shared" si="97"/>
        <v>#DIV/0!</v>
      </c>
      <c r="V391"/>
      <c r="W391" s="7">
        <f t="shared" si="98"/>
        <v>0</v>
      </c>
      <c r="X391" s="103">
        <f t="shared" si="99"/>
        <v>0</v>
      </c>
      <c r="Y391" s="103"/>
      <c r="AB391" s="2"/>
      <c r="AC391" s="162"/>
      <c r="AD391" s="103">
        <f t="shared" si="80"/>
        <v>0</v>
      </c>
      <c r="AE391" s="64" t="e">
        <f t="shared" si="89"/>
        <v>#DIV/0!</v>
      </c>
      <c r="AF391" s="64" t="e">
        <f t="shared" si="90"/>
        <v>#DIV/0!</v>
      </c>
      <c r="AG391" s="20" t="e">
        <f t="shared" si="87"/>
        <v>#DIV/0!</v>
      </c>
      <c r="AH391" s="20" t="e">
        <f t="shared" si="88"/>
        <v>#DIV/0!</v>
      </c>
      <c r="AI391" s="20"/>
    </row>
    <row r="392" spans="1:35">
      <c r="A392" s="28">
        <v>46048</v>
      </c>
      <c r="B392" s="3">
        <v>172.5</v>
      </c>
      <c r="C392" s="3">
        <v>457</v>
      </c>
      <c r="D392" s="3">
        <v>95.25</v>
      </c>
      <c r="E392" s="3">
        <v>469.91666666666669</v>
      </c>
      <c r="F392" s="3">
        <v>231.16666666666669</v>
      </c>
      <c r="G392" s="3">
        <v>123</v>
      </c>
      <c r="H392" s="3">
        <v>47</v>
      </c>
      <c r="I392" s="3">
        <v>1542</v>
      </c>
      <c r="J392" s="3">
        <v>195</v>
      </c>
      <c r="K392" s="3">
        <v>1214.75</v>
      </c>
      <c r="L392" s="3">
        <v>153</v>
      </c>
      <c r="M392" s="3">
        <v>285</v>
      </c>
      <c r="N392" s="107">
        <f t="shared" si="94"/>
        <v>70.911079706048611</v>
      </c>
      <c r="O392" s="7">
        <f t="shared" si="93"/>
        <v>3907.666666666667</v>
      </c>
      <c r="P392" s="7">
        <f t="shared" si="95"/>
        <v>3836.7555869606181</v>
      </c>
      <c r="Q392" s="7">
        <f t="shared" si="96"/>
        <v>1471.0889202939513</v>
      </c>
      <c r="R392" s="7">
        <f t="shared" si="97"/>
        <v>1214.75</v>
      </c>
      <c r="S392" s="7">
        <v>11189</v>
      </c>
      <c r="T392" s="7">
        <v>17071</v>
      </c>
      <c r="U392" s="7">
        <v>921</v>
      </c>
      <c r="V392" s="7">
        <v>128220</v>
      </c>
      <c r="W392" s="7">
        <f t="shared" si="98"/>
        <v>116110</v>
      </c>
      <c r="X392" s="103">
        <f t="shared" si="99"/>
        <v>137982</v>
      </c>
      <c r="Y392" s="103"/>
      <c r="AB392" s="2">
        <v>9762</v>
      </c>
      <c r="AC392" s="78">
        <v>132874</v>
      </c>
      <c r="AD392" s="103">
        <f t="shared" si="80"/>
        <v>137982</v>
      </c>
      <c r="AE392" s="64">
        <f t="shared" si="89"/>
        <v>0</v>
      </c>
      <c r="AF392" s="64">
        <f t="shared" si="90"/>
        <v>4.5986433013001697E-2</v>
      </c>
      <c r="AG392" s="20">
        <f t="shared" si="87"/>
        <v>0</v>
      </c>
      <c r="AH392" s="20">
        <f t="shared" si="88"/>
        <v>70.911079706048611</v>
      </c>
      <c r="AI392" s="20"/>
    </row>
    <row r="393" spans="1:35">
      <c r="A393" s="28">
        <v>46049</v>
      </c>
      <c r="B393" s="3">
        <v>165</v>
      </c>
      <c r="C393" s="3">
        <v>474.91666666666663</v>
      </c>
      <c r="D393" s="3">
        <v>97.5</v>
      </c>
      <c r="E393" s="3">
        <v>447.75000000000006</v>
      </c>
      <c r="F393" s="3">
        <v>262.5</v>
      </c>
      <c r="G393" s="3">
        <v>117.83333333333334</v>
      </c>
      <c r="H393" s="3">
        <v>48</v>
      </c>
      <c r="I393" s="3">
        <v>1685.5</v>
      </c>
      <c r="J393" s="3">
        <v>150</v>
      </c>
      <c r="K393" s="3">
        <v>1158.4166666666667</v>
      </c>
      <c r="L393" s="3">
        <v>160.5</v>
      </c>
      <c r="M393" s="3">
        <v>296.58333333333337</v>
      </c>
      <c r="N393" s="107">
        <f t="shared" si="94"/>
        <v>77.392461030053639</v>
      </c>
      <c r="O393" s="7">
        <f>+B393+C393+D393+F393+I393+K393+J393</f>
        <v>3993.833333333333</v>
      </c>
      <c r="P393" s="7">
        <f t="shared" si="95"/>
        <v>3916.4408723032793</v>
      </c>
      <c r="Q393" s="7">
        <f t="shared" si="96"/>
        <v>1685.5</v>
      </c>
      <c r="R393" s="7">
        <f t="shared" si="97"/>
        <v>1081.024205636613</v>
      </c>
      <c r="S393" s="7">
        <v>7951</v>
      </c>
      <c r="T393" s="7">
        <v>11399</v>
      </c>
      <c r="U393" s="7">
        <v>2364</v>
      </c>
      <c r="V393" s="7">
        <v>144881</v>
      </c>
      <c r="W393" s="7">
        <f t="shared" si="98"/>
        <v>134566</v>
      </c>
      <c r="X393" s="103">
        <f t="shared" si="99"/>
        <v>144881</v>
      </c>
      <c r="Y393" s="103"/>
      <c r="Z393" s="7">
        <v>8929</v>
      </c>
      <c r="AB393" s="2"/>
      <c r="AC393" s="78">
        <v>122958</v>
      </c>
      <c r="AD393" s="103">
        <f t="shared" si="80"/>
        <v>144881</v>
      </c>
      <c r="AE393" s="64">
        <f t="shared" si="89"/>
        <v>6.6808829031051259E-2</v>
      </c>
      <c r="AF393" s="64">
        <f t="shared" si="90"/>
        <v>0</v>
      </c>
      <c r="AG393" s="20">
        <f t="shared" si="87"/>
        <v>77.392461030053639</v>
      </c>
      <c r="AH393" s="20">
        <f t="shared" si="88"/>
        <v>0</v>
      </c>
      <c r="AI393" s="20"/>
    </row>
    <row r="394" spans="1:35">
      <c r="A394" s="28">
        <v>46050</v>
      </c>
      <c r="B394" s="3">
        <v>165</v>
      </c>
      <c r="C394" s="3">
        <v>391.625</v>
      </c>
      <c r="D394" s="3">
        <v>97.5</v>
      </c>
      <c r="E394" s="3">
        <v>425.25</v>
      </c>
      <c r="F394" s="3">
        <v>232.5</v>
      </c>
      <c r="G394" s="3">
        <v>130.91666666666669</v>
      </c>
      <c r="H394" s="3">
        <v>55.083333333333336</v>
      </c>
      <c r="I394" s="3">
        <v>1861.333333333333</v>
      </c>
      <c r="J394" s="3">
        <v>165</v>
      </c>
      <c r="K394" s="3">
        <v>1276.6666666666667</v>
      </c>
      <c r="L394" s="3">
        <v>157.75</v>
      </c>
      <c r="M394" s="3">
        <v>318.91666666666669</v>
      </c>
      <c r="N394" s="107">
        <f t="shared" si="94"/>
        <v>797.47201096140816</v>
      </c>
      <c r="O394" s="7">
        <f t="shared" si="93"/>
        <v>4189.625</v>
      </c>
      <c r="P394" s="7">
        <f t="shared" si="95"/>
        <v>3392.1529890385918</v>
      </c>
      <c r="Q394" s="7">
        <f t="shared" si="96"/>
        <v>1611.7167537908276</v>
      </c>
      <c r="R394" s="7">
        <f t="shared" si="97"/>
        <v>728.8112352477641</v>
      </c>
      <c r="S394" s="7">
        <v>9138</v>
      </c>
      <c r="T394" s="7">
        <v>12630</v>
      </c>
      <c r="U394" s="7">
        <v>1808</v>
      </c>
      <c r="V394" s="7">
        <v>142720</v>
      </c>
      <c r="W394" s="7">
        <f t="shared" si="98"/>
        <v>131774</v>
      </c>
      <c r="X394" s="103">
        <f t="shared" si="99"/>
        <v>179820</v>
      </c>
      <c r="Y394" s="103"/>
      <c r="Z394" s="7">
        <v>67677</v>
      </c>
      <c r="AB394" s="2">
        <v>37100</v>
      </c>
      <c r="AC394" s="78">
        <v>145091</v>
      </c>
      <c r="AD394" s="103">
        <f>+X394</f>
        <v>179820</v>
      </c>
      <c r="AE394" s="64">
        <f t="shared" si="89"/>
        <v>0.42912958074587676</v>
      </c>
      <c r="AF394" s="64">
        <f t="shared" si="90"/>
        <v>0.13410632855077301</v>
      </c>
      <c r="AG394" s="20">
        <f t="shared" si="87"/>
        <v>547.85543141890264</v>
      </c>
      <c r="AH394" s="20">
        <f t="shared" si="88"/>
        <v>249.61657954250546</v>
      </c>
      <c r="AI394" s="20"/>
    </row>
    <row r="395" spans="1:35">
      <c r="A395" s="28">
        <v>46051</v>
      </c>
      <c r="B395" s="3">
        <v>147</v>
      </c>
      <c r="C395" s="3">
        <v>454.20833333333326</v>
      </c>
      <c r="D395" s="3">
        <v>97.5</v>
      </c>
      <c r="E395" s="3">
        <v>440.25</v>
      </c>
      <c r="F395" s="3">
        <v>243.5</v>
      </c>
      <c r="G395" s="3">
        <v>135</v>
      </c>
      <c r="H395" s="3">
        <v>48</v>
      </c>
      <c r="I395" s="3">
        <v>1873.916666666667</v>
      </c>
      <c r="J395" s="3">
        <v>97.5</v>
      </c>
      <c r="K395" s="3">
        <v>1081.1666666666665</v>
      </c>
      <c r="L395" s="3">
        <v>162.41666666666666</v>
      </c>
      <c r="M395" s="3">
        <v>312.74999999999994</v>
      </c>
      <c r="N395" s="107">
        <f t="shared" si="94"/>
        <v>291.93381925149492</v>
      </c>
      <c r="O395" s="7">
        <f t="shared" si="93"/>
        <v>3994.7916666666665</v>
      </c>
      <c r="P395" s="7">
        <f t="shared" si="95"/>
        <v>3702.8578474151718</v>
      </c>
      <c r="Q395" s="7">
        <f t="shared" si="96"/>
        <v>1583.2730252241759</v>
      </c>
      <c r="R395" s="7">
        <f t="shared" si="97"/>
        <v>1079.8764888576625</v>
      </c>
      <c r="S395" s="7">
        <v>3978</v>
      </c>
      <c r="T395" s="7">
        <v>7455</v>
      </c>
      <c r="U395" s="7">
        <v>1868</v>
      </c>
      <c r="V395" s="7">
        <v>122213</v>
      </c>
      <c r="W395" s="7">
        <f t="shared" si="98"/>
        <v>116367</v>
      </c>
      <c r="X395" s="103">
        <f t="shared" si="99"/>
        <v>160514</v>
      </c>
      <c r="Y395" s="103"/>
      <c r="Z395" s="7">
        <v>144</v>
      </c>
      <c r="AB395" s="2">
        <v>38301</v>
      </c>
      <c r="AC395" s="78">
        <v>111018</v>
      </c>
      <c r="AD395" s="103">
        <f t="shared" si="80"/>
        <v>160514</v>
      </c>
      <c r="AE395" s="64">
        <f t="shared" si="89"/>
        <v>1.1933200021618116E-3</v>
      </c>
      <c r="AF395" s="64">
        <f t="shared" si="90"/>
        <v>0.15509955517898749</v>
      </c>
      <c r="AG395" s="20">
        <f t="shared" si="87"/>
        <v>1.2901778090039451</v>
      </c>
      <c r="AH395" s="20">
        <f t="shared" si="88"/>
        <v>290.643641442491</v>
      </c>
      <c r="AI395" s="20"/>
    </row>
    <row r="396" spans="1:35">
      <c r="A396" s="28">
        <v>46052</v>
      </c>
      <c r="B396" s="3">
        <v>165</v>
      </c>
      <c r="C396" s="3">
        <v>551.625</v>
      </c>
      <c r="D396" s="3">
        <v>90</v>
      </c>
      <c r="E396" s="3">
        <v>440.58333333333337</v>
      </c>
      <c r="F396" s="3">
        <v>247.5</v>
      </c>
      <c r="G396" s="3">
        <v>122.5</v>
      </c>
      <c r="H396" s="3">
        <v>55.5</v>
      </c>
      <c r="I396" s="3">
        <v>1535.1666666666665</v>
      </c>
      <c r="J396" s="3">
        <v>165</v>
      </c>
      <c r="K396" s="3">
        <v>1091.1666666666667</v>
      </c>
      <c r="L396" s="3">
        <v>160.5</v>
      </c>
      <c r="M396" s="3">
        <v>296.75</v>
      </c>
      <c r="N396" s="107">
        <f t="shared" si="94"/>
        <v>0</v>
      </c>
      <c r="O396" s="7">
        <f t="shared" si="93"/>
        <v>3845.458333333333</v>
      </c>
      <c r="P396" s="7">
        <f t="shared" si="95"/>
        <v>3845.458333333333</v>
      </c>
      <c r="Q396" s="7">
        <f t="shared" si="96"/>
        <v>1535.1666666666665</v>
      </c>
      <c r="R396" s="7">
        <f t="shared" si="97"/>
        <v>1091.1666666666667</v>
      </c>
      <c r="S396" s="7">
        <v>7515</v>
      </c>
      <c r="T396" s="7">
        <v>10597</v>
      </c>
      <c r="U396" s="7">
        <v>1509</v>
      </c>
      <c r="V396" s="7">
        <v>102208</v>
      </c>
      <c r="W396" s="7">
        <f t="shared" si="98"/>
        <v>93184</v>
      </c>
      <c r="X396" s="103">
        <f t="shared" si="99"/>
        <v>102208</v>
      </c>
      <c r="Y396" s="103"/>
      <c r="AB396" s="2"/>
      <c r="AC396" s="78">
        <v>71995</v>
      </c>
      <c r="AD396" s="103">
        <f t="shared" si="80"/>
        <v>102208</v>
      </c>
      <c r="AE396" s="64">
        <f t="shared" si="89"/>
        <v>0</v>
      </c>
      <c r="AF396" s="64">
        <f t="shared" si="90"/>
        <v>0</v>
      </c>
      <c r="AG396" s="20">
        <f t="shared" si="87"/>
        <v>0</v>
      </c>
      <c r="AH396" s="20">
        <f t="shared" si="88"/>
        <v>0</v>
      </c>
      <c r="AI396" s="20"/>
    </row>
    <row r="397" spans="1:35" s="202" customFormat="1">
      <c r="A397" s="193">
        <v>46053</v>
      </c>
      <c r="B397" s="194">
        <v>202.5</v>
      </c>
      <c r="C397" s="194">
        <v>336.66666666666669</v>
      </c>
      <c r="D397" s="194">
        <v>91.416666666666671</v>
      </c>
      <c r="E397" s="194">
        <v>351.91666666666669</v>
      </c>
      <c r="F397" s="194">
        <v>221.08333333333334</v>
      </c>
      <c r="G397" s="194">
        <v>0</v>
      </c>
      <c r="H397" s="194">
        <v>30</v>
      </c>
      <c r="I397" s="194">
        <v>1950.4166666666665</v>
      </c>
      <c r="J397" s="194">
        <v>97.5</v>
      </c>
      <c r="K397" s="194">
        <v>968.08333333333326</v>
      </c>
      <c r="L397" s="194">
        <v>117.83333333333334</v>
      </c>
      <c r="M397" s="194">
        <v>294.91666666666669</v>
      </c>
      <c r="N397" s="195">
        <f t="shared" si="94"/>
        <v>0</v>
      </c>
      <c r="O397" s="196">
        <f t="shared" si="93"/>
        <v>3867.6666666666661</v>
      </c>
      <c r="P397" s="196">
        <f t="shared" si="95"/>
        <v>3867.6666666666661</v>
      </c>
      <c r="Q397" s="196">
        <f t="shared" si="96"/>
        <v>1950.4166666666665</v>
      </c>
      <c r="R397" s="196">
        <f t="shared" si="97"/>
        <v>968.08333333333326</v>
      </c>
      <c r="S397" s="196">
        <v>4953</v>
      </c>
      <c r="T397" s="196">
        <v>7836</v>
      </c>
      <c r="U397" s="196">
        <v>1492</v>
      </c>
      <c r="V397" s="196">
        <v>97072</v>
      </c>
      <c r="W397" s="7">
        <f t="shared" si="98"/>
        <v>90627</v>
      </c>
      <c r="X397" s="103">
        <f t="shared" si="99"/>
        <v>97072</v>
      </c>
      <c r="Y397" s="103"/>
      <c r="Z397" s="203"/>
      <c r="AA397" s="203"/>
      <c r="AB397" s="203"/>
      <c r="AC397" s="204">
        <v>79834</v>
      </c>
      <c r="AD397" s="197">
        <f t="shared" si="80"/>
        <v>97072</v>
      </c>
      <c r="AE397" s="200">
        <f t="shared" si="89"/>
        <v>0</v>
      </c>
      <c r="AF397" s="200">
        <f t="shared" si="90"/>
        <v>0</v>
      </c>
      <c r="AG397" s="201">
        <f t="shared" si="87"/>
        <v>0</v>
      </c>
      <c r="AH397" s="201">
        <f t="shared" si="88"/>
        <v>0</v>
      </c>
      <c r="AI397" s="201"/>
    </row>
    <row r="398" spans="1:35">
      <c r="A398" s="28">
        <v>46054</v>
      </c>
      <c r="N398" s="107" t="e">
        <f t="shared" si="94"/>
        <v>#DIV/0!</v>
      </c>
      <c r="O398" s="7">
        <f t="shared" si="93"/>
        <v>0</v>
      </c>
      <c r="P398" s="7" t="e">
        <f t="shared" si="95"/>
        <v>#DIV/0!</v>
      </c>
      <c r="Q398" s="7" t="e">
        <f t="shared" si="96"/>
        <v>#DIV/0!</v>
      </c>
      <c r="R398" s="7" t="e">
        <f t="shared" si="97"/>
        <v>#DIV/0!</v>
      </c>
      <c r="T398" s="7"/>
      <c r="U398" s="7"/>
      <c r="V398" s="7"/>
      <c r="W398" s="7">
        <f t="shared" si="98"/>
        <v>0</v>
      </c>
      <c r="X398" s="103">
        <f t="shared" si="99"/>
        <v>0</v>
      </c>
      <c r="Y398" s="103"/>
      <c r="AB398" s="74"/>
      <c r="AC398" s="112"/>
      <c r="AD398" s="103"/>
      <c r="AE398" s="64" t="e">
        <f t="shared" si="89"/>
        <v>#DIV/0!</v>
      </c>
      <c r="AF398" s="64" t="e">
        <f t="shared" si="90"/>
        <v>#DIV/0!</v>
      </c>
      <c r="AG398" s="20" t="e">
        <f t="shared" si="87"/>
        <v>#DIV/0!</v>
      </c>
      <c r="AH398" s="20" t="e">
        <f t="shared" si="88"/>
        <v>#DIV/0!</v>
      </c>
    </row>
    <row r="399" spans="1:35">
      <c r="A399" s="28">
        <v>46055</v>
      </c>
      <c r="B399" s="3">
        <v>300.16666666666663</v>
      </c>
      <c r="C399" s="3">
        <v>532.5</v>
      </c>
      <c r="D399" s="3">
        <v>87.916666666666671</v>
      </c>
      <c r="E399" s="3">
        <v>436</v>
      </c>
      <c r="F399" s="3">
        <v>300</v>
      </c>
      <c r="G399" s="3">
        <v>144.5</v>
      </c>
      <c r="H399" s="3">
        <v>55.5</v>
      </c>
      <c r="I399" s="3">
        <v>1566.6666666666665</v>
      </c>
      <c r="J399" s="3">
        <v>217.5</v>
      </c>
      <c r="K399" s="3">
        <v>1189.5</v>
      </c>
      <c r="L399" s="3">
        <v>160.5</v>
      </c>
      <c r="M399" s="3">
        <v>300</v>
      </c>
      <c r="N399" s="107">
        <f t="shared" si="94"/>
        <v>43.679033149171268</v>
      </c>
      <c r="O399" s="7">
        <f t="shared" si="93"/>
        <v>4194.25</v>
      </c>
      <c r="P399" s="7">
        <f t="shared" si="95"/>
        <v>4150.5709668508289</v>
      </c>
      <c r="Q399" s="7">
        <f t="shared" si="96"/>
        <v>1566.6666666666665</v>
      </c>
      <c r="R399" s="7">
        <f t="shared" si="97"/>
        <v>1145.8209668508287</v>
      </c>
      <c r="S399" s="7">
        <v>14135</v>
      </c>
      <c r="T399" s="7">
        <v>16975</v>
      </c>
      <c r="U399" s="7">
        <v>817</v>
      </c>
      <c r="V399" s="7">
        <v>123248</v>
      </c>
      <c r="W399" s="7">
        <f t="shared" si="98"/>
        <v>108296</v>
      </c>
      <c r="X399" s="103">
        <f t="shared" si="99"/>
        <v>123248</v>
      </c>
      <c r="Y399" s="103"/>
      <c r="Z399" s="7">
        <v>5635</v>
      </c>
      <c r="AC399" s="78">
        <v>141180</v>
      </c>
      <c r="AD399" s="103">
        <f t="shared" si="80"/>
        <v>123248</v>
      </c>
      <c r="AE399" s="64">
        <f t="shared" si="89"/>
        <v>3.6720498654200309E-2</v>
      </c>
      <c r="AF399" s="64">
        <f t="shared" si="90"/>
        <v>0</v>
      </c>
      <c r="AG399" s="20">
        <f t="shared" si="87"/>
        <v>43.679033149171268</v>
      </c>
      <c r="AH399" s="20">
        <f t="shared" si="88"/>
        <v>0</v>
      </c>
    </row>
    <row r="400" spans="1:35">
      <c r="A400" s="28">
        <v>46056</v>
      </c>
      <c r="B400" s="3">
        <v>300</v>
      </c>
      <c r="C400" s="3">
        <v>622.5</v>
      </c>
      <c r="D400" s="3">
        <v>96.833333333333329</v>
      </c>
      <c r="E400" s="3">
        <v>449.08333333333337</v>
      </c>
      <c r="F400" s="3">
        <v>253.91666666666669</v>
      </c>
      <c r="G400" s="3">
        <v>142.66666666666666</v>
      </c>
      <c r="H400" s="3">
        <v>55.5</v>
      </c>
      <c r="I400" s="3">
        <v>1686.75</v>
      </c>
      <c r="J400" s="3">
        <v>150</v>
      </c>
      <c r="K400" s="3">
        <v>989</v>
      </c>
      <c r="L400" s="3">
        <v>145.5</v>
      </c>
      <c r="M400" s="3">
        <v>292.5</v>
      </c>
      <c r="N400" s="107">
        <f t="shared" si="94"/>
        <v>260.32949522119253</v>
      </c>
      <c r="O400" s="7">
        <f t="shared" si="93"/>
        <v>4099</v>
      </c>
      <c r="P400" s="7">
        <f t="shared" si="95"/>
        <v>3838.6705047788073</v>
      </c>
      <c r="Q400" s="7">
        <f t="shared" si="96"/>
        <v>1585.4836860184419</v>
      </c>
      <c r="R400" s="7">
        <f t="shared" si="97"/>
        <v>829.93681876036567</v>
      </c>
      <c r="S400" s="7">
        <v>8687</v>
      </c>
      <c r="T400" s="7">
        <v>11235</v>
      </c>
      <c r="U400" s="7">
        <v>2037</v>
      </c>
      <c r="V400" s="7">
        <v>129340</v>
      </c>
      <c r="W400" s="7">
        <f t="shared" si="98"/>
        <v>118616</v>
      </c>
      <c r="X400" s="103">
        <f t="shared" si="99"/>
        <v>142502</v>
      </c>
      <c r="Y400" s="103"/>
      <c r="Z400" s="7">
        <v>18130</v>
      </c>
      <c r="AB400" s="2">
        <v>13162</v>
      </c>
      <c r="AC400" s="78">
        <v>103708</v>
      </c>
      <c r="AD400" s="103">
        <f t="shared" si="80"/>
        <v>142502</v>
      </c>
      <c r="AE400" s="64">
        <f t="shared" si="89"/>
        <v>0.16083233694604082</v>
      </c>
      <c r="AF400" s="64">
        <f t="shared" si="90"/>
        <v>6.0036350367012402E-2</v>
      </c>
      <c r="AG400" s="20">
        <f t="shared" si="87"/>
        <v>159.06318123963436</v>
      </c>
      <c r="AH400" s="20">
        <f t="shared" si="88"/>
        <v>101.26631398155817</v>
      </c>
    </row>
    <row r="401" spans="1:35">
      <c r="A401" s="28">
        <v>46057</v>
      </c>
      <c r="B401" s="3">
        <v>285</v>
      </c>
      <c r="C401" s="3">
        <v>457</v>
      </c>
      <c r="D401" s="3">
        <v>90</v>
      </c>
      <c r="E401" s="3">
        <v>448.75</v>
      </c>
      <c r="F401" s="3">
        <v>242.91666666666666</v>
      </c>
      <c r="G401" s="3">
        <v>134.41666666666666</v>
      </c>
      <c r="H401" s="3">
        <v>47</v>
      </c>
      <c r="I401" s="3">
        <v>1649.25</v>
      </c>
      <c r="J401" s="3">
        <v>97.5</v>
      </c>
      <c r="K401" s="3">
        <v>1204.4166666666665</v>
      </c>
      <c r="L401" s="3">
        <v>144.5</v>
      </c>
      <c r="M401" s="3">
        <v>292.41666666666669</v>
      </c>
      <c r="N401" s="107">
        <f t="shared" si="94"/>
        <v>508.37974551621608</v>
      </c>
      <c r="O401" s="7">
        <f t="shared" si="93"/>
        <v>4026.0833333333335</v>
      </c>
      <c r="P401" s="7">
        <f t="shared" si="95"/>
        <v>3517.7035878171173</v>
      </c>
      <c r="Q401" s="7">
        <f t="shared" si="96"/>
        <v>1382.4292948226794</v>
      </c>
      <c r="R401" s="7">
        <f t="shared" si="97"/>
        <v>962.85762632777096</v>
      </c>
      <c r="S401" s="7">
        <v>3940</v>
      </c>
      <c r="T401" s="7">
        <v>6106</v>
      </c>
      <c r="U401" s="7">
        <v>1136</v>
      </c>
      <c r="V401" s="7">
        <v>89207</v>
      </c>
      <c r="W401" s="7">
        <f t="shared" si="98"/>
        <v>84131</v>
      </c>
      <c r="X401" s="103">
        <f t="shared" si="99"/>
        <v>118768</v>
      </c>
      <c r="Y401" s="103"/>
      <c r="Z401" s="7">
        <v>32112</v>
      </c>
      <c r="AB401" s="2">
        <v>29561</v>
      </c>
      <c r="AC401" s="78">
        <v>147302</v>
      </c>
      <c r="AD401" s="103">
        <f t="shared" si="80"/>
        <v>118768</v>
      </c>
      <c r="AE401" s="64">
        <f t="shared" si="89"/>
        <v>0.20056102429023367</v>
      </c>
      <c r="AF401" s="64">
        <f t="shared" si="90"/>
        <v>0.16178305604203153</v>
      </c>
      <c r="AG401" s="20">
        <f t="shared" si="87"/>
        <v>241.55904033889558</v>
      </c>
      <c r="AH401" s="20">
        <f t="shared" si="88"/>
        <v>266.82070517732052</v>
      </c>
    </row>
    <row r="402" spans="1:35">
      <c r="A402" s="28">
        <v>46058</v>
      </c>
      <c r="B402" s="3">
        <v>307.5</v>
      </c>
      <c r="C402" s="3">
        <v>452.58333333333331</v>
      </c>
      <c r="D402" s="3">
        <v>82.5</v>
      </c>
      <c r="E402" s="3">
        <v>470.33333333333337</v>
      </c>
      <c r="F402" s="3">
        <v>313.25</v>
      </c>
      <c r="G402" s="3">
        <v>123.16666666666667</v>
      </c>
      <c r="H402" s="3">
        <v>55.5</v>
      </c>
      <c r="I402" s="3">
        <v>1473.75</v>
      </c>
      <c r="J402" s="3">
        <v>217.5</v>
      </c>
      <c r="K402" s="3">
        <v>1197.1666666666665</v>
      </c>
      <c r="L402" s="3">
        <v>144.5</v>
      </c>
      <c r="M402" s="3">
        <v>307.16666666666663</v>
      </c>
      <c r="N402" s="107">
        <f t="shared" si="94"/>
        <v>520.06947307697328</v>
      </c>
      <c r="O402" s="7">
        <f t="shared" si="93"/>
        <v>4044.2499999999995</v>
      </c>
      <c r="P402" s="7">
        <f t="shared" si="95"/>
        <v>3524.1805269230267</v>
      </c>
      <c r="Q402" s="7">
        <f t="shared" si="96"/>
        <v>1312.4177431142002</v>
      </c>
      <c r="R402" s="7">
        <f t="shared" si="97"/>
        <v>838.42945047549301</v>
      </c>
      <c r="S402" s="7">
        <v>12257</v>
      </c>
      <c r="T402" s="7">
        <v>15919</v>
      </c>
      <c r="U402" s="7">
        <v>2499</v>
      </c>
      <c r="V402" s="7">
        <v>128014</v>
      </c>
      <c r="W402" s="7">
        <f t="shared" si="98"/>
        <v>113258</v>
      </c>
      <c r="X402" s="103">
        <f t="shared" si="99"/>
        <v>153940</v>
      </c>
      <c r="Y402" s="103"/>
      <c r="Z402" s="7">
        <v>45815</v>
      </c>
      <c r="AB402" s="2">
        <v>25926</v>
      </c>
      <c r="AC402" s="78">
        <v>140661</v>
      </c>
      <c r="AD402" s="103">
        <f t="shared" si="80"/>
        <v>153940</v>
      </c>
      <c r="AE402" s="64">
        <f t="shared" si="89"/>
        <v>0.29965519938006985</v>
      </c>
      <c r="AF402" s="64">
        <f t="shared" si="90"/>
        <v>0.10947057295050019</v>
      </c>
      <c r="AG402" s="20">
        <f t="shared" si="87"/>
        <v>358.73721619117356</v>
      </c>
      <c r="AH402" s="20">
        <f t="shared" si="88"/>
        <v>161.33225688579967</v>
      </c>
    </row>
    <row r="403" spans="1:35">
      <c r="A403" s="28">
        <v>46059</v>
      </c>
      <c r="B403" s="3">
        <v>307</v>
      </c>
      <c r="C403" s="3">
        <v>435.08333333333337</v>
      </c>
      <c r="D403" s="3">
        <v>89.416666666666671</v>
      </c>
      <c r="E403" s="3">
        <v>456.16666666666663</v>
      </c>
      <c r="F403" s="3">
        <v>275.66666666666663</v>
      </c>
      <c r="G403" s="3">
        <v>133.83333333333334</v>
      </c>
      <c r="H403" s="3">
        <v>53.25</v>
      </c>
      <c r="I403" s="3">
        <v>1590.75</v>
      </c>
      <c r="J403" s="3">
        <v>142.16666666666669</v>
      </c>
      <c r="K403" s="3">
        <v>1227.25</v>
      </c>
      <c r="L403" s="3">
        <v>136.75</v>
      </c>
      <c r="M403" s="3">
        <v>307.16666666666663</v>
      </c>
      <c r="N403" s="107">
        <f t="shared" si="94"/>
        <v>216.2986582673569</v>
      </c>
      <c r="O403" s="7">
        <f t="shared" si="93"/>
        <v>4067.333333333333</v>
      </c>
      <c r="P403" s="7">
        <f t="shared" si="95"/>
        <v>3851.0346750659764</v>
      </c>
      <c r="Q403" s="7">
        <f t="shared" si="96"/>
        <v>1374.4513417326432</v>
      </c>
      <c r="R403" s="7">
        <f t="shared" si="97"/>
        <v>1227.25</v>
      </c>
      <c r="S403" s="7">
        <v>6843</v>
      </c>
      <c r="T403" s="7">
        <v>9398</v>
      </c>
      <c r="U403" s="7">
        <v>1309</v>
      </c>
      <c r="V403" s="7">
        <v>109075</v>
      </c>
      <c r="W403" s="7">
        <f t="shared" si="98"/>
        <v>100923</v>
      </c>
      <c r="X403" s="103">
        <f t="shared" si="99"/>
        <v>137928</v>
      </c>
      <c r="Y403" s="103"/>
      <c r="AB403" s="2">
        <v>28853</v>
      </c>
      <c r="AC403" s="78">
        <v>75885</v>
      </c>
      <c r="AD403" s="103">
        <f t="shared" si="80"/>
        <v>137928</v>
      </c>
      <c r="AE403" s="64">
        <f t="shared" si="89"/>
        <v>0</v>
      </c>
      <c r="AF403" s="64">
        <f t="shared" si="90"/>
        <v>0.13597275390058583</v>
      </c>
      <c r="AG403" s="20">
        <f t="shared" ref="AG403:AG425" si="100">+AE403*K403</f>
        <v>0</v>
      </c>
      <c r="AH403" s="20">
        <f t="shared" ref="AH403:AH425" si="101">+AF403*I403</f>
        <v>216.2986582673569</v>
      </c>
    </row>
    <row r="404" spans="1:35">
      <c r="A404" s="28">
        <v>46060</v>
      </c>
      <c r="B404" s="3">
        <v>292.5</v>
      </c>
      <c r="C404" s="3">
        <v>500</v>
      </c>
      <c r="D404" s="3">
        <v>86.250000000000014</v>
      </c>
      <c r="E404" s="3">
        <v>307.5</v>
      </c>
      <c r="F404" s="3">
        <v>236.91666666666666</v>
      </c>
      <c r="G404" s="3">
        <v>0</v>
      </c>
      <c r="H404" s="3">
        <v>29.5</v>
      </c>
      <c r="I404" s="3">
        <v>1440</v>
      </c>
      <c r="J404" s="3">
        <v>127.5</v>
      </c>
      <c r="K404" s="3">
        <v>1087.1666666666665</v>
      </c>
      <c r="L404" s="3">
        <v>119.5</v>
      </c>
      <c r="M404" s="3">
        <v>263.91666666666669</v>
      </c>
      <c r="N404" s="107">
        <f t="shared" si="94"/>
        <v>0</v>
      </c>
      <c r="O404" s="7">
        <f t="shared" si="93"/>
        <v>3770.3333333333335</v>
      </c>
      <c r="P404" s="7">
        <f t="shared" si="95"/>
        <v>3770.3333333333335</v>
      </c>
      <c r="Q404" s="7">
        <f t="shared" si="96"/>
        <v>1440</v>
      </c>
      <c r="R404" s="7">
        <f t="shared" si="97"/>
        <v>1087.1666666666665</v>
      </c>
      <c r="S404" s="7">
        <v>5400</v>
      </c>
      <c r="T404" s="7">
        <v>8142</v>
      </c>
      <c r="U404" s="7">
        <v>1305</v>
      </c>
      <c r="V404" s="7">
        <v>77314</v>
      </c>
      <c r="W404" s="7">
        <f t="shared" si="98"/>
        <v>70609</v>
      </c>
      <c r="X404" s="103">
        <f t="shared" si="99"/>
        <v>77314</v>
      </c>
      <c r="Y404" s="103"/>
      <c r="AB404" s="2"/>
      <c r="AC404" s="78">
        <v>79208</v>
      </c>
      <c r="AD404" s="103">
        <f t="shared" si="80"/>
        <v>77314</v>
      </c>
      <c r="AE404" s="64">
        <f t="shared" si="89"/>
        <v>0</v>
      </c>
      <c r="AF404" s="64">
        <f t="shared" si="90"/>
        <v>0</v>
      </c>
      <c r="AG404" s="20">
        <f t="shared" si="100"/>
        <v>0</v>
      </c>
      <c r="AH404" s="20">
        <f t="shared" si="101"/>
        <v>0</v>
      </c>
    </row>
    <row r="405" spans="1:35">
      <c r="A405" s="28">
        <v>46061</v>
      </c>
      <c r="B405"/>
      <c r="C405"/>
      <c r="D405"/>
      <c r="E405"/>
      <c r="F405"/>
      <c r="G405"/>
      <c r="H405"/>
      <c r="I405"/>
      <c r="J405"/>
      <c r="K405"/>
      <c r="L405"/>
      <c r="M405"/>
      <c r="N405" s="107" t="e">
        <f t="shared" si="94"/>
        <v>#DIV/0!</v>
      </c>
      <c r="O405" s="7">
        <f t="shared" si="93"/>
        <v>0</v>
      </c>
      <c r="P405" s="7" t="e">
        <f t="shared" si="95"/>
        <v>#DIV/0!</v>
      </c>
      <c r="Q405" s="7" t="e">
        <f t="shared" si="96"/>
        <v>#DIV/0!</v>
      </c>
      <c r="R405" s="7" t="e">
        <f t="shared" si="97"/>
        <v>#DIV/0!</v>
      </c>
      <c r="T405" s="7"/>
      <c r="U405" s="7"/>
      <c r="V405" s="7"/>
      <c r="W405" s="7">
        <f t="shared" si="98"/>
        <v>0</v>
      </c>
      <c r="X405" s="103">
        <f t="shared" si="99"/>
        <v>0</v>
      </c>
      <c r="Y405" s="103"/>
      <c r="AD405" s="103">
        <f t="shared" si="80"/>
        <v>0</v>
      </c>
      <c r="AE405" s="64" t="e">
        <f t="shared" si="89"/>
        <v>#DIV/0!</v>
      </c>
      <c r="AF405" s="64" t="e">
        <f t="shared" si="90"/>
        <v>#DIV/0!</v>
      </c>
      <c r="AG405" s="20" t="e">
        <f t="shared" si="100"/>
        <v>#DIV/0!</v>
      </c>
      <c r="AH405" s="20" t="e">
        <f t="shared" si="101"/>
        <v>#DIV/0!</v>
      </c>
    </row>
    <row r="406" spans="1:35">
      <c r="A406" s="28">
        <v>46062</v>
      </c>
      <c r="B406" s="3">
        <v>300</v>
      </c>
      <c r="C406" s="3">
        <v>559.33333333333337</v>
      </c>
      <c r="D406" s="3">
        <v>90</v>
      </c>
      <c r="E406" s="3">
        <v>407.41666666666669</v>
      </c>
      <c r="F406" s="3">
        <v>223.41666666666666</v>
      </c>
      <c r="G406" s="3">
        <v>138.5</v>
      </c>
      <c r="H406" s="3">
        <v>53</v>
      </c>
      <c r="I406" s="3">
        <v>1544.0833333333333</v>
      </c>
      <c r="J406" s="3">
        <v>172.5</v>
      </c>
      <c r="K406" s="3">
        <v>1180.0833333333335</v>
      </c>
      <c r="L406" s="3">
        <v>142</v>
      </c>
      <c r="M406" s="3">
        <v>299.66666666666663</v>
      </c>
      <c r="N406" s="107">
        <f t="shared" si="94"/>
        <v>57.476022463727801</v>
      </c>
      <c r="O406" s="7">
        <f t="shared" si="93"/>
        <v>4069.4166666666665</v>
      </c>
      <c r="P406" s="7">
        <f t="shared" si="95"/>
        <v>4011.9406442029385</v>
      </c>
      <c r="Q406" s="7">
        <f t="shared" si="96"/>
        <v>1544.0833333333333</v>
      </c>
      <c r="R406" s="7">
        <f t="shared" si="97"/>
        <v>1122.6073108696057</v>
      </c>
      <c r="S406" s="7">
        <v>11914</v>
      </c>
      <c r="T406" s="7">
        <v>15044</v>
      </c>
      <c r="U406" s="7">
        <v>863</v>
      </c>
      <c r="V406" s="7">
        <v>131983</v>
      </c>
      <c r="W406" s="7">
        <f t="shared" si="98"/>
        <v>119206</v>
      </c>
      <c r="X406" s="103">
        <f t="shared" si="99"/>
        <v>131983</v>
      </c>
      <c r="Y406" s="103"/>
      <c r="Z406" s="7">
        <v>7609</v>
      </c>
      <c r="AB406" s="2"/>
      <c r="AC406" s="78">
        <v>143728</v>
      </c>
      <c r="AD406" s="103">
        <f t="shared" si="80"/>
        <v>131983</v>
      </c>
      <c r="AE406" s="64">
        <f t="shared" si="89"/>
        <v>4.8705053990871654E-2</v>
      </c>
      <c r="AF406" s="64">
        <f t="shared" si="90"/>
        <v>0</v>
      </c>
      <c r="AG406" s="20">
        <f t="shared" si="100"/>
        <v>57.476022463727801</v>
      </c>
      <c r="AH406" s="20">
        <f t="shared" si="101"/>
        <v>0</v>
      </c>
    </row>
    <row r="407" spans="1:35">
      <c r="A407" s="28">
        <v>46063</v>
      </c>
      <c r="B407" s="3">
        <v>307.5</v>
      </c>
      <c r="C407" s="3">
        <v>679.58333333333326</v>
      </c>
      <c r="D407" s="3">
        <v>99.25</v>
      </c>
      <c r="E407" s="3">
        <v>436.66666666666663</v>
      </c>
      <c r="F407" s="3">
        <v>240</v>
      </c>
      <c r="G407" s="3">
        <v>144</v>
      </c>
      <c r="H407" s="3">
        <v>47</v>
      </c>
      <c r="I407" s="3">
        <v>1516.25</v>
      </c>
      <c r="J407" s="3">
        <v>150</v>
      </c>
      <c r="K407" s="3">
        <v>1075.0833333333333</v>
      </c>
      <c r="L407" s="3">
        <v>152</v>
      </c>
      <c r="M407" s="3">
        <v>322.5</v>
      </c>
      <c r="N407" s="107">
        <f t="shared" si="94"/>
        <v>284.10126982112166</v>
      </c>
      <c r="O407" s="7">
        <f t="shared" si="93"/>
        <v>4067.6666666666661</v>
      </c>
      <c r="P407" s="7">
        <f t="shared" si="95"/>
        <v>3783.5653968455449</v>
      </c>
      <c r="Q407" s="7">
        <f t="shared" si="96"/>
        <v>1462.0879483180495</v>
      </c>
      <c r="R407" s="7">
        <f t="shared" si="97"/>
        <v>845.14411519416205</v>
      </c>
      <c r="S407" s="7">
        <v>9356</v>
      </c>
      <c r="T407" s="7">
        <v>12624</v>
      </c>
      <c r="U407" s="7">
        <v>2690</v>
      </c>
      <c r="V407" s="7">
        <v>128613</v>
      </c>
      <c r="W407" s="7">
        <f t="shared" si="98"/>
        <v>116567</v>
      </c>
      <c r="X407" s="103">
        <f t="shared" si="99"/>
        <v>136092</v>
      </c>
      <c r="Y407" s="103"/>
      <c r="Z407" s="7">
        <v>28842</v>
      </c>
      <c r="AB407" s="2">
        <v>7479</v>
      </c>
      <c r="AC407" s="78">
        <v>124063</v>
      </c>
      <c r="AD407" s="103">
        <f t="shared" si="80"/>
        <v>136092</v>
      </c>
      <c r="AE407" s="64">
        <f t="shared" si="89"/>
        <v>0.2138803672327769</v>
      </c>
      <c r="AF407" s="64">
        <f t="shared" si="90"/>
        <v>3.5721056344237723E-2</v>
      </c>
      <c r="AG407" s="20">
        <f t="shared" si="100"/>
        <v>229.9392181391712</v>
      </c>
      <c r="AH407" s="20">
        <f t="shared" si="101"/>
        <v>54.162051681950445</v>
      </c>
      <c r="AI407" s="20"/>
    </row>
    <row r="408" spans="1:35">
      <c r="A408" s="28">
        <v>46064</v>
      </c>
      <c r="B408" s="3">
        <v>315</v>
      </c>
      <c r="C408" s="3">
        <v>493.16666666666663</v>
      </c>
      <c r="D408" s="3">
        <v>97.083333333333343</v>
      </c>
      <c r="E408" s="3">
        <v>390.66666666666663</v>
      </c>
      <c r="F408" s="3">
        <v>255.41666666666663</v>
      </c>
      <c r="G408" s="3">
        <v>142.41666666666669</v>
      </c>
      <c r="H408" s="3">
        <v>47</v>
      </c>
      <c r="I408" s="3">
        <v>1600.75</v>
      </c>
      <c r="J408" s="3">
        <v>120</v>
      </c>
      <c r="K408" s="3">
        <v>1184.3333333333333</v>
      </c>
      <c r="L408" s="3">
        <v>158.5</v>
      </c>
      <c r="M408" s="3">
        <v>322.08333333333331</v>
      </c>
      <c r="N408" s="107">
        <f t="shared" si="94"/>
        <v>372.79687414192369</v>
      </c>
      <c r="O408" s="7">
        <f t="shared" si="93"/>
        <v>4065.75</v>
      </c>
      <c r="P408" s="7">
        <f t="shared" si="95"/>
        <v>3692.953125858076</v>
      </c>
      <c r="Q408" s="7">
        <f t="shared" si="96"/>
        <v>1323.1687916594415</v>
      </c>
      <c r="R408" s="7">
        <f t="shared" si="97"/>
        <v>1089.117667531968</v>
      </c>
      <c r="S408" s="7">
        <v>5981</v>
      </c>
      <c r="T408" s="7">
        <v>8954</v>
      </c>
      <c r="U408" s="7">
        <v>1382</v>
      </c>
      <c r="V408" s="7">
        <v>105712</v>
      </c>
      <c r="W408" s="7">
        <f t="shared" si="98"/>
        <v>98349</v>
      </c>
      <c r="X408" s="103">
        <f t="shared" si="99"/>
        <v>144175</v>
      </c>
      <c r="Y408" s="103"/>
      <c r="Z408" s="7">
        <v>10301</v>
      </c>
      <c r="AB408" s="2">
        <v>38463</v>
      </c>
      <c r="AC408" s="78">
        <v>117878</v>
      </c>
      <c r="AD408" s="103">
        <f t="shared" si="80"/>
        <v>144175</v>
      </c>
      <c r="AE408" s="64">
        <f t="shared" si="89"/>
        <v>8.0396002646804327E-2</v>
      </c>
      <c r="AF408" s="64">
        <f t="shared" si="90"/>
        <v>0.17340697069533556</v>
      </c>
      <c r="AG408" s="20">
        <f t="shared" si="100"/>
        <v>95.215665801365247</v>
      </c>
      <c r="AH408" s="20">
        <f t="shared" si="101"/>
        <v>277.58120834055842</v>
      </c>
    </row>
    <row r="409" spans="1:35">
      <c r="A409" s="28">
        <v>46065</v>
      </c>
      <c r="B409" s="3">
        <v>315</v>
      </c>
      <c r="C409" s="3">
        <v>555.91666666666674</v>
      </c>
      <c r="D409" s="3">
        <v>97.5</v>
      </c>
      <c r="E409" s="3">
        <v>403.83333333333331</v>
      </c>
      <c r="F409" s="3">
        <v>261.91666666666669</v>
      </c>
      <c r="G409" s="3">
        <v>125.33333333333334</v>
      </c>
      <c r="H409" s="3">
        <v>47</v>
      </c>
      <c r="I409" s="3">
        <v>1617.25</v>
      </c>
      <c r="J409" s="3">
        <v>117</v>
      </c>
      <c r="K409" s="3">
        <v>1029.0833333333333</v>
      </c>
      <c r="L409" s="3">
        <v>158.08333333333331</v>
      </c>
      <c r="M409" s="3">
        <v>304.33333333333331</v>
      </c>
      <c r="N409" s="107">
        <f t="shared" si="94"/>
        <v>310.98188013318884</v>
      </c>
      <c r="O409" s="7">
        <f t="shared" si="93"/>
        <v>3993.666666666667</v>
      </c>
      <c r="P409" s="7">
        <f t="shared" si="95"/>
        <v>3682.684786533478</v>
      </c>
      <c r="Q409" s="7">
        <f t="shared" si="96"/>
        <v>1474.7274829957746</v>
      </c>
      <c r="R409" s="7">
        <f t="shared" si="97"/>
        <v>860.62397020436993</v>
      </c>
      <c r="S409" s="7">
        <v>4958</v>
      </c>
      <c r="T409" s="7">
        <v>7212</v>
      </c>
      <c r="U409" s="7">
        <v>1461</v>
      </c>
      <c r="V409" s="7">
        <v>96969</v>
      </c>
      <c r="W409" s="7">
        <f t="shared" si="98"/>
        <v>90550</v>
      </c>
      <c r="X409" s="103">
        <f t="shared" si="99"/>
        <v>112178</v>
      </c>
      <c r="Y409" s="103"/>
      <c r="Z409" s="7">
        <v>15451</v>
      </c>
      <c r="AB409" s="2">
        <v>15209</v>
      </c>
      <c r="AC409" s="78">
        <v>86836</v>
      </c>
      <c r="AD409" s="103">
        <f t="shared" si="80"/>
        <v>112178</v>
      </c>
      <c r="AE409" s="64">
        <f t="shared" si="89"/>
        <v>0.16369846607397853</v>
      </c>
      <c r="AF409" s="64">
        <f t="shared" si="90"/>
        <v>8.8126459733637627E-2</v>
      </c>
      <c r="AG409" s="20">
        <f t="shared" si="100"/>
        <v>168.45936312896339</v>
      </c>
      <c r="AH409" s="20">
        <f t="shared" si="101"/>
        <v>142.52251700422545</v>
      </c>
    </row>
    <row r="410" spans="1:35">
      <c r="A410" s="28">
        <v>46066</v>
      </c>
      <c r="B410" s="3">
        <v>330</v>
      </c>
      <c r="C410" s="3">
        <v>604.5</v>
      </c>
      <c r="D410" s="3">
        <v>97.5</v>
      </c>
      <c r="E410" s="3">
        <v>394.25</v>
      </c>
      <c r="F410" s="3">
        <v>245</v>
      </c>
      <c r="G410" s="3">
        <v>129.5</v>
      </c>
      <c r="H410" s="3">
        <v>48</v>
      </c>
      <c r="I410" s="3">
        <v>1613.5</v>
      </c>
      <c r="J410" s="3">
        <v>112.5</v>
      </c>
      <c r="K410" s="3">
        <v>1092.6666666666665</v>
      </c>
      <c r="L410" s="3">
        <v>160.5</v>
      </c>
      <c r="M410" s="3">
        <v>302.83333333333337</v>
      </c>
      <c r="N410" s="107">
        <f t="shared" si="94"/>
        <v>63.159555931812051</v>
      </c>
      <c r="O410" s="7">
        <f t="shared" si="93"/>
        <v>4095.6666666666665</v>
      </c>
      <c r="P410" s="7">
        <f t="shared" si="95"/>
        <v>4032.5071107348545</v>
      </c>
      <c r="Q410" s="7">
        <f t="shared" si="96"/>
        <v>1613.5</v>
      </c>
      <c r="R410" s="7">
        <f t="shared" si="97"/>
        <v>1029.5071107348545</v>
      </c>
      <c r="S410" s="7">
        <v>7445</v>
      </c>
      <c r="T410" s="7">
        <v>9551</v>
      </c>
      <c r="U410" s="7">
        <v>1195</v>
      </c>
      <c r="V410" s="7">
        <v>102963</v>
      </c>
      <c r="W410" s="7">
        <f t="shared" si="98"/>
        <v>94323</v>
      </c>
      <c r="X410" s="103">
        <f t="shared" si="99"/>
        <v>102963</v>
      </c>
      <c r="Y410" s="103"/>
      <c r="Z410" s="7">
        <v>6531</v>
      </c>
      <c r="AB410" s="2"/>
      <c r="AC410" s="78">
        <v>103948</v>
      </c>
      <c r="AD410" s="103">
        <f t="shared" si="80"/>
        <v>102963</v>
      </c>
      <c r="AE410" s="64">
        <f t="shared" si="89"/>
        <v>5.7803132335398466E-2</v>
      </c>
      <c r="AF410" s="64">
        <f t="shared" si="90"/>
        <v>0</v>
      </c>
      <c r="AG410" s="20">
        <f t="shared" si="100"/>
        <v>63.159555931812051</v>
      </c>
      <c r="AH410" s="20">
        <f t="shared" si="101"/>
        <v>0</v>
      </c>
    </row>
    <row r="411" spans="1:35">
      <c r="A411" s="28">
        <v>46067</v>
      </c>
      <c r="B411" s="3">
        <v>307.5</v>
      </c>
      <c r="C411" s="3">
        <v>492.41666666666669</v>
      </c>
      <c r="D411" s="3">
        <v>94.25</v>
      </c>
      <c r="E411" s="3">
        <v>265.58333333333331</v>
      </c>
      <c r="F411" s="3">
        <v>245.58333333333334</v>
      </c>
      <c r="G411" s="3">
        <v>0</v>
      </c>
      <c r="H411" s="3">
        <v>22.5</v>
      </c>
      <c r="I411" s="3">
        <v>1528.9166666666667</v>
      </c>
      <c r="J411" s="3">
        <v>112.08333333333334</v>
      </c>
      <c r="K411" s="3">
        <v>1098.5833333333333</v>
      </c>
      <c r="L411" s="3">
        <v>127</v>
      </c>
      <c r="M411" s="3">
        <v>265.58333333333331</v>
      </c>
      <c r="N411" s="107">
        <f t="shared" si="94"/>
        <v>0</v>
      </c>
      <c r="O411" s="7">
        <f t="shared" si="93"/>
        <v>3879.3333333333335</v>
      </c>
      <c r="P411" s="7">
        <f t="shared" si="95"/>
        <v>3879.333333333333</v>
      </c>
      <c r="Q411" s="7">
        <f t="shared" si="96"/>
        <v>1528.9166666666667</v>
      </c>
      <c r="R411" s="7">
        <f t="shared" si="97"/>
        <v>1098.5833333333333</v>
      </c>
      <c r="S411" s="7">
        <v>4427</v>
      </c>
      <c r="T411" s="7">
        <v>6548</v>
      </c>
      <c r="U411" s="7">
        <v>1566</v>
      </c>
      <c r="V411" s="7">
        <v>98509</v>
      </c>
      <c r="W411" s="7">
        <f t="shared" si="98"/>
        <v>92516</v>
      </c>
      <c r="X411" s="103">
        <f t="shared" si="99"/>
        <v>98509</v>
      </c>
      <c r="Y411" s="103"/>
      <c r="AB411" s="2"/>
      <c r="AC411" s="78">
        <v>68945</v>
      </c>
      <c r="AD411" s="103">
        <f t="shared" si="80"/>
        <v>98509</v>
      </c>
      <c r="AE411" s="64">
        <f t="shared" si="89"/>
        <v>0</v>
      </c>
      <c r="AF411" s="64">
        <f t="shared" si="90"/>
        <v>0</v>
      </c>
      <c r="AG411" s="20">
        <f t="shared" si="100"/>
        <v>0</v>
      </c>
      <c r="AH411" s="20">
        <f t="shared" si="101"/>
        <v>0</v>
      </c>
    </row>
    <row r="412" spans="1:35">
      <c r="A412" s="28">
        <v>46068</v>
      </c>
      <c r="B412" s="3">
        <v>0</v>
      </c>
      <c r="C412" s="3">
        <v>0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107" t="e">
        <f t="shared" si="94"/>
        <v>#DIV/0!</v>
      </c>
      <c r="O412" s="7">
        <f t="shared" si="93"/>
        <v>0</v>
      </c>
      <c r="P412" s="7" t="e">
        <f t="shared" si="95"/>
        <v>#DIV/0!</v>
      </c>
      <c r="Q412" s="7" t="e">
        <f t="shared" si="96"/>
        <v>#DIV/0!</v>
      </c>
      <c r="R412" s="7" t="e">
        <f t="shared" si="97"/>
        <v>#DIV/0!</v>
      </c>
      <c r="T412" s="7"/>
      <c r="U412" s="7"/>
      <c r="V412" s="7"/>
      <c r="W412" s="7">
        <f t="shared" si="98"/>
        <v>0</v>
      </c>
      <c r="X412" s="103">
        <f t="shared" si="99"/>
        <v>0</v>
      </c>
      <c r="Y412" s="103"/>
      <c r="AB412" s="2"/>
      <c r="AD412" s="103">
        <f t="shared" si="80"/>
        <v>0</v>
      </c>
      <c r="AE412" s="64" t="e">
        <f t="shared" si="89"/>
        <v>#DIV/0!</v>
      </c>
      <c r="AF412" s="64" t="e">
        <f t="shared" si="90"/>
        <v>#DIV/0!</v>
      </c>
      <c r="AG412" s="20" t="e">
        <f t="shared" si="100"/>
        <v>#DIV/0!</v>
      </c>
      <c r="AH412" s="20" t="e">
        <f t="shared" si="101"/>
        <v>#DIV/0!</v>
      </c>
    </row>
    <row r="413" spans="1:35">
      <c r="A413" s="28">
        <v>46069</v>
      </c>
      <c r="B413" s="3">
        <v>181.66666666666663</v>
      </c>
      <c r="C413" s="3">
        <v>587.08333333333326</v>
      </c>
      <c r="D413" s="3">
        <v>90</v>
      </c>
      <c r="E413" s="3">
        <v>441.25</v>
      </c>
      <c r="F413" s="3">
        <v>260</v>
      </c>
      <c r="G413" s="3">
        <v>81.333333333333329</v>
      </c>
      <c r="H413" s="3">
        <v>55.5</v>
      </c>
      <c r="I413" s="3">
        <v>1643.25</v>
      </c>
      <c r="J413" s="3">
        <v>119.25</v>
      </c>
      <c r="K413" s="3">
        <v>1192.1666666666665</v>
      </c>
      <c r="L413" s="3">
        <v>137.5</v>
      </c>
      <c r="M413" s="3">
        <v>301.16666666666669</v>
      </c>
      <c r="N413" s="107">
        <f t="shared" si="94"/>
        <v>0</v>
      </c>
      <c r="O413" s="7">
        <f t="shared" si="93"/>
        <v>4073.4166666666665</v>
      </c>
      <c r="P413" s="7">
        <f t="shared" si="95"/>
        <v>4073.4166666666665</v>
      </c>
      <c r="Q413" s="7">
        <f t="shared" si="96"/>
        <v>1643.25</v>
      </c>
      <c r="R413" s="7">
        <f t="shared" si="97"/>
        <v>1192.1666666666665</v>
      </c>
      <c r="S413" s="7">
        <v>8513</v>
      </c>
      <c r="T413" s="7">
        <v>13163</v>
      </c>
      <c r="U413" s="7">
        <v>890</v>
      </c>
      <c r="V413" s="7">
        <v>124046</v>
      </c>
      <c r="W413" s="7">
        <f t="shared" si="98"/>
        <v>114643</v>
      </c>
      <c r="X413" s="103">
        <f t="shared" si="99"/>
        <v>124046</v>
      </c>
      <c r="Y413" s="103"/>
      <c r="AC413" s="78">
        <v>135932</v>
      </c>
      <c r="AD413" s="103">
        <f t="shared" si="80"/>
        <v>124046</v>
      </c>
      <c r="AE413" s="192">
        <f>+(Z413/AC413*0.95)</f>
        <v>0</v>
      </c>
      <c r="AF413" s="192">
        <f>+(AB413/AD413*0.6)</f>
        <v>0</v>
      </c>
      <c r="AG413" s="20">
        <f t="shared" si="100"/>
        <v>0</v>
      </c>
      <c r="AH413" s="20">
        <f t="shared" si="101"/>
        <v>0</v>
      </c>
      <c r="AI413" s="20"/>
    </row>
    <row r="414" spans="1:35">
      <c r="A414" s="28">
        <v>46070</v>
      </c>
      <c r="B414" s="3">
        <v>210</v>
      </c>
      <c r="C414" s="3">
        <v>552.66666666666674</v>
      </c>
      <c r="D414" s="3">
        <v>91</v>
      </c>
      <c r="E414" s="3">
        <v>433.83333333333331</v>
      </c>
      <c r="F414" s="3">
        <v>275.41666666666663</v>
      </c>
      <c r="G414" s="3">
        <v>75.5</v>
      </c>
      <c r="H414" s="3">
        <v>39.5</v>
      </c>
      <c r="I414" s="3">
        <v>1687.75</v>
      </c>
      <c r="J414" s="3">
        <v>134.66666666666669</v>
      </c>
      <c r="K414" s="3">
        <v>1203.0833333333333</v>
      </c>
      <c r="L414" s="3">
        <v>152.66666666666666</v>
      </c>
      <c r="M414" s="3">
        <v>299.5</v>
      </c>
      <c r="N414" s="107">
        <f t="shared" si="94"/>
        <v>141.0921637674912</v>
      </c>
      <c r="O414" s="7">
        <f t="shared" si="93"/>
        <v>4154.5833333333339</v>
      </c>
      <c r="P414" s="7">
        <f t="shared" si="95"/>
        <v>4013.491169565842</v>
      </c>
      <c r="Q414" s="7">
        <f t="shared" si="96"/>
        <v>1687.75</v>
      </c>
      <c r="R414" s="7">
        <f t="shared" si="97"/>
        <v>1061.991169565842</v>
      </c>
      <c r="S414" s="7">
        <v>7974</v>
      </c>
      <c r="T414" s="7">
        <v>10370</v>
      </c>
      <c r="U414" s="7">
        <v>1919</v>
      </c>
      <c r="V414" s="7">
        <v>126422</v>
      </c>
      <c r="W414" s="7">
        <f t="shared" si="98"/>
        <v>116529</v>
      </c>
      <c r="X414" s="103">
        <f t="shared" si="99"/>
        <v>126422</v>
      </c>
      <c r="Y414" s="103"/>
      <c r="Z414" s="7">
        <v>17756</v>
      </c>
      <c r="AB414" s="2"/>
      <c r="AC414" s="78">
        <v>143834</v>
      </c>
      <c r="AD414" s="103">
        <f t="shared" si="80"/>
        <v>126422</v>
      </c>
      <c r="AE414" s="192">
        <f t="shared" ref="AE414:AE418" si="102">+(Z414/AC414*0.95)</f>
        <v>0.11727547033385707</v>
      </c>
      <c r="AF414" s="192">
        <f t="shared" ref="AF414:AF418" si="103">+(AB414/AD414*0.6)</f>
        <v>0</v>
      </c>
      <c r="AG414" s="20">
        <f t="shared" si="100"/>
        <v>141.0921637674912</v>
      </c>
      <c r="AH414" s="20">
        <f t="shared" si="101"/>
        <v>0</v>
      </c>
      <c r="AI414" s="20"/>
    </row>
    <row r="415" spans="1:35">
      <c r="A415" s="28">
        <v>46071</v>
      </c>
      <c r="B415" s="3">
        <v>300</v>
      </c>
      <c r="C415" s="3">
        <v>458.66666666666669</v>
      </c>
      <c r="D415" s="3">
        <v>97.5</v>
      </c>
      <c r="E415" s="3">
        <v>441.25</v>
      </c>
      <c r="F415" s="3">
        <v>259.5</v>
      </c>
      <c r="G415" s="3">
        <v>68</v>
      </c>
      <c r="H415" s="3">
        <v>38.416666666666671</v>
      </c>
      <c r="I415" s="3">
        <v>1668.5833333333333</v>
      </c>
      <c r="J415" s="3">
        <v>119.58333333333333</v>
      </c>
      <c r="K415" s="3">
        <v>1158.5</v>
      </c>
      <c r="L415" s="3">
        <v>152.66666666666669</v>
      </c>
      <c r="M415" s="3">
        <v>300.99999999999994</v>
      </c>
      <c r="N415" s="107">
        <f t="shared" si="94"/>
        <v>435.95884584169949</v>
      </c>
      <c r="O415" s="7">
        <f t="shared" si="93"/>
        <v>4062.3333333333335</v>
      </c>
      <c r="P415" s="7">
        <f t="shared" si="95"/>
        <v>3626.3744874916338</v>
      </c>
      <c r="Q415" s="7">
        <f t="shared" si="96"/>
        <v>1463.0243107848351</v>
      </c>
      <c r="R415" s="7">
        <f t="shared" si="97"/>
        <v>928.10017670679872</v>
      </c>
      <c r="S415" s="7">
        <v>6700</v>
      </c>
      <c r="T415" s="7">
        <v>9726</v>
      </c>
      <c r="U415" s="7">
        <v>1683</v>
      </c>
      <c r="V415" s="7">
        <v>113553</v>
      </c>
      <c r="W415" s="7">
        <f t="shared" si="98"/>
        <v>105170</v>
      </c>
      <c r="X415" s="103">
        <f t="shared" si="99"/>
        <v>142892</v>
      </c>
      <c r="Y415" s="103"/>
      <c r="Z415" s="7">
        <v>29351</v>
      </c>
      <c r="AB415" s="2">
        <v>29339</v>
      </c>
      <c r="AC415" s="78">
        <v>140204</v>
      </c>
      <c r="AD415" s="103">
        <f t="shared" si="80"/>
        <v>142892</v>
      </c>
      <c r="AE415" s="192">
        <f t="shared" si="102"/>
        <v>0.19887770677013494</v>
      </c>
      <c r="AF415" s="192">
        <f t="shared" si="103"/>
        <v>0.12319374072726255</v>
      </c>
      <c r="AG415" s="20">
        <f t="shared" si="100"/>
        <v>230.39982329320134</v>
      </c>
      <c r="AH415" s="20">
        <f t="shared" si="101"/>
        <v>205.55902254849818</v>
      </c>
      <c r="AI415" s="20"/>
    </row>
    <row r="416" spans="1:35">
      <c r="A416" s="28">
        <v>46072</v>
      </c>
      <c r="B416" s="3">
        <v>291.41666666666663</v>
      </c>
      <c r="C416" s="3">
        <v>439.58333333333331</v>
      </c>
      <c r="D416" s="3">
        <v>97.5</v>
      </c>
      <c r="E416" s="3">
        <v>431.66666666666669</v>
      </c>
      <c r="F416" s="3">
        <v>254.25</v>
      </c>
      <c r="G416" s="3">
        <v>70</v>
      </c>
      <c r="H416" s="3">
        <v>52.5</v>
      </c>
      <c r="I416" s="3">
        <v>1692.5833333333333</v>
      </c>
      <c r="J416" s="3">
        <v>112.5</v>
      </c>
      <c r="K416" s="3">
        <v>1105.8333333333335</v>
      </c>
      <c r="L416" s="3">
        <v>156.75</v>
      </c>
      <c r="M416" s="3">
        <v>307.5</v>
      </c>
      <c r="N416" s="107">
        <f t="shared" ref="N416:N422" si="104">+AH416+AG416</f>
        <v>130.63826216232829</v>
      </c>
      <c r="O416" s="7">
        <f t="shared" ref="O416:O422" si="105">+B416+C416+D416+F416+I416+K416+J416</f>
        <v>3993.6666666666665</v>
      </c>
      <c r="P416" s="7">
        <f t="shared" si="95"/>
        <v>3863.0284045043386</v>
      </c>
      <c r="Q416" s="7">
        <f t="shared" si="96"/>
        <v>1561.9450711710049</v>
      </c>
      <c r="R416" s="7">
        <f t="shared" si="97"/>
        <v>1105.8333333333335</v>
      </c>
      <c r="S416" s="7">
        <v>7675</v>
      </c>
      <c r="T416" s="7">
        <v>10184</v>
      </c>
      <c r="U416" s="7">
        <v>1376</v>
      </c>
      <c r="V416" s="7">
        <v>113413</v>
      </c>
      <c r="W416" s="7">
        <f t="shared" si="98"/>
        <v>104362</v>
      </c>
      <c r="X416" s="103">
        <f t="shared" si="99"/>
        <v>130156</v>
      </c>
      <c r="Y416" s="103"/>
      <c r="AB416" s="2">
        <v>16743</v>
      </c>
      <c r="AC416" s="78">
        <v>105572</v>
      </c>
      <c r="AD416" s="103">
        <f t="shared" si="80"/>
        <v>130156</v>
      </c>
      <c r="AE416" s="192">
        <f t="shared" si="102"/>
        <v>0</v>
      </c>
      <c r="AF416" s="192">
        <f t="shared" si="103"/>
        <v>7.718276529702818E-2</v>
      </c>
      <c r="AG416" s="20">
        <f t="shared" si="100"/>
        <v>0</v>
      </c>
      <c r="AH416" s="20">
        <f t="shared" si="101"/>
        <v>130.63826216232829</v>
      </c>
    </row>
    <row r="417" spans="1:35">
      <c r="A417" s="28">
        <v>46073</v>
      </c>
      <c r="B417" s="3">
        <v>292.25</v>
      </c>
      <c r="C417" s="3">
        <v>457.25</v>
      </c>
      <c r="D417" s="3">
        <v>94.25</v>
      </c>
      <c r="E417" s="3">
        <v>447.33333333333331</v>
      </c>
      <c r="F417" s="3">
        <v>267.33333333333337</v>
      </c>
      <c r="G417" s="3">
        <v>61.5</v>
      </c>
      <c r="H417" s="3">
        <v>52.5</v>
      </c>
      <c r="I417" s="3">
        <v>1731.6666666666665</v>
      </c>
      <c r="J417" s="3">
        <v>135</v>
      </c>
      <c r="K417" s="3">
        <v>979</v>
      </c>
      <c r="L417" s="3">
        <v>157</v>
      </c>
      <c r="M417" s="3">
        <v>321.58333333333331</v>
      </c>
      <c r="N417" s="107">
        <f t="shared" si="104"/>
        <v>0</v>
      </c>
      <c r="O417" s="7">
        <f t="shared" si="105"/>
        <v>3956.75</v>
      </c>
      <c r="P417" s="7">
        <f t="shared" si="95"/>
        <v>3956.75</v>
      </c>
      <c r="Q417" s="7">
        <f t="shared" si="96"/>
        <v>1731.6666666666665</v>
      </c>
      <c r="R417" s="7">
        <f t="shared" si="97"/>
        <v>979</v>
      </c>
      <c r="S417" s="7">
        <v>5802</v>
      </c>
      <c r="T417" s="7">
        <v>9693</v>
      </c>
      <c r="U417" s="7">
        <v>1891</v>
      </c>
      <c r="V417" s="7">
        <v>138303</v>
      </c>
      <c r="W417" s="7">
        <f t="shared" si="98"/>
        <v>130610</v>
      </c>
      <c r="X417" s="103">
        <f t="shared" si="99"/>
        <v>138303</v>
      </c>
      <c r="Y417" s="103"/>
      <c r="AB417" s="2"/>
      <c r="AC417" s="78">
        <v>78588</v>
      </c>
      <c r="AD417" s="103">
        <f t="shared" si="80"/>
        <v>138303</v>
      </c>
      <c r="AE417" s="192">
        <f t="shared" si="102"/>
        <v>0</v>
      </c>
      <c r="AF417" s="192">
        <f t="shared" si="103"/>
        <v>0</v>
      </c>
      <c r="AG417" s="20">
        <f t="shared" si="100"/>
        <v>0</v>
      </c>
      <c r="AH417" s="20">
        <f t="shared" si="101"/>
        <v>0</v>
      </c>
      <c r="AI417" s="20"/>
    </row>
    <row r="418" spans="1:35">
      <c r="A418" s="28">
        <v>46074</v>
      </c>
      <c r="B418" s="3">
        <v>299.75</v>
      </c>
      <c r="C418" s="3">
        <v>459</v>
      </c>
      <c r="D418" s="3">
        <v>94.833333333333329</v>
      </c>
      <c r="E418" s="3">
        <v>291.66666666666663</v>
      </c>
      <c r="F418" s="3">
        <v>284.75</v>
      </c>
      <c r="G418" s="3">
        <v>0</v>
      </c>
      <c r="H418" s="3">
        <v>30</v>
      </c>
      <c r="I418" s="3">
        <v>1629.083333333333</v>
      </c>
      <c r="J418" s="3">
        <v>112.5</v>
      </c>
      <c r="K418" s="3">
        <v>1175.4166666666667</v>
      </c>
      <c r="L418" s="3">
        <v>142.25</v>
      </c>
      <c r="M418" s="3">
        <v>293.25</v>
      </c>
      <c r="N418" s="107">
        <f t="shared" si="104"/>
        <v>0</v>
      </c>
      <c r="O418" s="7">
        <f t="shared" si="105"/>
        <v>4055.333333333333</v>
      </c>
      <c r="P418" s="7">
        <f t="shared" si="95"/>
        <v>4055.333333333333</v>
      </c>
      <c r="Q418" s="7">
        <f t="shared" si="96"/>
        <v>1629.083333333333</v>
      </c>
      <c r="R418" s="7">
        <f t="shared" si="97"/>
        <v>1175.4166666666667</v>
      </c>
      <c r="S418" s="7">
        <v>5826</v>
      </c>
      <c r="T418" s="7">
        <v>8265</v>
      </c>
      <c r="U418" s="7">
        <v>2062</v>
      </c>
      <c r="V418" s="7">
        <v>135570</v>
      </c>
      <c r="W418" s="7">
        <f t="shared" si="98"/>
        <v>127682</v>
      </c>
      <c r="X418" s="103">
        <f t="shared" si="99"/>
        <v>135570</v>
      </c>
      <c r="Y418" s="103"/>
      <c r="AB418" s="2"/>
      <c r="AC418" s="78">
        <v>94250</v>
      </c>
      <c r="AD418" s="103">
        <f t="shared" si="80"/>
        <v>135570</v>
      </c>
      <c r="AE418" s="192">
        <f t="shared" si="102"/>
        <v>0</v>
      </c>
      <c r="AF418" s="192">
        <f t="shared" si="103"/>
        <v>0</v>
      </c>
      <c r="AG418" s="20">
        <f t="shared" si="100"/>
        <v>0</v>
      </c>
      <c r="AH418" s="20">
        <f t="shared" si="101"/>
        <v>0</v>
      </c>
    </row>
    <row r="419" spans="1:35">
      <c r="A419" s="28">
        <v>46075</v>
      </c>
      <c r="E419"/>
      <c r="F419"/>
      <c r="G419"/>
      <c r="H419"/>
      <c r="I419"/>
      <c r="J419"/>
      <c r="K419"/>
      <c r="L419"/>
      <c r="M419"/>
      <c r="N419" s="107">
        <f t="shared" si="104"/>
        <v>0</v>
      </c>
      <c r="O419" s="7">
        <f t="shared" si="105"/>
        <v>0</v>
      </c>
      <c r="P419" s="7">
        <f t="shared" si="95"/>
        <v>0</v>
      </c>
      <c r="Q419" s="7">
        <f t="shared" si="96"/>
        <v>0</v>
      </c>
      <c r="R419" s="7">
        <f t="shared" si="97"/>
        <v>0</v>
      </c>
      <c r="T419" s="7"/>
      <c r="U419" s="7"/>
      <c r="V419" s="7"/>
      <c r="W419" s="7">
        <f t="shared" si="98"/>
        <v>0</v>
      </c>
      <c r="X419" s="103">
        <f t="shared" si="99"/>
        <v>0</v>
      </c>
      <c r="Y419" s="103"/>
      <c r="AB419" s="2"/>
      <c r="AC419" s="78"/>
      <c r="AE419" s="192"/>
      <c r="AF419" s="192"/>
      <c r="AG419" s="20">
        <f t="shared" si="100"/>
        <v>0</v>
      </c>
      <c r="AH419" s="20">
        <f t="shared" si="101"/>
        <v>0</v>
      </c>
    </row>
    <row r="420" spans="1:35">
      <c r="A420" s="28">
        <v>46076</v>
      </c>
      <c r="B420" s="7">
        <v>292.16666666666669</v>
      </c>
      <c r="C420" s="2">
        <v>449.41666666666669</v>
      </c>
      <c r="D420" s="2">
        <v>95.333333333333343</v>
      </c>
      <c r="E420" s="2">
        <v>431.99999999999989</v>
      </c>
      <c r="F420" s="2">
        <v>262.25</v>
      </c>
      <c r="G420" s="2">
        <v>117.58333333333331</v>
      </c>
      <c r="H420" s="2">
        <v>44.666666666666671</v>
      </c>
      <c r="I420" s="2">
        <v>1592.4166666666665</v>
      </c>
      <c r="J420" s="2">
        <v>112.5</v>
      </c>
      <c r="K420" s="7">
        <v>1183.4166666666665</v>
      </c>
      <c r="L420" s="7">
        <v>156.33333333333331</v>
      </c>
      <c r="M420" s="7">
        <v>311.91666666666669</v>
      </c>
      <c r="N420" s="107">
        <f t="shared" si="104"/>
        <v>6.9538514150186064</v>
      </c>
      <c r="O420" s="7">
        <f t="shared" si="105"/>
        <v>3987.4999999999995</v>
      </c>
      <c r="P420" s="7">
        <f t="shared" si="95"/>
        <v>3980.546148584981</v>
      </c>
      <c r="Q420" s="7">
        <f t="shared" si="96"/>
        <v>1589.2297957506355</v>
      </c>
      <c r="R420" s="7">
        <f t="shared" si="97"/>
        <v>1179.649686167679</v>
      </c>
      <c r="S420" s="7">
        <v>7341</v>
      </c>
      <c r="T420" s="7">
        <v>12321</v>
      </c>
      <c r="U420" s="7">
        <v>1231</v>
      </c>
      <c r="V420" s="7">
        <v>138647</v>
      </c>
      <c r="W420" s="7">
        <f t="shared" si="98"/>
        <v>130075</v>
      </c>
      <c r="X420" s="103">
        <f t="shared" si="99"/>
        <v>139111</v>
      </c>
      <c r="Y420" s="103"/>
      <c r="Z420" s="7">
        <v>476</v>
      </c>
      <c r="AB420" s="2">
        <v>464</v>
      </c>
      <c r="AC420" s="78">
        <v>142061</v>
      </c>
      <c r="AD420" s="103">
        <f t="shared" si="80"/>
        <v>139111</v>
      </c>
      <c r="AE420" s="192">
        <f t="shared" ref="AE420:AE422" si="106">+(Z420/AC420*0.95)</f>
        <v>3.1831396371981048E-3</v>
      </c>
      <c r="AF420" s="192">
        <f t="shared" ref="AF420:AF422" si="107">+(AB420/AD420*0.6)</f>
        <v>2.0012795537376628E-3</v>
      </c>
      <c r="AG420" s="20">
        <f t="shared" si="100"/>
        <v>3.7669804989875235</v>
      </c>
      <c r="AH420" s="20">
        <f t="shared" si="101"/>
        <v>3.1868709160310829</v>
      </c>
      <c r="AI420" s="20"/>
    </row>
    <row r="421" spans="1:35">
      <c r="A421" s="28">
        <v>46077</v>
      </c>
      <c r="B421" s="7">
        <v>187.16666666666669</v>
      </c>
      <c r="C421" s="2">
        <v>445.5</v>
      </c>
      <c r="D421" s="2">
        <v>97.083333333333343</v>
      </c>
      <c r="E421" s="2">
        <v>401.99999999999989</v>
      </c>
      <c r="F421" s="2">
        <v>268.66666666666663</v>
      </c>
      <c r="G421" s="2">
        <v>121.41666666666666</v>
      </c>
      <c r="H421" s="2">
        <v>44.416666666666664</v>
      </c>
      <c r="I421" s="2">
        <v>1790.8333333333335</v>
      </c>
      <c r="J421" s="2">
        <v>105.5</v>
      </c>
      <c r="K421" s="7">
        <v>1141.1666666666667</v>
      </c>
      <c r="L421" s="7">
        <v>156.83333333333331</v>
      </c>
      <c r="M421" s="7">
        <v>307.25</v>
      </c>
      <c r="N421" s="107">
        <f t="shared" si="104"/>
        <v>98.654003093425914</v>
      </c>
      <c r="O421" s="7">
        <f t="shared" si="105"/>
        <v>4035.916666666667</v>
      </c>
      <c r="P421" s="7">
        <f t="shared" si="95"/>
        <v>3937.2626635732408</v>
      </c>
      <c r="Q421" s="7">
        <f t="shared" si="96"/>
        <v>1790.8333333333335</v>
      </c>
      <c r="R421" s="7">
        <f t="shared" si="97"/>
        <v>1042.5126635732408</v>
      </c>
      <c r="S421" s="7">
        <v>6263</v>
      </c>
      <c r="T421" s="7">
        <v>8881</v>
      </c>
      <c r="U421" s="7">
        <v>1870</v>
      </c>
      <c r="V421" s="7">
        <v>154719</v>
      </c>
      <c r="W421" s="7">
        <f t="shared" si="98"/>
        <v>146586</v>
      </c>
      <c r="X421" s="103">
        <f t="shared" si="99"/>
        <v>154719</v>
      </c>
      <c r="Y421" s="103"/>
      <c r="Z421" s="7">
        <v>12267</v>
      </c>
      <c r="AB421" s="2"/>
      <c r="AC421" s="78">
        <v>134802</v>
      </c>
      <c r="AD421" s="103">
        <f t="shared" ref="AD421:AD444" si="108">+X421</f>
        <v>154719</v>
      </c>
      <c r="AE421" s="192">
        <f t="shared" si="106"/>
        <v>8.6450126852717316E-2</v>
      </c>
      <c r="AF421" s="192">
        <f t="shared" si="107"/>
        <v>0</v>
      </c>
      <c r="AG421" s="20">
        <f t="shared" si="100"/>
        <v>98.654003093425914</v>
      </c>
      <c r="AH421" s="20">
        <f t="shared" si="101"/>
        <v>0</v>
      </c>
      <c r="AI421" s="20"/>
    </row>
    <row r="422" spans="1:35">
      <c r="A422" s="28">
        <v>46078</v>
      </c>
      <c r="B422" s="7">
        <v>192.49999999999994</v>
      </c>
      <c r="C422" s="2">
        <v>465</v>
      </c>
      <c r="D422" s="2">
        <v>90</v>
      </c>
      <c r="E422" s="2">
        <v>395.0833333333332</v>
      </c>
      <c r="F422" s="2">
        <v>270</v>
      </c>
      <c r="G422" s="2">
        <v>127.08333333333331</v>
      </c>
      <c r="H422" s="2">
        <v>51.916666666666664</v>
      </c>
      <c r="I422" s="2">
        <v>1827.5000000000002</v>
      </c>
      <c r="J422" s="2">
        <v>120</v>
      </c>
      <c r="K422" s="7">
        <v>1161.8333333333333</v>
      </c>
      <c r="L422" s="7">
        <v>164.41666666666669</v>
      </c>
      <c r="M422" s="7">
        <v>313.41666666666663</v>
      </c>
      <c r="N422" s="107">
        <f t="shared" si="104"/>
        <v>120.2427592986103</v>
      </c>
      <c r="O422" s="7">
        <f t="shared" si="105"/>
        <v>4126.833333333333</v>
      </c>
      <c r="P422" s="7">
        <f t="shared" si="95"/>
        <v>4006.590574034723</v>
      </c>
      <c r="Q422" s="7">
        <f t="shared" si="96"/>
        <v>1747.6539062225811</v>
      </c>
      <c r="R422" s="7">
        <f t="shared" si="97"/>
        <v>1121.4366678121419</v>
      </c>
      <c r="S422" s="7">
        <v>10254</v>
      </c>
      <c r="T422" s="7">
        <v>13556</v>
      </c>
      <c r="U422" s="7">
        <v>1885</v>
      </c>
      <c r="V422" s="7">
        <v>158509</v>
      </c>
      <c r="W422" s="7">
        <f t="shared" si="98"/>
        <v>146370</v>
      </c>
      <c r="X422" s="103">
        <f t="shared" si="99"/>
        <v>170958</v>
      </c>
      <c r="Y422" s="103"/>
      <c r="Z422" s="7">
        <v>5059</v>
      </c>
      <c r="AB422" s="2">
        <v>12449</v>
      </c>
      <c r="AC422" s="78">
        <v>138225</v>
      </c>
      <c r="AD422" s="103">
        <f t="shared" si="108"/>
        <v>170958</v>
      </c>
      <c r="AE422" s="192">
        <f t="shared" si="106"/>
        <v>3.4769759450171814E-2</v>
      </c>
      <c r="AF422" s="192">
        <f t="shared" si="107"/>
        <v>4.3691432983539814E-2</v>
      </c>
      <c r="AG422" s="20">
        <f t="shared" si="100"/>
        <v>40.396665521191281</v>
      </c>
      <c r="AH422" s="20">
        <f t="shared" si="101"/>
        <v>79.846093777419014</v>
      </c>
      <c r="AI422" s="20"/>
    </row>
    <row r="423" spans="1:35">
      <c r="A423" s="28">
        <v>46079</v>
      </c>
      <c r="B423" s="2">
        <v>157</v>
      </c>
      <c r="C423" s="2">
        <v>514</v>
      </c>
      <c r="D423" s="2">
        <v>82.5</v>
      </c>
      <c r="E423" s="2">
        <v>358.58333333333331</v>
      </c>
      <c r="F423" s="2">
        <v>267.83333333333337</v>
      </c>
      <c r="G423" s="2">
        <v>98.833333333333329</v>
      </c>
      <c r="H423" s="2">
        <v>52.083333333333336</v>
      </c>
      <c r="I423" s="2">
        <v>1787.0000000000002</v>
      </c>
      <c r="J423" s="2">
        <v>112.25</v>
      </c>
      <c r="K423" s="7">
        <v>1196.6666666666667</v>
      </c>
      <c r="L423" s="7">
        <v>164.75</v>
      </c>
      <c r="M423" s="7">
        <v>299.5</v>
      </c>
      <c r="N423" s="107">
        <f t="shared" ref="N423:N486" si="109">+AH423+AG423</f>
        <v>443.18511126820431</v>
      </c>
      <c r="O423" s="7">
        <f t="shared" ref="O423:O433" si="110">+B423+C423+D423+F423+I423+K423+J423</f>
        <v>4117.25</v>
      </c>
      <c r="P423" s="7">
        <f t="shared" si="95"/>
        <v>3674.0648887317961</v>
      </c>
      <c r="Q423" s="7">
        <f t="shared" si="96"/>
        <v>1608.8423510907874</v>
      </c>
      <c r="R423" s="7">
        <f t="shared" si="97"/>
        <v>931.63920430767519</v>
      </c>
      <c r="S423" s="7">
        <v>8277</v>
      </c>
      <c r="T423" s="7">
        <v>12055</v>
      </c>
      <c r="U423" s="7">
        <v>1760</v>
      </c>
      <c r="V423" s="7">
        <v>143141</v>
      </c>
      <c r="W423" s="7">
        <f t="shared" si="98"/>
        <v>133104</v>
      </c>
      <c r="X423" s="103">
        <f t="shared" si="99"/>
        <v>171665</v>
      </c>
      <c r="Y423" s="103"/>
      <c r="Z423" s="7">
        <v>33424</v>
      </c>
      <c r="AB423" s="2">
        <v>28524</v>
      </c>
      <c r="AC423" s="78">
        <v>143372</v>
      </c>
      <c r="AD423" s="103">
        <f t="shared" si="108"/>
        <v>171665</v>
      </c>
      <c r="AE423" s="192">
        <f t="shared" ref="AE423:AE425" si="111">+(Z423/AC423*0.95)</f>
        <v>0.22147141701308484</v>
      </c>
      <c r="AF423" s="192">
        <f t="shared" ref="AF423:AF425" si="112">+(AB423/AD423*0.6)</f>
        <v>9.969650190778552E-2</v>
      </c>
      <c r="AG423" s="20">
        <f t="shared" si="100"/>
        <v>265.02746235899156</v>
      </c>
      <c r="AH423" s="20">
        <f t="shared" si="101"/>
        <v>178.15764890921275</v>
      </c>
      <c r="AI423" s="20"/>
    </row>
    <row r="424" spans="1:35">
      <c r="A424" s="28">
        <v>46080</v>
      </c>
      <c r="B424" s="2">
        <v>135</v>
      </c>
      <c r="C424" s="2">
        <v>719.41666666666674</v>
      </c>
      <c r="D424" s="2">
        <v>89.583333333333343</v>
      </c>
      <c r="E424" s="2">
        <v>343.24999999999994</v>
      </c>
      <c r="F424" s="2">
        <v>314.16666666666669</v>
      </c>
      <c r="G424" s="2">
        <v>126.99999999999999</v>
      </c>
      <c r="H424" s="2">
        <v>44.666666666666671</v>
      </c>
      <c r="I424" s="2">
        <v>1850.6666666666665</v>
      </c>
      <c r="J424" s="2">
        <v>111.75</v>
      </c>
      <c r="K424" s="7">
        <v>1202.3333333333333</v>
      </c>
      <c r="L424" s="7">
        <v>156.75</v>
      </c>
      <c r="M424" s="7">
        <v>319.41666666666669</v>
      </c>
      <c r="N424" s="107">
        <f t="shared" si="109"/>
        <v>203.08480901221557</v>
      </c>
      <c r="O424" s="7">
        <f t="shared" si="110"/>
        <v>4422.9166666666661</v>
      </c>
      <c r="P424" s="7">
        <f t="shared" si="95"/>
        <v>4219.8318576544507</v>
      </c>
      <c r="Q424" s="7">
        <f t="shared" si="96"/>
        <v>1754.1308668395629</v>
      </c>
      <c r="R424" s="7">
        <f t="shared" si="97"/>
        <v>1095.7843241482212</v>
      </c>
      <c r="S424" s="7">
        <v>7832</v>
      </c>
      <c r="T424" s="7">
        <v>11956</v>
      </c>
      <c r="U424" s="7">
        <v>2034</v>
      </c>
      <c r="V424" s="7">
        <v>151036</v>
      </c>
      <c r="W424" s="7">
        <f t="shared" si="98"/>
        <v>141170</v>
      </c>
      <c r="X424" s="103">
        <f t="shared" si="99"/>
        <v>165417</v>
      </c>
      <c r="Y424" s="103"/>
      <c r="Z424" s="7">
        <v>12837</v>
      </c>
      <c r="AB424" s="2">
        <v>14381</v>
      </c>
      <c r="AC424" s="78">
        <v>137614</v>
      </c>
      <c r="AD424" s="103">
        <f t="shared" si="108"/>
        <v>165417</v>
      </c>
      <c r="AE424" s="192">
        <f t="shared" si="111"/>
        <v>8.8618527184734106E-2</v>
      </c>
      <c r="AF424" s="192">
        <f t="shared" si="112"/>
        <v>5.2162716044904689E-2</v>
      </c>
      <c r="AG424" s="20">
        <f t="shared" si="100"/>
        <v>106.54900918511197</v>
      </c>
      <c r="AH424" s="20">
        <f t="shared" si="101"/>
        <v>96.535799827103602</v>
      </c>
      <c r="AI424" s="20"/>
    </row>
    <row r="425" spans="1:35">
      <c r="A425" s="28">
        <v>46081</v>
      </c>
      <c r="B425" s="2">
        <v>37.5</v>
      </c>
      <c r="C425" s="2">
        <v>810.25</v>
      </c>
      <c r="D425" s="2">
        <v>78.333333333333343</v>
      </c>
      <c r="E425" s="2">
        <v>243.66666666666663</v>
      </c>
      <c r="F425" s="2">
        <v>276.91666666666663</v>
      </c>
      <c r="G425" s="2">
        <v>13.5</v>
      </c>
      <c r="H425" s="2">
        <v>30</v>
      </c>
      <c r="I425" s="2">
        <v>1681.3333333333333</v>
      </c>
      <c r="J425" s="2">
        <v>112.5</v>
      </c>
      <c r="K425" s="2">
        <v>1092</v>
      </c>
      <c r="L425" s="2">
        <v>135</v>
      </c>
      <c r="M425" s="2">
        <v>308.75</v>
      </c>
      <c r="N425" s="107">
        <f t="shared" si="109"/>
        <v>87.059112642323001</v>
      </c>
      <c r="O425" s="7">
        <f t="shared" si="110"/>
        <v>4088.833333333333</v>
      </c>
      <c r="P425" s="7">
        <f t="shared" si="95"/>
        <v>4001.7742206910098</v>
      </c>
      <c r="Q425" s="7">
        <f t="shared" si="96"/>
        <v>1625.431407945601</v>
      </c>
      <c r="R425" s="7">
        <f t="shared" si="97"/>
        <v>1060.8428127454092</v>
      </c>
      <c r="S425" s="7">
        <v>6553</v>
      </c>
      <c r="T425" s="7">
        <v>9252</v>
      </c>
      <c r="U425" s="7">
        <v>1994</v>
      </c>
      <c r="V425" s="7">
        <v>135208</v>
      </c>
      <c r="W425" s="7">
        <f t="shared" si="98"/>
        <v>126661</v>
      </c>
      <c r="X425" s="103">
        <f t="shared" si="99"/>
        <v>143140</v>
      </c>
      <c r="Y425" s="103"/>
      <c r="Z425" s="7">
        <v>3595</v>
      </c>
      <c r="AB425" s="2">
        <v>7932</v>
      </c>
      <c r="AC425" s="78">
        <v>119698</v>
      </c>
      <c r="AD425" s="103">
        <f t="shared" si="108"/>
        <v>143140</v>
      </c>
      <c r="AE425" s="192">
        <f t="shared" si="111"/>
        <v>2.8532222760614213E-2</v>
      </c>
      <c r="AF425" s="192">
        <f t="shared" si="112"/>
        <v>3.324856783568534E-2</v>
      </c>
      <c r="AG425" s="20">
        <f t="shared" si="100"/>
        <v>31.15718725459072</v>
      </c>
      <c r="AH425" s="20">
        <f t="shared" si="101"/>
        <v>55.901925387732284</v>
      </c>
      <c r="AI425" s="20"/>
    </row>
    <row r="426" spans="1:35">
      <c r="A426" s="28">
        <v>46082</v>
      </c>
      <c r="E426"/>
      <c r="F426"/>
      <c r="G426"/>
      <c r="H426"/>
      <c r="I426"/>
      <c r="J426"/>
      <c r="K426"/>
      <c r="L426"/>
      <c r="M426"/>
      <c r="N426" s="107">
        <f t="shared" si="109"/>
        <v>0</v>
      </c>
      <c r="T426" s="7"/>
      <c r="U426" s="7"/>
      <c r="V426" s="7"/>
      <c r="W426" s="7">
        <f t="shared" si="98"/>
        <v>0</v>
      </c>
      <c r="X426" s="103">
        <f t="shared" si="99"/>
        <v>0</v>
      </c>
      <c r="Y426" s="103"/>
      <c r="AB426" s="2"/>
      <c r="AC426" s="78"/>
      <c r="AD426" s="103"/>
      <c r="AE426" s="192"/>
      <c r="AF426" s="192"/>
      <c r="AG426" s="20"/>
      <c r="AH426" s="20"/>
    </row>
    <row r="427" spans="1:35">
      <c r="A427" s="28">
        <v>46083</v>
      </c>
      <c r="B427" s="3">
        <v>255</v>
      </c>
      <c r="C427" s="3">
        <v>501.08333333333337</v>
      </c>
      <c r="D427" s="3">
        <v>97.5</v>
      </c>
      <c r="E427" s="3">
        <v>379.66666666666663</v>
      </c>
      <c r="F427" s="3">
        <v>344.75</v>
      </c>
      <c r="G427" s="3">
        <v>64.166666666666657</v>
      </c>
      <c r="H427" s="3">
        <v>52.083333333333336</v>
      </c>
      <c r="I427" s="3">
        <v>2646.3333333333335</v>
      </c>
      <c r="J427" s="3">
        <v>134.58333333333334</v>
      </c>
      <c r="K427" s="3">
        <v>1730.6666666666665</v>
      </c>
      <c r="L427" s="3">
        <v>153.91666666666669</v>
      </c>
      <c r="M427" s="3">
        <v>301.91666666666663</v>
      </c>
      <c r="N427" s="107">
        <f t="shared" si="109"/>
        <v>0</v>
      </c>
      <c r="O427" s="7">
        <f t="shared" si="110"/>
        <v>5709.916666666667</v>
      </c>
      <c r="P427" s="7">
        <f t="shared" ref="P427:P467" si="113">+B427+C427+D427+F427+J427+Q427+R427</f>
        <v>5709.9166666666661</v>
      </c>
      <c r="Q427" s="7">
        <f t="shared" ref="Q427:Q467" si="114">+I427-AH427</f>
        <v>2646.3333333333335</v>
      </c>
      <c r="R427" s="7">
        <f t="shared" ref="R427:R467" si="115">+K427-AG427</f>
        <v>1730.6666666666665</v>
      </c>
      <c r="S427" s="7">
        <v>7728</v>
      </c>
      <c r="T427" s="7">
        <v>14219</v>
      </c>
      <c r="U427" s="7">
        <v>2238</v>
      </c>
      <c r="V427" s="7">
        <v>170506</v>
      </c>
      <c r="W427" s="7">
        <f t="shared" si="98"/>
        <v>160540</v>
      </c>
      <c r="X427" s="103">
        <f t="shared" si="99"/>
        <v>170506</v>
      </c>
      <c r="Y427" s="103"/>
      <c r="AB427" s="2"/>
      <c r="AC427" s="78">
        <v>175528</v>
      </c>
      <c r="AD427" s="103">
        <f t="shared" si="108"/>
        <v>170506</v>
      </c>
      <c r="AE427" s="192">
        <f t="shared" ref="AE427:AE432" si="116">+(Z427/AC427*0.95)</f>
        <v>0</v>
      </c>
      <c r="AF427" s="192">
        <f t="shared" ref="AF427:AF432" si="117">+(AB427/AD427*0.6)</f>
        <v>0</v>
      </c>
      <c r="AG427" s="20">
        <f t="shared" ref="AG427:AG432" si="118">+AE427*K427</f>
        <v>0</v>
      </c>
      <c r="AH427" s="20">
        <f t="shared" ref="AH427:AH432" si="119">+AF427*I427</f>
        <v>0</v>
      </c>
    </row>
    <row r="428" spans="1:35">
      <c r="A428" s="28">
        <v>46084</v>
      </c>
      <c r="B428" s="3">
        <v>274.5</v>
      </c>
      <c r="C428" s="3">
        <v>438</v>
      </c>
      <c r="D428" s="3">
        <v>97.5</v>
      </c>
      <c r="E428" s="3">
        <v>398.91666666666663</v>
      </c>
      <c r="F428" s="3">
        <v>396.33333333333337</v>
      </c>
      <c r="G428" s="3">
        <v>68.916666666666657</v>
      </c>
      <c r="H428" s="3">
        <v>44.583333333333329</v>
      </c>
      <c r="I428" s="3">
        <v>2666.916666666667</v>
      </c>
      <c r="J428" s="3">
        <v>142.25</v>
      </c>
      <c r="K428" s="3">
        <v>1603.25</v>
      </c>
      <c r="L428" s="3">
        <v>164.50000000000003</v>
      </c>
      <c r="M428" s="3">
        <v>299.91666666666663</v>
      </c>
      <c r="N428" s="107">
        <f t="shared" si="109"/>
        <v>0</v>
      </c>
      <c r="O428" s="7">
        <f t="shared" si="110"/>
        <v>5618.75</v>
      </c>
      <c r="P428" s="7">
        <f t="shared" si="113"/>
        <v>5618.75</v>
      </c>
      <c r="Q428" s="7">
        <f t="shared" si="114"/>
        <v>2666.916666666667</v>
      </c>
      <c r="R428" s="7">
        <f t="shared" si="115"/>
        <v>1603.25</v>
      </c>
      <c r="S428" s="7">
        <v>9489</v>
      </c>
      <c r="T428" s="7">
        <v>15786</v>
      </c>
      <c r="U428" s="7">
        <v>5383</v>
      </c>
      <c r="V428" s="7">
        <v>200581</v>
      </c>
      <c r="W428" s="7">
        <f t="shared" si="98"/>
        <v>185709</v>
      </c>
      <c r="X428" s="103">
        <f t="shared" si="99"/>
        <v>200581</v>
      </c>
      <c r="Y428" s="103"/>
      <c r="AB428" s="2"/>
      <c r="AC428" s="78">
        <v>167689</v>
      </c>
      <c r="AD428" s="103">
        <f t="shared" si="108"/>
        <v>200581</v>
      </c>
      <c r="AE428" s="192">
        <f t="shared" si="116"/>
        <v>0</v>
      </c>
      <c r="AF428" s="192">
        <f t="shared" si="117"/>
        <v>0</v>
      </c>
      <c r="AG428" s="20">
        <f t="shared" si="118"/>
        <v>0</v>
      </c>
      <c r="AH428" s="20">
        <f t="shared" si="119"/>
        <v>0</v>
      </c>
    </row>
    <row r="429" spans="1:35">
      <c r="A429" s="28">
        <v>46085</v>
      </c>
      <c r="B429" s="3">
        <v>262.5</v>
      </c>
      <c r="C429" s="3">
        <v>435</v>
      </c>
      <c r="D429" s="3">
        <v>97.5</v>
      </c>
      <c r="E429" s="3">
        <v>397.08333333333326</v>
      </c>
      <c r="F429" s="3">
        <v>292.5</v>
      </c>
      <c r="G429" s="3">
        <v>60.083333333333336</v>
      </c>
      <c r="H429" s="3">
        <v>51.916666666666664</v>
      </c>
      <c r="I429" s="3">
        <v>2264.9166666666665</v>
      </c>
      <c r="J429" s="3">
        <v>187.5</v>
      </c>
      <c r="K429" s="3">
        <v>1310.4166666666665</v>
      </c>
      <c r="L429" s="3">
        <v>163.58333333333334</v>
      </c>
      <c r="M429" s="3">
        <v>308.25</v>
      </c>
      <c r="N429" s="107">
        <f t="shared" si="109"/>
        <v>0</v>
      </c>
      <c r="O429" s="7">
        <f t="shared" si="110"/>
        <v>4850.333333333333</v>
      </c>
      <c r="P429" s="7">
        <f t="shared" si="113"/>
        <v>4850.333333333333</v>
      </c>
      <c r="Q429" s="7">
        <f t="shared" si="114"/>
        <v>2264.9166666666665</v>
      </c>
      <c r="R429" s="7">
        <f t="shared" si="115"/>
        <v>1310.4166666666665</v>
      </c>
      <c r="S429" s="7">
        <v>6324</v>
      </c>
      <c r="T429" s="7">
        <v>13537</v>
      </c>
      <c r="U429" s="7">
        <v>5400</v>
      </c>
      <c r="V429" s="7">
        <v>187064</v>
      </c>
      <c r="W429" s="7">
        <f t="shared" si="98"/>
        <v>175340</v>
      </c>
      <c r="X429" s="103">
        <f t="shared" si="99"/>
        <v>187064</v>
      </c>
      <c r="Y429" s="103"/>
      <c r="AB429" s="2"/>
      <c r="AC429" s="78">
        <v>221549</v>
      </c>
      <c r="AD429" s="103">
        <f t="shared" si="108"/>
        <v>187064</v>
      </c>
      <c r="AE429" s="192">
        <f t="shared" si="116"/>
        <v>0</v>
      </c>
      <c r="AF429" s="192">
        <f t="shared" si="117"/>
        <v>0</v>
      </c>
      <c r="AG429" s="20">
        <f t="shared" si="118"/>
        <v>0</v>
      </c>
      <c r="AH429" s="20">
        <f t="shared" si="119"/>
        <v>0</v>
      </c>
    </row>
    <row r="430" spans="1:35">
      <c r="A430" s="28">
        <v>46086</v>
      </c>
      <c r="B430" s="3">
        <v>270</v>
      </c>
      <c r="C430" s="3">
        <v>442.5</v>
      </c>
      <c r="D430" s="3">
        <v>95.083333333333329</v>
      </c>
      <c r="E430" s="3">
        <v>431.99999999999994</v>
      </c>
      <c r="F430" s="3">
        <v>341.41666666666663</v>
      </c>
      <c r="G430" s="3">
        <v>66.75</v>
      </c>
      <c r="H430" s="3">
        <v>44.416666666666664</v>
      </c>
      <c r="I430" s="3">
        <v>2020.5</v>
      </c>
      <c r="J430" s="3">
        <v>135</v>
      </c>
      <c r="K430" s="3">
        <v>1367.2499999999998</v>
      </c>
      <c r="L430" s="3">
        <v>164.00000000000003</v>
      </c>
      <c r="M430" s="3">
        <v>303.16666666666663</v>
      </c>
      <c r="N430" s="107">
        <f t="shared" si="109"/>
        <v>0</v>
      </c>
      <c r="O430" s="7">
        <f t="shared" si="110"/>
        <v>4671.75</v>
      </c>
      <c r="P430" s="7">
        <f t="shared" si="113"/>
        <v>4671.75</v>
      </c>
      <c r="Q430" s="7">
        <f t="shared" si="114"/>
        <v>2020.5</v>
      </c>
      <c r="R430" s="7">
        <f t="shared" si="115"/>
        <v>1367.2499999999998</v>
      </c>
      <c r="S430" s="7">
        <v>6823</v>
      </c>
      <c r="T430" s="7">
        <v>13879</v>
      </c>
      <c r="U430" s="7">
        <v>4113</v>
      </c>
      <c r="V430" s="7">
        <v>171305</v>
      </c>
      <c r="W430" s="7">
        <f t="shared" si="98"/>
        <v>160369</v>
      </c>
      <c r="X430" s="103">
        <f t="shared" si="99"/>
        <v>171305</v>
      </c>
      <c r="Y430" s="103"/>
      <c r="AB430" s="2"/>
      <c r="AC430" s="78">
        <v>150215</v>
      </c>
      <c r="AD430" s="103">
        <f t="shared" si="108"/>
        <v>171305</v>
      </c>
      <c r="AE430" s="192">
        <f t="shared" si="116"/>
        <v>0</v>
      </c>
      <c r="AF430" s="192">
        <f t="shared" si="117"/>
        <v>0</v>
      </c>
      <c r="AG430" s="20">
        <f t="shared" si="118"/>
        <v>0</v>
      </c>
      <c r="AH430" s="20">
        <f t="shared" si="119"/>
        <v>0</v>
      </c>
    </row>
    <row r="431" spans="1:35">
      <c r="A431" s="28">
        <v>46087</v>
      </c>
      <c r="B431" s="3">
        <v>207.83333333333331</v>
      </c>
      <c r="C431" s="3">
        <v>485</v>
      </c>
      <c r="D431" s="3">
        <v>96.666666666666671</v>
      </c>
      <c r="E431" s="3">
        <v>400.41666666666663</v>
      </c>
      <c r="F431" s="3">
        <v>337.41666666666663</v>
      </c>
      <c r="G431" s="3">
        <v>57.666666666666671</v>
      </c>
      <c r="H431" s="3">
        <v>50.333333333333329</v>
      </c>
      <c r="I431" s="3">
        <v>1953.8333333333335</v>
      </c>
      <c r="J431" s="3">
        <v>142.5</v>
      </c>
      <c r="K431" s="3">
        <v>1422.5</v>
      </c>
      <c r="L431" s="3">
        <v>164.50000000000003</v>
      </c>
      <c r="M431" s="3">
        <v>302.41666666666669</v>
      </c>
      <c r="N431" s="107">
        <f t="shared" si="109"/>
        <v>218.07888744321312</v>
      </c>
      <c r="O431" s="7">
        <f t="shared" si="110"/>
        <v>4645.75</v>
      </c>
      <c r="P431" s="7">
        <f t="shared" si="113"/>
        <v>4427.6711125567872</v>
      </c>
      <c r="Q431" s="7">
        <f t="shared" si="114"/>
        <v>1907.0476578117</v>
      </c>
      <c r="R431" s="7">
        <f t="shared" si="115"/>
        <v>1251.2067880784205</v>
      </c>
      <c r="S431" s="7">
        <v>9357</v>
      </c>
      <c r="T431" s="7">
        <v>14994</v>
      </c>
      <c r="U431" s="7">
        <v>3435</v>
      </c>
      <c r="V431" s="7">
        <v>154974</v>
      </c>
      <c r="W431" s="7">
        <f t="shared" si="98"/>
        <v>142182</v>
      </c>
      <c r="X431" s="103">
        <f t="shared" si="99"/>
        <v>161416</v>
      </c>
      <c r="Y431" s="103"/>
      <c r="Z431" s="7">
        <v>19991</v>
      </c>
      <c r="AB431" s="2">
        <v>6442</v>
      </c>
      <c r="AC431" s="78">
        <v>157714</v>
      </c>
      <c r="AD431" s="103">
        <f t="shared" si="108"/>
        <v>161416</v>
      </c>
      <c r="AE431" s="192">
        <f t="shared" si="116"/>
        <v>0.12041702068300848</v>
      </c>
      <c r="AF431" s="192">
        <f t="shared" si="117"/>
        <v>2.3945581602815087E-2</v>
      </c>
      <c r="AG431" s="20">
        <f t="shared" si="118"/>
        <v>171.29321192157957</v>
      </c>
      <c r="AH431" s="20">
        <f t="shared" si="119"/>
        <v>46.78567552163355</v>
      </c>
    </row>
    <row r="432" spans="1:35">
      <c r="A432" s="28">
        <v>46088</v>
      </c>
      <c r="B432" s="3">
        <v>90</v>
      </c>
      <c r="C432" s="3">
        <v>675</v>
      </c>
      <c r="D432" s="3">
        <v>97.5</v>
      </c>
      <c r="E432" s="3">
        <v>306.58333333333337</v>
      </c>
      <c r="F432" s="3">
        <v>342.58333333333337</v>
      </c>
      <c r="G432" s="3">
        <v>0</v>
      </c>
      <c r="H432" s="3">
        <v>30</v>
      </c>
      <c r="I432" s="3">
        <v>2305.166666666667</v>
      </c>
      <c r="J432" s="3">
        <v>134.33333333333331</v>
      </c>
      <c r="K432" s="3">
        <v>1469.6666666666667</v>
      </c>
      <c r="L432" s="3">
        <v>142</v>
      </c>
      <c r="M432" s="3">
        <v>326.75000000000006</v>
      </c>
      <c r="N432" s="107">
        <f t="shared" si="109"/>
        <v>128.24795772960954</v>
      </c>
      <c r="O432" s="7">
        <f t="shared" si="110"/>
        <v>5114.25</v>
      </c>
      <c r="P432" s="7">
        <f t="shared" si="113"/>
        <v>4986.002042270391</v>
      </c>
      <c r="Q432" s="7">
        <f t="shared" si="114"/>
        <v>2305.166666666667</v>
      </c>
      <c r="R432" s="7">
        <f t="shared" si="115"/>
        <v>1341.4187089370571</v>
      </c>
      <c r="S432" s="7">
        <v>7399</v>
      </c>
      <c r="T432" s="7">
        <v>12196</v>
      </c>
      <c r="U432" s="7">
        <v>4018</v>
      </c>
      <c r="V432" s="7">
        <v>188394</v>
      </c>
      <c r="W432" s="7">
        <f t="shared" si="98"/>
        <v>176977</v>
      </c>
      <c r="X432" s="103">
        <f t="shared" si="99"/>
        <v>188394</v>
      </c>
      <c r="Y432" s="103"/>
      <c r="Z432" s="7">
        <v>14955</v>
      </c>
      <c r="AB432" s="2"/>
      <c r="AC432" s="78">
        <v>162809</v>
      </c>
      <c r="AD432" s="103">
        <f t="shared" si="108"/>
        <v>188394</v>
      </c>
      <c r="AE432" s="192">
        <f t="shared" si="116"/>
        <v>8.7263296255121026E-2</v>
      </c>
      <c r="AF432" s="192">
        <f t="shared" si="117"/>
        <v>0</v>
      </c>
      <c r="AG432" s="20">
        <f t="shared" si="118"/>
        <v>128.24795772960954</v>
      </c>
      <c r="AH432" s="20">
        <f t="shared" si="119"/>
        <v>0</v>
      </c>
    </row>
    <row r="433" spans="1:35" ht="14.4" customHeight="1">
      <c r="A433" s="28">
        <v>46089</v>
      </c>
      <c r="B433" s="3">
        <v>0</v>
      </c>
      <c r="C433" s="3">
        <v>0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107">
        <f t="shared" si="109"/>
        <v>0</v>
      </c>
      <c r="O433" s="7">
        <f t="shared" si="110"/>
        <v>0</v>
      </c>
      <c r="P433" s="7">
        <f t="shared" si="113"/>
        <v>0</v>
      </c>
      <c r="Q433" s="7">
        <f t="shared" si="114"/>
        <v>0</v>
      </c>
      <c r="R433" s="7">
        <f t="shared" si="115"/>
        <v>0</v>
      </c>
      <c r="S433" s="74"/>
      <c r="T433" s="74"/>
      <c r="U433" s="190"/>
      <c r="V433" s="7"/>
      <c r="W433" s="7">
        <f t="shared" si="98"/>
        <v>0</v>
      </c>
      <c r="X433" s="103">
        <f t="shared" si="99"/>
        <v>0</v>
      </c>
      <c r="Y433" s="103"/>
      <c r="AB433" s="2"/>
      <c r="AC433" s="78"/>
      <c r="AD433" s="103"/>
      <c r="AE433" s="192"/>
      <c r="AF433" s="192"/>
      <c r="AG433" s="20"/>
      <c r="AH433" s="20"/>
    </row>
    <row r="434" spans="1:35" ht="14.4" customHeight="1">
      <c r="A434" s="28">
        <v>46090</v>
      </c>
      <c r="B434" s="3">
        <v>172</v>
      </c>
      <c r="C434" s="3">
        <v>577.5</v>
      </c>
      <c r="D434" s="3">
        <v>97.25</v>
      </c>
      <c r="E434" s="3">
        <v>414.33333333333337</v>
      </c>
      <c r="F434" s="3">
        <v>329.66666666666663</v>
      </c>
      <c r="G434" s="3">
        <v>79.25</v>
      </c>
      <c r="H434" s="3">
        <v>51.666666666666657</v>
      </c>
      <c r="I434" s="3">
        <v>2788.6666666666665</v>
      </c>
      <c r="J434" s="3">
        <v>157.16666666666666</v>
      </c>
      <c r="K434" s="3">
        <v>1665</v>
      </c>
      <c r="L434" s="3">
        <v>164.16666666666666</v>
      </c>
      <c r="M434" s="3">
        <v>329.5</v>
      </c>
      <c r="N434" s="107">
        <f t="shared" si="109"/>
        <v>69.683324711830323</v>
      </c>
      <c r="O434" s="7">
        <f t="shared" ref="O434:O440" si="120">+B434+C434+D434+F434+I434+K434+J434</f>
        <v>5787.25</v>
      </c>
      <c r="P434" s="7">
        <f t="shared" si="113"/>
        <v>5717.5666752881698</v>
      </c>
      <c r="Q434" s="7">
        <f t="shared" si="114"/>
        <v>2718.9833419548363</v>
      </c>
      <c r="R434" s="7">
        <f t="shared" si="115"/>
        <v>1665</v>
      </c>
      <c r="S434" s="7">
        <v>6609</v>
      </c>
      <c r="T434" s="7">
        <v>15465</v>
      </c>
      <c r="U434" s="7">
        <v>6154</v>
      </c>
      <c r="V434" s="103">
        <v>196380</v>
      </c>
      <c r="W434" s="7">
        <f t="shared" si="98"/>
        <v>183617</v>
      </c>
      <c r="X434" s="103">
        <f t="shared" si="99"/>
        <v>204914</v>
      </c>
      <c r="Y434" s="103"/>
      <c r="AB434" s="2">
        <v>8534</v>
      </c>
      <c r="AC434" s="78">
        <v>184135</v>
      </c>
      <c r="AD434" s="103">
        <f t="shared" si="108"/>
        <v>204914</v>
      </c>
      <c r="AE434" s="192">
        <f t="shared" ref="AE434:AE440" si="121">+(Z434/AC434*0.95)</f>
        <v>0</v>
      </c>
      <c r="AF434" s="192">
        <f t="shared" ref="AF434:AF440" si="122">+(AB434/AD434*0.6)</f>
        <v>2.498804376470129E-2</v>
      </c>
      <c r="AG434" s="20">
        <f t="shared" ref="AG434:AG444" si="123">+AE434*K434</f>
        <v>0</v>
      </c>
      <c r="AH434" s="20">
        <f t="shared" ref="AH434:AH444" si="124">+AF434*I434</f>
        <v>69.683324711830323</v>
      </c>
    </row>
    <row r="435" spans="1:35" ht="14.4" customHeight="1">
      <c r="A435" s="28">
        <v>46091</v>
      </c>
      <c r="B435" s="3">
        <v>217.5</v>
      </c>
      <c r="C435" s="3">
        <v>507</v>
      </c>
      <c r="D435" s="3">
        <v>97.5</v>
      </c>
      <c r="E435" s="3">
        <v>371.83333333333337</v>
      </c>
      <c r="F435" s="3">
        <v>329.16666666666669</v>
      </c>
      <c r="G435" s="3">
        <v>73.833333333333343</v>
      </c>
      <c r="H435" s="3">
        <v>52.083333333333336</v>
      </c>
      <c r="I435" s="3">
        <v>2759.166666666667</v>
      </c>
      <c r="J435" s="3">
        <v>172.5</v>
      </c>
      <c r="K435" s="3">
        <v>1867.25</v>
      </c>
      <c r="L435" s="3">
        <v>164.5</v>
      </c>
      <c r="M435" s="3">
        <v>336.5</v>
      </c>
      <c r="N435" s="107">
        <f t="shared" si="109"/>
        <v>46.825575256963646</v>
      </c>
      <c r="O435" s="7">
        <f t="shared" si="120"/>
        <v>5950.0833333333339</v>
      </c>
      <c r="P435" s="7">
        <f t="shared" si="113"/>
        <v>5903.25775807637</v>
      </c>
      <c r="Q435" s="7">
        <f t="shared" si="114"/>
        <v>2712.3410914097035</v>
      </c>
      <c r="R435" s="7">
        <f t="shared" si="115"/>
        <v>1867.25</v>
      </c>
      <c r="S435" s="7">
        <v>5213</v>
      </c>
      <c r="T435" s="7">
        <v>14214</v>
      </c>
      <c r="U435" s="7">
        <v>6087</v>
      </c>
      <c r="V435" s="103">
        <v>219045</v>
      </c>
      <c r="W435" s="7">
        <f t="shared" si="98"/>
        <v>207745</v>
      </c>
      <c r="X435" s="103">
        <f t="shared" si="99"/>
        <v>225421</v>
      </c>
      <c r="Y435" s="103"/>
      <c r="AB435" s="2">
        <v>6376</v>
      </c>
      <c r="AC435" s="78">
        <v>196484</v>
      </c>
      <c r="AD435" s="103">
        <f t="shared" si="108"/>
        <v>225421</v>
      </c>
      <c r="AE435" s="192">
        <f t="shared" si="121"/>
        <v>0</v>
      </c>
      <c r="AF435" s="192">
        <f t="shared" si="122"/>
        <v>1.6970912204275556E-2</v>
      </c>
      <c r="AG435" s="20">
        <f t="shared" si="123"/>
        <v>0</v>
      </c>
      <c r="AH435" s="20">
        <f t="shared" si="124"/>
        <v>46.825575256963646</v>
      </c>
    </row>
    <row r="436" spans="1:35" ht="14.4" customHeight="1">
      <c r="A436" s="28">
        <v>46092</v>
      </c>
      <c r="B436" s="3">
        <v>202.5</v>
      </c>
      <c r="C436" s="3">
        <v>530.75</v>
      </c>
      <c r="D436" s="3">
        <v>97.083333333333343</v>
      </c>
      <c r="E436" s="3">
        <v>391.33333333333337</v>
      </c>
      <c r="F436" s="3">
        <v>348.66666666666669</v>
      </c>
      <c r="G436" s="3">
        <v>74</v>
      </c>
      <c r="H436" s="3">
        <v>51.916666666666657</v>
      </c>
      <c r="I436" s="3">
        <v>2750.6666666666665</v>
      </c>
      <c r="J436" s="3">
        <v>167.25</v>
      </c>
      <c r="K436" s="3">
        <v>1921.9166666666665</v>
      </c>
      <c r="L436" s="3">
        <v>156.66666666666666</v>
      </c>
      <c r="M436" s="3">
        <v>336.58333333333331</v>
      </c>
      <c r="N436" s="107">
        <f t="shared" si="109"/>
        <v>21.149116287151166</v>
      </c>
      <c r="O436" s="7">
        <f t="shared" si="120"/>
        <v>6018.833333333333</v>
      </c>
      <c r="P436" s="7">
        <f t="shared" si="113"/>
        <v>5997.6842170461814</v>
      </c>
      <c r="Q436" s="7">
        <f t="shared" si="114"/>
        <v>2750.6666666666665</v>
      </c>
      <c r="R436" s="7">
        <f t="shared" si="115"/>
        <v>1900.7675503795153</v>
      </c>
      <c r="S436" s="7">
        <v>3668</v>
      </c>
      <c r="T436" s="7">
        <v>12505</v>
      </c>
      <c r="U436" s="7">
        <v>6939</v>
      </c>
      <c r="V436" s="103">
        <v>227633</v>
      </c>
      <c r="W436" s="7">
        <f t="shared" si="98"/>
        <v>217026</v>
      </c>
      <c r="X436" s="103">
        <f t="shared" si="99"/>
        <v>227633</v>
      </c>
      <c r="Y436" s="103"/>
      <c r="Z436" s="7">
        <v>2400</v>
      </c>
      <c r="AB436" s="2"/>
      <c r="AC436" s="78">
        <v>207194</v>
      </c>
      <c r="AD436" s="103">
        <f t="shared" si="108"/>
        <v>227633</v>
      </c>
      <c r="AE436" s="192">
        <f t="shared" si="121"/>
        <v>1.1004179657712094E-2</v>
      </c>
      <c r="AF436" s="192">
        <f t="shared" si="122"/>
        <v>0</v>
      </c>
      <c r="AG436" s="20">
        <f t="shared" si="123"/>
        <v>21.149116287151166</v>
      </c>
      <c r="AH436" s="20">
        <f t="shared" si="124"/>
        <v>0</v>
      </c>
    </row>
    <row r="437" spans="1:35" ht="14.4" customHeight="1">
      <c r="A437" s="28">
        <v>46093</v>
      </c>
      <c r="B437" s="3">
        <v>97.5</v>
      </c>
      <c r="C437" s="3">
        <v>527</v>
      </c>
      <c r="D437" s="3">
        <v>93.916666666666671</v>
      </c>
      <c r="E437" s="3">
        <v>395.58333333333331</v>
      </c>
      <c r="F437" s="3">
        <v>362.66666666666663</v>
      </c>
      <c r="G437" s="3">
        <v>73.5</v>
      </c>
      <c r="H437" s="3">
        <v>51.916666666666657</v>
      </c>
      <c r="I437" s="3">
        <v>2701.666666666667</v>
      </c>
      <c r="J437" s="3">
        <v>172.25</v>
      </c>
      <c r="K437" s="3">
        <v>1872.5</v>
      </c>
      <c r="L437" s="3">
        <v>155.25</v>
      </c>
      <c r="M437" s="3">
        <v>299.24999999999994</v>
      </c>
      <c r="N437" s="107">
        <f t="shared" si="109"/>
        <v>16.022096524951788</v>
      </c>
      <c r="O437" s="7">
        <f t="shared" si="120"/>
        <v>5827.5</v>
      </c>
      <c r="P437" s="7">
        <f t="shared" si="113"/>
        <v>5811.4779034750482</v>
      </c>
      <c r="Q437" s="7">
        <f t="shared" si="114"/>
        <v>2685.6445701417151</v>
      </c>
      <c r="R437" s="7">
        <f t="shared" si="115"/>
        <v>1872.5</v>
      </c>
      <c r="S437" s="7">
        <v>4251</v>
      </c>
      <c r="T437" s="7">
        <v>15359</v>
      </c>
      <c r="U437" s="7">
        <v>8600</v>
      </c>
      <c r="V437" s="103">
        <v>237710</v>
      </c>
      <c r="W437" s="7">
        <f t="shared" si="98"/>
        <v>224859</v>
      </c>
      <c r="X437" s="103">
        <f t="shared" si="99"/>
        <v>240083</v>
      </c>
      <c r="Y437" s="103"/>
      <c r="AB437" s="2">
        <v>2373</v>
      </c>
      <c r="AC437" s="78">
        <v>213939</v>
      </c>
      <c r="AD437" s="103">
        <f t="shared" si="108"/>
        <v>240083</v>
      </c>
      <c r="AE437" s="192">
        <f t="shared" si="121"/>
        <v>0</v>
      </c>
      <c r="AF437" s="192">
        <f t="shared" si="122"/>
        <v>5.9304490530358248E-3</v>
      </c>
      <c r="AG437" s="20">
        <f t="shared" si="123"/>
        <v>0</v>
      </c>
      <c r="AH437" s="20">
        <f t="shared" si="124"/>
        <v>16.022096524951788</v>
      </c>
    </row>
    <row r="438" spans="1:35" ht="14.4" customHeight="1">
      <c r="A438" s="28">
        <v>46094</v>
      </c>
      <c r="B438" s="3">
        <v>75</v>
      </c>
      <c r="C438" s="3">
        <v>652</v>
      </c>
      <c r="D438" s="3">
        <v>97.5</v>
      </c>
      <c r="E438" s="3">
        <v>408.5</v>
      </c>
      <c r="F438" s="3">
        <v>358.08333333333331</v>
      </c>
      <c r="G438" s="3">
        <v>78.5</v>
      </c>
      <c r="H438" s="3">
        <v>51.916666666666657</v>
      </c>
      <c r="I438" s="3">
        <v>2746.5</v>
      </c>
      <c r="J438" s="3">
        <v>194.75</v>
      </c>
      <c r="K438" s="3">
        <v>1756.1666666666667</v>
      </c>
      <c r="L438" s="3">
        <v>164.16666666666666</v>
      </c>
      <c r="M438" s="3">
        <v>321.58333333333331</v>
      </c>
      <c r="N438" s="107">
        <f t="shared" si="109"/>
        <v>0</v>
      </c>
      <c r="O438" s="7">
        <f t="shared" si="120"/>
        <v>5880</v>
      </c>
      <c r="P438" s="7">
        <f t="shared" si="113"/>
        <v>5880</v>
      </c>
      <c r="Q438" s="7">
        <f t="shared" si="114"/>
        <v>2746.5</v>
      </c>
      <c r="R438" s="7">
        <f t="shared" si="115"/>
        <v>1756.1666666666667</v>
      </c>
      <c r="S438" s="7">
        <v>5672</v>
      </c>
      <c r="T438" s="7">
        <v>16111</v>
      </c>
      <c r="U438" s="7">
        <v>7767</v>
      </c>
      <c r="V438" s="103">
        <v>236877</v>
      </c>
      <c r="W438" s="7">
        <f t="shared" si="98"/>
        <v>223438</v>
      </c>
      <c r="X438" s="103">
        <f t="shared" si="99"/>
        <v>236877</v>
      </c>
      <c r="Y438" s="103"/>
      <c r="AB438" s="2"/>
      <c r="AC438" s="78">
        <v>202249</v>
      </c>
      <c r="AD438" s="103">
        <f t="shared" si="108"/>
        <v>236877</v>
      </c>
      <c r="AE438" s="192">
        <f t="shared" si="121"/>
        <v>0</v>
      </c>
      <c r="AF438" s="192">
        <f t="shared" si="122"/>
        <v>0</v>
      </c>
      <c r="AG438" s="20">
        <f t="shared" si="123"/>
        <v>0</v>
      </c>
      <c r="AH438" s="20">
        <f t="shared" si="124"/>
        <v>0</v>
      </c>
    </row>
    <row r="439" spans="1:35">
      <c r="A439" s="28">
        <v>46095</v>
      </c>
      <c r="B439" s="3">
        <v>66.916666666666629</v>
      </c>
      <c r="C439" s="3">
        <v>626.41666666666663</v>
      </c>
      <c r="D439" s="3">
        <v>87.833333333333329</v>
      </c>
      <c r="E439" s="3">
        <v>304.16666666666669</v>
      </c>
      <c r="F439" s="3">
        <v>351.41666666666663</v>
      </c>
      <c r="G439" s="3">
        <v>0</v>
      </c>
      <c r="H439" s="3">
        <v>29.75</v>
      </c>
      <c r="I439" s="3">
        <v>2638.5</v>
      </c>
      <c r="J439" s="3">
        <v>171.16666666666669</v>
      </c>
      <c r="K439" s="3">
        <v>1578.1666666666667</v>
      </c>
      <c r="L439" s="3">
        <v>142.25</v>
      </c>
      <c r="M439" s="3">
        <v>318.83333333333331</v>
      </c>
      <c r="N439" s="107">
        <f t="shared" si="109"/>
        <v>0</v>
      </c>
      <c r="O439" s="7">
        <f t="shared" si="120"/>
        <v>5520.416666666667</v>
      </c>
      <c r="P439" s="7">
        <f t="shared" si="113"/>
        <v>5520.416666666667</v>
      </c>
      <c r="Q439" s="7">
        <f t="shared" si="114"/>
        <v>2638.5</v>
      </c>
      <c r="R439" s="7">
        <f t="shared" si="115"/>
        <v>1578.1666666666667</v>
      </c>
      <c r="S439" s="7">
        <v>4408</v>
      </c>
      <c r="T439" s="7">
        <v>14185</v>
      </c>
      <c r="U439" s="7">
        <v>6539</v>
      </c>
      <c r="V439" s="103">
        <v>226868</v>
      </c>
      <c r="W439" s="7">
        <f t="shared" si="98"/>
        <v>215921</v>
      </c>
      <c r="X439" s="103">
        <f t="shared" si="99"/>
        <v>226868</v>
      </c>
      <c r="Y439" s="103"/>
      <c r="AB439" s="2"/>
      <c r="AC439" s="78">
        <v>182757</v>
      </c>
      <c r="AD439" s="103">
        <f t="shared" si="108"/>
        <v>226868</v>
      </c>
      <c r="AE439" s="192">
        <f t="shared" si="121"/>
        <v>0</v>
      </c>
      <c r="AF439" s="192">
        <f t="shared" si="122"/>
        <v>0</v>
      </c>
      <c r="AG439" s="20">
        <f t="shared" si="123"/>
        <v>0</v>
      </c>
      <c r="AH439" s="20">
        <f t="shared" si="124"/>
        <v>0</v>
      </c>
    </row>
    <row r="440" spans="1:35">
      <c r="A440" s="28">
        <v>46096</v>
      </c>
      <c r="B440" s="3">
        <v>277</v>
      </c>
      <c r="C440" s="3">
        <v>458.33333333333337</v>
      </c>
      <c r="D440" s="3">
        <v>97.5</v>
      </c>
      <c r="E440" s="3">
        <v>18.583333333333343</v>
      </c>
      <c r="F440" s="3">
        <v>260.33333333333337</v>
      </c>
      <c r="G440" s="3">
        <v>0</v>
      </c>
      <c r="H440" s="3">
        <v>30</v>
      </c>
      <c r="I440" s="3">
        <v>1604.916666666667</v>
      </c>
      <c r="J440" s="3">
        <v>285</v>
      </c>
      <c r="K440" s="3">
        <v>1267.1666666666665</v>
      </c>
      <c r="L440" s="3">
        <v>133.66666666666666</v>
      </c>
      <c r="M440" s="3">
        <v>301.33333333333337</v>
      </c>
      <c r="N440" s="107">
        <f t="shared" si="109"/>
        <v>0</v>
      </c>
      <c r="O440" s="7">
        <f t="shared" si="120"/>
        <v>4250.25</v>
      </c>
      <c r="P440" s="7">
        <f t="shared" si="113"/>
        <v>4250.25</v>
      </c>
      <c r="Q440" s="7">
        <f t="shared" si="114"/>
        <v>1604.916666666667</v>
      </c>
      <c r="R440" s="7">
        <f t="shared" si="115"/>
        <v>1267.1666666666665</v>
      </c>
      <c r="S440" s="7">
        <v>5619</v>
      </c>
      <c r="T440" s="7">
        <v>16914</v>
      </c>
      <c r="U440" s="7">
        <v>8272</v>
      </c>
      <c r="V440" s="103">
        <v>161107</v>
      </c>
      <c r="W440" s="7">
        <f t="shared" si="98"/>
        <v>147216</v>
      </c>
      <c r="X440" s="103">
        <f t="shared" si="99"/>
        <v>161107</v>
      </c>
      <c r="Y440" s="103"/>
      <c r="AB440" s="2"/>
      <c r="AC440" s="78">
        <v>155764</v>
      </c>
      <c r="AD440" s="103">
        <f t="shared" si="108"/>
        <v>161107</v>
      </c>
      <c r="AE440" s="192">
        <f t="shared" si="121"/>
        <v>0</v>
      </c>
      <c r="AF440" s="192">
        <f t="shared" si="122"/>
        <v>0</v>
      </c>
      <c r="AG440" s="20">
        <f t="shared" si="123"/>
        <v>0</v>
      </c>
      <c r="AH440" s="20">
        <f t="shared" si="124"/>
        <v>0</v>
      </c>
    </row>
    <row r="441" spans="1:35">
      <c r="A441" s="28">
        <v>46097</v>
      </c>
      <c r="B441" s="3">
        <v>277.75</v>
      </c>
      <c r="C441" s="3">
        <v>252.24999999999994</v>
      </c>
      <c r="D441" s="3">
        <v>94.833333333333329</v>
      </c>
      <c r="E441" s="3">
        <v>447.16666666666663</v>
      </c>
      <c r="F441" s="3">
        <v>343.75</v>
      </c>
      <c r="G441" s="3">
        <v>79.166666666666657</v>
      </c>
      <c r="H441" s="3">
        <v>52.25</v>
      </c>
      <c r="I441" s="3">
        <v>2402.5833333333335</v>
      </c>
      <c r="J441" s="3">
        <v>194.66666666666669</v>
      </c>
      <c r="K441" s="3">
        <v>1721.3333333333335</v>
      </c>
      <c r="L441" s="3">
        <v>156.58333333333331</v>
      </c>
      <c r="M441" s="3">
        <v>317.66666666666669</v>
      </c>
      <c r="N441" s="107">
        <f t="shared" si="109"/>
        <v>0</v>
      </c>
      <c r="O441" s="7">
        <f t="shared" ref="O441:O444" si="125">+B441+C441+D441+F441+I441+K441+J441</f>
        <v>5287.166666666667</v>
      </c>
      <c r="P441" s="7">
        <f t="shared" si="113"/>
        <v>5287.166666666667</v>
      </c>
      <c r="Q441" s="7">
        <f t="shared" si="114"/>
        <v>2402.5833333333335</v>
      </c>
      <c r="R441" s="7">
        <f t="shared" si="115"/>
        <v>1721.3333333333335</v>
      </c>
      <c r="S441" s="7">
        <v>9574</v>
      </c>
      <c r="T441" s="7">
        <v>16549</v>
      </c>
      <c r="U441" s="7">
        <v>3905</v>
      </c>
      <c r="V441" s="103">
        <v>196826</v>
      </c>
      <c r="W441" s="7">
        <f t="shared" si="98"/>
        <v>183347</v>
      </c>
      <c r="X441" s="103">
        <f t="shared" si="99"/>
        <v>196826</v>
      </c>
      <c r="Y441" s="103"/>
      <c r="AB441" s="2"/>
      <c r="AC441" s="78">
        <v>194766</v>
      </c>
      <c r="AD441" s="103">
        <f t="shared" si="108"/>
        <v>196826</v>
      </c>
      <c r="AE441" s="192">
        <f t="shared" ref="AE441:AE444" si="126">+(Z441/AC441*0.95)</f>
        <v>0</v>
      </c>
      <c r="AF441" s="192">
        <f t="shared" ref="AF441:AF444" si="127">+(AB441/AD441*0.6)</f>
        <v>0</v>
      </c>
      <c r="AG441" s="20">
        <f t="shared" si="123"/>
        <v>0</v>
      </c>
      <c r="AH441" s="20">
        <f t="shared" si="124"/>
        <v>0</v>
      </c>
    </row>
    <row r="442" spans="1:35">
      <c r="A442" s="28">
        <v>46098</v>
      </c>
      <c r="B442" s="3">
        <v>285</v>
      </c>
      <c r="C442" s="3">
        <v>309.33333333333331</v>
      </c>
      <c r="D442" s="3">
        <v>96.916666666666671</v>
      </c>
      <c r="E442" s="3">
        <v>432.16666666666669</v>
      </c>
      <c r="F442" s="3">
        <v>312.66666666666663</v>
      </c>
      <c r="G442" s="3">
        <v>74</v>
      </c>
      <c r="H442" s="3">
        <v>51.916666666666657</v>
      </c>
      <c r="I442" s="3">
        <v>2037.25</v>
      </c>
      <c r="J442" s="3">
        <v>232.5</v>
      </c>
      <c r="K442" s="3">
        <v>1017</v>
      </c>
      <c r="L442" s="3">
        <v>156.66666666666666</v>
      </c>
      <c r="M442" s="3">
        <v>327.08333333333331</v>
      </c>
      <c r="N442" s="107">
        <f t="shared" si="109"/>
        <v>0</v>
      </c>
      <c r="O442" s="7">
        <f t="shared" si="125"/>
        <v>4290.6666666666661</v>
      </c>
      <c r="P442" s="7">
        <f t="shared" si="113"/>
        <v>4290.6666666666661</v>
      </c>
      <c r="Q442" s="7">
        <f t="shared" si="114"/>
        <v>2037.25</v>
      </c>
      <c r="R442" s="7">
        <f t="shared" si="115"/>
        <v>1017</v>
      </c>
      <c r="S442" s="7">
        <v>14336</v>
      </c>
      <c r="T442" s="7">
        <v>20404</v>
      </c>
      <c r="U442" s="7">
        <v>3797</v>
      </c>
      <c r="V442" s="103">
        <v>183886</v>
      </c>
      <c r="W442" s="7">
        <f t="shared" si="98"/>
        <v>165753</v>
      </c>
      <c r="X442" s="103">
        <f t="shared" si="99"/>
        <v>183886</v>
      </c>
      <c r="Y442" s="103"/>
      <c r="AC442" s="78">
        <v>113058</v>
      </c>
      <c r="AD442" s="103">
        <f t="shared" si="108"/>
        <v>183886</v>
      </c>
      <c r="AE442" s="192">
        <f t="shared" si="126"/>
        <v>0</v>
      </c>
      <c r="AF442" s="192">
        <f t="shared" si="127"/>
        <v>0</v>
      </c>
      <c r="AG442" s="20">
        <f t="shared" si="123"/>
        <v>0</v>
      </c>
      <c r="AH442" s="20">
        <f t="shared" si="124"/>
        <v>0</v>
      </c>
    </row>
    <row r="443" spans="1:35">
      <c r="A443" s="28">
        <v>46099</v>
      </c>
      <c r="B443" s="3">
        <v>292.25</v>
      </c>
      <c r="C443" s="3">
        <v>453.83333333333331</v>
      </c>
      <c r="D443" s="3">
        <v>97</v>
      </c>
      <c r="E443" s="3">
        <v>459.08333333333331</v>
      </c>
      <c r="F443" s="3">
        <v>268.5</v>
      </c>
      <c r="G443" s="3">
        <v>73.083333333333343</v>
      </c>
      <c r="H443" s="3">
        <v>52</v>
      </c>
      <c r="I443" s="3">
        <v>1658.9166666666672</v>
      </c>
      <c r="J443" s="3">
        <v>187.5</v>
      </c>
      <c r="K443" s="3">
        <v>1191.4166666666665</v>
      </c>
      <c r="L443" s="3">
        <v>156.66666666666666</v>
      </c>
      <c r="M443" s="3">
        <v>317.33333333333337</v>
      </c>
      <c r="N443" s="107">
        <f t="shared" si="109"/>
        <v>0</v>
      </c>
      <c r="O443" s="7">
        <f t="shared" si="125"/>
        <v>4149.416666666667</v>
      </c>
      <c r="P443" s="7">
        <f t="shared" si="113"/>
        <v>4149.416666666667</v>
      </c>
      <c r="Q443" s="7">
        <f t="shared" si="114"/>
        <v>1658.9166666666672</v>
      </c>
      <c r="R443" s="7">
        <f t="shared" si="115"/>
        <v>1191.4166666666665</v>
      </c>
      <c r="S443" s="7">
        <v>9724</v>
      </c>
      <c r="T443" s="7">
        <v>14960</v>
      </c>
      <c r="U443" s="7">
        <v>3272</v>
      </c>
      <c r="V443" s="103">
        <v>129772</v>
      </c>
      <c r="W443" s="7">
        <f t="shared" si="98"/>
        <v>116776</v>
      </c>
      <c r="X443" s="103">
        <f t="shared" si="99"/>
        <v>129772</v>
      </c>
      <c r="Y443" s="103"/>
      <c r="AC443" s="78">
        <v>87749</v>
      </c>
      <c r="AD443" s="103">
        <f t="shared" si="108"/>
        <v>129772</v>
      </c>
      <c r="AE443" s="192">
        <f t="shared" si="126"/>
        <v>0</v>
      </c>
      <c r="AF443" s="192">
        <f t="shared" si="127"/>
        <v>0</v>
      </c>
      <c r="AG443" s="20">
        <f t="shared" si="123"/>
        <v>0</v>
      </c>
      <c r="AH443" s="20">
        <f t="shared" si="124"/>
        <v>0</v>
      </c>
    </row>
    <row r="444" spans="1:35">
      <c r="A444" s="28">
        <v>46100</v>
      </c>
      <c r="B444" s="3">
        <v>105</v>
      </c>
      <c r="C444" s="3">
        <v>142.5</v>
      </c>
      <c r="D444" s="3">
        <v>27.916666666666668</v>
      </c>
      <c r="E444" s="3">
        <v>0</v>
      </c>
      <c r="F444" s="3">
        <v>87.083333333333343</v>
      </c>
      <c r="G444" s="3">
        <v>0</v>
      </c>
      <c r="H444" s="3">
        <v>0</v>
      </c>
      <c r="I444" s="3">
        <v>547.5</v>
      </c>
      <c r="J444" s="3">
        <v>30</v>
      </c>
      <c r="K444" s="3">
        <v>375</v>
      </c>
      <c r="L444" s="3">
        <v>0</v>
      </c>
      <c r="M444" s="3">
        <v>82.166666666666657</v>
      </c>
      <c r="N444" s="107">
        <f t="shared" si="109"/>
        <v>0</v>
      </c>
      <c r="O444" s="7">
        <f t="shared" si="125"/>
        <v>1315</v>
      </c>
      <c r="P444" s="7">
        <f t="shared" si="113"/>
        <v>1315</v>
      </c>
      <c r="Q444" s="7">
        <f t="shared" si="114"/>
        <v>547.5</v>
      </c>
      <c r="R444" s="7">
        <f t="shared" si="115"/>
        <v>375</v>
      </c>
      <c r="S444" s="7">
        <v>1399</v>
      </c>
      <c r="T444" s="7">
        <v>2165</v>
      </c>
      <c r="U444" s="7">
        <v>245</v>
      </c>
      <c r="V444" s="103">
        <v>23290</v>
      </c>
      <c r="W444" s="7">
        <f t="shared" si="98"/>
        <v>21646</v>
      </c>
      <c r="X444" s="103">
        <f t="shared" si="99"/>
        <v>23290</v>
      </c>
      <c r="Y444" s="103"/>
      <c r="Z444" s="74"/>
      <c r="AA444" s="74"/>
      <c r="AC444" s="78">
        <v>22179</v>
      </c>
      <c r="AD444" s="103">
        <f t="shared" si="108"/>
        <v>23290</v>
      </c>
      <c r="AE444" s="192">
        <f t="shared" si="126"/>
        <v>0</v>
      </c>
      <c r="AF444" s="192">
        <f t="shared" si="127"/>
        <v>0</v>
      </c>
      <c r="AG444" s="20">
        <f t="shared" si="123"/>
        <v>0</v>
      </c>
      <c r="AH444" s="20">
        <f t="shared" si="124"/>
        <v>0</v>
      </c>
    </row>
    <row r="445" spans="1:35" ht="16.8">
      <c r="A445" s="28">
        <v>46101</v>
      </c>
      <c r="B445"/>
      <c r="C445"/>
      <c r="D445"/>
      <c r="E445"/>
      <c r="F445"/>
      <c r="G445"/>
      <c r="H445"/>
      <c r="I445"/>
      <c r="J445" s="81"/>
      <c r="K445" s="81"/>
      <c r="L445" s="190"/>
      <c r="M445"/>
      <c r="N445" s="107">
        <f t="shared" si="109"/>
        <v>0</v>
      </c>
      <c r="O445" s="7">
        <f t="shared" ref="O445:O453" si="128">+B445+C445+D445+F445+I445+K445+J445</f>
        <v>0</v>
      </c>
      <c r="P445" s="7">
        <f t="shared" si="113"/>
        <v>0</v>
      </c>
      <c r="Q445" s="7">
        <f t="shared" si="114"/>
        <v>0</v>
      </c>
      <c r="R445" s="7">
        <f t="shared" si="115"/>
        <v>0</v>
      </c>
      <c r="T445" s="7"/>
      <c r="U445" s="7"/>
      <c r="V445" s="74"/>
      <c r="W445" s="7">
        <f t="shared" si="98"/>
        <v>0</v>
      </c>
      <c r="X445" s="103">
        <f t="shared" si="99"/>
        <v>0</v>
      </c>
      <c r="Y445" s="103"/>
      <c r="Z445" s="190"/>
      <c r="AA445" s="190"/>
      <c r="AD445" s="103"/>
      <c r="AE445" s="192"/>
      <c r="AF445" s="192"/>
      <c r="AG445" s="20"/>
      <c r="AH445" s="20"/>
    </row>
    <row r="446" spans="1:35" ht="16.8">
      <c r="A446" s="28">
        <v>46102</v>
      </c>
      <c r="B446"/>
      <c r="C446"/>
      <c r="D446"/>
      <c r="E446"/>
      <c r="F446"/>
      <c r="G446"/>
      <c r="H446"/>
      <c r="I446"/>
      <c r="J446" s="81"/>
      <c r="K446" s="81"/>
      <c r="L446" s="74"/>
      <c r="M446"/>
      <c r="N446" s="107">
        <f t="shared" si="109"/>
        <v>0</v>
      </c>
      <c r="O446" s="7">
        <f t="shared" si="128"/>
        <v>0</v>
      </c>
      <c r="P446" s="7">
        <f t="shared" si="113"/>
        <v>0</v>
      </c>
      <c r="Q446" s="7">
        <f t="shared" si="114"/>
        <v>0</v>
      </c>
      <c r="R446" s="7">
        <f t="shared" si="115"/>
        <v>0</v>
      </c>
      <c r="T446" s="7"/>
      <c r="U446" s="7"/>
      <c r="V446" s="74"/>
      <c r="W446" s="7">
        <f t="shared" si="98"/>
        <v>0</v>
      </c>
      <c r="X446" s="103">
        <f t="shared" si="99"/>
        <v>0</v>
      </c>
      <c r="Y446" s="103"/>
      <c r="Z446" s="190"/>
      <c r="AA446" s="190"/>
      <c r="AC446" s="78"/>
      <c r="AD446" s="103"/>
      <c r="AE446" s="192"/>
      <c r="AF446" s="192"/>
      <c r="AG446" s="20"/>
      <c r="AH446" s="20"/>
    </row>
    <row r="447" spans="1:35" ht="16.8">
      <c r="A447" s="28">
        <v>46103</v>
      </c>
      <c r="B447"/>
      <c r="C447"/>
      <c r="D447"/>
      <c r="E447"/>
      <c r="F447"/>
      <c r="G447"/>
      <c r="H447"/>
      <c r="I447"/>
      <c r="J447" s="81"/>
      <c r="K447" s="81"/>
      <c r="L447" s="190"/>
      <c r="M447"/>
      <c r="N447" s="107">
        <f t="shared" si="109"/>
        <v>0</v>
      </c>
      <c r="O447" s="7">
        <f t="shared" si="128"/>
        <v>0</v>
      </c>
      <c r="P447" s="7">
        <f t="shared" si="113"/>
        <v>0</v>
      </c>
      <c r="Q447" s="7">
        <f t="shared" si="114"/>
        <v>0</v>
      </c>
      <c r="R447" s="7">
        <f t="shared" si="115"/>
        <v>0</v>
      </c>
      <c r="W447" s="7">
        <f t="shared" si="98"/>
        <v>0</v>
      </c>
      <c r="X447" s="103">
        <f t="shared" si="99"/>
        <v>0</v>
      </c>
      <c r="Y447" s="103"/>
      <c r="AE447" s="192"/>
      <c r="AF447" s="192"/>
      <c r="AG447" s="20"/>
      <c r="AH447" s="20"/>
    </row>
    <row r="448" spans="1:35">
      <c r="A448" s="28">
        <v>46104</v>
      </c>
      <c r="B448" s="3">
        <v>262.16666666666663</v>
      </c>
      <c r="C448" s="3">
        <v>281.25</v>
      </c>
      <c r="D448" s="3">
        <v>82.5</v>
      </c>
      <c r="E448" s="3">
        <v>419.5</v>
      </c>
      <c r="F448" s="3">
        <v>254.75</v>
      </c>
      <c r="G448" s="3">
        <v>151.16666666666666</v>
      </c>
      <c r="H448" s="3">
        <v>55.5</v>
      </c>
      <c r="I448" s="3">
        <v>1967.4999999999998</v>
      </c>
      <c r="J448" s="3">
        <v>120</v>
      </c>
      <c r="K448" s="3">
        <v>1508.7500000000002</v>
      </c>
      <c r="L448" s="3">
        <v>144</v>
      </c>
      <c r="M448" s="3">
        <v>295.41666666666669</v>
      </c>
      <c r="N448" s="107">
        <f t="shared" si="109"/>
        <v>0</v>
      </c>
      <c r="O448" s="7">
        <f t="shared" si="128"/>
        <v>4476.916666666667</v>
      </c>
      <c r="P448" s="7">
        <f t="shared" si="113"/>
        <v>4476.916666666667</v>
      </c>
      <c r="Q448" s="7">
        <f t="shared" si="114"/>
        <v>1967.4999999999998</v>
      </c>
      <c r="R448" s="7">
        <f t="shared" si="115"/>
        <v>1508.7500000000002</v>
      </c>
      <c r="S448" s="7">
        <v>6457</v>
      </c>
      <c r="T448" s="7">
        <v>9332</v>
      </c>
      <c r="U448" s="7">
        <v>797</v>
      </c>
      <c r="V448" s="103">
        <v>140064</v>
      </c>
      <c r="W448" s="7">
        <f t="shared" si="98"/>
        <v>132810</v>
      </c>
      <c r="X448" s="103">
        <f t="shared" si="99"/>
        <v>140064</v>
      </c>
      <c r="Y448" s="103"/>
      <c r="Z448" s="190"/>
      <c r="AA448" s="190"/>
      <c r="AC448" s="78">
        <v>167958</v>
      </c>
      <c r="AD448" s="103">
        <f t="shared" ref="AD448:AD511" si="129">+X448</f>
        <v>140064</v>
      </c>
      <c r="AE448" s="192">
        <f t="shared" ref="AE448:AE453" si="130">+(Z448/AC448*0.95)</f>
        <v>0</v>
      </c>
      <c r="AF448" s="192">
        <f t="shared" ref="AF448:AF453" si="131">+(AB448/AD448*0.6)</f>
        <v>0</v>
      </c>
      <c r="AG448" s="20">
        <f t="shared" ref="AG448:AG453" si="132">+AE448*K448</f>
        <v>0</v>
      </c>
      <c r="AH448" s="20">
        <f t="shared" ref="AH448:AH453" si="133">+AF448*I448</f>
        <v>0</v>
      </c>
      <c r="AI448" s="27"/>
    </row>
    <row r="449" spans="1:35">
      <c r="A449" s="28">
        <v>46105</v>
      </c>
      <c r="B449" s="3">
        <v>269.16666666666669</v>
      </c>
      <c r="C449" s="3">
        <v>172.25</v>
      </c>
      <c r="D449" s="3">
        <v>82.5</v>
      </c>
      <c r="E449" s="3">
        <v>430.5</v>
      </c>
      <c r="F449" s="3">
        <v>269.25</v>
      </c>
      <c r="G449" s="3">
        <v>150.16666666666666</v>
      </c>
      <c r="H449" s="3">
        <v>39.5</v>
      </c>
      <c r="I449" s="3">
        <v>2263.916666666667</v>
      </c>
      <c r="J449" s="3">
        <v>142.5</v>
      </c>
      <c r="K449" s="3">
        <v>1369.6666666666667</v>
      </c>
      <c r="L449" s="3">
        <v>145.5</v>
      </c>
      <c r="M449" s="3">
        <v>311.41666666666663</v>
      </c>
      <c r="N449" s="107">
        <f t="shared" si="109"/>
        <v>0</v>
      </c>
      <c r="O449" s="7">
        <f t="shared" si="128"/>
        <v>4569.2500000000009</v>
      </c>
      <c r="P449" s="7">
        <f t="shared" si="113"/>
        <v>4569.2500000000009</v>
      </c>
      <c r="Q449" s="7">
        <f t="shared" si="114"/>
        <v>2263.916666666667</v>
      </c>
      <c r="R449" s="7">
        <f t="shared" si="115"/>
        <v>1369.6666666666667</v>
      </c>
      <c r="S449" s="7">
        <v>7810</v>
      </c>
      <c r="T449" s="7">
        <v>11346</v>
      </c>
      <c r="U449" s="7">
        <v>3161</v>
      </c>
      <c r="V449" s="103">
        <v>194351</v>
      </c>
      <c r="W449" s="7">
        <f t="shared" si="98"/>
        <v>183380</v>
      </c>
      <c r="X449" s="103">
        <f t="shared" si="99"/>
        <v>194351</v>
      </c>
      <c r="Y449" s="103"/>
      <c r="AC449" s="78">
        <v>154730</v>
      </c>
      <c r="AD449" s="103">
        <f t="shared" si="129"/>
        <v>194351</v>
      </c>
      <c r="AE449" s="192">
        <f t="shared" si="130"/>
        <v>0</v>
      </c>
      <c r="AF449" s="192">
        <f t="shared" si="131"/>
        <v>0</v>
      </c>
      <c r="AG449" s="20">
        <f t="shared" si="132"/>
        <v>0</v>
      </c>
      <c r="AH449" s="20">
        <f t="shared" si="133"/>
        <v>0</v>
      </c>
      <c r="AI449" s="27"/>
    </row>
    <row r="450" spans="1:35">
      <c r="A450" s="28">
        <v>46106</v>
      </c>
      <c r="B450" s="3">
        <v>270</v>
      </c>
      <c r="C450" s="3">
        <v>225</v>
      </c>
      <c r="D450" s="3">
        <v>82.5</v>
      </c>
      <c r="E450" s="3">
        <v>419.5</v>
      </c>
      <c r="F450" s="3">
        <v>328.58333333333331</v>
      </c>
      <c r="G450" s="3">
        <v>135.75</v>
      </c>
      <c r="H450" s="3">
        <v>55.5</v>
      </c>
      <c r="I450" s="3">
        <v>2349.6666666666665</v>
      </c>
      <c r="J450" s="3">
        <v>150</v>
      </c>
      <c r="K450" s="3">
        <v>1189.25</v>
      </c>
      <c r="L450" s="3">
        <v>137</v>
      </c>
      <c r="M450" s="3">
        <v>298.83333333333337</v>
      </c>
      <c r="N450" s="107">
        <f t="shared" si="109"/>
        <v>106.82105888504971</v>
      </c>
      <c r="O450" s="7">
        <f t="shared" si="128"/>
        <v>4595</v>
      </c>
      <c r="P450" s="7">
        <f t="shared" si="113"/>
        <v>4488.1789411149502</v>
      </c>
      <c r="Q450" s="7">
        <f t="shared" si="114"/>
        <v>2349.6666666666665</v>
      </c>
      <c r="R450" s="7">
        <f t="shared" si="115"/>
        <v>1082.4289411149502</v>
      </c>
      <c r="S450" s="7">
        <v>5754</v>
      </c>
      <c r="T450" s="7">
        <v>12904</v>
      </c>
      <c r="U450" s="7">
        <v>5147</v>
      </c>
      <c r="V450" s="103">
        <v>197964</v>
      </c>
      <c r="W450" s="7">
        <f t="shared" si="98"/>
        <v>187063</v>
      </c>
      <c r="X450" s="103">
        <f t="shared" si="99"/>
        <v>197964</v>
      </c>
      <c r="Y450" s="103"/>
      <c r="Z450" s="7">
        <v>14284</v>
      </c>
      <c r="AB450" s="2"/>
      <c r="AC450" s="78">
        <v>151074</v>
      </c>
      <c r="AD450" s="103">
        <f t="shared" si="129"/>
        <v>197964</v>
      </c>
      <c r="AE450" s="192">
        <f t="shared" si="130"/>
        <v>8.9822206335967797E-2</v>
      </c>
      <c r="AF450" s="192">
        <f t="shared" si="131"/>
        <v>0</v>
      </c>
      <c r="AG450" s="20">
        <f t="shared" si="132"/>
        <v>106.82105888504971</v>
      </c>
      <c r="AH450" s="20">
        <f t="shared" si="133"/>
        <v>0</v>
      </c>
      <c r="AI450" s="27"/>
    </row>
    <row r="451" spans="1:35">
      <c r="A451" s="28">
        <v>46107</v>
      </c>
      <c r="B451" s="3">
        <v>268.66666666666663</v>
      </c>
      <c r="C451" s="3">
        <v>328.83333333333337</v>
      </c>
      <c r="D451" s="3">
        <v>82.083333333333329</v>
      </c>
      <c r="E451" s="3">
        <v>419.83333333333337</v>
      </c>
      <c r="F451" s="3">
        <v>277.75</v>
      </c>
      <c r="G451" s="3">
        <v>126</v>
      </c>
      <c r="H451" s="3">
        <v>48</v>
      </c>
      <c r="I451" s="3">
        <v>2077.25</v>
      </c>
      <c r="J451" s="3">
        <v>142.5</v>
      </c>
      <c r="K451" s="3">
        <v>1181.6666666666665</v>
      </c>
      <c r="L451" s="3">
        <v>145.5</v>
      </c>
      <c r="M451" s="3">
        <v>310</v>
      </c>
      <c r="N451" s="107">
        <f t="shared" si="109"/>
        <v>688.45810163156511</v>
      </c>
      <c r="O451" s="7">
        <f t="shared" si="128"/>
        <v>4358.75</v>
      </c>
      <c r="P451" s="7">
        <f t="shared" si="113"/>
        <v>3670.2918983684349</v>
      </c>
      <c r="Q451" s="7">
        <f t="shared" si="114"/>
        <v>1798.2867064728571</v>
      </c>
      <c r="R451" s="7">
        <f t="shared" si="115"/>
        <v>772.17185856224421</v>
      </c>
      <c r="S451" s="7">
        <v>5907</v>
      </c>
      <c r="T451" s="7">
        <v>13679</v>
      </c>
      <c r="U451" s="7">
        <v>5416</v>
      </c>
      <c r="V451" s="103">
        <v>138247</v>
      </c>
      <c r="W451" s="7">
        <f t="shared" ref="W451:W514" si="134">+V451-U451-S451+AA451</f>
        <v>126924</v>
      </c>
      <c r="X451" s="103">
        <f t="shared" ref="X451:X514" si="135">+V451+AB451+AA451</f>
        <v>178113</v>
      </c>
      <c r="Y451" s="103"/>
      <c r="Z451" s="7">
        <v>59293</v>
      </c>
      <c r="AB451" s="2">
        <v>39866</v>
      </c>
      <c r="AC451" s="78">
        <v>162545</v>
      </c>
      <c r="AD451" s="103">
        <f t="shared" si="129"/>
        <v>178113</v>
      </c>
      <c r="AE451" s="192">
        <f t="shared" si="130"/>
        <v>0.34654003506721215</v>
      </c>
      <c r="AF451" s="192">
        <f>+(AB451/AD451*0.6)</f>
        <v>0.13429452089403918</v>
      </c>
      <c r="AG451" s="20">
        <f t="shared" si="132"/>
        <v>409.4948081044223</v>
      </c>
      <c r="AH451" s="20">
        <f t="shared" si="133"/>
        <v>278.96329352714287</v>
      </c>
      <c r="AI451" s="27"/>
    </row>
    <row r="452" spans="1:35">
      <c r="A452" s="28">
        <v>46108</v>
      </c>
      <c r="B452" s="3">
        <v>290.08333333333337</v>
      </c>
      <c r="C452" s="3">
        <v>390</v>
      </c>
      <c r="D452" s="3">
        <v>71.166666666666657</v>
      </c>
      <c r="E452" s="3">
        <v>368.91666666666669</v>
      </c>
      <c r="F452" s="3">
        <v>316.58333333333337</v>
      </c>
      <c r="G452" s="3">
        <v>128.25</v>
      </c>
      <c r="H452" s="3">
        <v>31.666666666666664</v>
      </c>
      <c r="I452" s="3">
        <v>1790.9166666666665</v>
      </c>
      <c r="J452" s="3">
        <v>177.83333333333331</v>
      </c>
      <c r="K452" s="3">
        <v>965.75</v>
      </c>
      <c r="L452" s="3">
        <v>123.66666666666667</v>
      </c>
      <c r="M452" s="3">
        <v>311.5</v>
      </c>
      <c r="N452" s="107">
        <f t="shared" si="109"/>
        <v>131.61444828255495</v>
      </c>
      <c r="O452" s="7">
        <f t="shared" si="128"/>
        <v>4002.3333333333335</v>
      </c>
      <c r="P452" s="7">
        <f t="shared" si="113"/>
        <v>3870.7188850507782</v>
      </c>
      <c r="Q452" s="7">
        <f t="shared" si="114"/>
        <v>1668.1611056075296</v>
      </c>
      <c r="R452" s="7">
        <f t="shared" si="115"/>
        <v>956.89111277658196</v>
      </c>
      <c r="S452" s="7">
        <v>4246</v>
      </c>
      <c r="T452" s="7">
        <v>12029</v>
      </c>
      <c r="U452" s="7">
        <v>5459</v>
      </c>
      <c r="V452" s="103">
        <v>135013</v>
      </c>
      <c r="W452" s="7">
        <f t="shared" si="134"/>
        <v>125308</v>
      </c>
      <c r="X452" s="103">
        <f t="shared" si="135"/>
        <v>152426</v>
      </c>
      <c r="Y452" s="103"/>
      <c r="Z452" s="7">
        <v>1108</v>
      </c>
      <c r="AB452" s="2">
        <v>17413</v>
      </c>
      <c r="AC452" s="78">
        <v>114749</v>
      </c>
      <c r="AD452" s="103">
        <f t="shared" si="129"/>
        <v>152426</v>
      </c>
      <c r="AE452" s="192">
        <f t="shared" si="130"/>
        <v>9.1730646890168972E-3</v>
      </c>
      <c r="AF452" s="192">
        <f t="shared" si="131"/>
        <v>6.8543424350176477E-2</v>
      </c>
      <c r="AG452" s="20">
        <f t="shared" si="132"/>
        <v>8.8588872234180691</v>
      </c>
      <c r="AH452" s="20">
        <f t="shared" si="133"/>
        <v>122.75556105913688</v>
      </c>
      <c r="AI452" s="27"/>
    </row>
    <row r="453" spans="1:35">
      <c r="A453" s="28">
        <v>46109</v>
      </c>
      <c r="B453" s="3">
        <v>276.83333333333331</v>
      </c>
      <c r="C453" s="3">
        <v>427</v>
      </c>
      <c r="D453" s="3">
        <v>73.5</v>
      </c>
      <c r="E453" s="3">
        <v>330</v>
      </c>
      <c r="F453" s="3">
        <v>284</v>
      </c>
      <c r="G453" s="3">
        <v>0</v>
      </c>
      <c r="H453" s="3">
        <v>22.5</v>
      </c>
      <c r="I453" s="3">
        <v>1657.5</v>
      </c>
      <c r="J453" s="3">
        <v>225</v>
      </c>
      <c r="K453" s="3">
        <v>985.08333333333326</v>
      </c>
      <c r="L453" s="3">
        <v>120</v>
      </c>
      <c r="M453" s="3">
        <v>290.91666666666663</v>
      </c>
      <c r="N453" s="107">
        <f t="shared" si="109"/>
        <v>90.738158811237525</v>
      </c>
      <c r="O453" s="7">
        <f t="shared" si="128"/>
        <v>3928.9166666666661</v>
      </c>
      <c r="P453" s="7">
        <f t="shared" si="113"/>
        <v>3838.1785078554285</v>
      </c>
      <c r="Q453" s="7">
        <f t="shared" si="114"/>
        <v>1566.7618411887624</v>
      </c>
      <c r="R453" s="7">
        <f t="shared" si="115"/>
        <v>985.08333333333326</v>
      </c>
      <c r="S453" s="7">
        <v>9615</v>
      </c>
      <c r="T453" s="7">
        <v>16208</v>
      </c>
      <c r="U453" s="7">
        <v>5323</v>
      </c>
      <c r="V453" s="103">
        <v>133077</v>
      </c>
      <c r="W453" s="7">
        <f t="shared" si="134"/>
        <v>118139</v>
      </c>
      <c r="X453" s="103">
        <f t="shared" si="135"/>
        <v>146438</v>
      </c>
      <c r="Y453" s="103"/>
      <c r="AB453" s="2">
        <v>13361</v>
      </c>
      <c r="AC453" s="78">
        <v>92110</v>
      </c>
      <c r="AD453" s="103">
        <f t="shared" si="129"/>
        <v>146438</v>
      </c>
      <c r="AE453" s="192">
        <f t="shared" si="130"/>
        <v>0</v>
      </c>
      <c r="AF453" s="192">
        <f t="shared" si="131"/>
        <v>5.4743987216432893E-2</v>
      </c>
      <c r="AG453" s="20">
        <f t="shared" si="132"/>
        <v>0</v>
      </c>
      <c r="AH453" s="20">
        <f t="shared" si="133"/>
        <v>90.738158811237525</v>
      </c>
      <c r="AI453" s="27"/>
    </row>
    <row r="454" spans="1:35" ht="16.8">
      <c r="A454" s="28">
        <v>46110</v>
      </c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107">
        <f t="shared" si="109"/>
        <v>0</v>
      </c>
      <c r="O454" s="7">
        <f t="shared" ref="O454:O461" si="136">+B454+C454+D454+F454+I454+K454+J454</f>
        <v>0</v>
      </c>
      <c r="P454" s="7">
        <f t="shared" si="113"/>
        <v>0</v>
      </c>
      <c r="Q454" s="7">
        <f t="shared" si="114"/>
        <v>0</v>
      </c>
      <c r="R454" s="7">
        <f t="shared" si="115"/>
        <v>0</v>
      </c>
      <c r="S454" s="165"/>
      <c r="T454" s="164"/>
      <c r="V454" s="103"/>
      <c r="W454" s="7">
        <f t="shared" si="134"/>
        <v>0</v>
      </c>
      <c r="X454" s="103">
        <f t="shared" si="135"/>
        <v>0</v>
      </c>
      <c r="Y454" s="103"/>
      <c r="AB454" s="2"/>
      <c r="AD454" s="103"/>
      <c r="AE454" s="192"/>
      <c r="AF454" s="192"/>
      <c r="AG454" s="20"/>
      <c r="AH454" s="20"/>
    </row>
    <row r="455" spans="1:35">
      <c r="A455" s="28">
        <v>46111</v>
      </c>
      <c r="B455" s="3">
        <v>277.5</v>
      </c>
      <c r="C455" s="3">
        <v>479.08333333333331</v>
      </c>
      <c r="D455" s="3">
        <v>89.666666666666657</v>
      </c>
      <c r="E455" s="3">
        <v>403.33333333333331</v>
      </c>
      <c r="F455" s="3">
        <v>285.25</v>
      </c>
      <c r="G455" s="3">
        <v>145.66666666666666</v>
      </c>
      <c r="H455" s="3">
        <v>55.5</v>
      </c>
      <c r="I455" s="3">
        <v>1681.75</v>
      </c>
      <c r="J455" s="3">
        <v>140.91666666666669</v>
      </c>
      <c r="K455" s="3">
        <v>1144.5833333333335</v>
      </c>
      <c r="L455" s="3">
        <v>160.5</v>
      </c>
      <c r="M455" s="3">
        <v>277.16666666666669</v>
      </c>
      <c r="N455" s="107">
        <f t="shared" si="109"/>
        <v>0</v>
      </c>
      <c r="O455" s="7">
        <f t="shared" si="136"/>
        <v>4098.75</v>
      </c>
      <c r="P455" s="7">
        <f t="shared" si="113"/>
        <v>4098.75</v>
      </c>
      <c r="Q455" s="7">
        <f t="shared" si="114"/>
        <v>1681.75</v>
      </c>
      <c r="R455" s="7">
        <f t="shared" si="115"/>
        <v>1144.5833333333335</v>
      </c>
      <c r="S455" s="7">
        <v>5240</v>
      </c>
      <c r="T455" s="7">
        <v>11539</v>
      </c>
      <c r="U455" s="7">
        <v>3567</v>
      </c>
      <c r="V455" s="103">
        <v>137391</v>
      </c>
      <c r="W455" s="7">
        <f t="shared" si="134"/>
        <v>128584</v>
      </c>
      <c r="X455" s="103">
        <f t="shared" si="135"/>
        <v>137391</v>
      </c>
      <c r="Y455" s="103"/>
      <c r="AB455" s="2"/>
      <c r="AC455" s="78">
        <v>147380</v>
      </c>
      <c r="AD455" s="103">
        <f t="shared" si="129"/>
        <v>137391</v>
      </c>
      <c r="AE455" s="192">
        <f t="shared" ref="AE455:AE460" si="137">+(Z455/AC455*0.95)</f>
        <v>0</v>
      </c>
      <c r="AF455" s="192">
        <f t="shared" ref="AF455:AF460" si="138">+(AB455/AD455*0.6)</f>
        <v>0</v>
      </c>
      <c r="AG455" s="20">
        <f t="shared" ref="AG455:AG460" si="139">+AE455*K455</f>
        <v>0</v>
      </c>
      <c r="AH455" s="20">
        <f t="shared" ref="AH455:AH460" si="140">+AF455*I455</f>
        <v>0</v>
      </c>
    </row>
    <row r="456" spans="1:35">
      <c r="A456" s="28">
        <v>46112</v>
      </c>
      <c r="B456" s="3">
        <v>269.33333333333337</v>
      </c>
      <c r="C456" s="3">
        <v>476.25</v>
      </c>
      <c r="D456" s="3">
        <v>90</v>
      </c>
      <c r="E456" s="3">
        <v>419.24999999999994</v>
      </c>
      <c r="F456" s="3">
        <v>299.5</v>
      </c>
      <c r="G456" s="3">
        <v>142.41666666666669</v>
      </c>
      <c r="H456" s="3">
        <v>55.5</v>
      </c>
      <c r="I456" s="3">
        <v>1603.0833333333333</v>
      </c>
      <c r="J456" s="3">
        <v>105</v>
      </c>
      <c r="K456" s="3">
        <v>1177.9166666666665</v>
      </c>
      <c r="L456" s="3">
        <v>130.5</v>
      </c>
      <c r="M456" s="3">
        <v>277.08333333333337</v>
      </c>
      <c r="N456" s="107">
        <f t="shared" si="109"/>
        <v>0</v>
      </c>
      <c r="O456" s="7">
        <f t="shared" si="136"/>
        <v>4021.0833333333335</v>
      </c>
      <c r="P456" s="7">
        <f t="shared" si="113"/>
        <v>4021.0833333333335</v>
      </c>
      <c r="Q456" s="7">
        <f t="shared" si="114"/>
        <v>1603.0833333333333</v>
      </c>
      <c r="R456" s="7">
        <f t="shared" si="115"/>
        <v>1177.9166666666665</v>
      </c>
      <c r="S456" s="7">
        <v>4995</v>
      </c>
      <c r="T456" s="7">
        <v>11431</v>
      </c>
      <c r="U456" s="7">
        <v>5823</v>
      </c>
      <c r="V456" s="103">
        <v>150863</v>
      </c>
      <c r="W456" s="7">
        <f t="shared" si="134"/>
        <v>140045</v>
      </c>
      <c r="X456" s="103">
        <f t="shared" si="135"/>
        <v>150863</v>
      </c>
      <c r="Y456" s="103"/>
      <c r="AB456" s="2"/>
      <c r="AC456" s="78">
        <v>148942</v>
      </c>
      <c r="AD456" s="103">
        <f t="shared" si="129"/>
        <v>150863</v>
      </c>
      <c r="AE456" s="192">
        <f t="shared" si="137"/>
        <v>0</v>
      </c>
      <c r="AF456" s="192">
        <f t="shared" si="138"/>
        <v>0</v>
      </c>
      <c r="AG456" s="20">
        <f t="shared" si="139"/>
        <v>0</v>
      </c>
      <c r="AH456" s="20">
        <f t="shared" si="140"/>
        <v>0</v>
      </c>
    </row>
    <row r="457" spans="1:35">
      <c r="A457" s="28">
        <v>46113</v>
      </c>
      <c r="B457" s="3">
        <v>278.33333333333337</v>
      </c>
      <c r="C457" s="3">
        <v>479.75</v>
      </c>
      <c r="D457" s="3">
        <v>97.5</v>
      </c>
      <c r="E457" s="3">
        <v>434.66666666666669</v>
      </c>
      <c r="F457" s="3">
        <v>320.75</v>
      </c>
      <c r="G457" s="3">
        <v>143</v>
      </c>
      <c r="H457" s="3">
        <v>55.5</v>
      </c>
      <c r="I457" s="3">
        <v>1624.4166666666667</v>
      </c>
      <c r="J457" s="3">
        <v>119.66666666666667</v>
      </c>
      <c r="K457" s="3">
        <v>1075.25</v>
      </c>
      <c r="L457" s="3">
        <v>115.5</v>
      </c>
      <c r="M457" s="3">
        <v>297.08333333333331</v>
      </c>
      <c r="N457" s="107">
        <f t="shared" si="109"/>
        <v>136.00679111287204</v>
      </c>
      <c r="O457" s="7">
        <f t="shared" si="136"/>
        <v>3995.6666666666665</v>
      </c>
      <c r="P457" s="7">
        <f t="shared" si="113"/>
        <v>3859.6598755537952</v>
      </c>
      <c r="Q457" s="7">
        <f t="shared" si="114"/>
        <v>1488.4098755537948</v>
      </c>
      <c r="R457" s="7">
        <f t="shared" si="115"/>
        <v>1075.25</v>
      </c>
      <c r="S457" s="7">
        <v>8491</v>
      </c>
      <c r="T457" s="7">
        <v>14221</v>
      </c>
      <c r="U457" s="7">
        <v>4190</v>
      </c>
      <c r="V457" s="103">
        <v>143333</v>
      </c>
      <c r="W457" s="7">
        <f t="shared" si="134"/>
        <v>130652</v>
      </c>
      <c r="X457" s="103">
        <f t="shared" si="135"/>
        <v>166578</v>
      </c>
      <c r="Y457" s="103"/>
      <c r="AB457" s="2">
        <v>23245</v>
      </c>
      <c r="AC457" s="78">
        <v>139764</v>
      </c>
      <c r="AD457" s="103">
        <f t="shared" si="129"/>
        <v>166578</v>
      </c>
      <c r="AE457" s="192">
        <f t="shared" si="137"/>
        <v>0</v>
      </c>
      <c r="AF457" s="192">
        <f t="shared" si="138"/>
        <v>8.3726542520620964E-2</v>
      </c>
      <c r="AG457" s="20">
        <f t="shared" si="139"/>
        <v>0</v>
      </c>
      <c r="AH457" s="20">
        <f t="shared" si="140"/>
        <v>136.00679111287204</v>
      </c>
    </row>
    <row r="458" spans="1:35">
      <c r="A458" s="28">
        <v>46114</v>
      </c>
      <c r="B458" s="3">
        <v>199.5</v>
      </c>
      <c r="C458" s="3">
        <v>559.16666666666674</v>
      </c>
      <c r="D458" s="3">
        <v>94.5</v>
      </c>
      <c r="E458" s="3">
        <v>403.83333333333337</v>
      </c>
      <c r="F458" s="3">
        <v>373.16666666666663</v>
      </c>
      <c r="G458" s="3">
        <v>129.16666666666669</v>
      </c>
      <c r="H458" s="3">
        <v>55.5</v>
      </c>
      <c r="I458" s="3">
        <v>1958.1666666666665</v>
      </c>
      <c r="J458" s="3">
        <v>120</v>
      </c>
      <c r="K458" s="3">
        <v>839.25</v>
      </c>
      <c r="L458" s="3">
        <v>115.5</v>
      </c>
      <c r="M458" s="3">
        <v>303.66666666666663</v>
      </c>
      <c r="N458" s="107">
        <f t="shared" si="109"/>
        <v>176.13562084857003</v>
      </c>
      <c r="O458" s="7">
        <f t="shared" si="136"/>
        <v>4143.75</v>
      </c>
      <c r="P458" s="7">
        <f t="shared" si="113"/>
        <v>3967.6143791514301</v>
      </c>
      <c r="Q458" s="7">
        <f t="shared" si="114"/>
        <v>1957.8829230935446</v>
      </c>
      <c r="R458" s="7">
        <f t="shared" si="115"/>
        <v>663.39812272455174</v>
      </c>
      <c r="S458" s="7">
        <v>7998</v>
      </c>
      <c r="T458" s="7">
        <v>15062</v>
      </c>
      <c r="U458" s="7">
        <v>4799</v>
      </c>
      <c r="V458" s="103">
        <v>157309</v>
      </c>
      <c r="W458" s="7">
        <f t="shared" si="134"/>
        <v>144512</v>
      </c>
      <c r="X458" s="103">
        <f t="shared" si="135"/>
        <v>157347</v>
      </c>
      <c r="Y458" s="103"/>
      <c r="Z458" s="7">
        <v>22476</v>
      </c>
      <c r="AB458" s="2">
        <v>38</v>
      </c>
      <c r="AC458" s="78">
        <v>101903</v>
      </c>
      <c r="AD458" s="103">
        <f t="shared" si="129"/>
        <v>157347</v>
      </c>
      <c r="AE458" s="192">
        <f t="shared" si="137"/>
        <v>0.20953455737318821</v>
      </c>
      <c r="AF458" s="192">
        <f t="shared" si="138"/>
        <v>1.4490266735304772E-4</v>
      </c>
      <c r="AG458" s="20">
        <f t="shared" si="139"/>
        <v>175.8518772754482</v>
      </c>
      <c r="AH458" s="20">
        <f t="shared" si="140"/>
        <v>0.28374357312182624</v>
      </c>
    </row>
    <row r="459" spans="1:35">
      <c r="A459" s="28">
        <v>46115</v>
      </c>
      <c r="B459" s="3">
        <v>243</v>
      </c>
      <c r="C459" s="3">
        <v>462</v>
      </c>
      <c r="D459" s="3">
        <v>81.5</v>
      </c>
      <c r="E459" s="3">
        <v>395.75</v>
      </c>
      <c r="F459" s="3">
        <v>321.16666666666669</v>
      </c>
      <c r="G459" s="3">
        <v>130.58333333333334</v>
      </c>
      <c r="H459" s="3">
        <v>47</v>
      </c>
      <c r="I459" s="3">
        <v>1873.75</v>
      </c>
      <c r="J459" s="3">
        <v>119.75</v>
      </c>
      <c r="K459" s="3">
        <v>1035.4166666666665</v>
      </c>
      <c r="L459" s="3">
        <v>115.5</v>
      </c>
      <c r="M459" s="3">
        <v>297.58333333333331</v>
      </c>
      <c r="N459" s="107">
        <f t="shared" si="109"/>
        <v>0</v>
      </c>
      <c r="O459" s="7">
        <f t="shared" si="136"/>
        <v>4136.5833333333339</v>
      </c>
      <c r="P459" s="7">
        <f t="shared" si="113"/>
        <v>4136.5833333333339</v>
      </c>
      <c r="Q459" s="7">
        <f t="shared" si="114"/>
        <v>1873.75</v>
      </c>
      <c r="R459" s="7">
        <f t="shared" si="115"/>
        <v>1035.4166666666665</v>
      </c>
      <c r="S459" s="7">
        <v>7154</v>
      </c>
      <c r="T459" s="7">
        <v>12498</v>
      </c>
      <c r="U459" s="7">
        <v>4183</v>
      </c>
      <c r="V459" s="103">
        <v>156080</v>
      </c>
      <c r="W459" s="7">
        <f t="shared" si="134"/>
        <v>144743</v>
      </c>
      <c r="X459" s="103">
        <f t="shared" si="135"/>
        <v>156080</v>
      </c>
      <c r="Y459" s="103"/>
      <c r="AB459" s="2"/>
      <c r="AC459" s="78">
        <v>120543</v>
      </c>
      <c r="AD459" s="103">
        <f t="shared" si="129"/>
        <v>156080</v>
      </c>
      <c r="AE459" s="192">
        <f t="shared" si="137"/>
        <v>0</v>
      </c>
      <c r="AF459" s="192">
        <f t="shared" si="138"/>
        <v>0</v>
      </c>
      <c r="AG459" s="20">
        <f t="shared" si="139"/>
        <v>0</v>
      </c>
      <c r="AH459" s="20">
        <f t="shared" si="140"/>
        <v>0</v>
      </c>
    </row>
    <row r="460" spans="1:35">
      <c r="A460" s="28">
        <v>46116</v>
      </c>
      <c r="B460" s="3">
        <v>244.16666666666666</v>
      </c>
      <c r="C460" s="3">
        <v>337.50000000000006</v>
      </c>
      <c r="D460" s="3">
        <v>81.083333333333329</v>
      </c>
      <c r="E460" s="3">
        <v>257.58333333333337</v>
      </c>
      <c r="F460" s="3">
        <v>258.5</v>
      </c>
      <c r="G460" s="3">
        <v>0</v>
      </c>
      <c r="H460" s="3">
        <v>22.5</v>
      </c>
      <c r="I460" s="3">
        <v>1467.4999999999998</v>
      </c>
      <c r="J460" s="3">
        <v>142.25</v>
      </c>
      <c r="K460" s="3">
        <v>936.66666666666674</v>
      </c>
      <c r="L460" s="3">
        <v>67.25</v>
      </c>
      <c r="M460" s="3">
        <v>264.58333333333337</v>
      </c>
      <c r="N460" s="107">
        <f t="shared" si="109"/>
        <v>0</v>
      </c>
      <c r="O460" s="7">
        <f t="shared" si="136"/>
        <v>3467.666666666667</v>
      </c>
      <c r="P460" s="7">
        <f t="shared" si="113"/>
        <v>3467.666666666667</v>
      </c>
      <c r="Q460" s="7">
        <f t="shared" si="114"/>
        <v>1467.4999999999998</v>
      </c>
      <c r="R460" s="7">
        <f t="shared" si="115"/>
        <v>936.66666666666674</v>
      </c>
      <c r="S460" s="7">
        <v>6315</v>
      </c>
      <c r="T460" s="7">
        <v>12155</v>
      </c>
      <c r="U460" s="7">
        <v>4270</v>
      </c>
      <c r="V460" s="103">
        <v>126619</v>
      </c>
      <c r="W460" s="7">
        <f t="shared" si="134"/>
        <v>116034</v>
      </c>
      <c r="X460" s="103">
        <f t="shared" si="135"/>
        <v>126619</v>
      </c>
      <c r="Y460" s="103"/>
      <c r="AB460" s="2"/>
      <c r="AC460" s="78">
        <v>114645</v>
      </c>
      <c r="AD460" s="103">
        <f t="shared" si="129"/>
        <v>126619</v>
      </c>
      <c r="AE460" s="192">
        <f t="shared" si="137"/>
        <v>0</v>
      </c>
      <c r="AF460" s="192">
        <f t="shared" si="138"/>
        <v>0</v>
      </c>
      <c r="AG460" s="20">
        <f t="shared" si="139"/>
        <v>0</v>
      </c>
      <c r="AH460" s="20">
        <f t="shared" si="140"/>
        <v>0</v>
      </c>
    </row>
    <row r="461" spans="1:35">
      <c r="A461" s="28">
        <v>46117</v>
      </c>
      <c r="B461" s="3">
        <v>0</v>
      </c>
      <c r="C461" s="3">
        <v>0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107">
        <f t="shared" si="109"/>
        <v>0</v>
      </c>
      <c r="O461" s="7">
        <f t="shared" si="136"/>
        <v>0</v>
      </c>
      <c r="P461" s="7">
        <f t="shared" si="113"/>
        <v>0</v>
      </c>
      <c r="Q461" s="7">
        <f t="shared" si="114"/>
        <v>0</v>
      </c>
      <c r="R461" s="7">
        <f t="shared" si="115"/>
        <v>0</v>
      </c>
      <c r="T461" s="7"/>
      <c r="U461" s="7"/>
      <c r="V461" s="103"/>
      <c r="W461" s="7">
        <f t="shared" si="134"/>
        <v>0</v>
      </c>
      <c r="X461" s="103">
        <f t="shared" si="135"/>
        <v>0</v>
      </c>
      <c r="Y461" s="103"/>
      <c r="AB461" s="2"/>
      <c r="AC461" s="78"/>
      <c r="AD461" s="103"/>
      <c r="AE461" s="192"/>
      <c r="AF461" s="192"/>
      <c r="AG461" s="20"/>
      <c r="AH461" s="20"/>
    </row>
    <row r="462" spans="1:35">
      <c r="A462" s="28">
        <v>46118</v>
      </c>
      <c r="B462" s="3">
        <v>208.66666666666663</v>
      </c>
      <c r="C462" s="3">
        <v>359.75</v>
      </c>
      <c r="D462" s="3">
        <v>89.333333333333329</v>
      </c>
      <c r="E462" s="3">
        <v>429.66666666666663</v>
      </c>
      <c r="F462" s="3">
        <v>321.33333333333337</v>
      </c>
      <c r="G462" s="3">
        <v>143.83333333333334</v>
      </c>
      <c r="H462" s="3">
        <v>54.5</v>
      </c>
      <c r="I462" s="3">
        <v>2024.75</v>
      </c>
      <c r="J462" s="3">
        <v>180</v>
      </c>
      <c r="K462" s="3">
        <v>1208.9166666666667</v>
      </c>
      <c r="L462" s="3">
        <v>153</v>
      </c>
      <c r="M462" s="3">
        <v>305.83333333333337</v>
      </c>
      <c r="N462" s="107">
        <f t="shared" si="109"/>
        <v>0</v>
      </c>
      <c r="O462" s="7">
        <f t="shared" ref="O462:O467" si="141">+B462+C462+D462+F462+I462+K462+J462</f>
        <v>4392.75</v>
      </c>
      <c r="P462" s="7">
        <f t="shared" si="113"/>
        <v>4392.75</v>
      </c>
      <c r="Q462" s="7">
        <f t="shared" si="114"/>
        <v>2024.75</v>
      </c>
      <c r="R462" s="7">
        <f t="shared" si="115"/>
        <v>1208.9166666666667</v>
      </c>
      <c r="S462" s="7">
        <v>3132</v>
      </c>
      <c r="T462" s="7">
        <v>9963</v>
      </c>
      <c r="U462" s="7">
        <v>2447</v>
      </c>
      <c r="V462" s="103">
        <v>141815</v>
      </c>
      <c r="W462" s="7">
        <f t="shared" si="134"/>
        <v>136236</v>
      </c>
      <c r="X462" s="103">
        <f t="shared" si="135"/>
        <v>141815</v>
      </c>
      <c r="Y462" s="103"/>
      <c r="AB462" s="2"/>
      <c r="AC462" s="78">
        <v>138164</v>
      </c>
      <c r="AD462" s="103">
        <f t="shared" si="129"/>
        <v>141815</v>
      </c>
      <c r="AE462" s="192">
        <f t="shared" ref="AE462:AE467" si="142">+(Z462/AC462*0.95)</f>
        <v>0</v>
      </c>
      <c r="AF462" s="192">
        <f t="shared" ref="AF462:AF467" si="143">+(AB462/AD462*0.6)</f>
        <v>0</v>
      </c>
      <c r="AG462" s="20">
        <f t="shared" ref="AG462:AG467" si="144">+AE462*K462</f>
        <v>0</v>
      </c>
      <c r="AH462" s="20">
        <f t="shared" ref="AH462:AH467" si="145">+AF462*I462</f>
        <v>0</v>
      </c>
    </row>
    <row r="463" spans="1:35">
      <c r="A463" s="28">
        <v>46119</v>
      </c>
      <c r="B463" s="3">
        <v>180</v>
      </c>
      <c r="C463" s="3">
        <v>540</v>
      </c>
      <c r="D463" s="3">
        <v>90</v>
      </c>
      <c r="E463" s="3">
        <v>393.16666666666669</v>
      </c>
      <c r="F463" s="3">
        <v>313.75</v>
      </c>
      <c r="G463" s="3">
        <v>137.58333333333334</v>
      </c>
      <c r="H463" s="3">
        <v>55.5</v>
      </c>
      <c r="I463" s="3">
        <v>1829.75</v>
      </c>
      <c r="J463" s="3">
        <v>149.75</v>
      </c>
      <c r="K463" s="3">
        <v>1200.0833333333335</v>
      </c>
      <c r="L463" s="3">
        <v>157.41666666666669</v>
      </c>
      <c r="M463" s="3">
        <v>306.66666666666669</v>
      </c>
      <c r="N463" s="107">
        <f t="shared" si="109"/>
        <v>0</v>
      </c>
      <c r="O463" s="7">
        <f t="shared" si="141"/>
        <v>4303.3333333333339</v>
      </c>
      <c r="P463" s="7">
        <f t="shared" si="113"/>
        <v>4303.3333333333339</v>
      </c>
      <c r="Q463" s="7">
        <f t="shared" si="114"/>
        <v>1829.75</v>
      </c>
      <c r="R463" s="7">
        <f t="shared" si="115"/>
        <v>1200.0833333333335</v>
      </c>
      <c r="S463" s="7">
        <v>4480</v>
      </c>
      <c r="T463" s="7">
        <v>10171</v>
      </c>
      <c r="U463" s="7">
        <v>3563</v>
      </c>
      <c r="V463" s="103">
        <v>142688</v>
      </c>
      <c r="W463" s="7">
        <f t="shared" si="134"/>
        <v>134645</v>
      </c>
      <c r="X463" s="103">
        <f t="shared" si="135"/>
        <v>142688</v>
      </c>
      <c r="Y463" s="103"/>
      <c r="AC463" s="78">
        <v>150498</v>
      </c>
      <c r="AD463" s="103">
        <f t="shared" si="129"/>
        <v>142688</v>
      </c>
      <c r="AE463" s="192">
        <f t="shared" si="142"/>
        <v>0</v>
      </c>
      <c r="AF463" s="192">
        <f t="shared" si="143"/>
        <v>0</v>
      </c>
      <c r="AG463" s="20">
        <f t="shared" si="144"/>
        <v>0</v>
      </c>
      <c r="AH463" s="20">
        <f t="shared" si="145"/>
        <v>0</v>
      </c>
    </row>
    <row r="464" spans="1:35">
      <c r="A464" s="28">
        <v>46120</v>
      </c>
      <c r="B464" s="3">
        <v>161.41666666666669</v>
      </c>
      <c r="C464" s="3">
        <v>426.08333333333331</v>
      </c>
      <c r="D464" s="3">
        <v>81.916666666666671</v>
      </c>
      <c r="E464" s="3">
        <v>403.16666666666669</v>
      </c>
      <c r="F464" s="3">
        <v>330.66666666666663</v>
      </c>
      <c r="G464" s="3">
        <v>143.16666666666669</v>
      </c>
      <c r="H464" s="3">
        <v>47</v>
      </c>
      <c r="I464" s="3">
        <v>2172.8333333333335</v>
      </c>
      <c r="J464" s="3">
        <v>160.08333333333334</v>
      </c>
      <c r="K464" s="3">
        <v>1137.25</v>
      </c>
      <c r="L464" s="3">
        <v>164.41666666666669</v>
      </c>
      <c r="M464" s="3">
        <v>282.41666666666663</v>
      </c>
      <c r="N464" s="107">
        <f t="shared" si="109"/>
        <v>0</v>
      </c>
      <c r="O464" s="7">
        <f t="shared" si="141"/>
        <v>4470.25</v>
      </c>
      <c r="P464" s="7">
        <f t="shared" si="113"/>
        <v>4470.25</v>
      </c>
      <c r="Q464" s="7">
        <f t="shared" si="114"/>
        <v>2172.8333333333335</v>
      </c>
      <c r="R464" s="7">
        <f t="shared" si="115"/>
        <v>1137.25</v>
      </c>
      <c r="S464" s="7">
        <v>5197</v>
      </c>
      <c r="T464" s="7">
        <v>11257</v>
      </c>
      <c r="U464" s="7">
        <v>4194</v>
      </c>
      <c r="V464" s="103">
        <v>173757</v>
      </c>
      <c r="W464" s="7">
        <f t="shared" si="134"/>
        <v>164366</v>
      </c>
      <c r="X464" s="103">
        <f t="shared" si="135"/>
        <v>173757</v>
      </c>
      <c r="Y464" s="103"/>
      <c r="AC464" s="78">
        <v>135226</v>
      </c>
      <c r="AD464" s="103">
        <f t="shared" si="129"/>
        <v>173757</v>
      </c>
      <c r="AE464" s="192">
        <f t="shared" si="142"/>
        <v>0</v>
      </c>
      <c r="AF464" s="192">
        <f t="shared" si="143"/>
        <v>0</v>
      </c>
      <c r="AG464" s="20">
        <f t="shared" si="144"/>
        <v>0</v>
      </c>
      <c r="AH464" s="20">
        <f t="shared" si="145"/>
        <v>0</v>
      </c>
    </row>
    <row r="465" spans="1:35">
      <c r="A465" s="28">
        <v>46121</v>
      </c>
      <c r="B465" s="3">
        <v>127.5</v>
      </c>
      <c r="C465" s="3">
        <v>476.58333333333331</v>
      </c>
      <c r="D465" s="3">
        <v>87.333333333333343</v>
      </c>
      <c r="E465" s="3">
        <v>418.25</v>
      </c>
      <c r="F465" s="3">
        <v>330</v>
      </c>
      <c r="G465" s="3">
        <v>142.91666666666669</v>
      </c>
      <c r="H465" s="3">
        <v>39.5</v>
      </c>
      <c r="I465" s="3">
        <v>2145.6666666666665</v>
      </c>
      <c r="J465" s="3">
        <v>217.5</v>
      </c>
      <c r="K465" s="3">
        <v>1186.5</v>
      </c>
      <c r="L465" s="3">
        <v>168</v>
      </c>
      <c r="M465" s="3">
        <v>281.33333333333331</v>
      </c>
      <c r="N465" s="107">
        <f t="shared" si="109"/>
        <v>0</v>
      </c>
      <c r="O465" s="7">
        <f t="shared" si="141"/>
        <v>4571.083333333333</v>
      </c>
      <c r="P465" s="7">
        <f t="shared" si="113"/>
        <v>4571.083333333333</v>
      </c>
      <c r="Q465" s="7">
        <f t="shared" si="114"/>
        <v>2145.6666666666665</v>
      </c>
      <c r="R465" s="7">
        <f t="shared" si="115"/>
        <v>1186.5</v>
      </c>
      <c r="S465" s="7">
        <v>7002</v>
      </c>
      <c r="T465" s="7">
        <v>17685</v>
      </c>
      <c r="U465" s="7">
        <v>4321</v>
      </c>
      <c r="V465" s="103">
        <v>180019</v>
      </c>
      <c r="W465" s="7">
        <f t="shared" si="134"/>
        <v>168696</v>
      </c>
      <c r="X465" s="103">
        <f t="shared" si="135"/>
        <v>180019</v>
      </c>
      <c r="Y465" s="103"/>
      <c r="AC465" s="78">
        <v>139569</v>
      </c>
      <c r="AD465" s="103">
        <f t="shared" si="129"/>
        <v>180019</v>
      </c>
      <c r="AE465" s="192">
        <f t="shared" si="142"/>
        <v>0</v>
      </c>
      <c r="AF465" s="192">
        <f t="shared" si="143"/>
        <v>0</v>
      </c>
      <c r="AG465" s="20">
        <f t="shared" si="144"/>
        <v>0</v>
      </c>
      <c r="AH465" s="20">
        <f t="shared" si="145"/>
        <v>0</v>
      </c>
    </row>
    <row r="466" spans="1:35">
      <c r="A466" s="28">
        <v>46122</v>
      </c>
      <c r="B466" s="3">
        <v>133.33333333333331</v>
      </c>
      <c r="C466" s="3">
        <v>447.58333333333331</v>
      </c>
      <c r="D466" s="3">
        <v>90</v>
      </c>
      <c r="E466" s="3">
        <v>394.25</v>
      </c>
      <c r="F466" s="3">
        <v>328.91666666666663</v>
      </c>
      <c r="G466" s="3">
        <v>141.16666666666669</v>
      </c>
      <c r="H466" s="3">
        <v>52.75</v>
      </c>
      <c r="I466" s="3">
        <v>1965.5</v>
      </c>
      <c r="J466" s="3">
        <v>225</v>
      </c>
      <c r="K466" s="3">
        <v>1102</v>
      </c>
      <c r="L466" s="3">
        <v>142.41666666666669</v>
      </c>
      <c r="M466" s="3">
        <v>290.83333333333331</v>
      </c>
      <c r="N466" s="107">
        <f t="shared" si="109"/>
        <v>82.865192802453777</v>
      </c>
      <c r="O466" s="7">
        <f t="shared" si="141"/>
        <v>4292.333333333333</v>
      </c>
      <c r="P466" s="7">
        <f t="shared" si="113"/>
        <v>4209.4681405308793</v>
      </c>
      <c r="Q466" s="7">
        <f t="shared" si="114"/>
        <v>1965.5</v>
      </c>
      <c r="R466" s="7">
        <f t="shared" si="115"/>
        <v>1019.1348071975463</v>
      </c>
      <c r="S466" s="7">
        <v>7888</v>
      </c>
      <c r="T466" s="7">
        <v>13908</v>
      </c>
      <c r="U466" s="7">
        <v>4251</v>
      </c>
      <c r="V466" s="103">
        <v>159246</v>
      </c>
      <c r="W466" s="7">
        <f t="shared" si="134"/>
        <v>147107</v>
      </c>
      <c r="X466" s="103">
        <f t="shared" si="135"/>
        <v>159246</v>
      </c>
      <c r="Y466" s="103"/>
      <c r="Z466" s="7">
        <v>10245</v>
      </c>
      <c r="AC466" s="78">
        <v>129433</v>
      </c>
      <c r="AD466" s="103">
        <f t="shared" si="129"/>
        <v>159246</v>
      </c>
      <c r="AE466" s="192">
        <f t="shared" si="142"/>
        <v>7.5195274775366402E-2</v>
      </c>
      <c r="AF466" s="192">
        <f t="shared" si="143"/>
        <v>0</v>
      </c>
      <c r="AG466" s="20">
        <f t="shared" si="144"/>
        <v>82.865192802453777</v>
      </c>
      <c r="AH466" s="20">
        <f t="shared" si="145"/>
        <v>0</v>
      </c>
      <c r="AI466" s="20"/>
    </row>
    <row r="467" spans="1:35">
      <c r="A467" s="28">
        <v>46123</v>
      </c>
      <c r="B467" s="3">
        <v>147.08333333333337</v>
      </c>
      <c r="C467" s="3">
        <v>398.75</v>
      </c>
      <c r="D467" s="3">
        <v>83.916666666666671</v>
      </c>
      <c r="E467" s="3">
        <v>247.25</v>
      </c>
      <c r="F467" s="3">
        <v>277.66666666666669</v>
      </c>
      <c r="G467" s="3"/>
      <c r="H467" s="3">
        <v>30</v>
      </c>
      <c r="I467" s="3">
        <v>1704.0833333333335</v>
      </c>
      <c r="J467" s="3">
        <v>180</v>
      </c>
      <c r="K467" s="3">
        <v>1104.4166666666667</v>
      </c>
      <c r="L467" s="3">
        <v>135</v>
      </c>
      <c r="M467" s="3">
        <v>271.25000000000006</v>
      </c>
      <c r="N467" s="107">
        <f t="shared" si="109"/>
        <v>65.369722032687775</v>
      </c>
      <c r="O467" s="7">
        <f t="shared" si="141"/>
        <v>3895.916666666667</v>
      </c>
      <c r="P467" s="7">
        <f t="shared" si="113"/>
        <v>3830.5469446339794</v>
      </c>
      <c r="Q467" s="7">
        <f t="shared" si="114"/>
        <v>1638.7136113006457</v>
      </c>
      <c r="R467" s="7">
        <f t="shared" si="115"/>
        <v>1104.4166666666667</v>
      </c>
      <c r="S467" s="7">
        <v>3793</v>
      </c>
      <c r="T467" s="7">
        <v>15388</v>
      </c>
      <c r="U467" s="7">
        <v>4201</v>
      </c>
      <c r="V467" s="103">
        <v>146791</v>
      </c>
      <c r="W467" s="7">
        <f t="shared" si="134"/>
        <v>138797</v>
      </c>
      <c r="X467" s="103">
        <f t="shared" si="135"/>
        <v>156817</v>
      </c>
      <c r="Y467" s="103"/>
      <c r="AB467" s="2">
        <v>10026</v>
      </c>
      <c r="AC467" s="78">
        <v>124565</v>
      </c>
      <c r="AD467" s="103">
        <f t="shared" si="129"/>
        <v>156817</v>
      </c>
      <c r="AE467" s="192">
        <f t="shared" si="142"/>
        <v>0</v>
      </c>
      <c r="AF467" s="192">
        <f t="shared" si="143"/>
        <v>3.8360636920742007E-2</v>
      </c>
      <c r="AG467" s="20">
        <f t="shared" si="144"/>
        <v>0</v>
      </c>
      <c r="AH467" s="20">
        <f t="shared" si="145"/>
        <v>65.369722032687775</v>
      </c>
    </row>
    <row r="468" spans="1:35">
      <c r="A468" s="28">
        <v>46124</v>
      </c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107">
        <f t="shared" si="109"/>
        <v>0</v>
      </c>
      <c r="S468" s="74"/>
      <c r="T468" s="74"/>
      <c r="U468" s="74"/>
      <c r="V468" s="103"/>
      <c r="W468" s="7">
        <f t="shared" si="134"/>
        <v>0</v>
      </c>
      <c r="X468" s="103">
        <f t="shared" si="135"/>
        <v>0</v>
      </c>
      <c r="Y468" s="103"/>
      <c r="AD468" s="103">
        <f t="shared" si="129"/>
        <v>0</v>
      </c>
      <c r="AE468" s="192"/>
      <c r="AF468" s="192"/>
      <c r="AG468" s="20"/>
      <c r="AH468" s="20"/>
    </row>
    <row r="469" spans="1:35">
      <c r="A469" s="28">
        <v>46125</v>
      </c>
      <c r="B469" s="2">
        <v>232.5</v>
      </c>
      <c r="C469" s="2">
        <v>502.08333333333331</v>
      </c>
      <c r="D469" s="2">
        <v>80.916666666666657</v>
      </c>
      <c r="E469" s="2">
        <v>437.25</v>
      </c>
      <c r="F469" s="2">
        <v>276.16666666666663</v>
      </c>
      <c r="G469" s="2">
        <v>84.5</v>
      </c>
      <c r="H469" s="2">
        <v>55.5</v>
      </c>
      <c r="I469" s="2">
        <v>1569.75</v>
      </c>
      <c r="J469" s="2">
        <v>172.5</v>
      </c>
      <c r="K469" s="2">
        <v>1197.6666666666665</v>
      </c>
      <c r="L469" s="2">
        <v>137.75</v>
      </c>
      <c r="M469" s="2">
        <v>302.16666666666663</v>
      </c>
      <c r="N469" s="107">
        <f t="shared" si="109"/>
        <v>0</v>
      </c>
      <c r="O469" s="7">
        <f t="shared" ref="O469:O516" si="146">+B469+C469+D469+F469+I469+K469+J469</f>
        <v>4031.583333333333</v>
      </c>
      <c r="P469" s="7">
        <f t="shared" ref="P469:P500" si="147">+B469+C469+D469+F469+J469+Q469+R469</f>
        <v>4031.583333333333</v>
      </c>
      <c r="Q469" s="7">
        <f t="shared" ref="Q469:Q500" si="148">+I469-AH469</f>
        <v>1569.75</v>
      </c>
      <c r="R469" s="7">
        <f t="shared" ref="R469:R500" si="149">+K469-AG469</f>
        <v>1197.6666666666665</v>
      </c>
      <c r="S469" s="7">
        <v>2739</v>
      </c>
      <c r="T469" s="7">
        <v>12815</v>
      </c>
      <c r="U469" s="7">
        <v>4141</v>
      </c>
      <c r="V469" s="103">
        <v>134647</v>
      </c>
      <c r="W469" s="7">
        <f t="shared" si="134"/>
        <v>127767</v>
      </c>
      <c r="X469" s="103">
        <f t="shared" si="135"/>
        <v>134647</v>
      </c>
      <c r="Y469" s="103"/>
      <c r="AC469" s="78">
        <v>132752</v>
      </c>
      <c r="AD469" s="103">
        <f t="shared" si="129"/>
        <v>134647</v>
      </c>
      <c r="AE469" s="192">
        <f t="shared" ref="AE469:AE475" si="150">+(Z469/AC469*0.95)</f>
        <v>0</v>
      </c>
      <c r="AF469" s="192">
        <f t="shared" ref="AF469:AF475" si="151">+(AB469/AD469*0.6)</f>
        <v>0</v>
      </c>
      <c r="AG469" s="20">
        <f t="shared" ref="AG469:AG495" si="152">+AE469*K469</f>
        <v>0</v>
      </c>
      <c r="AH469" s="20">
        <f t="shared" ref="AH469:AH495" si="153">+AF469*I469</f>
        <v>0</v>
      </c>
      <c r="AI469" s="20"/>
    </row>
    <row r="470" spans="1:35">
      <c r="A470" s="28">
        <v>46126</v>
      </c>
      <c r="B470" s="2">
        <v>141.58333333333331</v>
      </c>
      <c r="C470" s="2">
        <v>577.25</v>
      </c>
      <c r="D470" s="2">
        <v>75</v>
      </c>
      <c r="E470" s="2">
        <v>357.49999999999994</v>
      </c>
      <c r="F470" s="2">
        <v>260.08333333333337</v>
      </c>
      <c r="G470" s="2">
        <v>84.083333333333329</v>
      </c>
      <c r="H470" s="2">
        <v>55.5</v>
      </c>
      <c r="I470" s="2">
        <v>1627</v>
      </c>
      <c r="J470" s="2">
        <v>180</v>
      </c>
      <c r="K470" s="2">
        <v>1296.0833333333333</v>
      </c>
      <c r="L470" s="2">
        <v>138</v>
      </c>
      <c r="M470" s="2">
        <v>298.91666666666669</v>
      </c>
      <c r="N470" s="107">
        <f t="shared" si="109"/>
        <v>0</v>
      </c>
      <c r="O470" s="7">
        <f t="shared" si="146"/>
        <v>4157</v>
      </c>
      <c r="P470" s="7">
        <f t="shared" si="147"/>
        <v>4157</v>
      </c>
      <c r="Q470" s="7">
        <f t="shared" si="148"/>
        <v>1627</v>
      </c>
      <c r="R470" s="7">
        <f t="shared" si="149"/>
        <v>1296.0833333333333</v>
      </c>
      <c r="S470" s="7">
        <v>3723</v>
      </c>
      <c r="T470" s="7">
        <v>12120</v>
      </c>
      <c r="U470" s="7">
        <v>6869</v>
      </c>
      <c r="V470" s="103">
        <v>144859</v>
      </c>
      <c r="W470" s="7">
        <f t="shared" si="134"/>
        <v>134267</v>
      </c>
      <c r="X470" s="103">
        <f t="shared" si="135"/>
        <v>144859</v>
      </c>
      <c r="Y470" s="103"/>
      <c r="AC470" s="78">
        <v>150916</v>
      </c>
      <c r="AD470" s="103">
        <f t="shared" si="129"/>
        <v>144859</v>
      </c>
      <c r="AE470" s="192">
        <f t="shared" si="150"/>
        <v>0</v>
      </c>
      <c r="AF470" s="192">
        <f t="shared" si="151"/>
        <v>0</v>
      </c>
      <c r="AG470" s="20">
        <f t="shared" si="152"/>
        <v>0</v>
      </c>
      <c r="AH470" s="20">
        <f t="shared" si="153"/>
        <v>0</v>
      </c>
      <c r="AI470" s="20"/>
    </row>
    <row r="471" spans="1:35">
      <c r="A471" s="28">
        <v>46127</v>
      </c>
      <c r="B471" s="2">
        <v>135</v>
      </c>
      <c r="C471" s="2">
        <v>476.41666666666663</v>
      </c>
      <c r="D471" s="2">
        <v>89</v>
      </c>
      <c r="E471" s="2">
        <v>408.58333333333331</v>
      </c>
      <c r="F471" s="2">
        <v>253.5</v>
      </c>
      <c r="G471" s="2">
        <v>73.5</v>
      </c>
      <c r="H471" s="2">
        <v>55.5</v>
      </c>
      <c r="I471" s="2">
        <v>1732.3333333333335</v>
      </c>
      <c r="J471" s="2">
        <v>150</v>
      </c>
      <c r="K471" s="2">
        <v>1148.0000000000002</v>
      </c>
      <c r="L471" s="2">
        <v>151.75</v>
      </c>
      <c r="M471" s="2">
        <v>303.91666666666669</v>
      </c>
      <c r="N471" s="107">
        <f t="shared" si="109"/>
        <v>0</v>
      </c>
      <c r="O471" s="7">
        <f t="shared" si="146"/>
        <v>3984.25</v>
      </c>
      <c r="P471" s="7">
        <f t="shared" si="147"/>
        <v>3984.25</v>
      </c>
      <c r="Q471" s="7">
        <f t="shared" si="148"/>
        <v>1732.3333333333335</v>
      </c>
      <c r="R471" s="7">
        <f t="shared" si="149"/>
        <v>1148.0000000000002</v>
      </c>
      <c r="S471" s="7">
        <v>1880</v>
      </c>
      <c r="T471" s="7">
        <v>9553</v>
      </c>
      <c r="U471" s="7">
        <v>5084</v>
      </c>
      <c r="V471" s="103">
        <v>158487</v>
      </c>
      <c r="W471" s="7">
        <f t="shared" si="134"/>
        <v>151523</v>
      </c>
      <c r="X471" s="103">
        <f t="shared" si="135"/>
        <v>158487</v>
      </c>
      <c r="Y471" s="103"/>
      <c r="AC471" s="78">
        <v>133898</v>
      </c>
      <c r="AD471" s="103">
        <f t="shared" si="129"/>
        <v>158487</v>
      </c>
      <c r="AE471" s="192">
        <f t="shared" si="150"/>
        <v>0</v>
      </c>
      <c r="AF471" s="192">
        <f t="shared" si="151"/>
        <v>0</v>
      </c>
      <c r="AG471" s="20">
        <f t="shared" si="152"/>
        <v>0</v>
      </c>
      <c r="AH471" s="20">
        <f t="shared" si="153"/>
        <v>0</v>
      </c>
      <c r="AI471" s="20"/>
    </row>
    <row r="472" spans="1:35">
      <c r="A472" s="28">
        <v>46128</v>
      </c>
      <c r="B472" s="2">
        <v>157.5</v>
      </c>
      <c r="C472" s="2">
        <v>442.5</v>
      </c>
      <c r="D472" s="2">
        <v>81.75</v>
      </c>
      <c r="E472" s="2">
        <v>372.58333333333331</v>
      </c>
      <c r="F472" s="2">
        <v>247.25</v>
      </c>
      <c r="G472" s="2">
        <v>79.083333333333329</v>
      </c>
      <c r="H472" s="2">
        <v>55.5</v>
      </c>
      <c r="I472" s="2">
        <v>1733.5</v>
      </c>
      <c r="J472" s="2">
        <v>165</v>
      </c>
      <c r="K472" s="2">
        <v>1158.75</v>
      </c>
      <c r="L472" s="2">
        <v>154.16666666666666</v>
      </c>
      <c r="M472" s="2">
        <v>299.24999999999994</v>
      </c>
      <c r="N472" s="107">
        <f t="shared" si="109"/>
        <v>0</v>
      </c>
      <c r="O472" s="7">
        <f t="shared" si="146"/>
        <v>3986.25</v>
      </c>
      <c r="P472" s="7">
        <f t="shared" si="147"/>
        <v>3986.25</v>
      </c>
      <c r="Q472" s="7">
        <f t="shared" si="148"/>
        <v>1733.5</v>
      </c>
      <c r="R472" s="7">
        <f t="shared" si="149"/>
        <v>1158.75</v>
      </c>
      <c r="S472" s="7">
        <v>4440</v>
      </c>
      <c r="T472" s="7">
        <v>14006</v>
      </c>
      <c r="U472" s="7">
        <v>5195</v>
      </c>
      <c r="V472" s="103">
        <v>159831</v>
      </c>
      <c r="W472" s="7">
        <f t="shared" si="134"/>
        <v>150196</v>
      </c>
      <c r="X472" s="103">
        <f t="shared" si="135"/>
        <v>159831</v>
      </c>
      <c r="Y472" s="103"/>
      <c r="AC472" s="78">
        <v>132832</v>
      </c>
      <c r="AD472" s="103">
        <f t="shared" si="129"/>
        <v>159831</v>
      </c>
      <c r="AE472" s="192">
        <f t="shared" si="150"/>
        <v>0</v>
      </c>
      <c r="AF472" s="192">
        <f t="shared" si="151"/>
        <v>0</v>
      </c>
      <c r="AG472" s="20">
        <f t="shared" si="152"/>
        <v>0</v>
      </c>
      <c r="AH472" s="20">
        <f t="shared" si="153"/>
        <v>0</v>
      </c>
      <c r="AI472" s="20"/>
    </row>
    <row r="473" spans="1:35">
      <c r="A473" s="28">
        <v>46129</v>
      </c>
      <c r="B473" s="2">
        <v>148.41666666666663</v>
      </c>
      <c r="C473" s="2">
        <v>419.16666666666669</v>
      </c>
      <c r="D473" s="2">
        <v>82.5</v>
      </c>
      <c r="E473" s="2">
        <v>397.41666666666663</v>
      </c>
      <c r="F473" s="2">
        <v>260.33333333333337</v>
      </c>
      <c r="G473" s="2">
        <v>81.5</v>
      </c>
      <c r="H473" s="2">
        <v>46.75</v>
      </c>
      <c r="I473" s="2">
        <v>1869.1666666666667</v>
      </c>
      <c r="J473" s="2">
        <v>120</v>
      </c>
      <c r="K473" s="2">
        <v>1192.3333333333335</v>
      </c>
      <c r="L473" s="2">
        <v>151.75</v>
      </c>
      <c r="M473" s="2">
        <v>330.58333333333331</v>
      </c>
      <c r="N473" s="107">
        <f t="shared" si="109"/>
        <v>112.21866073633933</v>
      </c>
      <c r="O473" s="7">
        <f t="shared" si="146"/>
        <v>4091.916666666667</v>
      </c>
      <c r="P473" s="7">
        <f t="shared" si="147"/>
        <v>3979.6980059303273</v>
      </c>
      <c r="Q473" s="7">
        <f t="shared" si="148"/>
        <v>1856.8228375181097</v>
      </c>
      <c r="R473" s="7">
        <f t="shared" si="149"/>
        <v>1092.4585017455511</v>
      </c>
      <c r="S473" s="7">
        <v>357</v>
      </c>
      <c r="T473" s="7">
        <v>9024</v>
      </c>
      <c r="U473" s="7">
        <v>6136</v>
      </c>
      <c r="V473" s="103">
        <v>158145</v>
      </c>
      <c r="W473" s="7">
        <f t="shared" si="134"/>
        <v>151652</v>
      </c>
      <c r="X473" s="103">
        <f t="shared" si="135"/>
        <v>159905</v>
      </c>
      <c r="Y473" s="103"/>
      <c r="Z473" s="2">
        <v>12081</v>
      </c>
      <c r="AA473" s="2"/>
      <c r="AB473" s="2">
        <v>1760</v>
      </c>
      <c r="AC473" s="78">
        <v>137015</v>
      </c>
      <c r="AD473" s="103">
        <f t="shared" si="129"/>
        <v>159905</v>
      </c>
      <c r="AE473" s="192">
        <f t="shared" si="150"/>
        <v>8.3764186402948582E-2</v>
      </c>
      <c r="AF473" s="192">
        <f t="shared" si="151"/>
        <v>6.6039210781401458E-3</v>
      </c>
      <c r="AG473" s="20">
        <f t="shared" si="152"/>
        <v>99.874831587782367</v>
      </c>
      <c r="AH473" s="20">
        <f t="shared" si="153"/>
        <v>12.343829148556956</v>
      </c>
      <c r="AI473" s="20"/>
    </row>
    <row r="474" spans="1:35">
      <c r="A474" s="28">
        <v>46130</v>
      </c>
      <c r="B474" s="2">
        <v>127.5</v>
      </c>
      <c r="C474" s="2">
        <v>442.16666666666663</v>
      </c>
      <c r="D474" s="2">
        <v>89.166666666666657</v>
      </c>
      <c r="E474" s="2">
        <v>277.5</v>
      </c>
      <c r="F474" s="2">
        <v>266.33333333333331</v>
      </c>
      <c r="G474" s="2">
        <v>0</v>
      </c>
      <c r="H474" s="2">
        <v>22.5</v>
      </c>
      <c r="I474" s="2">
        <v>1748.0833333333335</v>
      </c>
      <c r="J474" s="2">
        <v>142.5</v>
      </c>
      <c r="K474" s="2">
        <v>1176.25</v>
      </c>
      <c r="L474" s="2">
        <v>127.5</v>
      </c>
      <c r="M474" s="2">
        <v>310</v>
      </c>
      <c r="N474" s="107">
        <f t="shared" si="109"/>
        <v>305.60528699206577</v>
      </c>
      <c r="O474" s="7">
        <f t="shared" si="146"/>
        <v>3992</v>
      </c>
      <c r="P474" s="7">
        <f t="shared" si="147"/>
        <v>3686.3947130079341</v>
      </c>
      <c r="Q474" s="7">
        <f t="shared" si="148"/>
        <v>1671.6809899565249</v>
      </c>
      <c r="R474" s="7">
        <f t="shared" si="149"/>
        <v>947.04705638474297</v>
      </c>
      <c r="S474" s="7">
        <v>2986</v>
      </c>
      <c r="T474" s="7">
        <v>9889</v>
      </c>
      <c r="U474" s="7">
        <v>5889</v>
      </c>
      <c r="V474" s="103">
        <v>153334</v>
      </c>
      <c r="W474" s="7">
        <f t="shared" si="134"/>
        <v>144459</v>
      </c>
      <c r="X474" s="103">
        <f t="shared" si="135"/>
        <v>165381</v>
      </c>
      <c r="Y474" s="103"/>
      <c r="Z474" s="2">
        <v>28200</v>
      </c>
      <c r="AA474" s="2"/>
      <c r="AB474" s="2">
        <v>12047</v>
      </c>
      <c r="AC474" s="78">
        <v>137484</v>
      </c>
      <c r="AD474" s="103">
        <f t="shared" si="129"/>
        <v>165381</v>
      </c>
      <c r="AE474" s="192">
        <f t="shared" si="150"/>
        <v>0.19485903814262023</v>
      </c>
      <c r="AF474" s="192">
        <f t="shared" si="151"/>
        <v>4.3706350789994013E-2</v>
      </c>
      <c r="AG474" s="20">
        <f t="shared" si="152"/>
        <v>229.20294361525706</v>
      </c>
      <c r="AH474" s="20">
        <f t="shared" si="153"/>
        <v>76.402343376808702</v>
      </c>
      <c r="AI474" s="20"/>
    </row>
    <row r="475" spans="1:35">
      <c r="A475" s="28">
        <v>46131</v>
      </c>
      <c r="B475" s="2">
        <v>103.25</v>
      </c>
      <c r="C475" s="2">
        <v>320.33333333333337</v>
      </c>
      <c r="D475" s="2">
        <v>66.666666666666671</v>
      </c>
      <c r="E475" s="2">
        <v>0</v>
      </c>
      <c r="F475" s="2">
        <v>205.91666666666669</v>
      </c>
      <c r="G475" s="2">
        <v>0</v>
      </c>
      <c r="H475" s="2">
        <v>30</v>
      </c>
      <c r="I475" s="2">
        <v>1579.1666666666667</v>
      </c>
      <c r="J475" s="2">
        <v>112.5</v>
      </c>
      <c r="K475" s="2">
        <v>1045.8333333333335</v>
      </c>
      <c r="L475" s="2">
        <v>0</v>
      </c>
      <c r="M475" s="2">
        <v>268.58333333333337</v>
      </c>
      <c r="N475" s="107">
        <f t="shared" si="109"/>
        <v>559.89048217995423</v>
      </c>
      <c r="O475" s="7">
        <f t="shared" si="146"/>
        <v>3433.666666666667</v>
      </c>
      <c r="P475" s="7">
        <f t="shared" si="147"/>
        <v>2873.7761844867127</v>
      </c>
      <c r="Q475" s="7">
        <f t="shared" si="148"/>
        <v>1258.8706166645147</v>
      </c>
      <c r="R475" s="7">
        <f t="shared" si="149"/>
        <v>806.23890115553127</v>
      </c>
      <c r="S475" s="7">
        <v>970</v>
      </c>
      <c r="T475" s="7">
        <v>9512</v>
      </c>
      <c r="U475" s="7">
        <v>4403</v>
      </c>
      <c r="V475" s="103">
        <v>107656</v>
      </c>
      <c r="W475" s="7">
        <f t="shared" si="134"/>
        <v>102283</v>
      </c>
      <c r="X475" s="103">
        <f t="shared" si="135"/>
        <v>162633</v>
      </c>
      <c r="Y475" s="103"/>
      <c r="Z475" s="2">
        <v>29871</v>
      </c>
      <c r="AA475" s="2"/>
      <c r="AB475" s="2">
        <v>54977</v>
      </c>
      <c r="AC475" s="78">
        <v>123868</v>
      </c>
      <c r="AD475" s="103">
        <f t="shared" si="129"/>
        <v>162633</v>
      </c>
      <c r="AE475" s="192">
        <f t="shared" si="150"/>
        <v>0.22909427777957178</v>
      </c>
      <c r="AF475" s="192">
        <f t="shared" si="151"/>
        <v>0.20282599472431792</v>
      </c>
      <c r="AG475" s="20">
        <f t="shared" si="152"/>
        <v>239.59443217780219</v>
      </c>
      <c r="AH475" s="20">
        <f t="shared" si="153"/>
        <v>320.29605000215207</v>
      </c>
      <c r="AI475" s="20"/>
    </row>
    <row r="476" spans="1:35">
      <c r="A476" s="28">
        <v>46132</v>
      </c>
      <c r="B476" s="7">
        <v>412.5</v>
      </c>
      <c r="C476" s="2">
        <v>206.99999999999994</v>
      </c>
      <c r="D476" s="3">
        <v>86.666666666666657</v>
      </c>
      <c r="E476" s="2">
        <v>458.58333333333337</v>
      </c>
      <c r="F476" s="2">
        <v>277.08333333333337</v>
      </c>
      <c r="G476" s="2">
        <v>137</v>
      </c>
      <c r="H476" s="2">
        <v>55.5</v>
      </c>
      <c r="I476" s="2">
        <v>1575.0833333333335</v>
      </c>
      <c r="J476" s="2">
        <v>112.5</v>
      </c>
      <c r="K476" s="2">
        <v>1268.75</v>
      </c>
      <c r="L476" s="2">
        <v>152.75</v>
      </c>
      <c r="M476" s="3">
        <v>316.16666666666669</v>
      </c>
      <c r="N476" s="107">
        <f t="shared" si="109"/>
        <v>199.93568321486129</v>
      </c>
      <c r="O476" s="7">
        <f t="shared" si="146"/>
        <v>3939.5833333333335</v>
      </c>
      <c r="P476" s="7">
        <f t="shared" si="147"/>
        <v>3739.6476501184725</v>
      </c>
      <c r="Q476" s="7">
        <f t="shared" si="148"/>
        <v>1575.0833333333335</v>
      </c>
      <c r="R476" s="7">
        <f t="shared" si="149"/>
        <v>1068.8143167851388</v>
      </c>
      <c r="S476" s="7">
        <v>155</v>
      </c>
      <c r="T476" s="7">
        <v>2201</v>
      </c>
      <c r="U476" s="7">
        <v>178</v>
      </c>
      <c r="V476" s="103">
        <v>139615</v>
      </c>
      <c r="W476" s="7">
        <f t="shared" si="134"/>
        <v>139282</v>
      </c>
      <c r="X476" s="103">
        <f t="shared" si="135"/>
        <v>139615</v>
      </c>
      <c r="Y476" s="103"/>
      <c r="Z476" s="2">
        <v>24806</v>
      </c>
      <c r="AA476" s="2"/>
      <c r="AB476" s="2"/>
      <c r="AC476" s="78">
        <v>149543</v>
      </c>
      <c r="AD476" s="103">
        <f t="shared" si="129"/>
        <v>139615</v>
      </c>
      <c r="AE476" s="192">
        <f t="shared" ref="AE476:AE478" si="154">+(Z476/AC476*0.95)</f>
        <v>0.15758477494767392</v>
      </c>
      <c r="AF476" s="192">
        <f t="shared" ref="AF476:AF478" si="155">+(AB476/AD476*0.6)</f>
        <v>0</v>
      </c>
      <c r="AG476" s="20">
        <f t="shared" si="152"/>
        <v>199.93568321486129</v>
      </c>
      <c r="AH476" s="20">
        <f t="shared" si="153"/>
        <v>0</v>
      </c>
      <c r="AI476" s="20"/>
    </row>
    <row r="477" spans="1:35">
      <c r="A477" s="28">
        <v>46133</v>
      </c>
      <c r="B477" s="7">
        <v>119.33333333333337</v>
      </c>
      <c r="C477" s="2">
        <v>576.08333333333337</v>
      </c>
      <c r="D477" s="3">
        <v>91.833333333333343</v>
      </c>
      <c r="E477" s="2">
        <v>381.58333333333331</v>
      </c>
      <c r="F477" s="2">
        <v>269.75</v>
      </c>
      <c r="G477" s="2">
        <v>146.83333333333331</v>
      </c>
      <c r="H477" s="2">
        <v>48</v>
      </c>
      <c r="I477" s="2">
        <v>1815.5</v>
      </c>
      <c r="J477" s="2">
        <v>142.5</v>
      </c>
      <c r="K477" s="2">
        <v>1187.4166666666667</v>
      </c>
      <c r="L477" s="2">
        <v>130.25</v>
      </c>
      <c r="M477" s="3">
        <v>322.83333333333331</v>
      </c>
      <c r="N477" s="107">
        <f t="shared" si="109"/>
        <v>527.38670328325622</v>
      </c>
      <c r="O477" s="7">
        <f t="shared" si="146"/>
        <v>4202.416666666667</v>
      </c>
      <c r="P477" s="7">
        <f t="shared" si="147"/>
        <v>3675.0299633834106</v>
      </c>
      <c r="Q477" s="7">
        <f t="shared" si="148"/>
        <v>1647.9533741760733</v>
      </c>
      <c r="R477" s="7">
        <f t="shared" si="149"/>
        <v>827.57658920733729</v>
      </c>
      <c r="S477" s="7">
        <v>5978</v>
      </c>
      <c r="T477" s="7">
        <v>9662</v>
      </c>
      <c r="U477" s="7">
        <v>2324</v>
      </c>
      <c r="V477" s="103">
        <v>145580</v>
      </c>
      <c r="W477" s="7">
        <f t="shared" si="134"/>
        <v>137278</v>
      </c>
      <c r="X477" s="103">
        <f t="shared" si="135"/>
        <v>172042</v>
      </c>
      <c r="Y477" s="103"/>
      <c r="Z477" s="2">
        <v>47459</v>
      </c>
      <c r="AA477" s="2"/>
      <c r="AB477" s="2">
        <v>26462</v>
      </c>
      <c r="AC477" s="78">
        <v>148777</v>
      </c>
      <c r="AD477" s="103">
        <f t="shared" si="129"/>
        <v>172042</v>
      </c>
      <c r="AE477" s="192">
        <f t="shared" si="154"/>
        <v>0.30304448940360401</v>
      </c>
      <c r="AF477" s="192">
        <f t="shared" si="155"/>
        <v>9.2286767184757201E-2</v>
      </c>
      <c r="AG477" s="20">
        <f t="shared" si="152"/>
        <v>359.84007745932951</v>
      </c>
      <c r="AH477" s="20">
        <f t="shared" si="153"/>
        <v>167.54662582392669</v>
      </c>
      <c r="AI477" s="20"/>
    </row>
    <row r="478" spans="1:35">
      <c r="A478" s="28">
        <v>46134</v>
      </c>
      <c r="B478" s="7">
        <v>36.416666666666629</v>
      </c>
      <c r="C478" s="2">
        <v>641.41666666666663</v>
      </c>
      <c r="D478" s="3">
        <v>88.333333333333343</v>
      </c>
      <c r="E478" s="2">
        <v>396.16666666666669</v>
      </c>
      <c r="F478" s="2">
        <v>286.25</v>
      </c>
      <c r="G478" s="2">
        <v>149</v>
      </c>
      <c r="H478" s="2">
        <v>48</v>
      </c>
      <c r="I478" s="2">
        <v>1957.4166666666667</v>
      </c>
      <c r="J478" s="2">
        <v>149.75</v>
      </c>
      <c r="K478" s="2">
        <v>1199.6666666666665</v>
      </c>
      <c r="L478" s="2">
        <v>137.75</v>
      </c>
      <c r="M478" s="3">
        <v>330.25000000000006</v>
      </c>
      <c r="N478" s="107">
        <f t="shared" si="109"/>
        <v>429.11166438540863</v>
      </c>
      <c r="O478" s="7">
        <f t="shared" si="146"/>
        <v>4359.25</v>
      </c>
      <c r="P478" s="7">
        <f t="shared" si="147"/>
        <v>3930.1383356145916</v>
      </c>
      <c r="Q478" s="7">
        <f t="shared" si="148"/>
        <v>1760.8700525639781</v>
      </c>
      <c r="R478" s="7">
        <f t="shared" si="149"/>
        <v>967.10161638394652</v>
      </c>
      <c r="S478" s="7">
        <v>5387</v>
      </c>
      <c r="T478" s="7">
        <v>12300</v>
      </c>
      <c r="U478" s="7">
        <v>2787</v>
      </c>
      <c r="V478" s="103">
        <v>154288</v>
      </c>
      <c r="W478" s="7">
        <f t="shared" si="134"/>
        <v>146114</v>
      </c>
      <c r="X478" s="103">
        <f t="shared" si="135"/>
        <v>185298</v>
      </c>
      <c r="Y478" s="103"/>
      <c r="Z478" s="2">
        <v>30038</v>
      </c>
      <c r="AA478" s="2"/>
      <c r="AB478" s="2">
        <v>31010</v>
      </c>
      <c r="AC478" s="78">
        <v>147201</v>
      </c>
      <c r="AD478" s="103">
        <f t="shared" si="129"/>
        <v>185298</v>
      </c>
      <c r="AE478" s="192">
        <f t="shared" si="154"/>
        <v>0.19385805802949707</v>
      </c>
      <c r="AF478" s="192">
        <f t="shared" si="155"/>
        <v>0.10041122947900138</v>
      </c>
      <c r="AG478" s="20">
        <f t="shared" si="152"/>
        <v>232.56505028271997</v>
      </c>
      <c r="AH478" s="20">
        <f t="shared" si="153"/>
        <v>196.54661410268864</v>
      </c>
      <c r="AI478" s="20"/>
    </row>
    <row r="479" spans="1:35">
      <c r="A479" s="28">
        <v>46135</v>
      </c>
      <c r="B479" s="7">
        <v>82.25</v>
      </c>
      <c r="C479" s="2">
        <v>493.41666666666663</v>
      </c>
      <c r="D479" s="3">
        <v>81.333333333333343</v>
      </c>
      <c r="E479" s="2">
        <v>239.75</v>
      </c>
      <c r="F479" s="2">
        <v>244.91666666666669</v>
      </c>
      <c r="G479" s="2">
        <v>0</v>
      </c>
      <c r="H479" s="2">
        <v>22.5</v>
      </c>
      <c r="I479" s="2">
        <v>1832.0833333333333</v>
      </c>
      <c r="J479" s="2">
        <v>150</v>
      </c>
      <c r="K479" s="2">
        <v>1069.75</v>
      </c>
      <c r="L479" s="2">
        <v>7.5</v>
      </c>
      <c r="M479" s="3">
        <v>289.91666666666663</v>
      </c>
      <c r="N479" s="107">
        <f t="shared" si="109"/>
        <v>450.48657549045816</v>
      </c>
      <c r="O479" s="7">
        <f t="shared" si="146"/>
        <v>3953.75</v>
      </c>
      <c r="P479" s="7">
        <f t="shared" si="147"/>
        <v>3503.2634245095419</v>
      </c>
      <c r="Q479" s="7">
        <f t="shared" si="148"/>
        <v>1586.9529022675581</v>
      </c>
      <c r="R479" s="7">
        <f t="shared" si="149"/>
        <v>864.39385557531693</v>
      </c>
      <c r="S479" s="7">
        <v>6601</v>
      </c>
      <c r="T479" s="7">
        <v>11546</v>
      </c>
      <c r="U479" s="7">
        <v>2418</v>
      </c>
      <c r="V479" s="103">
        <v>147698</v>
      </c>
      <c r="W479" s="7">
        <f t="shared" si="134"/>
        <v>138679</v>
      </c>
      <c r="X479" s="103">
        <f t="shared" si="135"/>
        <v>190087</v>
      </c>
      <c r="Y479" s="103"/>
      <c r="Z479" s="2">
        <v>25791</v>
      </c>
      <c r="AA479" s="2"/>
      <c r="AB479" s="2">
        <v>42389</v>
      </c>
      <c r="AC479" s="78">
        <v>127634</v>
      </c>
      <c r="AD479" s="103">
        <f t="shared" si="129"/>
        <v>190087</v>
      </c>
      <c r="AE479" s="192">
        <f t="shared" ref="AE479:AE489" si="156">+(Z479/AC479*0.95)</f>
        <v>0.19196648228528446</v>
      </c>
      <c r="AF479" s="192">
        <f t="shared" ref="AF479:AF489" si="157">+(AB479/AD479*0.6)</f>
        <v>0.13379873426378447</v>
      </c>
      <c r="AG479" s="20">
        <f t="shared" si="152"/>
        <v>205.35614442468304</v>
      </c>
      <c r="AH479" s="20">
        <f t="shared" si="153"/>
        <v>245.13043106577513</v>
      </c>
      <c r="AI479" s="20"/>
    </row>
    <row r="480" spans="1:35">
      <c r="A480" s="28">
        <v>46136</v>
      </c>
      <c r="B480" s="7">
        <v>294.08333333333331</v>
      </c>
      <c r="C480" s="2">
        <v>398.58333333333337</v>
      </c>
      <c r="D480" s="3">
        <v>87</v>
      </c>
      <c r="E480" s="2">
        <v>428.16666666666663</v>
      </c>
      <c r="F480" s="2">
        <v>329.66666666666663</v>
      </c>
      <c r="G480" s="2">
        <v>133.08333333333334</v>
      </c>
      <c r="H480" s="2">
        <v>48</v>
      </c>
      <c r="I480" s="2">
        <v>1567.1666666666667</v>
      </c>
      <c r="J480" s="2">
        <v>165</v>
      </c>
      <c r="K480" s="2">
        <v>1037.4166666666665</v>
      </c>
      <c r="L480" s="2">
        <v>137</v>
      </c>
      <c r="M480" s="3">
        <v>304.91666666666669</v>
      </c>
      <c r="N480" s="107">
        <f t="shared" si="109"/>
        <v>188.94230218303483</v>
      </c>
      <c r="O480" s="7">
        <f t="shared" si="146"/>
        <v>3878.9166666666665</v>
      </c>
      <c r="P480" s="7">
        <f t="shared" si="147"/>
        <v>3689.9743644836317</v>
      </c>
      <c r="Q480" s="7">
        <f t="shared" si="148"/>
        <v>1501.0000840786288</v>
      </c>
      <c r="R480" s="7">
        <f t="shared" si="149"/>
        <v>914.64094707166964</v>
      </c>
      <c r="S480" s="7">
        <v>6199</v>
      </c>
      <c r="T480" s="7">
        <v>12728</v>
      </c>
      <c r="U480" s="7">
        <v>2980</v>
      </c>
      <c r="V480" s="103">
        <v>133049</v>
      </c>
      <c r="W480" s="7">
        <f t="shared" si="134"/>
        <v>123870</v>
      </c>
      <c r="X480" s="103">
        <f t="shared" si="135"/>
        <v>143120</v>
      </c>
      <c r="Y480" s="103"/>
      <c r="Z480" s="2">
        <v>14299</v>
      </c>
      <c r="AA480" s="2"/>
      <c r="AB480" s="2">
        <v>10071</v>
      </c>
      <c r="AC480" s="78">
        <v>114781</v>
      </c>
      <c r="AD480" s="103">
        <f t="shared" si="129"/>
        <v>143120</v>
      </c>
      <c r="AE480" s="192">
        <f t="shared" si="156"/>
        <v>0.11834754881034316</v>
      </c>
      <c r="AF480" s="192">
        <f t="shared" si="157"/>
        <v>4.2220514253773059E-2</v>
      </c>
      <c r="AG480" s="20">
        <f t="shared" si="152"/>
        <v>122.77571959499681</v>
      </c>
      <c r="AH480" s="20">
        <f t="shared" si="153"/>
        <v>66.166582588038011</v>
      </c>
      <c r="AI480" s="20"/>
    </row>
    <row r="481" spans="1:38">
      <c r="A481" s="28">
        <v>46137</v>
      </c>
      <c r="B481" s="7">
        <v>20.25</v>
      </c>
      <c r="C481" s="2">
        <v>664.5</v>
      </c>
      <c r="D481" s="3">
        <v>87.5</v>
      </c>
      <c r="E481" s="2">
        <v>336.91666666666663</v>
      </c>
      <c r="F481" s="2">
        <v>249.41666666666666</v>
      </c>
      <c r="G481" s="2">
        <v>0</v>
      </c>
      <c r="H481" s="2">
        <v>22.083333333333336</v>
      </c>
      <c r="I481" s="2">
        <v>1531.4166666666667</v>
      </c>
      <c r="J481" s="2">
        <v>112.5</v>
      </c>
      <c r="K481" s="2">
        <v>988.5</v>
      </c>
      <c r="L481" s="2">
        <v>134.75</v>
      </c>
      <c r="M481" s="3">
        <v>273.41666666666669</v>
      </c>
      <c r="N481" s="107">
        <f t="shared" si="109"/>
        <v>20.583825906609324</v>
      </c>
      <c r="O481" s="7">
        <f t="shared" si="146"/>
        <v>3654.0833333333335</v>
      </c>
      <c r="P481" s="7">
        <f t="shared" si="147"/>
        <v>3633.4995074267235</v>
      </c>
      <c r="Q481" s="7">
        <f t="shared" si="148"/>
        <v>1531.4166666666667</v>
      </c>
      <c r="R481" s="7">
        <f t="shared" si="149"/>
        <v>967.91617409339062</v>
      </c>
      <c r="S481" s="7">
        <v>3060</v>
      </c>
      <c r="T481" s="7">
        <v>5573</v>
      </c>
      <c r="U481" s="7">
        <v>1980</v>
      </c>
      <c r="V481" s="103">
        <v>109755</v>
      </c>
      <c r="W481" s="7">
        <f t="shared" si="134"/>
        <v>104715</v>
      </c>
      <c r="X481" s="103">
        <f t="shared" si="135"/>
        <v>109755</v>
      </c>
      <c r="Y481" s="103"/>
      <c r="Z481" s="2">
        <v>2156</v>
      </c>
      <c r="AA481" s="2"/>
      <c r="AB481" s="2"/>
      <c r="AC481" s="78">
        <v>98361</v>
      </c>
      <c r="AD481" s="103">
        <f t="shared" si="129"/>
        <v>109755</v>
      </c>
      <c r="AE481" s="192">
        <f t="shared" si="156"/>
        <v>2.0823293785138416E-2</v>
      </c>
      <c r="AF481" s="192">
        <f t="shared" si="157"/>
        <v>0</v>
      </c>
      <c r="AG481" s="20">
        <f t="shared" si="152"/>
        <v>20.583825906609324</v>
      </c>
      <c r="AH481" s="20">
        <f t="shared" si="153"/>
        <v>0</v>
      </c>
      <c r="AI481" s="20"/>
    </row>
    <row r="482" spans="1:38">
      <c r="A482" s="28">
        <v>46138</v>
      </c>
      <c r="N482" s="107">
        <f t="shared" si="109"/>
        <v>0</v>
      </c>
      <c r="O482" s="7">
        <f t="shared" si="146"/>
        <v>0</v>
      </c>
      <c r="P482" s="7">
        <f t="shared" si="147"/>
        <v>0</v>
      </c>
      <c r="Q482" s="7">
        <f t="shared" si="148"/>
        <v>0</v>
      </c>
      <c r="R482" s="7">
        <f t="shared" si="149"/>
        <v>0</v>
      </c>
      <c r="T482" s="7"/>
      <c r="U482" s="7"/>
      <c r="V482" s="103"/>
      <c r="W482" s="7">
        <f t="shared" si="134"/>
        <v>0</v>
      </c>
      <c r="X482" s="103">
        <f t="shared" si="135"/>
        <v>0</v>
      </c>
      <c r="Y482" s="103"/>
      <c r="Z482" s="2"/>
      <c r="AA482" s="2"/>
      <c r="AB482" s="2"/>
      <c r="AC482" s="78"/>
      <c r="AD482" s="103"/>
      <c r="AE482" s="192"/>
      <c r="AF482" s="192"/>
      <c r="AG482" s="20">
        <f t="shared" si="152"/>
        <v>0</v>
      </c>
      <c r="AH482" s="20">
        <f t="shared" si="153"/>
        <v>0</v>
      </c>
    </row>
    <row r="483" spans="1:38">
      <c r="A483" s="28">
        <v>46139</v>
      </c>
      <c r="B483" s="3">
        <v>74.416666666666629</v>
      </c>
      <c r="C483" s="3">
        <v>516.75</v>
      </c>
      <c r="D483" s="3">
        <v>77.583333333333343</v>
      </c>
      <c r="E483" s="3">
        <v>412</v>
      </c>
      <c r="F483" s="3">
        <v>258</v>
      </c>
      <c r="G483" s="3">
        <v>136.41666666666666</v>
      </c>
      <c r="H483" s="3">
        <v>55.5</v>
      </c>
      <c r="I483" s="3">
        <v>1564.3333333333333</v>
      </c>
      <c r="J483" s="3">
        <v>120</v>
      </c>
      <c r="K483" s="3">
        <v>1160.6666666666667</v>
      </c>
      <c r="L483" s="3">
        <v>145.5</v>
      </c>
      <c r="M483" s="3">
        <v>282.33333333333331</v>
      </c>
      <c r="N483" s="107">
        <f t="shared" si="109"/>
        <v>28.042026191678698</v>
      </c>
      <c r="O483" s="7">
        <f t="shared" si="146"/>
        <v>3771.75</v>
      </c>
      <c r="P483" s="7">
        <f t="shared" si="147"/>
        <v>3743.7079738083212</v>
      </c>
      <c r="Q483" s="7">
        <f t="shared" si="148"/>
        <v>1536.2913071416547</v>
      </c>
      <c r="R483" s="7">
        <f t="shared" si="149"/>
        <v>1160.6666666666667</v>
      </c>
      <c r="S483" s="7">
        <v>4286</v>
      </c>
      <c r="T483" s="7">
        <v>11022</v>
      </c>
      <c r="U483" s="7">
        <v>1790</v>
      </c>
      <c r="V483" s="103">
        <v>136379</v>
      </c>
      <c r="W483" s="7">
        <f t="shared" si="134"/>
        <v>130303</v>
      </c>
      <c r="X483" s="103">
        <f t="shared" si="135"/>
        <v>140579</v>
      </c>
      <c r="Y483" s="103"/>
      <c r="Z483"/>
      <c r="AA483"/>
      <c r="AB483" s="2">
        <v>4200</v>
      </c>
      <c r="AC483" s="78">
        <v>130416</v>
      </c>
      <c r="AD483" s="103">
        <f t="shared" si="129"/>
        <v>140579</v>
      </c>
      <c r="AE483" s="192">
        <f t="shared" si="156"/>
        <v>0</v>
      </c>
      <c r="AF483" s="192">
        <f t="shared" si="157"/>
        <v>1.7925863749208629E-2</v>
      </c>
      <c r="AG483" s="20">
        <f t="shared" si="152"/>
        <v>0</v>
      </c>
      <c r="AH483" s="20">
        <f t="shared" si="153"/>
        <v>28.042026191678698</v>
      </c>
    </row>
    <row r="484" spans="1:38">
      <c r="A484" s="28">
        <v>46140</v>
      </c>
      <c r="B484" s="3">
        <v>30</v>
      </c>
      <c r="C484" s="3">
        <v>558.83333333333326</v>
      </c>
      <c r="D484" s="3">
        <v>82.5</v>
      </c>
      <c r="E484" s="3">
        <v>400.41666666666663</v>
      </c>
      <c r="F484" s="3">
        <v>293.58333333333331</v>
      </c>
      <c r="G484" s="3">
        <v>129.25</v>
      </c>
      <c r="H484" s="3">
        <v>48</v>
      </c>
      <c r="I484" s="3">
        <v>1658.083333333333</v>
      </c>
      <c r="J484" s="3">
        <v>122.58333333333333</v>
      </c>
      <c r="K484" s="3">
        <v>1253.5</v>
      </c>
      <c r="L484" s="3">
        <v>160.25</v>
      </c>
      <c r="M484" s="3">
        <v>316.16666666666669</v>
      </c>
      <c r="N484" s="107">
        <f t="shared" si="109"/>
        <v>1.2274924689405322</v>
      </c>
      <c r="O484" s="7">
        <f t="shared" si="146"/>
        <v>3999.083333333333</v>
      </c>
      <c r="P484" s="7">
        <f t="shared" si="147"/>
        <v>3997.8558408643921</v>
      </c>
      <c r="Q484" s="7">
        <f t="shared" si="148"/>
        <v>1656.8558408643926</v>
      </c>
      <c r="R484" s="7">
        <f t="shared" si="149"/>
        <v>1253.5</v>
      </c>
      <c r="S484" s="7">
        <v>4767</v>
      </c>
      <c r="T484" s="7">
        <v>9053</v>
      </c>
      <c r="U484" s="7">
        <v>2911</v>
      </c>
      <c r="V484" s="103">
        <v>152181</v>
      </c>
      <c r="W484" s="7">
        <f t="shared" si="134"/>
        <v>144503</v>
      </c>
      <c r="X484" s="103">
        <f t="shared" si="135"/>
        <v>152369</v>
      </c>
      <c r="Y484" s="103"/>
      <c r="Z484"/>
      <c r="AA484"/>
      <c r="AB484" s="2">
        <v>188</v>
      </c>
      <c r="AC484" s="78">
        <v>144560</v>
      </c>
      <c r="AD484" s="103">
        <f t="shared" si="129"/>
        <v>152369</v>
      </c>
      <c r="AE484" s="192">
        <f t="shared" si="156"/>
        <v>0</v>
      </c>
      <c r="AF484" s="192">
        <f t="shared" si="157"/>
        <v>7.4030806791407699E-4</v>
      </c>
      <c r="AG484" s="20">
        <f t="shared" si="152"/>
        <v>0</v>
      </c>
      <c r="AH484" s="20">
        <f t="shared" si="153"/>
        <v>1.2274924689405322</v>
      </c>
    </row>
    <row r="485" spans="1:38">
      <c r="A485" s="28">
        <v>46141</v>
      </c>
      <c r="B485" s="3">
        <v>52.5</v>
      </c>
      <c r="C485" s="3">
        <v>608.75</v>
      </c>
      <c r="D485" s="3">
        <v>75</v>
      </c>
      <c r="E485" s="3">
        <v>404.66666666666669</v>
      </c>
      <c r="F485" s="3">
        <v>284.66666666666663</v>
      </c>
      <c r="G485" s="3">
        <v>122.41666666666666</v>
      </c>
      <c r="H485" s="3">
        <v>48</v>
      </c>
      <c r="I485" s="3">
        <v>1683.1666666666667</v>
      </c>
      <c r="J485" s="3">
        <v>124.5</v>
      </c>
      <c r="K485" s="3">
        <v>1120.8333333333335</v>
      </c>
      <c r="L485" s="3">
        <v>153</v>
      </c>
      <c r="M485" s="3">
        <v>316.41666666666669</v>
      </c>
      <c r="N485" s="107">
        <f t="shared" si="109"/>
        <v>0</v>
      </c>
      <c r="O485" s="7">
        <f t="shared" si="146"/>
        <v>3949.416666666667</v>
      </c>
      <c r="P485" s="7">
        <f t="shared" si="147"/>
        <v>3949.4166666666665</v>
      </c>
      <c r="Q485" s="7">
        <f t="shared" si="148"/>
        <v>1683.1666666666667</v>
      </c>
      <c r="R485" s="7">
        <f t="shared" si="149"/>
        <v>1120.8333333333335</v>
      </c>
      <c r="S485" s="7">
        <v>6040</v>
      </c>
      <c r="T485" s="7">
        <v>10770</v>
      </c>
      <c r="U485" s="7">
        <v>2642</v>
      </c>
      <c r="V485" s="103">
        <v>162660</v>
      </c>
      <c r="W485" s="7">
        <f t="shared" si="134"/>
        <v>153978</v>
      </c>
      <c r="X485" s="103">
        <f t="shared" si="135"/>
        <v>162660</v>
      </c>
      <c r="Y485" s="103"/>
      <c r="Z485"/>
      <c r="AA485"/>
      <c r="AB485" s="2"/>
      <c r="AC485" s="78">
        <v>128545</v>
      </c>
      <c r="AD485" s="103">
        <f t="shared" si="129"/>
        <v>162660</v>
      </c>
      <c r="AE485" s="192">
        <f t="shared" si="156"/>
        <v>0</v>
      </c>
      <c r="AF485" s="192">
        <f t="shared" si="157"/>
        <v>0</v>
      </c>
      <c r="AG485" s="20">
        <f t="shared" si="152"/>
        <v>0</v>
      </c>
      <c r="AH485" s="20">
        <f t="shared" si="153"/>
        <v>0</v>
      </c>
    </row>
    <row r="486" spans="1:38">
      <c r="A486" s="28">
        <v>46142</v>
      </c>
      <c r="B486" s="3">
        <v>37.5</v>
      </c>
      <c r="C486" s="3">
        <v>374.66666666666669</v>
      </c>
      <c r="D486" s="3">
        <v>63.416666666666664</v>
      </c>
      <c r="E486" s="3">
        <v>377.83333333333331</v>
      </c>
      <c r="F486" s="3">
        <v>280.5</v>
      </c>
      <c r="G486" s="3">
        <v>125.91666666666666</v>
      </c>
      <c r="H486" s="3">
        <v>48</v>
      </c>
      <c r="I486" s="3">
        <v>1803.3333333333337</v>
      </c>
      <c r="J486" s="3">
        <v>121</v>
      </c>
      <c r="K486" s="3">
        <v>1215.5</v>
      </c>
      <c r="L486" s="3">
        <v>153</v>
      </c>
      <c r="M486" s="3">
        <v>314.58333333333331</v>
      </c>
      <c r="N486" s="107">
        <f t="shared" si="109"/>
        <v>0</v>
      </c>
      <c r="O486" s="7">
        <f t="shared" si="146"/>
        <v>3895.916666666667</v>
      </c>
      <c r="P486" s="7">
        <f t="shared" si="147"/>
        <v>3895.916666666667</v>
      </c>
      <c r="Q486" s="7">
        <f t="shared" si="148"/>
        <v>1803.3333333333337</v>
      </c>
      <c r="R486" s="7">
        <f t="shared" si="149"/>
        <v>1215.5</v>
      </c>
      <c r="S486" s="7">
        <v>4750</v>
      </c>
      <c r="T486" s="7">
        <v>7993</v>
      </c>
      <c r="U486" s="7">
        <v>2419</v>
      </c>
      <c r="V486" s="103">
        <v>163354</v>
      </c>
      <c r="W486" s="7">
        <f t="shared" si="134"/>
        <v>156185</v>
      </c>
      <c r="X486" s="103">
        <f t="shared" si="135"/>
        <v>163354</v>
      </c>
      <c r="Y486" s="103"/>
      <c r="Z486"/>
      <c r="AA486"/>
      <c r="AB486" s="2"/>
      <c r="AC486" s="78">
        <v>138912</v>
      </c>
      <c r="AD486" s="103">
        <f t="shared" si="129"/>
        <v>163354</v>
      </c>
      <c r="AE486" s="192">
        <f t="shared" si="156"/>
        <v>0</v>
      </c>
      <c r="AF486" s="192">
        <f t="shared" si="157"/>
        <v>0</v>
      </c>
      <c r="AG486" s="20">
        <f t="shared" si="152"/>
        <v>0</v>
      </c>
      <c r="AH486" s="20">
        <f t="shared" si="153"/>
        <v>0</v>
      </c>
    </row>
    <row r="487" spans="1:38">
      <c r="A487" s="28">
        <v>46143</v>
      </c>
      <c r="B487" s="2"/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107">
        <f t="shared" ref="N487:N538" si="158">+AH487+AG487</f>
        <v>0</v>
      </c>
      <c r="O487" s="7">
        <f t="shared" si="146"/>
        <v>0</v>
      </c>
      <c r="P487" s="7">
        <f t="shared" si="147"/>
        <v>0</v>
      </c>
      <c r="Q487" s="7">
        <f t="shared" si="148"/>
        <v>0</v>
      </c>
      <c r="R487" s="7">
        <f t="shared" si="149"/>
        <v>0</v>
      </c>
      <c r="T487" s="7"/>
      <c r="U487" s="7"/>
      <c r="V487" s="103"/>
      <c r="W487" s="7">
        <f t="shared" si="134"/>
        <v>0</v>
      </c>
      <c r="X487" s="103">
        <f t="shared" si="135"/>
        <v>0</v>
      </c>
      <c r="Y487" s="103"/>
      <c r="Z487"/>
      <c r="AA487"/>
      <c r="AB487" s="2"/>
      <c r="AD487" s="103"/>
      <c r="AE487" s="192"/>
      <c r="AF487" s="192"/>
      <c r="AG487" s="20">
        <f t="shared" si="152"/>
        <v>0</v>
      </c>
      <c r="AH487" s="20">
        <f t="shared" si="153"/>
        <v>0</v>
      </c>
    </row>
    <row r="488" spans="1:38">
      <c r="A488" s="28">
        <v>46144</v>
      </c>
      <c r="B488" s="2">
        <v>82.5</v>
      </c>
      <c r="C488" s="2">
        <v>404.25</v>
      </c>
      <c r="D488" s="2">
        <v>82.5</v>
      </c>
      <c r="E488" s="2">
        <v>276.25</v>
      </c>
      <c r="F488" s="2">
        <v>237.41666666666666</v>
      </c>
      <c r="G488" s="2">
        <v>0</v>
      </c>
      <c r="H488" s="2">
        <v>22.5</v>
      </c>
      <c r="I488" s="2">
        <v>1727.9166666666667</v>
      </c>
      <c r="J488" s="2">
        <v>118.91666666666666</v>
      </c>
      <c r="K488" s="2">
        <v>1184.9166666666667</v>
      </c>
      <c r="L488" s="2">
        <v>112.5</v>
      </c>
      <c r="M488" s="2">
        <v>302.33333333333331</v>
      </c>
      <c r="N488" s="107">
        <f t="shared" si="158"/>
        <v>0</v>
      </c>
      <c r="O488" s="7">
        <f t="shared" si="146"/>
        <v>3838.4166666666665</v>
      </c>
      <c r="P488" s="7">
        <f t="shared" si="147"/>
        <v>3838.416666666667</v>
      </c>
      <c r="Q488" s="7">
        <f t="shared" si="148"/>
        <v>1727.9166666666667</v>
      </c>
      <c r="R488" s="7">
        <f t="shared" si="149"/>
        <v>1184.9166666666667</v>
      </c>
      <c r="S488" s="7">
        <v>4303</v>
      </c>
      <c r="T488" s="7">
        <v>9921</v>
      </c>
      <c r="U488" s="7">
        <v>2832</v>
      </c>
      <c r="V488" s="103">
        <v>157855</v>
      </c>
      <c r="W488" s="7">
        <f t="shared" si="134"/>
        <v>150720</v>
      </c>
      <c r="X488" s="103">
        <f t="shared" si="135"/>
        <v>157855</v>
      </c>
      <c r="Y488" s="103"/>
      <c r="Z488"/>
      <c r="AA488"/>
      <c r="AB488" s="2"/>
      <c r="AC488" s="78">
        <v>152718</v>
      </c>
      <c r="AD488" s="103">
        <f t="shared" si="129"/>
        <v>157855</v>
      </c>
      <c r="AE488" s="192">
        <f t="shared" si="156"/>
        <v>0</v>
      </c>
      <c r="AF488" s="192">
        <f t="shared" si="157"/>
        <v>0</v>
      </c>
      <c r="AG488" s="20">
        <f t="shared" si="152"/>
        <v>0</v>
      </c>
      <c r="AH488" s="20">
        <f t="shared" si="153"/>
        <v>0</v>
      </c>
    </row>
    <row r="489" spans="1:38">
      <c r="A489" s="28">
        <v>46145</v>
      </c>
      <c r="B489" s="2">
        <v>97.5</v>
      </c>
      <c r="C489" s="2">
        <v>322.25</v>
      </c>
      <c r="D489" s="2">
        <v>66.583333333333329</v>
      </c>
      <c r="E489" s="2">
        <v>15</v>
      </c>
      <c r="F489" s="2">
        <v>232.5</v>
      </c>
      <c r="G489" s="2">
        <v>0</v>
      </c>
      <c r="H489" s="2">
        <v>22.5</v>
      </c>
      <c r="I489" s="2">
        <v>1656.5</v>
      </c>
      <c r="J489" s="2">
        <v>117.58333333333333</v>
      </c>
      <c r="K489" s="2">
        <v>1034.4166666666667</v>
      </c>
      <c r="L489" s="2">
        <v>0</v>
      </c>
      <c r="M489" s="2">
        <v>267.91666666666663</v>
      </c>
      <c r="N489" s="107">
        <f t="shared" si="158"/>
        <v>0</v>
      </c>
      <c r="O489" s="7">
        <f t="shared" si="146"/>
        <v>3527.3333333333335</v>
      </c>
      <c r="P489" s="7">
        <f t="shared" si="147"/>
        <v>3527.333333333333</v>
      </c>
      <c r="Q489" s="7">
        <f t="shared" si="148"/>
        <v>1656.5</v>
      </c>
      <c r="R489" s="7">
        <f t="shared" si="149"/>
        <v>1034.4166666666667</v>
      </c>
      <c r="S489" s="7">
        <v>4898</v>
      </c>
      <c r="T489" s="7">
        <v>8953</v>
      </c>
      <c r="U489" s="7">
        <v>2998</v>
      </c>
      <c r="V489" s="103">
        <v>161947</v>
      </c>
      <c r="W489" s="7">
        <f t="shared" si="134"/>
        <v>154051</v>
      </c>
      <c r="X489" s="103">
        <f t="shared" si="135"/>
        <v>161947</v>
      </c>
      <c r="Y489" s="103"/>
      <c r="Z489"/>
      <c r="AA489"/>
      <c r="AB489" s="2"/>
      <c r="AC489" s="78">
        <v>127009</v>
      </c>
      <c r="AD489" s="103">
        <f t="shared" si="129"/>
        <v>161947</v>
      </c>
      <c r="AE489" s="192">
        <f t="shared" si="156"/>
        <v>0</v>
      </c>
      <c r="AF489" s="192">
        <f t="shared" si="157"/>
        <v>0</v>
      </c>
      <c r="AG489" s="20">
        <f t="shared" si="152"/>
        <v>0</v>
      </c>
      <c r="AH489" s="20">
        <f t="shared" si="153"/>
        <v>0</v>
      </c>
    </row>
    <row r="490" spans="1:38">
      <c r="A490" s="28">
        <v>46146</v>
      </c>
      <c r="B490" s="2">
        <v>36.25</v>
      </c>
      <c r="C490" s="2">
        <v>374.75</v>
      </c>
      <c r="D490" s="2">
        <v>90</v>
      </c>
      <c r="E490" s="2">
        <v>379.25</v>
      </c>
      <c r="F490" s="2">
        <v>271.25</v>
      </c>
      <c r="G490" s="2">
        <v>84.25</v>
      </c>
      <c r="H490" s="2">
        <v>48</v>
      </c>
      <c r="I490" s="2">
        <v>1604.75</v>
      </c>
      <c r="J490" s="2">
        <v>153</v>
      </c>
      <c r="K490" s="2">
        <v>1231</v>
      </c>
      <c r="L490" s="2">
        <v>130.5</v>
      </c>
      <c r="M490" s="2">
        <v>325.66666666666669</v>
      </c>
      <c r="N490" s="107">
        <f t="shared" si="158"/>
        <v>9.0155231417131318E-2</v>
      </c>
      <c r="O490" s="7">
        <f t="shared" si="146"/>
        <v>3761</v>
      </c>
      <c r="P490" s="7">
        <f t="shared" si="147"/>
        <v>3760.9098447685828</v>
      </c>
      <c r="Q490" s="7">
        <f t="shared" si="148"/>
        <v>1604.7038956419431</v>
      </c>
      <c r="R490" s="7">
        <f t="shared" si="149"/>
        <v>1230.95594912664</v>
      </c>
      <c r="S490" s="7">
        <v>8786</v>
      </c>
      <c r="T490" s="7">
        <v>12401</v>
      </c>
      <c r="U490" s="7">
        <v>907</v>
      </c>
      <c r="V490" s="103">
        <v>146182</v>
      </c>
      <c r="W490" s="7">
        <f t="shared" si="134"/>
        <v>136489</v>
      </c>
      <c r="X490" s="103">
        <f t="shared" si="135"/>
        <v>146189</v>
      </c>
      <c r="Y490" s="103"/>
      <c r="Z490" s="2">
        <v>7</v>
      </c>
      <c r="AA490" s="2"/>
      <c r="AB490" s="7">
        <v>7</v>
      </c>
      <c r="AC490" s="78">
        <v>185834</v>
      </c>
      <c r="AD490" s="103">
        <f t="shared" si="129"/>
        <v>146189</v>
      </c>
      <c r="AE490" s="192">
        <f t="shared" ref="AE490:AE495" si="159">+(Z490/AC490*0.95)</f>
        <v>3.5784624987892421E-5</v>
      </c>
      <c r="AF490" s="192">
        <f t="shared" ref="AF490:AF495" si="160">+(AB490/AD490*0.6)</f>
        <v>2.872993180061427E-5</v>
      </c>
      <c r="AG490" s="20">
        <f t="shared" si="152"/>
        <v>4.4050873360095569E-2</v>
      </c>
      <c r="AH490" s="20">
        <f t="shared" si="153"/>
        <v>4.6104358057035749E-2</v>
      </c>
    </row>
    <row r="491" spans="1:38">
      <c r="A491" s="28">
        <v>46147</v>
      </c>
      <c r="B491" s="2">
        <v>51.5</v>
      </c>
      <c r="C491" s="2">
        <v>636.25</v>
      </c>
      <c r="D491" s="2">
        <v>90</v>
      </c>
      <c r="E491" s="2">
        <v>403.16666666666663</v>
      </c>
      <c r="F491" s="2">
        <v>271.75</v>
      </c>
      <c r="G491" s="2">
        <v>76.666666666666657</v>
      </c>
      <c r="H491" s="2">
        <v>46.25</v>
      </c>
      <c r="I491" s="2">
        <v>1998.8333333333333</v>
      </c>
      <c r="J491" s="2">
        <v>162</v>
      </c>
      <c r="K491" s="2">
        <v>1190.75</v>
      </c>
      <c r="L491" s="2">
        <v>145.5</v>
      </c>
      <c r="M491" s="2">
        <v>337.41666666666669</v>
      </c>
      <c r="N491" s="107">
        <f t="shared" si="158"/>
        <v>0.1772782921318643</v>
      </c>
      <c r="O491" s="7">
        <f t="shared" si="146"/>
        <v>4401.083333333333</v>
      </c>
      <c r="P491" s="7">
        <f t="shared" si="147"/>
        <v>4400.9060550412014</v>
      </c>
      <c r="Q491" s="7">
        <f t="shared" si="148"/>
        <v>1998.7174722304405</v>
      </c>
      <c r="R491" s="7">
        <f t="shared" si="149"/>
        <v>1190.6885828107609</v>
      </c>
      <c r="S491" s="7">
        <v>9263</v>
      </c>
      <c r="T491" s="7">
        <v>12802</v>
      </c>
      <c r="U491" s="7">
        <v>998</v>
      </c>
      <c r="V491" s="103">
        <v>165603</v>
      </c>
      <c r="W491" s="7">
        <f t="shared" si="134"/>
        <v>155342</v>
      </c>
      <c r="X491" s="103">
        <f t="shared" si="135"/>
        <v>165619</v>
      </c>
      <c r="Y491" s="103"/>
      <c r="Z491" s="2">
        <v>8</v>
      </c>
      <c r="AA491" s="2"/>
      <c r="AB491" s="7">
        <v>16</v>
      </c>
      <c r="AC491" s="78">
        <v>147348</v>
      </c>
      <c r="AD491" s="103">
        <f t="shared" si="129"/>
        <v>165619</v>
      </c>
      <c r="AE491" s="192">
        <f t="shared" si="159"/>
        <v>5.1578575888373094E-5</v>
      </c>
      <c r="AF491" s="192">
        <f t="shared" si="160"/>
        <v>5.796436399205405E-5</v>
      </c>
      <c r="AG491" s="20">
        <f t="shared" si="152"/>
        <v>6.141718923908026E-2</v>
      </c>
      <c r="AH491" s="20">
        <f t="shared" si="153"/>
        <v>0.11586110289278403</v>
      </c>
    </row>
    <row r="492" spans="1:38">
      <c r="A492" s="28">
        <v>46148</v>
      </c>
      <c r="B492" s="2">
        <v>53.583333333333314</v>
      </c>
      <c r="C492" s="2">
        <v>409.08333333333331</v>
      </c>
      <c r="D492" s="2">
        <v>95.25</v>
      </c>
      <c r="E492" s="2">
        <v>417.41666666666663</v>
      </c>
      <c r="F492" s="2">
        <v>293.91666666666663</v>
      </c>
      <c r="G492" s="2">
        <v>82.25</v>
      </c>
      <c r="H492" s="2">
        <v>45.75</v>
      </c>
      <c r="I492" s="2">
        <v>2143.25</v>
      </c>
      <c r="J492" s="2">
        <v>128.5</v>
      </c>
      <c r="K492" s="2">
        <v>1215.3333333333333</v>
      </c>
      <c r="L492" s="2">
        <v>144.58333333333331</v>
      </c>
      <c r="M492" s="2">
        <v>341.83333333333331</v>
      </c>
      <c r="N492" s="107">
        <f t="shared" si="158"/>
        <v>2.5001116002599888</v>
      </c>
      <c r="O492" s="7">
        <f t="shared" si="146"/>
        <v>4338.9166666666661</v>
      </c>
      <c r="P492" s="7">
        <f t="shared" si="147"/>
        <v>4336.4165550664065</v>
      </c>
      <c r="Q492" s="7">
        <f t="shared" si="148"/>
        <v>2143.0010027218714</v>
      </c>
      <c r="R492" s="7">
        <f t="shared" si="149"/>
        <v>1213.0822190112021</v>
      </c>
      <c r="S492" s="7">
        <v>5017</v>
      </c>
      <c r="T492" s="7">
        <v>8091</v>
      </c>
      <c r="U492" s="7">
        <v>864</v>
      </c>
      <c r="V492" s="103">
        <v>180723</v>
      </c>
      <c r="W492" s="7">
        <f t="shared" si="134"/>
        <v>174842</v>
      </c>
      <c r="X492" s="103">
        <f t="shared" si="135"/>
        <v>180758</v>
      </c>
      <c r="Y492" s="103"/>
      <c r="Z492" s="2">
        <v>309</v>
      </c>
      <c r="AA492" s="2"/>
      <c r="AB492" s="7">
        <v>35</v>
      </c>
      <c r="AC492" s="78">
        <v>158482</v>
      </c>
      <c r="AD492" s="103">
        <f t="shared" si="129"/>
        <v>180758</v>
      </c>
      <c r="AE492" s="192">
        <f t="shared" si="159"/>
        <v>1.8522608245731375E-3</v>
      </c>
      <c r="AF492" s="192">
        <f t="shared" si="160"/>
        <v>1.1617743059781585E-4</v>
      </c>
      <c r="AG492" s="20">
        <f t="shared" si="152"/>
        <v>2.2511143221312198</v>
      </c>
      <c r="AH492" s="20">
        <f t="shared" si="153"/>
        <v>0.24899727812876882</v>
      </c>
    </row>
    <row r="493" spans="1:38">
      <c r="A493" s="28">
        <v>46149</v>
      </c>
      <c r="B493" s="2">
        <v>50.083333333333371</v>
      </c>
      <c r="C493" s="2">
        <v>231.08333333333331</v>
      </c>
      <c r="D493" s="2">
        <v>79.416666666666671</v>
      </c>
      <c r="E493" s="2">
        <v>442.66666666666663</v>
      </c>
      <c r="F493" s="2">
        <v>293.58333333333337</v>
      </c>
      <c r="G493" s="2">
        <v>83.416666666666657</v>
      </c>
      <c r="H493" s="2">
        <v>39.5</v>
      </c>
      <c r="I493" s="2">
        <v>2174.833333333333</v>
      </c>
      <c r="J493" s="2">
        <v>128.5</v>
      </c>
      <c r="K493" s="2">
        <v>1174.4166666666667</v>
      </c>
      <c r="L493" s="2">
        <v>138.25</v>
      </c>
      <c r="M493" s="2">
        <v>335.91666666666669</v>
      </c>
      <c r="N493" s="107">
        <f t="shared" si="158"/>
        <v>6.8517829013315188</v>
      </c>
      <c r="O493" s="7">
        <f t="shared" si="146"/>
        <v>4131.916666666667</v>
      </c>
      <c r="P493" s="7">
        <f t="shared" si="147"/>
        <v>4125.0648837653343</v>
      </c>
      <c r="Q493" s="7">
        <f t="shared" si="148"/>
        <v>2174.151681216083</v>
      </c>
      <c r="R493" s="7">
        <f t="shared" si="149"/>
        <v>1168.246535882585</v>
      </c>
      <c r="S493" s="7">
        <v>2241</v>
      </c>
      <c r="T493" s="7">
        <v>5208</v>
      </c>
      <c r="U493" s="7">
        <v>894</v>
      </c>
      <c r="V493" s="103">
        <v>185592</v>
      </c>
      <c r="W493" s="7">
        <f t="shared" si="134"/>
        <v>182457</v>
      </c>
      <c r="X493" s="103">
        <f t="shared" si="135"/>
        <v>185689</v>
      </c>
      <c r="Y493" s="103"/>
      <c r="Z493" s="2">
        <v>888</v>
      </c>
      <c r="AA493" s="2"/>
      <c r="AB493" s="7">
        <v>97</v>
      </c>
      <c r="AC493" s="78">
        <v>160570</v>
      </c>
      <c r="AD493" s="103">
        <f t="shared" si="129"/>
        <v>185689</v>
      </c>
      <c r="AE493" s="192">
        <f t="shared" si="159"/>
        <v>5.2537833966494361E-3</v>
      </c>
      <c r="AF493" s="192">
        <f t="shared" si="160"/>
        <v>3.1342728971559967E-4</v>
      </c>
      <c r="AG493" s="20">
        <f t="shared" si="152"/>
        <v>6.1701307840817092</v>
      </c>
      <c r="AH493" s="20">
        <f t="shared" si="153"/>
        <v>0.6816521172498099</v>
      </c>
    </row>
    <row r="494" spans="1:38">
      <c r="A494" s="28">
        <v>46150</v>
      </c>
      <c r="B494" s="2">
        <v>51.5</v>
      </c>
      <c r="C494" s="2">
        <v>396.08333333333337</v>
      </c>
      <c r="D494" s="2">
        <v>90</v>
      </c>
      <c r="E494" s="2">
        <v>389.16666666666663</v>
      </c>
      <c r="F494" s="2">
        <v>278.41666666666669</v>
      </c>
      <c r="G494" s="2">
        <v>79.749999999999986</v>
      </c>
      <c r="H494" s="2">
        <v>48</v>
      </c>
      <c r="I494" s="2">
        <v>2156.25</v>
      </c>
      <c r="J494" s="2">
        <v>136.08333333333334</v>
      </c>
      <c r="K494" s="2">
        <v>1188.6666666666665</v>
      </c>
      <c r="L494" s="2">
        <v>128.08333333333331</v>
      </c>
      <c r="M494" s="2">
        <v>314.00000000000006</v>
      </c>
      <c r="N494" s="107">
        <f t="shared" si="158"/>
        <v>45.03336331699505</v>
      </c>
      <c r="O494" s="7">
        <f t="shared" si="146"/>
        <v>4296.9999999999991</v>
      </c>
      <c r="P494" s="7">
        <f t="shared" si="147"/>
        <v>4251.9666366830052</v>
      </c>
      <c r="Q494" s="7">
        <f t="shared" si="148"/>
        <v>2132.6749742107859</v>
      </c>
      <c r="R494" s="7">
        <f t="shared" si="149"/>
        <v>1167.2083291388856</v>
      </c>
      <c r="S494" s="7">
        <v>5073</v>
      </c>
      <c r="T494" s="7">
        <v>5778</v>
      </c>
      <c r="U494" s="7">
        <v>1483</v>
      </c>
      <c r="V494" s="103">
        <v>153229</v>
      </c>
      <c r="W494" s="7">
        <f t="shared" si="134"/>
        <v>146673</v>
      </c>
      <c r="X494" s="103">
        <f t="shared" si="135"/>
        <v>156073</v>
      </c>
      <c r="Y494" s="103"/>
      <c r="Z494" s="2">
        <v>2756</v>
      </c>
      <c r="AA494" s="2"/>
      <c r="AB494" s="7">
        <v>2844</v>
      </c>
      <c r="AC494" s="78">
        <v>145033</v>
      </c>
      <c r="AD494" s="103">
        <f t="shared" si="129"/>
        <v>156073</v>
      </c>
      <c r="AE494" s="192">
        <f t="shared" si="159"/>
        <v>1.8052443237056393E-2</v>
      </c>
      <c r="AF494" s="192">
        <f t="shared" si="160"/>
        <v>1.0933345293548532E-2</v>
      </c>
      <c r="AG494" s="20">
        <f t="shared" si="152"/>
        <v>21.45833752778103</v>
      </c>
      <c r="AH494" s="20">
        <f t="shared" si="153"/>
        <v>23.57502578921402</v>
      </c>
    </row>
    <row r="495" spans="1:38">
      <c r="A495" s="28">
        <v>46151</v>
      </c>
      <c r="B495" s="2">
        <v>45.25</v>
      </c>
      <c r="C495" s="2">
        <v>314.66666666666669</v>
      </c>
      <c r="D495" s="2">
        <v>82.5</v>
      </c>
      <c r="E495" s="2">
        <v>262.25</v>
      </c>
      <c r="F495" s="2">
        <v>340.5</v>
      </c>
      <c r="G495" s="2">
        <v>0</v>
      </c>
      <c r="H495" s="2">
        <v>15</v>
      </c>
      <c r="I495" s="2">
        <v>1624.5833333333333</v>
      </c>
      <c r="J495" s="2">
        <v>169.16666666666669</v>
      </c>
      <c r="K495" s="2">
        <v>1112.25</v>
      </c>
      <c r="L495" s="2">
        <v>97.5</v>
      </c>
      <c r="M495" s="2">
        <v>291.16666666666663</v>
      </c>
      <c r="N495" s="107">
        <f t="shared" si="158"/>
        <v>197.56128418290598</v>
      </c>
      <c r="O495" s="7">
        <f t="shared" si="146"/>
        <v>3688.9166666666665</v>
      </c>
      <c r="P495" s="7">
        <f t="shared" si="147"/>
        <v>3491.3553824837609</v>
      </c>
      <c r="Q495" s="7">
        <f t="shared" si="148"/>
        <v>1582.6524489913379</v>
      </c>
      <c r="R495" s="7">
        <f t="shared" si="149"/>
        <v>956.61960015908949</v>
      </c>
      <c r="S495" s="7">
        <v>8820</v>
      </c>
      <c r="T495" s="7">
        <v>10436</v>
      </c>
      <c r="U495" s="7">
        <v>1189</v>
      </c>
      <c r="V495" s="103">
        <v>166271</v>
      </c>
      <c r="W495" s="7">
        <f t="shared" si="134"/>
        <v>156262</v>
      </c>
      <c r="X495" s="103">
        <f t="shared" si="135"/>
        <v>173745</v>
      </c>
      <c r="Y495" s="103"/>
      <c r="Z495" s="2">
        <v>18609</v>
      </c>
      <c r="AA495" s="2"/>
      <c r="AB495" s="7">
        <v>7474</v>
      </c>
      <c r="AC495" s="78">
        <v>126344</v>
      </c>
      <c r="AD495" s="103">
        <f t="shared" si="129"/>
        <v>173745</v>
      </c>
      <c r="AE495" s="192">
        <f t="shared" si="159"/>
        <v>0.1399239378205534</v>
      </c>
      <c r="AF495" s="192">
        <f t="shared" si="160"/>
        <v>2.5810239143572476E-2</v>
      </c>
      <c r="AG495" s="20">
        <f t="shared" si="152"/>
        <v>155.63039984091051</v>
      </c>
      <c r="AH495" s="20">
        <f t="shared" si="153"/>
        <v>41.930884341995451</v>
      </c>
    </row>
    <row r="496" spans="1:38">
      <c r="A496" s="28">
        <v>46152</v>
      </c>
      <c r="B496" s="2"/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/>
      <c r="K496" s="2"/>
      <c r="L496" s="2"/>
      <c r="M496" s="2"/>
      <c r="N496" s="107">
        <f t="shared" si="158"/>
        <v>0</v>
      </c>
      <c r="O496" s="7">
        <f t="shared" si="146"/>
        <v>0</v>
      </c>
      <c r="P496" s="7">
        <f t="shared" si="147"/>
        <v>0</v>
      </c>
      <c r="Q496" s="7">
        <f t="shared" si="148"/>
        <v>0</v>
      </c>
      <c r="R496" s="7">
        <f t="shared" si="149"/>
        <v>0</v>
      </c>
      <c r="T496" s="7"/>
      <c r="U496" s="7"/>
      <c r="V496" s="74"/>
      <c r="W496" s="7">
        <f t="shared" si="134"/>
        <v>0</v>
      </c>
      <c r="X496" s="103">
        <f t="shared" si="135"/>
        <v>0</v>
      </c>
      <c r="Y496" s="103"/>
      <c r="Z496" s="2"/>
      <c r="AA496" s="2"/>
      <c r="AD496" s="103"/>
      <c r="AE496" s="192"/>
      <c r="AF496" s="192"/>
      <c r="AG496" s="20"/>
      <c r="AH496" s="20"/>
      <c r="AI496"/>
      <c r="AJ496"/>
      <c r="AK496"/>
      <c r="AL496"/>
    </row>
    <row r="497" spans="1:84" s="45" customFormat="1">
      <c r="A497" s="28">
        <v>46153</v>
      </c>
      <c r="B497" s="172">
        <v>52.5</v>
      </c>
      <c r="C497" s="172">
        <v>344.08333333333331</v>
      </c>
      <c r="D497" s="172">
        <v>94.5</v>
      </c>
      <c r="E497" s="172">
        <v>481.24999999999994</v>
      </c>
      <c r="F497" s="172">
        <v>306.99999999999994</v>
      </c>
      <c r="G497" s="172">
        <v>147</v>
      </c>
      <c r="H497" s="172">
        <v>61.5</v>
      </c>
      <c r="I497" s="172">
        <v>2340.1666666666665</v>
      </c>
      <c r="J497" s="172">
        <v>155.5</v>
      </c>
      <c r="K497" s="172">
        <v>1689.0833333333333</v>
      </c>
      <c r="L497" s="172">
        <v>159.91666666666666</v>
      </c>
      <c r="M497" s="30">
        <v>340.75</v>
      </c>
      <c r="N497" s="107">
        <f t="shared" si="158"/>
        <v>102.88663490380853</v>
      </c>
      <c r="O497" s="7">
        <f t="shared" si="146"/>
        <v>4982.833333333333</v>
      </c>
      <c r="P497" s="7">
        <f t="shared" si="147"/>
        <v>4879.9466984295241</v>
      </c>
      <c r="Q497" s="7">
        <f t="shared" si="148"/>
        <v>2269.366332722263</v>
      </c>
      <c r="R497" s="7">
        <f t="shared" si="149"/>
        <v>1656.9970323739281</v>
      </c>
      <c r="S497" s="7">
        <v>3364</v>
      </c>
      <c r="T497" s="7">
        <v>3567</v>
      </c>
      <c r="U497" s="7">
        <v>705</v>
      </c>
      <c r="V497" s="103">
        <v>177151</v>
      </c>
      <c r="W497" s="7">
        <f t="shared" si="134"/>
        <v>173082</v>
      </c>
      <c r="X497" s="103">
        <f t="shared" si="135"/>
        <v>186558</v>
      </c>
      <c r="Y497" s="103"/>
      <c r="Z497" s="2">
        <v>3473</v>
      </c>
      <c r="AA497" s="2"/>
      <c r="AB497" s="7">
        <v>9407</v>
      </c>
      <c r="AC497" s="78">
        <v>173684</v>
      </c>
      <c r="AD497" s="103">
        <f t="shared" si="129"/>
        <v>186558</v>
      </c>
      <c r="AE497" s="192">
        <f t="shared" ref="AE497:AE516" si="161">+(Z497/AC497*0.95)</f>
        <v>1.8996280601552243E-2</v>
      </c>
      <c r="AF497" s="192">
        <f t="shared" ref="AF497:AF516" si="162">+(AB497/AD497*0.6)</f>
        <v>3.0254398096034474E-2</v>
      </c>
      <c r="AG497" s="20">
        <f t="shared" ref="AG497:AG509" si="163">+AE497*K497</f>
        <v>32.0863009594052</v>
      </c>
      <c r="AH497" s="20">
        <f t="shared" ref="AH497:AH509" si="164">+AF497*I497</f>
        <v>70.800333944403334</v>
      </c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</row>
    <row r="498" spans="1:84">
      <c r="A498" s="28">
        <v>46154</v>
      </c>
      <c r="B498" s="2">
        <v>52.5</v>
      </c>
      <c r="C498" s="2">
        <v>440.41666666666669</v>
      </c>
      <c r="D498" s="2">
        <v>92.166666666666671</v>
      </c>
      <c r="E498" s="2">
        <v>455.75</v>
      </c>
      <c r="F498" s="2">
        <v>298.5</v>
      </c>
      <c r="G498" s="2">
        <v>152.5</v>
      </c>
      <c r="H498" s="2">
        <v>61.5</v>
      </c>
      <c r="I498" s="2">
        <v>2341.0833333333335</v>
      </c>
      <c r="J498" s="2">
        <v>155.08333333333331</v>
      </c>
      <c r="K498" s="2">
        <v>1613.5</v>
      </c>
      <c r="L498" s="2">
        <v>161</v>
      </c>
      <c r="M498" s="7">
        <v>354.08333333333331</v>
      </c>
      <c r="N498" s="107">
        <f t="shared" si="158"/>
        <v>46.419781421741703</v>
      </c>
      <c r="O498" s="7">
        <f t="shared" si="146"/>
        <v>4993.25</v>
      </c>
      <c r="P498" s="7">
        <f t="shared" si="147"/>
        <v>4946.8302185782586</v>
      </c>
      <c r="Q498" s="7">
        <f t="shared" si="148"/>
        <v>2326.582258628222</v>
      </c>
      <c r="R498" s="7">
        <f t="shared" si="149"/>
        <v>1581.5812932833696</v>
      </c>
      <c r="S498" s="7">
        <v>8893</v>
      </c>
      <c r="T498" s="7">
        <v>9572</v>
      </c>
      <c r="U498" s="7">
        <v>1894</v>
      </c>
      <c r="V498" s="103">
        <v>196332</v>
      </c>
      <c r="W498" s="7">
        <f t="shared" si="134"/>
        <v>185545</v>
      </c>
      <c r="X498" s="103">
        <f t="shared" si="135"/>
        <v>198380</v>
      </c>
      <c r="Y498" s="103"/>
      <c r="Z498" s="2">
        <v>3512</v>
      </c>
      <c r="AA498" s="2"/>
      <c r="AB498" s="7">
        <v>2048</v>
      </c>
      <c r="AC498" s="78">
        <v>168656</v>
      </c>
      <c r="AD498" s="103">
        <f t="shared" si="129"/>
        <v>198380</v>
      </c>
      <c r="AE498" s="192">
        <f t="shared" si="161"/>
        <v>1.9782278721183946E-2</v>
      </c>
      <c r="AF498" s="192">
        <f t="shared" si="162"/>
        <v>6.1941727996773872E-3</v>
      </c>
      <c r="AG498" s="20">
        <f t="shared" si="163"/>
        <v>31.918706716630297</v>
      </c>
      <c r="AH498" s="20">
        <f t="shared" si="164"/>
        <v>14.501074705111405</v>
      </c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</row>
    <row r="499" spans="1:84">
      <c r="A499" s="28">
        <v>46155</v>
      </c>
      <c r="B499" s="2">
        <v>60</v>
      </c>
      <c r="C499" s="2">
        <v>579.91666666666663</v>
      </c>
      <c r="D499" s="2">
        <v>97.5</v>
      </c>
      <c r="E499" s="2">
        <v>452.08333333333331</v>
      </c>
      <c r="F499" s="2">
        <v>294.5</v>
      </c>
      <c r="G499" s="2">
        <v>147.75</v>
      </c>
      <c r="H499" s="2">
        <v>61.5</v>
      </c>
      <c r="I499" s="2">
        <v>2274.25</v>
      </c>
      <c r="J499" s="2">
        <v>155.08333333333334</v>
      </c>
      <c r="K499" s="2">
        <v>1587.9166666666665</v>
      </c>
      <c r="L499" s="2">
        <v>138.16666666666666</v>
      </c>
      <c r="M499" s="7">
        <v>356.33333333333331</v>
      </c>
      <c r="N499" s="107">
        <f t="shared" si="158"/>
        <v>19.291663278640918</v>
      </c>
      <c r="O499" s="7">
        <f t="shared" si="146"/>
        <v>5049.1666666666661</v>
      </c>
      <c r="P499" s="7">
        <f t="shared" si="147"/>
        <v>5029.875003388026</v>
      </c>
      <c r="Q499" s="7">
        <f t="shared" si="148"/>
        <v>2254.958336721359</v>
      </c>
      <c r="R499" s="7">
        <f t="shared" si="149"/>
        <v>1587.9166666666665</v>
      </c>
      <c r="S499" s="7">
        <v>5804</v>
      </c>
      <c r="T499" s="7">
        <v>8328</v>
      </c>
      <c r="U499" s="7">
        <v>1648</v>
      </c>
      <c r="V499" s="103">
        <v>203689</v>
      </c>
      <c r="W499" s="7">
        <f t="shared" si="134"/>
        <v>196237</v>
      </c>
      <c r="X499" s="103">
        <f t="shared" si="135"/>
        <v>206610</v>
      </c>
      <c r="Y499" s="103"/>
      <c r="Z499" s="2"/>
      <c r="AA499" s="2"/>
      <c r="AB499" s="7">
        <v>2921</v>
      </c>
      <c r="AC499" s="78">
        <v>163061</v>
      </c>
      <c r="AD499" s="103">
        <f t="shared" si="129"/>
        <v>206610</v>
      </c>
      <c r="AE499" s="192">
        <f t="shared" si="161"/>
        <v>0</v>
      </c>
      <c r="AF499" s="192">
        <f t="shared" si="162"/>
        <v>8.4826484681283579E-3</v>
      </c>
      <c r="AG499" s="20">
        <f t="shared" si="163"/>
        <v>0</v>
      </c>
      <c r="AH499" s="20">
        <f t="shared" si="164"/>
        <v>19.291663278640918</v>
      </c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</row>
    <row r="500" spans="1:84">
      <c r="A500" s="28">
        <v>46156</v>
      </c>
      <c r="B500" s="2">
        <v>60</v>
      </c>
      <c r="C500" s="2">
        <v>539.66666666666663</v>
      </c>
      <c r="D500" s="2">
        <v>97.5</v>
      </c>
      <c r="E500" s="2">
        <v>444.58333333333331</v>
      </c>
      <c r="F500" s="2">
        <v>315.83333333333337</v>
      </c>
      <c r="G500" s="2">
        <v>151</v>
      </c>
      <c r="H500" s="2">
        <v>58.5</v>
      </c>
      <c r="I500" s="2">
        <v>2397.666666666667</v>
      </c>
      <c r="J500" s="2">
        <v>140.5</v>
      </c>
      <c r="K500" s="2">
        <v>1730.5</v>
      </c>
      <c r="L500" s="2">
        <v>138.33333333333334</v>
      </c>
      <c r="M500" s="7">
        <v>352.33333333333337</v>
      </c>
      <c r="N500" s="107">
        <f t="shared" si="158"/>
        <v>61.665424601384188</v>
      </c>
      <c r="O500" s="7">
        <f t="shared" si="146"/>
        <v>5281.666666666667</v>
      </c>
      <c r="P500" s="7">
        <f t="shared" si="147"/>
        <v>5220.0012420652829</v>
      </c>
      <c r="Q500" s="7">
        <f t="shared" si="148"/>
        <v>2370.7465102058918</v>
      </c>
      <c r="R500" s="7">
        <f t="shared" si="149"/>
        <v>1695.7547318593909</v>
      </c>
      <c r="S500" s="7">
        <v>5542</v>
      </c>
      <c r="T500" s="7">
        <v>7551</v>
      </c>
      <c r="U500" s="7">
        <v>1493</v>
      </c>
      <c r="V500" s="103">
        <v>210230</v>
      </c>
      <c r="W500" s="7">
        <f t="shared" si="134"/>
        <v>203195</v>
      </c>
      <c r="X500" s="103">
        <f t="shared" si="135"/>
        <v>214239</v>
      </c>
      <c r="Y500" s="103"/>
      <c r="Z500" s="2">
        <v>3688</v>
      </c>
      <c r="AA500" s="2"/>
      <c r="AB500" s="7">
        <v>4009</v>
      </c>
      <c r="AC500" s="78">
        <v>174498</v>
      </c>
      <c r="AD500" s="103">
        <f t="shared" si="129"/>
        <v>214239</v>
      </c>
      <c r="AE500" s="192">
        <f t="shared" si="161"/>
        <v>2.007816708500957E-2</v>
      </c>
      <c r="AF500" s="192">
        <f t="shared" si="162"/>
        <v>1.1227647627182726E-2</v>
      </c>
      <c r="AG500" s="20">
        <f t="shared" si="163"/>
        <v>34.745268140609063</v>
      </c>
      <c r="AH500" s="20">
        <f t="shared" si="164"/>
        <v>26.920156460775122</v>
      </c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</row>
    <row r="501" spans="1:84">
      <c r="A501" s="28">
        <v>46157</v>
      </c>
      <c r="B501" s="2">
        <v>66.916666666666629</v>
      </c>
      <c r="C501" s="2">
        <v>600.08333333333337</v>
      </c>
      <c r="D501" s="2">
        <v>109.5</v>
      </c>
      <c r="E501" s="2">
        <v>471.75</v>
      </c>
      <c r="F501" s="2">
        <v>292.83333333333331</v>
      </c>
      <c r="G501" s="2">
        <v>150.16666666666669</v>
      </c>
      <c r="H501" s="2">
        <v>61.5</v>
      </c>
      <c r="I501" s="2">
        <v>2306.5</v>
      </c>
      <c r="J501" s="2">
        <v>134.58333333333334</v>
      </c>
      <c r="K501" s="2">
        <v>1719.6666666666667</v>
      </c>
      <c r="L501" s="2">
        <v>136.83333333333331</v>
      </c>
      <c r="M501" s="7">
        <v>352.75</v>
      </c>
      <c r="N501" s="107">
        <f t="shared" si="158"/>
        <v>42.636638394870737</v>
      </c>
      <c r="O501" s="7">
        <f t="shared" si="146"/>
        <v>5230.083333333333</v>
      </c>
      <c r="P501" s="7">
        <f t="shared" ref="P501:P532" si="165">+B501+C501+D501+F501+J501+Q501+R501</f>
        <v>5187.4466949384623</v>
      </c>
      <c r="Q501" s="7">
        <f t="shared" ref="Q501:Q532" si="166">+I501-AH501</f>
        <v>2280.1907805985115</v>
      </c>
      <c r="R501" s="7">
        <f t="shared" ref="R501:R532" si="167">+K501-AG501</f>
        <v>1703.3392476732843</v>
      </c>
      <c r="S501" s="7">
        <v>6902</v>
      </c>
      <c r="T501" s="7">
        <v>8677</v>
      </c>
      <c r="U501" s="7">
        <v>1717</v>
      </c>
      <c r="V501" s="103">
        <v>185868</v>
      </c>
      <c r="W501" s="7">
        <f t="shared" si="134"/>
        <v>177249</v>
      </c>
      <c r="X501" s="103">
        <f t="shared" si="135"/>
        <v>189470</v>
      </c>
      <c r="Y501" s="103"/>
      <c r="Z501" s="2">
        <v>1769</v>
      </c>
      <c r="AA501" s="2"/>
      <c r="AB501" s="7">
        <v>3602</v>
      </c>
      <c r="AC501" s="78">
        <v>177002</v>
      </c>
      <c r="AD501" s="103">
        <f t="shared" si="129"/>
        <v>189470</v>
      </c>
      <c r="AE501" s="192">
        <f t="shared" si="161"/>
        <v>9.4945254855877334E-3</v>
      </c>
      <c r="AF501" s="192">
        <f t="shared" si="162"/>
        <v>1.1406555127460812E-2</v>
      </c>
      <c r="AG501" s="20">
        <f t="shared" si="163"/>
        <v>16.327418993382373</v>
      </c>
      <c r="AH501" s="20">
        <f t="shared" si="164"/>
        <v>26.309219401488363</v>
      </c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</row>
    <row r="502" spans="1:84">
      <c r="A502" s="28">
        <v>46158</v>
      </c>
      <c r="B502" s="2">
        <v>73.75</v>
      </c>
      <c r="C502" s="2">
        <v>526.66666666666663</v>
      </c>
      <c r="D502" s="2">
        <v>106.5</v>
      </c>
      <c r="E502" s="2">
        <v>305</v>
      </c>
      <c r="F502" s="2">
        <v>294.25</v>
      </c>
      <c r="G502" s="2">
        <v>0</v>
      </c>
      <c r="H502" s="2">
        <v>36</v>
      </c>
      <c r="I502" s="2">
        <v>2334.25</v>
      </c>
      <c r="J502" s="2">
        <v>123</v>
      </c>
      <c r="K502" s="2">
        <v>1769</v>
      </c>
      <c r="L502" s="2">
        <v>120</v>
      </c>
      <c r="M502" s="7">
        <v>361</v>
      </c>
      <c r="N502" s="107">
        <f t="shared" si="158"/>
        <v>26.613774944771421</v>
      </c>
      <c r="O502" s="7">
        <f t="shared" si="146"/>
        <v>5227.4166666666661</v>
      </c>
      <c r="P502" s="7">
        <f t="shared" si="165"/>
        <v>5200.8028917218944</v>
      </c>
      <c r="Q502" s="7">
        <f t="shared" si="166"/>
        <v>2316.2983197241288</v>
      </c>
      <c r="R502" s="7">
        <f t="shared" si="167"/>
        <v>1760.3379053310996</v>
      </c>
      <c r="S502" s="7">
        <v>4466</v>
      </c>
      <c r="T502" s="7">
        <v>9938</v>
      </c>
      <c r="U502" s="7">
        <v>1966</v>
      </c>
      <c r="V502" s="103">
        <v>212415</v>
      </c>
      <c r="W502" s="7">
        <f t="shared" si="134"/>
        <v>205983</v>
      </c>
      <c r="X502" s="103">
        <f t="shared" si="135"/>
        <v>215173</v>
      </c>
      <c r="Y502" s="103"/>
      <c r="Z502" s="2">
        <v>1003</v>
      </c>
      <c r="AA502" s="2"/>
      <c r="AB502" s="7">
        <v>2758</v>
      </c>
      <c r="AC502" s="78">
        <v>194594</v>
      </c>
      <c r="AD502" s="103">
        <f t="shared" si="129"/>
        <v>215173</v>
      </c>
      <c r="AE502" s="192">
        <f t="shared" si="161"/>
        <v>4.8966052396271212E-3</v>
      </c>
      <c r="AF502" s="192">
        <f t="shared" si="162"/>
        <v>7.690555971241745E-3</v>
      </c>
      <c r="AG502" s="20">
        <f t="shared" si="163"/>
        <v>8.6620946689003766</v>
      </c>
      <c r="AH502" s="20">
        <f t="shared" si="164"/>
        <v>17.951680275871045</v>
      </c>
      <c r="AI502"/>
      <c r="AJ502"/>
      <c r="AK502"/>
      <c r="AL502"/>
    </row>
    <row r="503" spans="1:84">
      <c r="A503" s="28">
        <v>46159</v>
      </c>
      <c r="B503" s="2">
        <v>75</v>
      </c>
      <c r="C503" s="2">
        <v>329.66666666666663</v>
      </c>
      <c r="D503" s="2">
        <v>97.5</v>
      </c>
      <c r="E503" s="2">
        <v>0</v>
      </c>
      <c r="F503" s="2">
        <v>297.5</v>
      </c>
      <c r="G503" s="2">
        <v>0</v>
      </c>
      <c r="H503" s="2">
        <v>30</v>
      </c>
      <c r="I503" s="2">
        <v>2383.666666666667</v>
      </c>
      <c r="J503" s="2">
        <v>117.83333333333333</v>
      </c>
      <c r="K503" s="2">
        <v>1927.9999999999998</v>
      </c>
      <c r="L503" s="2">
        <v>0</v>
      </c>
      <c r="M503" s="7">
        <v>291.08333333333331</v>
      </c>
      <c r="N503" s="107">
        <f t="shared" si="158"/>
        <v>0</v>
      </c>
      <c r="O503" s="7">
        <f t="shared" si="146"/>
        <v>5229.1666666666661</v>
      </c>
      <c r="P503" s="7">
        <f t="shared" si="165"/>
        <v>5229.166666666667</v>
      </c>
      <c r="Q503" s="7">
        <f t="shared" si="166"/>
        <v>2383.666666666667</v>
      </c>
      <c r="R503" s="7">
        <f t="shared" si="167"/>
        <v>1927.9999999999998</v>
      </c>
      <c r="S503" s="7">
        <v>1925</v>
      </c>
      <c r="T503" s="7">
        <v>5525</v>
      </c>
      <c r="U503" s="7">
        <v>1093</v>
      </c>
      <c r="V503" s="103">
        <v>227177</v>
      </c>
      <c r="W503" s="7">
        <f t="shared" si="134"/>
        <v>224159</v>
      </c>
      <c r="X503" s="103">
        <f t="shared" si="135"/>
        <v>227177</v>
      </c>
      <c r="Y503" s="103"/>
      <c r="Z503" s="2"/>
      <c r="AA503" s="2"/>
      <c r="AC503" s="78">
        <v>205814</v>
      </c>
      <c r="AD503" s="103">
        <f t="shared" si="129"/>
        <v>227177</v>
      </c>
      <c r="AE503" s="192">
        <f t="shared" si="161"/>
        <v>0</v>
      </c>
      <c r="AF503" s="192">
        <f t="shared" si="162"/>
        <v>0</v>
      </c>
      <c r="AG503" s="20">
        <f t="shared" si="163"/>
        <v>0</v>
      </c>
      <c r="AH503" s="20">
        <f t="shared" si="164"/>
        <v>0</v>
      </c>
      <c r="AI503"/>
      <c r="AJ503"/>
      <c r="AK503"/>
      <c r="AL503"/>
    </row>
    <row r="504" spans="1:84">
      <c r="A504" s="28">
        <v>46160</v>
      </c>
      <c r="B504" s="2">
        <v>82.5</v>
      </c>
      <c r="C504" s="2">
        <v>209.25</v>
      </c>
      <c r="D504" s="2">
        <v>100.5</v>
      </c>
      <c r="E504" s="2">
        <v>436.16666666666663</v>
      </c>
      <c r="F504" s="2">
        <v>332.75</v>
      </c>
      <c r="G504" s="2">
        <v>142.25</v>
      </c>
      <c r="H504" s="2">
        <v>61.5</v>
      </c>
      <c r="I504" s="2">
        <v>2416.833333333333</v>
      </c>
      <c r="J504" s="2">
        <v>139.91666666666669</v>
      </c>
      <c r="K504" s="2">
        <v>2125.583333333333</v>
      </c>
      <c r="L504" s="2">
        <v>157.16666666666666</v>
      </c>
      <c r="M504" s="7">
        <v>359.33333333333331</v>
      </c>
      <c r="N504" s="107">
        <f t="shared" si="158"/>
        <v>46.396275726682994</v>
      </c>
      <c r="O504" s="7">
        <f t="shared" si="146"/>
        <v>5407.333333333333</v>
      </c>
      <c r="P504" s="7">
        <f t="shared" si="165"/>
        <v>5360.9370576066503</v>
      </c>
      <c r="Q504" s="7">
        <f t="shared" si="166"/>
        <v>2416.833333333333</v>
      </c>
      <c r="R504" s="7">
        <f t="shared" si="167"/>
        <v>2079.1870576066499</v>
      </c>
      <c r="S504" s="7">
        <v>4714</v>
      </c>
      <c r="T504" s="7">
        <v>6635</v>
      </c>
      <c r="U504" s="7">
        <v>1486</v>
      </c>
      <c r="V504" s="103">
        <v>213725</v>
      </c>
      <c r="W504" s="7">
        <f t="shared" si="134"/>
        <v>207525</v>
      </c>
      <c r="X504" s="103">
        <f t="shared" si="135"/>
        <v>213725</v>
      </c>
      <c r="Y504" s="103"/>
      <c r="Z504" s="2">
        <v>5222</v>
      </c>
      <c r="AA504" s="2"/>
      <c r="AC504" s="78">
        <v>227277</v>
      </c>
      <c r="AD504" s="103">
        <f t="shared" si="129"/>
        <v>213725</v>
      </c>
      <c r="AE504" s="192">
        <f t="shared" si="161"/>
        <v>2.1827549642066728E-2</v>
      </c>
      <c r="AF504" s="192">
        <f t="shared" si="162"/>
        <v>0</v>
      </c>
      <c r="AG504" s="20">
        <f t="shared" si="163"/>
        <v>46.396275726682994</v>
      </c>
      <c r="AH504" s="20">
        <f t="shared" si="164"/>
        <v>0</v>
      </c>
      <c r="AI504"/>
      <c r="AJ504"/>
      <c r="AK504"/>
      <c r="AL504"/>
    </row>
    <row r="505" spans="1:84">
      <c r="A505" s="28">
        <v>46161</v>
      </c>
      <c r="B505" s="2">
        <v>90</v>
      </c>
      <c r="C505" s="2">
        <v>381.5</v>
      </c>
      <c r="D505" s="2">
        <v>97.5</v>
      </c>
      <c r="E505" s="2">
        <v>266.25</v>
      </c>
      <c r="F505" s="2">
        <v>285</v>
      </c>
      <c r="G505" s="2">
        <v>0</v>
      </c>
      <c r="H505" s="2">
        <v>30</v>
      </c>
      <c r="I505" s="2">
        <v>2339.5</v>
      </c>
      <c r="J505" s="2">
        <v>120</v>
      </c>
      <c r="K505" s="2">
        <v>1747.25</v>
      </c>
      <c r="L505" s="2">
        <v>109.5</v>
      </c>
      <c r="M505" s="7">
        <v>327.25</v>
      </c>
      <c r="N505" s="107">
        <f t="shared" si="158"/>
        <v>59.345307658060108</v>
      </c>
      <c r="O505" s="7">
        <f t="shared" si="146"/>
        <v>5060.75</v>
      </c>
      <c r="P505" s="7">
        <f t="shared" si="165"/>
        <v>5001.4046923419401</v>
      </c>
      <c r="Q505" s="7">
        <f t="shared" si="166"/>
        <v>2300.7666652600187</v>
      </c>
      <c r="R505" s="7">
        <f t="shared" si="167"/>
        <v>1726.6380270819211</v>
      </c>
      <c r="S505" s="7">
        <v>1654</v>
      </c>
      <c r="T505" s="7">
        <v>6232</v>
      </c>
      <c r="U505" s="7">
        <v>1910</v>
      </c>
      <c r="V505" s="103">
        <v>207388</v>
      </c>
      <c r="W505" s="7">
        <f t="shared" si="134"/>
        <v>203824</v>
      </c>
      <c r="X505" s="103">
        <f t="shared" si="135"/>
        <v>213273</v>
      </c>
      <c r="Y505" s="103"/>
      <c r="Z505" s="2">
        <v>2363</v>
      </c>
      <c r="AA505" s="2"/>
      <c r="AB505" s="7">
        <v>5885</v>
      </c>
      <c r="AC505" s="78">
        <v>190293</v>
      </c>
      <c r="AD505" s="103">
        <f t="shared" si="129"/>
        <v>213273</v>
      </c>
      <c r="AE505" s="192">
        <f t="shared" si="161"/>
        <v>1.1796808080171103E-2</v>
      </c>
      <c r="AF505" s="192">
        <f t="shared" si="162"/>
        <v>1.6556244812986173E-2</v>
      </c>
      <c r="AG505" s="20">
        <f t="shared" si="163"/>
        <v>20.611972918078958</v>
      </c>
      <c r="AH505" s="20">
        <f t="shared" si="164"/>
        <v>38.733334739981153</v>
      </c>
      <c r="AI505"/>
      <c r="AJ505"/>
      <c r="AK505"/>
      <c r="AL505"/>
    </row>
    <row r="506" spans="1:84">
      <c r="A506" s="28">
        <v>46162</v>
      </c>
      <c r="B506" s="2">
        <v>64.416666666666629</v>
      </c>
      <c r="C506" s="2">
        <v>367.33333333333331</v>
      </c>
      <c r="D506" s="2">
        <v>100.5</v>
      </c>
      <c r="E506" s="2">
        <v>433.25</v>
      </c>
      <c r="F506" s="2">
        <v>370.75</v>
      </c>
      <c r="G506" s="2">
        <v>134.16666666666666</v>
      </c>
      <c r="H506" s="2">
        <v>61.5</v>
      </c>
      <c r="I506" s="2">
        <v>2501.166666666667</v>
      </c>
      <c r="J506" s="2">
        <v>147.5</v>
      </c>
      <c r="K506" s="2">
        <v>1905.6666666666667</v>
      </c>
      <c r="L506" s="187">
        <v>159.91666666666666</v>
      </c>
      <c r="M506" s="187">
        <v>356</v>
      </c>
      <c r="N506" s="107">
        <f t="shared" si="158"/>
        <v>23.621790054688113</v>
      </c>
      <c r="O506" s="7">
        <f t="shared" si="146"/>
        <v>5457.3333333333339</v>
      </c>
      <c r="P506" s="7">
        <f t="shared" si="165"/>
        <v>5433.711543278645</v>
      </c>
      <c r="Q506" s="7">
        <f t="shared" si="166"/>
        <v>2484.0092239634582</v>
      </c>
      <c r="R506" s="7">
        <f t="shared" si="167"/>
        <v>1899.2023193151872</v>
      </c>
      <c r="S506" s="7">
        <v>4916</v>
      </c>
      <c r="T506" s="7">
        <v>6695</v>
      </c>
      <c r="U506" s="7">
        <v>1348</v>
      </c>
      <c r="V506" s="103">
        <v>205963</v>
      </c>
      <c r="W506" s="7">
        <f t="shared" si="134"/>
        <v>199699</v>
      </c>
      <c r="X506" s="103">
        <f t="shared" si="135"/>
        <v>208345</v>
      </c>
      <c r="Y506" s="103"/>
      <c r="Z506" s="2">
        <v>724</v>
      </c>
      <c r="AA506" s="2"/>
      <c r="AB506" s="7">
        <v>2382</v>
      </c>
      <c r="AC506" s="78">
        <v>202761</v>
      </c>
      <c r="AD506" s="103">
        <f t="shared" si="129"/>
        <v>208345</v>
      </c>
      <c r="AE506" s="192">
        <f t="shared" si="161"/>
        <v>3.3921710782645574E-3</v>
      </c>
      <c r="AF506" s="192">
        <f t="shared" si="162"/>
        <v>6.8597758525522565E-3</v>
      </c>
      <c r="AG506" s="20">
        <f t="shared" si="163"/>
        <v>6.4643473514794918</v>
      </c>
      <c r="AH506" s="20">
        <f t="shared" si="164"/>
        <v>17.15744270320862</v>
      </c>
      <c r="AI506"/>
      <c r="AJ506"/>
      <c r="AK506"/>
      <c r="AL506"/>
    </row>
    <row r="507" spans="1:84">
      <c r="A507" s="28">
        <v>46163</v>
      </c>
      <c r="B507" s="2">
        <v>66.916666666666686</v>
      </c>
      <c r="C507" s="2">
        <v>470.41666666666663</v>
      </c>
      <c r="D507" s="2">
        <v>100.5</v>
      </c>
      <c r="E507" s="2">
        <v>454.16666666666669</v>
      </c>
      <c r="F507" s="2">
        <v>403.91666666666663</v>
      </c>
      <c r="G507" s="2">
        <v>134.41666666666669</v>
      </c>
      <c r="H507" s="2">
        <v>61.5</v>
      </c>
      <c r="I507" s="2">
        <v>2413.5</v>
      </c>
      <c r="J507" s="2">
        <v>173.41666666666669</v>
      </c>
      <c r="K507" s="2">
        <v>1548.4166666666665</v>
      </c>
      <c r="L507" s="187">
        <v>159.58333333333331</v>
      </c>
      <c r="M507" s="187">
        <v>350.5</v>
      </c>
      <c r="N507" s="107">
        <f t="shared" si="158"/>
        <v>48.94389880687558</v>
      </c>
      <c r="O507" s="7">
        <f t="shared" si="146"/>
        <v>5177.083333333333</v>
      </c>
      <c r="P507" s="7">
        <f t="shared" si="165"/>
        <v>5128.139434526458</v>
      </c>
      <c r="Q507" s="7">
        <f t="shared" si="166"/>
        <v>2413.5</v>
      </c>
      <c r="R507" s="7">
        <f t="shared" si="167"/>
        <v>1499.472767859791</v>
      </c>
      <c r="S507" s="7">
        <v>7398</v>
      </c>
      <c r="T507" s="7">
        <v>8700</v>
      </c>
      <c r="U507" s="7">
        <v>1476</v>
      </c>
      <c r="V507" s="103">
        <v>220286</v>
      </c>
      <c r="W507" s="7">
        <f t="shared" si="134"/>
        <v>211412</v>
      </c>
      <c r="X507" s="103">
        <f t="shared" si="135"/>
        <v>220286</v>
      </c>
      <c r="Y507" s="103"/>
      <c r="Z507" s="2">
        <v>5609</v>
      </c>
      <c r="AA507" s="2"/>
      <c r="AC507" s="78">
        <v>168577</v>
      </c>
      <c r="AD507" s="103">
        <f t="shared" si="129"/>
        <v>220286</v>
      </c>
      <c r="AE507" s="192">
        <f t="shared" si="161"/>
        <v>3.1608997668721113E-2</v>
      </c>
      <c r="AF507" s="192">
        <f t="shared" si="162"/>
        <v>0</v>
      </c>
      <c r="AG507" s="20">
        <f t="shared" si="163"/>
        <v>48.94389880687558</v>
      </c>
      <c r="AH507" s="20">
        <f t="shared" si="164"/>
        <v>0</v>
      </c>
      <c r="AI507"/>
      <c r="AJ507"/>
      <c r="AK507"/>
      <c r="AL507"/>
    </row>
    <row r="508" spans="1:84">
      <c r="A508" s="28">
        <v>46164</v>
      </c>
      <c r="B508" s="2">
        <v>58.416666666666686</v>
      </c>
      <c r="C508" s="2">
        <v>462.83333333333331</v>
      </c>
      <c r="D508" s="2">
        <v>97.166666666666657</v>
      </c>
      <c r="E508" s="2">
        <v>447.66666666666669</v>
      </c>
      <c r="F508" s="2">
        <v>362.66666666666669</v>
      </c>
      <c r="G508" s="2">
        <v>123.25000000000001</v>
      </c>
      <c r="H508" s="2">
        <v>55.5</v>
      </c>
      <c r="I508" s="2">
        <v>2412</v>
      </c>
      <c r="J508" s="2">
        <v>185.66666666666669</v>
      </c>
      <c r="K508" s="2">
        <v>1311.5</v>
      </c>
      <c r="L508" s="187">
        <v>167.83333333333334</v>
      </c>
      <c r="M508" s="187">
        <v>336.16666666666663</v>
      </c>
      <c r="N508" s="107">
        <f t="shared" si="158"/>
        <v>58.951391460726384</v>
      </c>
      <c r="O508" s="7">
        <f t="shared" si="146"/>
        <v>4890.25</v>
      </c>
      <c r="P508" s="7">
        <f t="shared" si="165"/>
        <v>4831.298608539274</v>
      </c>
      <c r="Q508" s="7">
        <f t="shared" si="166"/>
        <v>2368.01848621626</v>
      </c>
      <c r="R508" s="7">
        <f t="shared" si="167"/>
        <v>1296.5301223230138</v>
      </c>
      <c r="S508" s="7">
        <v>7117</v>
      </c>
      <c r="T508" s="7">
        <v>7867</v>
      </c>
      <c r="U508" s="7">
        <v>1225</v>
      </c>
      <c r="V508" s="103">
        <v>215676</v>
      </c>
      <c r="W508" s="7">
        <f t="shared" si="134"/>
        <v>207334</v>
      </c>
      <c r="X508" s="103">
        <f t="shared" si="135"/>
        <v>222436</v>
      </c>
      <c r="Y508" s="103"/>
      <c r="Z508" s="2">
        <v>1604</v>
      </c>
      <c r="AA508" s="2"/>
      <c r="AB508" s="7">
        <v>6760</v>
      </c>
      <c r="AC508" s="78">
        <v>133499</v>
      </c>
      <c r="AD508" s="103">
        <f t="shared" si="129"/>
        <v>222436</v>
      </c>
      <c r="AE508" s="192">
        <f t="shared" si="161"/>
        <v>1.1414317710245019E-2</v>
      </c>
      <c r="AF508" s="192">
        <f t="shared" si="162"/>
        <v>1.8234458450970166E-2</v>
      </c>
      <c r="AG508" s="20">
        <f t="shared" si="163"/>
        <v>14.969877676986343</v>
      </c>
      <c r="AH508" s="20">
        <f t="shared" si="164"/>
        <v>43.981513783740041</v>
      </c>
      <c r="AI508"/>
      <c r="AJ508"/>
      <c r="AK508"/>
      <c r="AL508"/>
    </row>
    <row r="509" spans="1:84">
      <c r="A509" s="28">
        <v>46165</v>
      </c>
      <c r="B509" s="2">
        <v>37.166666666666629</v>
      </c>
      <c r="C509" s="2">
        <v>465.58333333333326</v>
      </c>
      <c r="D509" s="2">
        <v>97.5</v>
      </c>
      <c r="E509" s="2">
        <v>305.33333333333337</v>
      </c>
      <c r="F509" s="2">
        <v>337.5</v>
      </c>
      <c r="G509" s="2">
        <v>1</v>
      </c>
      <c r="H509" s="2">
        <v>30</v>
      </c>
      <c r="I509" s="2">
        <v>2675.4166666666665</v>
      </c>
      <c r="J509" s="2">
        <v>135</v>
      </c>
      <c r="K509" s="2">
        <v>1011.8333333333333</v>
      </c>
      <c r="L509" s="187">
        <v>132.5</v>
      </c>
      <c r="M509" s="187">
        <v>328.58333333333337</v>
      </c>
      <c r="N509" s="107">
        <f t="shared" si="158"/>
        <v>4.2063540226681946</v>
      </c>
      <c r="O509" s="7">
        <f t="shared" si="146"/>
        <v>4760</v>
      </c>
      <c r="P509" s="7">
        <f t="shared" si="165"/>
        <v>4755.7936459773318</v>
      </c>
      <c r="Q509" s="7">
        <f t="shared" si="166"/>
        <v>2671.9066653907971</v>
      </c>
      <c r="R509" s="7">
        <f t="shared" si="167"/>
        <v>1011.1369805865344</v>
      </c>
      <c r="S509" s="7">
        <v>4832</v>
      </c>
      <c r="T509" s="7">
        <v>5387</v>
      </c>
      <c r="U509" s="7">
        <v>1449</v>
      </c>
      <c r="V509" s="103">
        <v>226799</v>
      </c>
      <c r="W509" s="7">
        <f t="shared" si="134"/>
        <v>220518</v>
      </c>
      <c r="X509" s="103">
        <f t="shared" si="135"/>
        <v>227296</v>
      </c>
      <c r="Y509" s="103"/>
      <c r="Z509" s="2">
        <v>76</v>
      </c>
      <c r="AA509" s="2"/>
      <c r="AB509" s="7">
        <v>497</v>
      </c>
      <c r="AC509" s="78">
        <v>104910</v>
      </c>
      <c r="AD509" s="103">
        <f t="shared" si="129"/>
        <v>227296</v>
      </c>
      <c r="AE509" s="192">
        <f t="shared" si="161"/>
        <v>6.8820894099704509E-4</v>
      </c>
      <c r="AF509" s="192">
        <f t="shared" si="162"/>
        <v>1.3119456567647473E-3</v>
      </c>
      <c r="AG509" s="20">
        <f t="shared" si="163"/>
        <v>0.6963527467988434</v>
      </c>
      <c r="AH509" s="20">
        <f t="shared" si="164"/>
        <v>3.5100012758693508</v>
      </c>
      <c r="AI509"/>
      <c r="AJ509"/>
      <c r="AK509"/>
      <c r="AL509"/>
    </row>
    <row r="510" spans="1:84">
      <c r="A510" s="28">
        <v>46166</v>
      </c>
      <c r="B510" s="2"/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187">
        <v>0</v>
      </c>
      <c r="M510" s="187">
        <v>0</v>
      </c>
      <c r="N510" s="107">
        <f t="shared" si="158"/>
        <v>0</v>
      </c>
      <c r="O510" s="7">
        <f t="shared" si="146"/>
        <v>0</v>
      </c>
      <c r="P510" s="7">
        <f t="shared" si="165"/>
        <v>0</v>
      </c>
      <c r="Q510" s="7">
        <f t="shared" si="166"/>
        <v>0</v>
      </c>
      <c r="R510" s="7">
        <f t="shared" si="167"/>
        <v>0</v>
      </c>
      <c r="T510" s="7"/>
      <c r="U510" s="7"/>
      <c r="V510" s="103"/>
      <c r="W510" s="7">
        <f t="shared" si="134"/>
        <v>0</v>
      </c>
      <c r="X510" s="103">
        <f t="shared" si="135"/>
        <v>0</v>
      </c>
      <c r="Y510" s="103"/>
      <c r="Z510" s="2"/>
      <c r="AA510" s="2"/>
      <c r="AC510" s="78"/>
      <c r="AD510" s="103">
        <f t="shared" si="129"/>
        <v>0</v>
      </c>
      <c r="AE510" s="192"/>
      <c r="AF510" s="192"/>
      <c r="AG510" s="20"/>
      <c r="AH510" s="20"/>
      <c r="AI510"/>
      <c r="AJ510"/>
      <c r="AK510"/>
      <c r="AL510"/>
    </row>
    <row r="511" spans="1:84">
      <c r="A511" s="28">
        <v>46167</v>
      </c>
      <c r="B511" s="2">
        <v>217.08333333333331</v>
      </c>
      <c r="C511" s="2">
        <v>315.75</v>
      </c>
      <c r="D511" s="2">
        <v>94.25</v>
      </c>
      <c r="E511" s="2">
        <v>454.00000000000006</v>
      </c>
      <c r="F511" s="2">
        <v>275.83333333333337</v>
      </c>
      <c r="G511" s="2">
        <v>116.00000000000001</v>
      </c>
      <c r="H511" s="2">
        <v>55.5</v>
      </c>
      <c r="I511" s="2">
        <v>1976.5833333333333</v>
      </c>
      <c r="J511" s="2">
        <v>120</v>
      </c>
      <c r="K511" s="2">
        <v>1302.5</v>
      </c>
      <c r="L511" s="187">
        <v>155.33333333333331</v>
      </c>
      <c r="M511" s="187">
        <v>327.08333333333331</v>
      </c>
      <c r="N511" s="107">
        <f t="shared" si="158"/>
        <v>0</v>
      </c>
      <c r="O511" s="7">
        <f t="shared" si="146"/>
        <v>4302</v>
      </c>
      <c r="P511" s="7">
        <f t="shared" si="165"/>
        <v>4302</v>
      </c>
      <c r="Q511" s="7">
        <f t="shared" si="166"/>
        <v>1976.5833333333333</v>
      </c>
      <c r="R511" s="7">
        <f t="shared" si="167"/>
        <v>1302.5</v>
      </c>
      <c r="S511" s="7">
        <v>3385</v>
      </c>
      <c r="T511" s="7">
        <v>5173</v>
      </c>
      <c r="U511" s="7">
        <v>1142</v>
      </c>
      <c r="V511" s="103">
        <v>161649</v>
      </c>
      <c r="W511" s="7">
        <f t="shared" si="134"/>
        <v>157122</v>
      </c>
      <c r="X511" s="103">
        <f t="shared" si="135"/>
        <v>161649</v>
      </c>
      <c r="Y511" s="103"/>
      <c r="Z511" s="2"/>
      <c r="AA511" s="2"/>
      <c r="AC511" s="78">
        <v>127706</v>
      </c>
      <c r="AD511" s="103">
        <f t="shared" si="129"/>
        <v>161649</v>
      </c>
      <c r="AE511" s="192">
        <f t="shared" si="161"/>
        <v>0</v>
      </c>
      <c r="AF511" s="192">
        <f t="shared" si="162"/>
        <v>0</v>
      </c>
      <c r="AG511" s="20">
        <f>+AE511*K511</f>
        <v>0</v>
      </c>
      <c r="AH511" s="20">
        <f>+AF511*I511</f>
        <v>0</v>
      </c>
      <c r="AI511"/>
      <c r="AJ511"/>
      <c r="AK511"/>
      <c r="AL511"/>
    </row>
    <row r="512" spans="1:84">
      <c r="A512" s="28">
        <v>46168</v>
      </c>
      <c r="B512" s="2">
        <v>89</v>
      </c>
      <c r="C512" s="2">
        <v>136.33333333333334</v>
      </c>
      <c r="D512" s="2">
        <v>29.666666666666664</v>
      </c>
      <c r="E512" s="2">
        <v>0</v>
      </c>
      <c r="F512" s="2">
        <v>90</v>
      </c>
      <c r="G512" s="2">
        <v>0</v>
      </c>
      <c r="H512" s="2">
        <v>0</v>
      </c>
      <c r="I512" s="2">
        <v>583.58333333333337</v>
      </c>
      <c r="J512" s="2">
        <v>45</v>
      </c>
      <c r="K512" s="2">
        <v>400.66666666666669</v>
      </c>
      <c r="L512" s="187">
        <v>0</v>
      </c>
      <c r="M512" s="187">
        <v>83.416666666666671</v>
      </c>
      <c r="N512" s="107">
        <f t="shared" si="158"/>
        <v>0</v>
      </c>
      <c r="O512" s="7">
        <f t="shared" si="146"/>
        <v>1374.25</v>
      </c>
      <c r="P512" s="7">
        <f t="shared" si="165"/>
        <v>1374.25</v>
      </c>
      <c r="Q512" s="7">
        <f t="shared" si="166"/>
        <v>583.58333333333337</v>
      </c>
      <c r="R512" s="7">
        <f t="shared" si="167"/>
        <v>400.66666666666669</v>
      </c>
      <c r="S512" s="7">
        <v>1732</v>
      </c>
      <c r="T512" s="7">
        <v>1997</v>
      </c>
      <c r="U512" s="7">
        <v>445</v>
      </c>
      <c r="V512" s="103">
        <v>50260</v>
      </c>
      <c r="W512" s="7">
        <f t="shared" si="134"/>
        <v>48083</v>
      </c>
      <c r="X512" s="103">
        <f t="shared" si="135"/>
        <v>50260</v>
      </c>
      <c r="Y512" s="103"/>
      <c r="Z512" s="2"/>
      <c r="AA512" s="2"/>
      <c r="AC512" s="78">
        <v>29460</v>
      </c>
      <c r="AD512" s="103">
        <f t="shared" ref="AD512:AD516" si="168">+X512</f>
        <v>50260</v>
      </c>
      <c r="AE512" s="192">
        <f t="shared" si="161"/>
        <v>0</v>
      </c>
      <c r="AF512" s="192">
        <f t="shared" si="162"/>
        <v>0</v>
      </c>
      <c r="AG512" s="20">
        <f>+AE512*K512</f>
        <v>0</v>
      </c>
      <c r="AH512" s="20">
        <f>+AF512*I512</f>
        <v>0</v>
      </c>
      <c r="AI512"/>
      <c r="AJ512"/>
      <c r="AK512"/>
      <c r="AL512"/>
    </row>
    <row r="513" spans="1:38">
      <c r="A513" s="28">
        <v>46169</v>
      </c>
      <c r="B513" s="2"/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187">
        <v>0</v>
      </c>
      <c r="M513" s="101">
        <v>0</v>
      </c>
      <c r="N513" s="107">
        <f t="shared" si="158"/>
        <v>0</v>
      </c>
      <c r="O513" s="7">
        <f t="shared" si="146"/>
        <v>0</v>
      </c>
      <c r="P513" s="7">
        <f t="shared" si="165"/>
        <v>0</v>
      </c>
      <c r="Q513" s="7">
        <f t="shared" si="166"/>
        <v>0</v>
      </c>
      <c r="R513" s="7">
        <f t="shared" si="167"/>
        <v>0</v>
      </c>
      <c r="T513" s="7"/>
      <c r="U513" s="7"/>
      <c r="V513" s="103">
        <v>0</v>
      </c>
      <c r="W513" s="7">
        <f t="shared" si="134"/>
        <v>0</v>
      </c>
      <c r="X513" s="103">
        <f t="shared" si="135"/>
        <v>0</v>
      </c>
      <c r="Y513" s="103"/>
      <c r="Z513" s="2"/>
      <c r="AA513" s="2"/>
      <c r="AC513" s="78"/>
      <c r="AD513" s="103">
        <f t="shared" si="168"/>
        <v>0</v>
      </c>
      <c r="AE513" s="192"/>
      <c r="AF513" s="192"/>
      <c r="AG513" s="20"/>
      <c r="AH513" s="20"/>
      <c r="AI513"/>
      <c r="AJ513"/>
      <c r="AK513"/>
      <c r="AL513"/>
    </row>
    <row r="514" spans="1:38">
      <c r="A514" s="28">
        <v>46170</v>
      </c>
      <c r="B514" s="2"/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7">
        <v>0</v>
      </c>
      <c r="N514" s="107">
        <f t="shared" si="158"/>
        <v>0</v>
      </c>
      <c r="O514" s="7">
        <f t="shared" si="146"/>
        <v>0</v>
      </c>
      <c r="P514" s="7">
        <f t="shared" si="165"/>
        <v>0</v>
      </c>
      <c r="Q514" s="7">
        <f t="shared" si="166"/>
        <v>0</v>
      </c>
      <c r="R514" s="7">
        <f t="shared" si="167"/>
        <v>0</v>
      </c>
      <c r="T514" s="7"/>
      <c r="U514" s="7"/>
      <c r="V514" s="103">
        <v>0</v>
      </c>
      <c r="W514" s="7">
        <f t="shared" si="134"/>
        <v>0</v>
      </c>
      <c r="X514" s="103">
        <f t="shared" si="135"/>
        <v>0</v>
      </c>
      <c r="Y514" s="103"/>
      <c r="Z514" s="2"/>
      <c r="AA514" s="2"/>
      <c r="AC514" s="78"/>
      <c r="AD514" s="103">
        <f t="shared" si="168"/>
        <v>0</v>
      </c>
      <c r="AE514" s="192"/>
      <c r="AF514" s="192"/>
      <c r="AG514" s="20"/>
      <c r="AH514" s="20"/>
      <c r="AI514"/>
      <c r="AJ514"/>
      <c r="AK514"/>
      <c r="AL514"/>
    </row>
    <row r="515" spans="1:38">
      <c r="A515" s="28">
        <v>46171</v>
      </c>
      <c r="B515" s="2"/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7">
        <v>0</v>
      </c>
      <c r="N515" s="107">
        <f t="shared" si="158"/>
        <v>0</v>
      </c>
      <c r="O515" s="7">
        <f t="shared" si="146"/>
        <v>0</v>
      </c>
      <c r="P515" s="7">
        <f t="shared" si="165"/>
        <v>0</v>
      </c>
      <c r="Q515" s="7">
        <f t="shared" si="166"/>
        <v>0</v>
      </c>
      <c r="R515" s="7">
        <f t="shared" si="167"/>
        <v>0</v>
      </c>
      <c r="T515" s="7"/>
      <c r="U515" s="7"/>
      <c r="V515" s="103"/>
      <c r="W515" s="7">
        <f t="shared" ref="W515:W578" si="169">+V515-U515-S515+AA515</f>
        <v>0</v>
      </c>
      <c r="X515" s="103">
        <f t="shared" ref="X515:X578" si="170">+V515+AB515+AA515</f>
        <v>0</v>
      </c>
      <c r="Y515" s="103"/>
      <c r="Z515" s="2"/>
      <c r="AA515" s="2"/>
      <c r="AC515" s="78"/>
      <c r="AD515" s="103">
        <f t="shared" si="168"/>
        <v>0</v>
      </c>
      <c r="AE515" s="192"/>
      <c r="AF515" s="192"/>
      <c r="AG515" s="20"/>
      <c r="AH515" s="20"/>
      <c r="AI515"/>
      <c r="AJ515"/>
      <c r="AK515"/>
      <c r="AL515"/>
    </row>
    <row r="516" spans="1:38">
      <c r="A516" s="28">
        <v>46172</v>
      </c>
      <c r="B516" s="2">
        <v>150</v>
      </c>
      <c r="C516" s="2">
        <v>347.83333333333331</v>
      </c>
      <c r="D516" s="2">
        <v>90</v>
      </c>
      <c r="E516" s="2">
        <v>0</v>
      </c>
      <c r="F516" s="2">
        <v>239.5</v>
      </c>
      <c r="G516" s="2">
        <v>0</v>
      </c>
      <c r="H516" s="2">
        <v>30</v>
      </c>
      <c r="I516" s="2">
        <v>1798.9166666666667</v>
      </c>
      <c r="J516" s="2">
        <v>120</v>
      </c>
      <c r="K516" s="2">
        <v>1401.0833333333333</v>
      </c>
      <c r="L516" s="2">
        <v>7.5</v>
      </c>
      <c r="M516" s="7">
        <v>263.83333333333337</v>
      </c>
      <c r="N516" s="107">
        <f t="shared" si="158"/>
        <v>69.955893495080261</v>
      </c>
      <c r="O516" s="7">
        <f t="shared" si="146"/>
        <v>4147.333333333333</v>
      </c>
      <c r="P516" s="7">
        <f t="shared" si="165"/>
        <v>4077.3774398382529</v>
      </c>
      <c r="Q516" s="7">
        <f t="shared" si="166"/>
        <v>1767.7810238226928</v>
      </c>
      <c r="R516" s="7">
        <f t="shared" si="167"/>
        <v>1362.2630826822269</v>
      </c>
      <c r="S516" s="7">
        <v>6067</v>
      </c>
      <c r="T516" s="7">
        <v>6627</v>
      </c>
      <c r="U516" s="7">
        <v>632</v>
      </c>
      <c r="V516" s="103">
        <v>147491</v>
      </c>
      <c r="W516" s="7">
        <f t="shared" si="169"/>
        <v>140792</v>
      </c>
      <c r="X516" s="103">
        <f t="shared" si="170"/>
        <v>151872</v>
      </c>
      <c r="Y516" s="103"/>
      <c r="Z516" s="2">
        <v>4401</v>
      </c>
      <c r="AA516" s="2"/>
      <c r="AB516" s="7">
        <v>4381</v>
      </c>
      <c r="AC516" s="78">
        <v>150897</v>
      </c>
      <c r="AD516" s="103">
        <f t="shared" si="168"/>
        <v>151872</v>
      </c>
      <c r="AE516" s="192">
        <f t="shared" si="161"/>
        <v>2.7707310284498698E-2</v>
      </c>
      <c r="AF516" s="192">
        <f t="shared" si="162"/>
        <v>1.7307996207332491E-2</v>
      </c>
      <c r="AG516" s="20">
        <f>+AE516*K516</f>
        <v>38.820250651106385</v>
      </c>
      <c r="AH516" s="20">
        <f>+AF516*I516</f>
        <v>31.135642843973873</v>
      </c>
      <c r="AI516"/>
      <c r="AJ516"/>
      <c r="AK516"/>
      <c r="AL516"/>
    </row>
    <row r="517" spans="1:38">
      <c r="A517" s="28">
        <v>46173</v>
      </c>
      <c r="B517" s="2"/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7">
        <v>0</v>
      </c>
      <c r="N517" s="107">
        <f t="shared" si="158"/>
        <v>0</v>
      </c>
      <c r="O517" s="7">
        <f t="shared" ref="O517:O523" si="171">+B517+C517+D517+F517+I517+K517+J517</f>
        <v>0</v>
      </c>
      <c r="P517" s="7">
        <f t="shared" si="165"/>
        <v>0</v>
      </c>
      <c r="Q517" s="7">
        <f t="shared" si="166"/>
        <v>0</v>
      </c>
      <c r="R517" s="7">
        <f t="shared" si="167"/>
        <v>0</v>
      </c>
      <c r="T517" s="7"/>
      <c r="U517" s="7"/>
      <c r="V517" s="103"/>
      <c r="W517" s="7">
        <f t="shared" si="169"/>
        <v>0</v>
      </c>
      <c r="X517" s="103">
        <f t="shared" si="170"/>
        <v>0</v>
      </c>
      <c r="Y517" s="103"/>
      <c r="Z517" s="2"/>
      <c r="AA517" s="2"/>
      <c r="AC517" s="78"/>
      <c r="AD517" s="103"/>
      <c r="AE517" s="192"/>
      <c r="AF517" s="192"/>
      <c r="AG517" s="20"/>
      <c r="AH517" s="20"/>
      <c r="AI517"/>
      <c r="AJ517"/>
      <c r="AK517"/>
      <c r="AL517"/>
    </row>
    <row r="518" spans="1:38">
      <c r="A518" s="28">
        <v>46174</v>
      </c>
      <c r="B518" s="3">
        <v>191</v>
      </c>
      <c r="C518" s="3">
        <v>195.16666666666669</v>
      </c>
      <c r="D518" s="3">
        <v>99</v>
      </c>
      <c r="E518" s="3">
        <v>389.5</v>
      </c>
      <c r="F518" s="3">
        <v>253.58333333333331</v>
      </c>
      <c r="G518" s="3">
        <v>74</v>
      </c>
      <c r="H518" s="3">
        <v>55.5</v>
      </c>
      <c r="I518" s="3">
        <v>1858.8333333333333</v>
      </c>
      <c r="J518" s="3">
        <v>153</v>
      </c>
      <c r="K518" s="3">
        <v>1513.5833333333335</v>
      </c>
      <c r="L518" s="3">
        <v>159.33333333333334</v>
      </c>
      <c r="M518" s="3">
        <v>331.5</v>
      </c>
      <c r="N518" s="107">
        <f t="shared" si="158"/>
        <v>43.613125818885607</v>
      </c>
      <c r="O518" s="7">
        <f t="shared" si="171"/>
        <v>4264.1666666666661</v>
      </c>
      <c r="P518" s="7">
        <f t="shared" si="165"/>
        <v>4220.5535408477808</v>
      </c>
      <c r="Q518" s="7">
        <f t="shared" si="166"/>
        <v>1839.8461144715679</v>
      </c>
      <c r="R518" s="7">
        <f t="shared" si="167"/>
        <v>1488.9574263762131</v>
      </c>
      <c r="S518" s="7">
        <v>7318</v>
      </c>
      <c r="T518" s="7">
        <v>8352</v>
      </c>
      <c r="U518" s="7">
        <v>855</v>
      </c>
      <c r="V518" s="103">
        <v>163807</v>
      </c>
      <c r="W518" s="7">
        <f t="shared" si="169"/>
        <v>155634</v>
      </c>
      <c r="X518" s="103">
        <f t="shared" si="170"/>
        <v>166644</v>
      </c>
      <c r="Y518" s="103"/>
      <c r="Z518" s="2">
        <v>2811</v>
      </c>
      <c r="AA518" s="2"/>
      <c r="AB518" s="7">
        <v>2837</v>
      </c>
      <c r="AC518" s="78">
        <v>164134</v>
      </c>
      <c r="AD518" s="103">
        <f t="shared" ref="AD518:AD551" si="172">+X518</f>
        <v>166644</v>
      </c>
      <c r="AE518" s="192">
        <f t="shared" ref="AE518:AE523" si="173">+(Z518/AC518*0.95)</f>
        <v>1.6269937977506185E-2</v>
      </c>
      <c r="AF518" s="192">
        <f t="shared" ref="AF518:AF523" si="174">+(AB518/AD518*0.6)</f>
        <v>1.0214589184129041E-2</v>
      </c>
      <c r="AG518" s="20">
        <f t="shared" ref="AG518:AG523" si="175">+AE518*K518</f>
        <v>24.625906957120407</v>
      </c>
      <c r="AH518" s="20">
        <f t="shared" ref="AH518:AH523" si="176">+AF518*I518</f>
        <v>18.9872188617652</v>
      </c>
      <c r="AI518" s="3">
        <f>+AC518-Z518</f>
        <v>161323</v>
      </c>
      <c r="AJ518"/>
      <c r="AK518"/>
      <c r="AL518"/>
    </row>
    <row r="519" spans="1:38">
      <c r="A519" s="28">
        <v>46175</v>
      </c>
      <c r="B519" s="3">
        <v>187.33333333333334</v>
      </c>
      <c r="C519" s="3">
        <v>292.08333333333331</v>
      </c>
      <c r="D519" s="3">
        <v>95.75</v>
      </c>
      <c r="E519" s="3">
        <v>431.58333333333337</v>
      </c>
      <c r="F519" s="3">
        <v>245.58333333333331</v>
      </c>
      <c r="G519" s="3">
        <v>74.083333333333329</v>
      </c>
      <c r="H519" s="3">
        <v>55.5</v>
      </c>
      <c r="I519" s="3">
        <v>2187.9166666666665</v>
      </c>
      <c r="J519" s="3">
        <v>148.5</v>
      </c>
      <c r="K519" s="3">
        <v>1558.1666666666667</v>
      </c>
      <c r="L519" s="3">
        <v>193.08333333333331</v>
      </c>
      <c r="M519" s="3">
        <v>333.91666666666669</v>
      </c>
      <c r="N519" s="107">
        <f t="shared" si="158"/>
        <v>26.0202800852819</v>
      </c>
      <c r="O519" s="7">
        <f t="shared" si="171"/>
        <v>4715.333333333333</v>
      </c>
      <c r="P519" s="7">
        <f t="shared" si="165"/>
        <v>4689.3130532480518</v>
      </c>
      <c r="Q519" s="7">
        <f t="shared" si="166"/>
        <v>2187.8404925559207</v>
      </c>
      <c r="R519" s="7">
        <f t="shared" si="167"/>
        <v>1532.2225606921309</v>
      </c>
      <c r="S519" s="7">
        <v>7579</v>
      </c>
      <c r="T519" s="7">
        <v>8682</v>
      </c>
      <c r="U519" s="7">
        <v>1120</v>
      </c>
      <c r="V519" s="103">
        <v>189558</v>
      </c>
      <c r="W519" s="7">
        <f t="shared" si="169"/>
        <v>180859</v>
      </c>
      <c r="X519" s="103">
        <f t="shared" si="170"/>
        <v>189569</v>
      </c>
      <c r="Y519" s="103"/>
      <c r="Z519" s="2">
        <v>2928</v>
      </c>
      <c r="AA519" s="2"/>
      <c r="AB519" s="7">
        <v>11</v>
      </c>
      <c r="AC519" s="78">
        <v>167059</v>
      </c>
      <c r="AD519" s="103">
        <f t="shared" si="172"/>
        <v>189569</v>
      </c>
      <c r="AE519" s="192">
        <f t="shared" si="173"/>
        <v>1.6650404946755338E-2</v>
      </c>
      <c r="AF519" s="192">
        <f t="shared" si="174"/>
        <v>3.4815819042142964E-5</v>
      </c>
      <c r="AG519" s="20">
        <f t="shared" si="175"/>
        <v>25.944105974535944</v>
      </c>
      <c r="AH519" s="20">
        <f t="shared" si="176"/>
        <v>7.6174110745955287E-2</v>
      </c>
      <c r="AI519" s="3">
        <f t="shared" ref="AI519:AI531" si="177">+AC519-Z519</f>
        <v>164131</v>
      </c>
      <c r="AJ519"/>
      <c r="AK519"/>
      <c r="AL519"/>
    </row>
    <row r="520" spans="1:38">
      <c r="A520" s="28">
        <v>46176</v>
      </c>
      <c r="B520" s="3">
        <v>112.5</v>
      </c>
      <c r="C520" s="3">
        <v>412.08333333333337</v>
      </c>
      <c r="D520" s="3">
        <v>93</v>
      </c>
      <c r="E520" s="3">
        <v>411.75</v>
      </c>
      <c r="F520" s="3">
        <v>245.5</v>
      </c>
      <c r="G520" s="3">
        <v>75.75</v>
      </c>
      <c r="H520" s="3">
        <v>47</v>
      </c>
      <c r="I520" s="3">
        <v>2106.25</v>
      </c>
      <c r="J520" s="3">
        <v>148</v>
      </c>
      <c r="K520" s="3">
        <v>1548</v>
      </c>
      <c r="L520" s="3">
        <v>181.58333333333334</v>
      </c>
      <c r="M520" s="3">
        <v>302.41666666666669</v>
      </c>
      <c r="N520" s="107">
        <f t="shared" si="158"/>
        <v>175.62148727655762</v>
      </c>
      <c r="O520" s="7">
        <f t="shared" si="171"/>
        <v>4665.3333333333339</v>
      </c>
      <c r="P520" s="7">
        <f t="shared" si="165"/>
        <v>4489.7118460567763</v>
      </c>
      <c r="Q520" s="7">
        <f t="shared" si="166"/>
        <v>2055.2872727465019</v>
      </c>
      <c r="R520" s="7">
        <f t="shared" si="167"/>
        <v>1423.3412399769404</v>
      </c>
      <c r="S520" s="7">
        <v>7558</v>
      </c>
      <c r="T520" s="7">
        <v>8694</v>
      </c>
      <c r="U520" s="7">
        <v>1210</v>
      </c>
      <c r="V520" s="103">
        <v>181480</v>
      </c>
      <c r="W520" s="7">
        <f t="shared" si="169"/>
        <v>172712</v>
      </c>
      <c r="X520" s="103">
        <f t="shared" si="170"/>
        <v>189106</v>
      </c>
      <c r="Y520" s="103"/>
      <c r="Z520" s="2">
        <v>14557</v>
      </c>
      <c r="AA520" s="2"/>
      <c r="AB520" s="7">
        <v>7626</v>
      </c>
      <c r="AC520" s="78">
        <v>171729</v>
      </c>
      <c r="AD520" s="103">
        <f t="shared" si="172"/>
        <v>189106</v>
      </c>
      <c r="AE520" s="192">
        <f t="shared" si="173"/>
        <v>8.0528914743578539E-2</v>
      </c>
      <c r="AF520" s="192">
        <f t="shared" si="174"/>
        <v>2.419595359216524E-2</v>
      </c>
      <c r="AG520" s="20">
        <f t="shared" si="175"/>
        <v>124.65876002305959</v>
      </c>
      <c r="AH520" s="20">
        <f t="shared" si="176"/>
        <v>50.962727253498038</v>
      </c>
      <c r="AI520" s="3">
        <f t="shared" si="177"/>
        <v>157172</v>
      </c>
      <c r="AJ520"/>
      <c r="AK520"/>
      <c r="AL520"/>
    </row>
    <row r="521" spans="1:38">
      <c r="A521" s="28">
        <v>46177</v>
      </c>
      <c r="B521" s="3">
        <v>60</v>
      </c>
      <c r="C521" s="3">
        <v>482.66666666666669</v>
      </c>
      <c r="D521" s="3">
        <v>82.083333333333329</v>
      </c>
      <c r="E521" s="3">
        <v>401.75</v>
      </c>
      <c r="F521" s="3">
        <v>283.41666666666663</v>
      </c>
      <c r="G521" s="3">
        <v>79.25</v>
      </c>
      <c r="H521" s="3">
        <v>55.5</v>
      </c>
      <c r="I521" s="3">
        <v>2037.3333333333335</v>
      </c>
      <c r="J521" s="3">
        <v>132</v>
      </c>
      <c r="K521" s="3">
        <v>1394</v>
      </c>
      <c r="L521" s="3">
        <v>123.08333333333334</v>
      </c>
      <c r="M521" s="3">
        <v>322.91666666666669</v>
      </c>
      <c r="N521" s="107">
        <f t="shared" si="158"/>
        <v>182.47865645204459</v>
      </c>
      <c r="O521" s="7">
        <f t="shared" si="171"/>
        <v>4471.5</v>
      </c>
      <c r="P521" s="7">
        <f t="shared" si="165"/>
        <v>4289.0213435479554</v>
      </c>
      <c r="Q521" s="7">
        <f t="shared" si="166"/>
        <v>1975.2719874873494</v>
      </c>
      <c r="R521" s="7">
        <f t="shared" si="167"/>
        <v>1273.5826893939393</v>
      </c>
      <c r="S521" s="7">
        <v>6388</v>
      </c>
      <c r="T521" s="7">
        <v>6904</v>
      </c>
      <c r="U521" s="7">
        <v>1243</v>
      </c>
      <c r="V521" s="103">
        <v>171953</v>
      </c>
      <c r="W521" s="7">
        <f t="shared" si="169"/>
        <v>164322</v>
      </c>
      <c r="X521" s="103">
        <f t="shared" si="170"/>
        <v>181150</v>
      </c>
      <c r="Y521" s="103"/>
      <c r="Z521" s="2">
        <v>13683</v>
      </c>
      <c r="AA521" s="2"/>
      <c r="AB521" s="7">
        <v>9197</v>
      </c>
      <c r="AC521" s="78">
        <v>150480</v>
      </c>
      <c r="AD521" s="103">
        <f t="shared" si="172"/>
        <v>181150</v>
      </c>
      <c r="AE521" s="192">
        <f t="shared" si="173"/>
        <v>8.6382575757575755E-2</v>
      </c>
      <c r="AF521" s="192">
        <f t="shared" si="174"/>
        <v>3.0462048026497376E-2</v>
      </c>
      <c r="AG521" s="20">
        <f t="shared" si="175"/>
        <v>120.4173106060606</v>
      </c>
      <c r="AH521" s="20">
        <f t="shared" si="176"/>
        <v>62.061345845983993</v>
      </c>
      <c r="AI521" s="3">
        <f t="shared" si="177"/>
        <v>136797</v>
      </c>
      <c r="AJ521"/>
      <c r="AK521"/>
      <c r="AL521"/>
    </row>
    <row r="522" spans="1:38">
      <c r="A522" s="28">
        <v>46178</v>
      </c>
      <c r="B522" s="3">
        <v>60</v>
      </c>
      <c r="C522" s="3">
        <v>455</v>
      </c>
      <c r="D522" s="3">
        <v>89.5</v>
      </c>
      <c r="E522" s="3">
        <v>376.08333333333337</v>
      </c>
      <c r="F522" s="3">
        <v>330</v>
      </c>
      <c r="G522" s="3">
        <v>81.416666666666671</v>
      </c>
      <c r="H522" s="3">
        <v>55.5</v>
      </c>
      <c r="I522" s="3">
        <v>2111.8333333333339</v>
      </c>
      <c r="J522" s="3">
        <v>102.33333333333333</v>
      </c>
      <c r="K522" s="3">
        <v>1467.5833333333333</v>
      </c>
      <c r="L522" s="3">
        <v>129.75</v>
      </c>
      <c r="M522" s="3">
        <v>291.58333333333331</v>
      </c>
      <c r="N522" s="107">
        <f t="shared" si="158"/>
        <v>185.16458640994244</v>
      </c>
      <c r="O522" s="7">
        <f t="shared" si="171"/>
        <v>4616.25</v>
      </c>
      <c r="P522" s="7">
        <f t="shared" si="165"/>
        <v>4431.0854135900581</v>
      </c>
      <c r="Q522" s="7">
        <f t="shared" si="166"/>
        <v>2014.5891703881209</v>
      </c>
      <c r="R522" s="7">
        <f t="shared" si="167"/>
        <v>1379.6629098686037</v>
      </c>
      <c r="S522" s="7">
        <v>6126</v>
      </c>
      <c r="T522" s="7">
        <v>7404</v>
      </c>
      <c r="U522" s="7">
        <v>1117</v>
      </c>
      <c r="V522" s="103">
        <v>169528</v>
      </c>
      <c r="W522" s="7">
        <f t="shared" si="169"/>
        <v>162285</v>
      </c>
      <c r="X522" s="103">
        <f t="shared" si="170"/>
        <v>183620</v>
      </c>
      <c r="Y522" s="103"/>
      <c r="Z522" s="2">
        <v>10061</v>
      </c>
      <c r="AA522" s="2"/>
      <c r="AB522" s="7">
        <v>14092</v>
      </c>
      <c r="AC522" s="78">
        <v>159543</v>
      </c>
      <c r="AD522" s="103">
        <f t="shared" si="172"/>
        <v>183620</v>
      </c>
      <c r="AE522" s="192">
        <f t="shared" si="173"/>
        <v>5.990830058354174E-2</v>
      </c>
      <c r="AF522" s="192">
        <f t="shared" si="174"/>
        <v>4.6047271539048036E-2</v>
      </c>
      <c r="AG522" s="20">
        <f t="shared" si="175"/>
        <v>87.920423464729467</v>
      </c>
      <c r="AH522" s="20">
        <f t="shared" si="176"/>
        <v>97.244162945212977</v>
      </c>
      <c r="AI522" s="3">
        <f t="shared" si="177"/>
        <v>149482</v>
      </c>
      <c r="AJ522"/>
      <c r="AK522"/>
      <c r="AL522"/>
    </row>
    <row r="523" spans="1:38">
      <c r="A523" s="28">
        <v>46179</v>
      </c>
      <c r="B523" s="3">
        <v>64.833333333333314</v>
      </c>
      <c r="C523" s="3">
        <v>492.83333333333331</v>
      </c>
      <c r="D523" s="3">
        <v>76.166666666666657</v>
      </c>
      <c r="E523" s="3">
        <v>233.83333333333331</v>
      </c>
      <c r="F523" s="3">
        <v>262.25</v>
      </c>
      <c r="G523" s="3">
        <v>0</v>
      </c>
      <c r="H523" s="3">
        <v>22.5</v>
      </c>
      <c r="I523" s="3">
        <v>1804.7500000000002</v>
      </c>
      <c r="J523" s="3">
        <v>101.58333333333333</v>
      </c>
      <c r="K523" s="3">
        <v>1315.5000000000002</v>
      </c>
      <c r="L523" s="3">
        <v>120</v>
      </c>
      <c r="M523" s="3">
        <v>262.41666666666663</v>
      </c>
      <c r="N523" s="107">
        <f t="shared" si="158"/>
        <v>23.148358083773843</v>
      </c>
      <c r="O523" s="7">
        <f t="shared" si="171"/>
        <v>4117.916666666667</v>
      </c>
      <c r="P523" s="7">
        <f t="shared" si="165"/>
        <v>4094.768308582893</v>
      </c>
      <c r="Q523" s="7">
        <f t="shared" si="166"/>
        <v>1794.9099519322542</v>
      </c>
      <c r="R523" s="7">
        <f t="shared" si="167"/>
        <v>1302.1916899839723</v>
      </c>
      <c r="S523" s="7">
        <v>4322</v>
      </c>
      <c r="T523" s="7">
        <v>5772</v>
      </c>
      <c r="U523" s="7">
        <v>1235</v>
      </c>
      <c r="V523" s="103">
        <v>171310</v>
      </c>
      <c r="W523" s="7">
        <f t="shared" si="169"/>
        <v>165753</v>
      </c>
      <c r="X523" s="103">
        <f t="shared" si="170"/>
        <v>172881</v>
      </c>
      <c r="Y523" s="103"/>
      <c r="Z523" s="2">
        <v>1568</v>
      </c>
      <c r="AA523" s="2"/>
      <c r="AB523" s="7">
        <v>1571</v>
      </c>
      <c r="AC523" s="78">
        <v>147244</v>
      </c>
      <c r="AD523" s="103">
        <f t="shared" si="172"/>
        <v>172881</v>
      </c>
      <c r="AE523" s="192">
        <f t="shared" si="173"/>
        <v>1.0116541251256418E-2</v>
      </c>
      <c r="AF523" s="192">
        <f t="shared" si="174"/>
        <v>5.4523053429815886E-3</v>
      </c>
      <c r="AG523" s="20">
        <f t="shared" si="175"/>
        <v>13.30831001602782</v>
      </c>
      <c r="AH523" s="20">
        <f t="shared" si="176"/>
        <v>9.8400480677460234</v>
      </c>
      <c r="AI523" s="3">
        <f t="shared" si="177"/>
        <v>145676</v>
      </c>
      <c r="AJ523"/>
      <c r="AK523"/>
      <c r="AL523"/>
    </row>
    <row r="524" spans="1:38">
      <c r="A524" s="28">
        <v>46180</v>
      </c>
      <c r="B524" s="3">
        <v>0</v>
      </c>
      <c r="C524" s="3">
        <v>0</v>
      </c>
      <c r="D524" s="3">
        <v>0</v>
      </c>
      <c r="E524" s="3">
        <v>0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107">
        <f t="shared" si="158"/>
        <v>0</v>
      </c>
      <c r="O524" s="7">
        <f t="shared" ref="O524:O531" si="178">+B524+C524+D524+F524+I524+K524+J524</f>
        <v>0</v>
      </c>
      <c r="P524" s="7">
        <f t="shared" si="165"/>
        <v>0</v>
      </c>
      <c r="Q524" s="7">
        <f t="shared" si="166"/>
        <v>0</v>
      </c>
      <c r="R524" s="7">
        <f t="shared" si="167"/>
        <v>0</v>
      </c>
      <c r="T524" s="7"/>
      <c r="U524" s="7"/>
      <c r="V524" s="103"/>
      <c r="W524" s="7">
        <f t="shared" si="169"/>
        <v>0</v>
      </c>
      <c r="X524" s="103">
        <f t="shared" si="170"/>
        <v>0</v>
      </c>
      <c r="Y524" s="103"/>
      <c r="Z524" s="2"/>
      <c r="AA524" s="2"/>
      <c r="AD524" s="103">
        <f t="shared" si="172"/>
        <v>0</v>
      </c>
      <c r="AE524" s="192"/>
      <c r="AF524" s="192"/>
      <c r="AG524" s="20"/>
      <c r="AH524" s="20"/>
      <c r="AI524" s="3">
        <f t="shared" si="177"/>
        <v>0</v>
      </c>
    </row>
    <row r="525" spans="1:38" s="45" customFormat="1">
      <c r="A525" s="28">
        <v>46181</v>
      </c>
      <c r="B525" s="3">
        <v>66.333333333333314</v>
      </c>
      <c r="C525" s="3">
        <v>577.25</v>
      </c>
      <c r="D525" s="3">
        <v>82.5</v>
      </c>
      <c r="E525" s="3">
        <v>426.75</v>
      </c>
      <c r="F525" s="3">
        <v>278.66666666666663</v>
      </c>
      <c r="G525" s="3">
        <v>138</v>
      </c>
      <c r="H525" s="3">
        <v>55.5</v>
      </c>
      <c r="I525" s="3">
        <v>1791.7499999999998</v>
      </c>
      <c r="J525" s="3">
        <v>146.58333333333334</v>
      </c>
      <c r="K525" s="3">
        <v>1434.8333333333333</v>
      </c>
      <c r="L525" s="3">
        <v>114.5</v>
      </c>
      <c r="M525" s="3">
        <v>294.75</v>
      </c>
      <c r="N525" s="107">
        <f t="shared" si="158"/>
        <v>39.999473348881608</v>
      </c>
      <c r="O525" s="7">
        <f t="shared" si="178"/>
        <v>4377.9166666666661</v>
      </c>
      <c r="P525" s="7">
        <f t="shared" si="165"/>
        <v>4337.9171933177849</v>
      </c>
      <c r="Q525" s="7">
        <f t="shared" si="166"/>
        <v>1791.5281467789293</v>
      </c>
      <c r="R525" s="7">
        <f t="shared" si="167"/>
        <v>1395.0557132055221</v>
      </c>
      <c r="S525" s="7">
        <v>7065</v>
      </c>
      <c r="T525" s="7">
        <v>9788</v>
      </c>
      <c r="U525" s="7">
        <v>0</v>
      </c>
      <c r="V525" s="103">
        <v>169567</v>
      </c>
      <c r="W525" s="7">
        <f t="shared" si="169"/>
        <v>162502</v>
      </c>
      <c r="X525" s="103">
        <f t="shared" si="170"/>
        <v>169602</v>
      </c>
      <c r="Y525" s="103"/>
      <c r="Z525" s="2">
        <v>3988</v>
      </c>
      <c r="AA525" s="2"/>
      <c r="AB525" s="103">
        <v>35</v>
      </c>
      <c r="AC525" s="78">
        <v>136660</v>
      </c>
      <c r="AD525" s="103">
        <f t="shared" si="172"/>
        <v>169602</v>
      </c>
      <c r="AE525" s="192">
        <f t="shared" ref="AE525:AE531" si="179">+(Z525/AC525*0.95)</f>
        <v>2.7722815747109612E-2</v>
      </c>
      <c r="AF525" s="192">
        <f t="shared" ref="AF525:AF531" si="180">+(AB525/AD525*0.6)</f>
        <v>1.2381929458379028E-4</v>
      </c>
      <c r="AG525" s="20">
        <f t="shared" ref="AG525:AG537" si="181">+AE525*K525</f>
        <v>39.777620127811105</v>
      </c>
      <c r="AH525" s="20">
        <f t="shared" ref="AH525:AH537" si="182">+AF525*I525</f>
        <v>0.2218532210705062</v>
      </c>
      <c r="AI525" s="3">
        <f t="shared" si="177"/>
        <v>132672</v>
      </c>
    </row>
    <row r="526" spans="1:38">
      <c r="A526" s="28">
        <v>46182</v>
      </c>
      <c r="B526" s="3">
        <v>56.416666666666686</v>
      </c>
      <c r="C526" s="3">
        <v>661.58333333333326</v>
      </c>
      <c r="D526" s="3">
        <v>97.5</v>
      </c>
      <c r="E526" s="3">
        <v>376.25</v>
      </c>
      <c r="F526" s="3">
        <v>277.08333333333331</v>
      </c>
      <c r="G526" s="3">
        <v>139.75</v>
      </c>
      <c r="H526" s="3">
        <v>47</v>
      </c>
      <c r="I526" s="3">
        <v>1767.8333333333333</v>
      </c>
      <c r="J526" s="3">
        <v>172.25</v>
      </c>
      <c r="K526" s="3">
        <v>1513.5833333333333</v>
      </c>
      <c r="L526" s="3">
        <v>123.16666666666666</v>
      </c>
      <c r="M526" s="3">
        <v>295.91666666666663</v>
      </c>
      <c r="N526" s="107">
        <f t="shared" si="158"/>
        <v>97.66316575312581</v>
      </c>
      <c r="O526" s="7">
        <f t="shared" si="178"/>
        <v>4546.25</v>
      </c>
      <c r="P526" s="7">
        <f t="shared" si="165"/>
        <v>4448.5868342468739</v>
      </c>
      <c r="Q526" s="7">
        <f t="shared" si="166"/>
        <v>1689.7771439132341</v>
      </c>
      <c r="R526" s="7">
        <f t="shared" si="167"/>
        <v>1493.9763570003065</v>
      </c>
      <c r="S526" s="7">
        <v>10872</v>
      </c>
      <c r="T526" s="7">
        <v>11107</v>
      </c>
      <c r="U526" s="7">
        <v>0</v>
      </c>
      <c r="V526" s="103">
        <v>161239</v>
      </c>
      <c r="W526" s="7">
        <f t="shared" si="169"/>
        <v>150367</v>
      </c>
      <c r="X526" s="103">
        <f t="shared" si="170"/>
        <v>174047</v>
      </c>
      <c r="Y526" s="103"/>
      <c r="Z526" s="2">
        <v>1986</v>
      </c>
      <c r="AA526" s="2"/>
      <c r="AB526" s="103">
        <v>12808</v>
      </c>
      <c r="AC526" s="78">
        <v>145646</v>
      </c>
      <c r="AD526" s="103">
        <f t="shared" si="172"/>
        <v>174047</v>
      </c>
      <c r="AE526" s="192">
        <f t="shared" si="179"/>
        <v>1.2954011781991952E-2</v>
      </c>
      <c r="AF526" s="192">
        <f t="shared" si="180"/>
        <v>4.4153590696765811E-2</v>
      </c>
      <c r="AG526" s="20">
        <f t="shared" si="181"/>
        <v>19.606976333026651</v>
      </c>
      <c r="AH526" s="20">
        <f t="shared" si="182"/>
        <v>78.056189420099159</v>
      </c>
      <c r="AI526" s="3">
        <f t="shared" si="177"/>
        <v>143660</v>
      </c>
    </row>
    <row r="527" spans="1:38">
      <c r="A527" s="28">
        <v>46183</v>
      </c>
      <c r="B527" s="3">
        <v>104.66666666666666</v>
      </c>
      <c r="C527" s="3">
        <v>557</v>
      </c>
      <c r="D527" s="3">
        <v>79.083333333333329</v>
      </c>
      <c r="E527" s="3">
        <v>418.58333333333337</v>
      </c>
      <c r="F527" s="3">
        <v>286.08333333333337</v>
      </c>
      <c r="G527" s="3">
        <v>141</v>
      </c>
      <c r="H527" s="3">
        <v>55.5</v>
      </c>
      <c r="I527" s="3">
        <v>2000.75</v>
      </c>
      <c r="J527" s="3">
        <v>154.5</v>
      </c>
      <c r="K527" s="3">
        <v>1395.5833333333335</v>
      </c>
      <c r="L527" s="3">
        <v>145.83333333333334</v>
      </c>
      <c r="M527" s="3">
        <v>317.16666666666663</v>
      </c>
      <c r="N527" s="107">
        <f t="shared" si="158"/>
        <v>21.28260463675738</v>
      </c>
      <c r="O527" s="7">
        <f t="shared" si="178"/>
        <v>4577.666666666667</v>
      </c>
      <c r="P527" s="7">
        <f t="shared" si="165"/>
        <v>4556.3840620299097</v>
      </c>
      <c r="Q527" s="7">
        <f t="shared" si="166"/>
        <v>1985.4759809305508</v>
      </c>
      <c r="R527" s="7">
        <f t="shared" si="167"/>
        <v>1389.5747477660252</v>
      </c>
      <c r="S527" s="7">
        <v>10972</v>
      </c>
      <c r="T527" s="7">
        <v>11277</v>
      </c>
      <c r="U527" s="7">
        <v>0</v>
      </c>
      <c r="V527" s="103">
        <v>186071</v>
      </c>
      <c r="W527" s="7">
        <f t="shared" si="169"/>
        <v>175099</v>
      </c>
      <c r="X527" s="103">
        <f t="shared" si="170"/>
        <v>188469</v>
      </c>
      <c r="Y527" s="103"/>
      <c r="Z527" s="2">
        <v>554</v>
      </c>
      <c r="AA527" s="2"/>
      <c r="AB527" s="103">
        <v>2398</v>
      </c>
      <c r="AC527" s="78">
        <v>122241</v>
      </c>
      <c r="AD527" s="103">
        <f t="shared" si="172"/>
        <v>188469</v>
      </c>
      <c r="AE527" s="192">
        <f t="shared" si="179"/>
        <v>4.3054294385680737E-3</v>
      </c>
      <c r="AF527" s="192">
        <f t="shared" si="180"/>
        <v>7.6341467297009052E-3</v>
      </c>
      <c r="AG527" s="20">
        <f t="shared" si="181"/>
        <v>6.0085855673082946</v>
      </c>
      <c r="AH527" s="20">
        <f t="shared" si="182"/>
        <v>15.274019069449086</v>
      </c>
      <c r="AI527" s="3">
        <f t="shared" si="177"/>
        <v>121687</v>
      </c>
    </row>
    <row r="528" spans="1:38">
      <c r="A528" s="28">
        <v>46184</v>
      </c>
      <c r="B528" s="3">
        <v>52.25</v>
      </c>
      <c r="C528" s="3">
        <v>549.33333333333326</v>
      </c>
      <c r="D528" s="3">
        <v>95.083333333333329</v>
      </c>
      <c r="E528" s="3">
        <v>405.16666666666663</v>
      </c>
      <c r="F528" s="3">
        <v>297</v>
      </c>
      <c r="G528" s="3">
        <v>96.416666666666657</v>
      </c>
      <c r="H528" s="3">
        <v>48</v>
      </c>
      <c r="I528" s="3">
        <v>2047.3333333333333</v>
      </c>
      <c r="J528" s="3">
        <v>144.08333333333334</v>
      </c>
      <c r="K528" s="3">
        <v>1534.25</v>
      </c>
      <c r="L528" s="3">
        <v>148.08333333333334</v>
      </c>
      <c r="M528" s="3">
        <v>320.75</v>
      </c>
      <c r="N528" s="107">
        <f t="shared" si="158"/>
        <v>0.31413371541254298</v>
      </c>
      <c r="O528" s="7">
        <f t="shared" si="178"/>
        <v>4719.333333333333</v>
      </c>
      <c r="P528" s="7">
        <f t="shared" si="165"/>
        <v>4719.019199617921</v>
      </c>
      <c r="Q528" s="7">
        <f t="shared" si="166"/>
        <v>2047.2197398434128</v>
      </c>
      <c r="R528" s="7">
        <f t="shared" si="167"/>
        <v>1534.049459774508</v>
      </c>
      <c r="S528" s="7">
        <v>8124</v>
      </c>
      <c r="T528" s="7">
        <v>9741</v>
      </c>
      <c r="U528" s="7">
        <v>0</v>
      </c>
      <c r="V528" s="103">
        <v>194634</v>
      </c>
      <c r="W528" s="7">
        <f t="shared" si="169"/>
        <v>186510</v>
      </c>
      <c r="X528" s="103">
        <f t="shared" si="170"/>
        <v>194652</v>
      </c>
      <c r="Y528" s="103"/>
      <c r="Z528" s="2">
        <v>18</v>
      </c>
      <c r="AA528" s="2"/>
      <c r="AB528" s="103">
        <v>18</v>
      </c>
      <c r="AC528" s="78">
        <v>130825</v>
      </c>
      <c r="AD528" s="103">
        <f t="shared" si="172"/>
        <v>194652</v>
      </c>
      <c r="AE528" s="192">
        <f t="shared" si="179"/>
        <v>1.3070896235429006E-4</v>
      </c>
      <c r="AF528" s="192">
        <f t="shared" si="180"/>
        <v>5.54836323284631E-5</v>
      </c>
      <c r="AG528" s="20">
        <f t="shared" si="181"/>
        <v>0.20054022549206951</v>
      </c>
      <c r="AH528" s="20">
        <f t="shared" si="182"/>
        <v>0.11359348992047345</v>
      </c>
      <c r="AI528" s="3">
        <f t="shared" si="177"/>
        <v>130807</v>
      </c>
    </row>
    <row r="529" spans="1:35">
      <c r="A529" s="28">
        <v>46185</v>
      </c>
      <c r="B529" s="3">
        <v>59.75</v>
      </c>
      <c r="C529" s="3">
        <v>652.58333333333337</v>
      </c>
      <c r="D529" s="3">
        <v>90</v>
      </c>
      <c r="E529" s="3">
        <v>409.91666666666669</v>
      </c>
      <c r="F529" s="3">
        <v>305.25</v>
      </c>
      <c r="G529" s="3">
        <v>127.91666666666666</v>
      </c>
      <c r="H529" s="3">
        <v>48</v>
      </c>
      <c r="I529" s="3">
        <v>2097.3249999999998</v>
      </c>
      <c r="J529" s="3">
        <v>157.5</v>
      </c>
      <c r="K529" s="3">
        <v>1808.0833333333335</v>
      </c>
      <c r="L529" s="3">
        <v>130.41666666666669</v>
      </c>
      <c r="M529" s="3">
        <v>337.41666666666663</v>
      </c>
      <c r="N529" s="107">
        <f t="shared" si="158"/>
        <v>84.684702897097495</v>
      </c>
      <c r="O529" s="7">
        <f t="shared" si="178"/>
        <v>5170.4916666666668</v>
      </c>
      <c r="P529" s="7">
        <f t="shared" si="165"/>
        <v>5085.8069637695689</v>
      </c>
      <c r="Q529" s="7">
        <f t="shared" si="166"/>
        <v>2066.9087354439089</v>
      </c>
      <c r="R529" s="7">
        <f t="shared" si="167"/>
        <v>1753.8148949923268</v>
      </c>
      <c r="S529" s="7">
        <v>7376</v>
      </c>
      <c r="T529" s="7">
        <v>8981</v>
      </c>
      <c r="U529" s="7">
        <v>0</v>
      </c>
      <c r="V529" s="103">
        <v>177235</v>
      </c>
      <c r="W529" s="7">
        <f t="shared" si="169"/>
        <v>169859</v>
      </c>
      <c r="X529" s="103">
        <f t="shared" si="170"/>
        <v>181625</v>
      </c>
      <c r="Y529" s="103"/>
      <c r="Z529" s="2">
        <v>4735</v>
      </c>
      <c r="AA529" s="2"/>
      <c r="AB529" s="103">
        <v>4390</v>
      </c>
      <c r="AC529" s="78">
        <v>149870</v>
      </c>
      <c r="AD529" s="103">
        <f t="shared" si="172"/>
        <v>181625</v>
      </c>
      <c r="AE529" s="192">
        <f t="shared" si="179"/>
        <v>3.0014345766330816E-2</v>
      </c>
      <c r="AF529" s="192">
        <f t="shared" si="180"/>
        <v>1.4502408809359945E-2</v>
      </c>
      <c r="AG529" s="20">
        <f t="shared" si="181"/>
        <v>54.26843834100665</v>
      </c>
      <c r="AH529" s="20">
        <f t="shared" si="182"/>
        <v>30.416264556090844</v>
      </c>
      <c r="AI529" s="3">
        <f t="shared" si="177"/>
        <v>145135</v>
      </c>
    </row>
    <row r="530" spans="1:35">
      <c r="A530" s="28">
        <v>46186</v>
      </c>
      <c r="B530" s="3">
        <v>59.75</v>
      </c>
      <c r="C530" s="3">
        <v>591.66666666666674</v>
      </c>
      <c r="D530" s="3">
        <v>86.5</v>
      </c>
      <c r="E530" s="3">
        <v>270</v>
      </c>
      <c r="F530" s="3">
        <v>269</v>
      </c>
      <c r="G530" s="3">
        <v>0</v>
      </c>
      <c r="H530" s="3">
        <v>22.166666666666664</v>
      </c>
      <c r="I530" s="3">
        <v>1905</v>
      </c>
      <c r="J530" s="3">
        <v>139.66666666666669</v>
      </c>
      <c r="K530" s="3">
        <v>1514.5</v>
      </c>
      <c r="L530" s="3">
        <v>74.75</v>
      </c>
      <c r="M530" s="3">
        <v>317.83333333333337</v>
      </c>
      <c r="N530" s="107">
        <f t="shared" si="158"/>
        <v>11.757978573439701</v>
      </c>
      <c r="O530" s="7">
        <f t="shared" si="178"/>
        <v>4566.0833333333339</v>
      </c>
      <c r="P530" s="7">
        <f t="shared" si="165"/>
        <v>4554.3253547598943</v>
      </c>
      <c r="Q530" s="7">
        <f t="shared" si="166"/>
        <v>1899.2962186176258</v>
      </c>
      <c r="R530" s="7">
        <f t="shared" si="167"/>
        <v>1508.4458028089346</v>
      </c>
      <c r="S530" s="7">
        <v>6346</v>
      </c>
      <c r="T530" s="7">
        <v>8709</v>
      </c>
      <c r="U530" s="7">
        <v>0</v>
      </c>
      <c r="V530" s="103">
        <v>192614</v>
      </c>
      <c r="W530" s="7">
        <f t="shared" si="169"/>
        <v>186268</v>
      </c>
      <c r="X530" s="103">
        <f t="shared" si="170"/>
        <v>193580</v>
      </c>
      <c r="Y530" s="103"/>
      <c r="Z530" s="2">
        <v>610</v>
      </c>
      <c r="AA530" s="2"/>
      <c r="AB530" s="103">
        <v>966</v>
      </c>
      <c r="AC530" s="78">
        <v>144966</v>
      </c>
      <c r="AD530" s="103">
        <f t="shared" si="172"/>
        <v>193580</v>
      </c>
      <c r="AE530" s="192">
        <f t="shared" si="179"/>
        <v>3.9974890664017763E-3</v>
      </c>
      <c r="AF530" s="192">
        <f t="shared" si="180"/>
        <v>2.9941109618762266E-3</v>
      </c>
      <c r="AG530" s="20">
        <f t="shared" si="181"/>
        <v>6.0541971910654899</v>
      </c>
      <c r="AH530" s="20">
        <f t="shared" si="182"/>
        <v>5.7037813823742116</v>
      </c>
      <c r="AI530" s="3">
        <f t="shared" si="177"/>
        <v>144356</v>
      </c>
    </row>
    <row r="531" spans="1:35">
      <c r="A531" s="28">
        <v>46187</v>
      </c>
      <c r="B531" s="3">
        <v>90</v>
      </c>
      <c r="C531" s="3">
        <v>336.91666666666663</v>
      </c>
      <c r="D531" s="3">
        <v>80.25</v>
      </c>
      <c r="E531" s="3">
        <v>7.5</v>
      </c>
      <c r="F531" s="3">
        <v>210</v>
      </c>
      <c r="G531" s="3">
        <v>0</v>
      </c>
      <c r="H531" s="3">
        <v>15</v>
      </c>
      <c r="I531" s="3">
        <v>1497.9166666666665</v>
      </c>
      <c r="J531" s="3">
        <v>112.5</v>
      </c>
      <c r="K531" s="3">
        <v>1147</v>
      </c>
      <c r="L531" s="3">
        <v>7.5</v>
      </c>
      <c r="M531" s="3">
        <v>259.75</v>
      </c>
      <c r="N531" s="107">
        <f t="shared" si="158"/>
        <v>0.22175069124857738</v>
      </c>
      <c r="O531" s="7">
        <f t="shared" si="178"/>
        <v>3474.583333333333</v>
      </c>
      <c r="P531" s="7">
        <f t="shared" si="165"/>
        <v>3474.3615826420846</v>
      </c>
      <c r="Q531" s="7">
        <f t="shared" si="166"/>
        <v>1497.8046896414241</v>
      </c>
      <c r="R531" s="7">
        <f t="shared" si="167"/>
        <v>1146.8902263339937</v>
      </c>
      <c r="S531" s="7">
        <v>4159</v>
      </c>
      <c r="T531" s="7">
        <v>6129</v>
      </c>
      <c r="U531" s="7">
        <v>0</v>
      </c>
      <c r="V531" s="103">
        <v>160504</v>
      </c>
      <c r="W531" s="7">
        <f t="shared" si="169"/>
        <v>156345</v>
      </c>
      <c r="X531" s="103">
        <f t="shared" si="170"/>
        <v>160524</v>
      </c>
      <c r="Y531" s="103"/>
      <c r="Z531" s="2">
        <v>12</v>
      </c>
      <c r="AA531" s="2"/>
      <c r="AB531" s="103">
        <v>20</v>
      </c>
      <c r="AC531" s="78">
        <v>119116</v>
      </c>
      <c r="AD531" s="103">
        <f t="shared" si="172"/>
        <v>160524</v>
      </c>
      <c r="AE531" s="192">
        <f t="shared" si="179"/>
        <v>9.5705027032472553E-5</v>
      </c>
      <c r="AF531" s="192">
        <f t="shared" si="180"/>
        <v>7.4755176795993113E-5</v>
      </c>
      <c r="AG531" s="20">
        <f t="shared" si="181"/>
        <v>0.10977366600624602</v>
      </c>
      <c r="AH531" s="20">
        <f t="shared" si="182"/>
        <v>0.11197702524233134</v>
      </c>
      <c r="AI531" s="3">
        <f t="shared" si="177"/>
        <v>119104</v>
      </c>
    </row>
    <row r="532" spans="1:35">
      <c r="A532" s="28">
        <v>46188</v>
      </c>
      <c r="B532" s="7">
        <v>75</v>
      </c>
      <c r="C532" s="3">
        <v>374.66666666666663</v>
      </c>
      <c r="D532" s="3">
        <v>82</v>
      </c>
      <c r="E532" s="3">
        <v>411.16666666666663</v>
      </c>
      <c r="F532" s="3">
        <v>262.91666666666663</v>
      </c>
      <c r="G532" s="3">
        <v>81.5</v>
      </c>
      <c r="H532" s="3">
        <v>48</v>
      </c>
      <c r="I532" s="3">
        <v>1797.4166666666667</v>
      </c>
      <c r="J532" s="3">
        <v>142.33333333333331</v>
      </c>
      <c r="K532" s="3">
        <v>1711.2499999999998</v>
      </c>
      <c r="L532" s="3">
        <v>130.25</v>
      </c>
      <c r="M532" s="3">
        <v>307.91666666666663</v>
      </c>
      <c r="N532" s="107">
        <f t="shared" si="158"/>
        <v>8.9725177101230624</v>
      </c>
      <c r="O532" s="7">
        <f t="shared" ref="O532:O538" si="183">+B532+C532+D532+F532+I532+K532+J532</f>
        <v>4445.583333333333</v>
      </c>
      <c r="P532" s="7">
        <f t="shared" si="165"/>
        <v>4436.6108156232094</v>
      </c>
      <c r="Q532" s="7">
        <f t="shared" si="166"/>
        <v>1794.0628185033609</v>
      </c>
      <c r="R532" s="7">
        <f t="shared" si="167"/>
        <v>1705.6313304531827</v>
      </c>
      <c r="S532" s="7">
        <v>7506</v>
      </c>
      <c r="T532" s="7">
        <v>8654</v>
      </c>
      <c r="U532" s="7">
        <v>0</v>
      </c>
      <c r="V532" s="103">
        <v>160278</v>
      </c>
      <c r="W532" s="7">
        <f t="shared" si="169"/>
        <v>152772</v>
      </c>
      <c r="X532" s="103">
        <f t="shared" si="170"/>
        <v>160778</v>
      </c>
      <c r="Y532" s="103"/>
      <c r="Z532" s="2">
        <v>588</v>
      </c>
      <c r="AA532" s="2"/>
      <c r="AB532" s="103">
        <v>500</v>
      </c>
      <c r="AC532" s="78">
        <v>170130</v>
      </c>
      <c r="AD532" s="103">
        <f t="shared" si="172"/>
        <v>160778</v>
      </c>
      <c r="AE532" s="192">
        <f t="shared" ref="AE532:AE537" si="184">+(Z532/AC532*0.95)</f>
        <v>3.2833715394110382E-3</v>
      </c>
      <c r="AF532" s="192">
        <f t="shared" ref="AF532:AF537" si="185">+(AB532/AD532*0.6)</f>
        <v>1.8659269303014094E-3</v>
      </c>
      <c r="AG532" s="20">
        <f t="shared" si="181"/>
        <v>5.6186695468171379</v>
      </c>
      <c r="AH532" s="20">
        <f t="shared" si="182"/>
        <v>3.3538481633059249</v>
      </c>
      <c r="AI532" s="3">
        <f>+AC532-Z532</f>
        <v>169542</v>
      </c>
    </row>
    <row r="533" spans="1:35">
      <c r="A533" s="28">
        <v>46189</v>
      </c>
      <c r="B533" s="7">
        <v>66.25</v>
      </c>
      <c r="C533" s="3">
        <v>623.25</v>
      </c>
      <c r="D533" s="3">
        <v>92.5</v>
      </c>
      <c r="E533" s="3">
        <v>411.25</v>
      </c>
      <c r="F533" s="3">
        <v>276.25</v>
      </c>
      <c r="G533" s="3">
        <v>73.916666666666657</v>
      </c>
      <c r="H533" s="3">
        <v>45.416666666666671</v>
      </c>
      <c r="I533" s="3">
        <v>1736.75</v>
      </c>
      <c r="J533" s="3">
        <v>155.25</v>
      </c>
      <c r="K533" s="3">
        <v>1656.9166666666667</v>
      </c>
      <c r="L533" s="3">
        <v>147.41666666666666</v>
      </c>
      <c r="M533" s="3">
        <v>333.83333333333331</v>
      </c>
      <c r="N533" s="107">
        <f t="shared" si="158"/>
        <v>47.30359465831912</v>
      </c>
      <c r="O533" s="7">
        <f t="shared" si="183"/>
        <v>4607.166666666667</v>
      </c>
      <c r="P533" s="7">
        <f t="shared" ref="P533:P564" si="186">+B533+C533+D533+F533+J533+Q533+R533</f>
        <v>4559.8630720083474</v>
      </c>
      <c r="Q533" s="7">
        <f t="shared" ref="Q533:Q564" si="187">+I533-AH533</f>
        <v>1733.9736843987482</v>
      </c>
      <c r="R533" s="7">
        <f t="shared" ref="R533:R564" si="188">+K533-AG533</f>
        <v>1612.3893876095992</v>
      </c>
      <c r="S533" s="7">
        <v>8599</v>
      </c>
      <c r="T533" s="7">
        <v>11113</v>
      </c>
      <c r="U533" s="7">
        <v>0</v>
      </c>
      <c r="V533" s="103">
        <v>167328</v>
      </c>
      <c r="W533" s="7">
        <f t="shared" si="169"/>
        <v>158729</v>
      </c>
      <c r="X533" s="103">
        <f t="shared" si="170"/>
        <v>167775</v>
      </c>
      <c r="Y533" s="103"/>
      <c r="Z533" s="2">
        <v>4662</v>
      </c>
      <c r="AA533" s="2"/>
      <c r="AB533" s="103">
        <v>447</v>
      </c>
      <c r="AC533" s="78">
        <v>164805</v>
      </c>
      <c r="AD533" s="103">
        <f t="shared" si="172"/>
        <v>167775</v>
      </c>
      <c r="AE533" s="192">
        <f t="shared" si="184"/>
        <v>2.6873577864749251E-2</v>
      </c>
      <c r="AF533" s="192">
        <f t="shared" si="185"/>
        <v>1.5985695127402771E-3</v>
      </c>
      <c r="AG533" s="20">
        <f t="shared" si="181"/>
        <v>44.527279057067446</v>
      </c>
      <c r="AH533" s="20">
        <f t="shared" si="182"/>
        <v>2.7763156012516763</v>
      </c>
      <c r="AI533" s="3">
        <f t="shared" ref="AI533:AI537" si="189">+AC533-Z533</f>
        <v>160143</v>
      </c>
    </row>
    <row r="534" spans="1:35">
      <c r="A534" s="28">
        <v>46190</v>
      </c>
      <c r="B534" s="7">
        <v>65.333333333333314</v>
      </c>
      <c r="C534" s="3">
        <v>593.66666666666663</v>
      </c>
      <c r="D534" s="3">
        <v>85.416666666666657</v>
      </c>
      <c r="E534" s="3">
        <v>423.75</v>
      </c>
      <c r="F534" s="3">
        <v>259.16666666666663</v>
      </c>
      <c r="G534" s="3">
        <v>83.25</v>
      </c>
      <c r="H534" s="3">
        <v>48</v>
      </c>
      <c r="I534" s="3">
        <v>1695.5</v>
      </c>
      <c r="J534" s="3">
        <v>151.5</v>
      </c>
      <c r="K534" s="3">
        <v>1442.3333333333333</v>
      </c>
      <c r="L534" s="3">
        <v>148.66666666666666</v>
      </c>
      <c r="M534" s="3">
        <v>334.58333333333337</v>
      </c>
      <c r="N534" s="107">
        <f t="shared" si="158"/>
        <v>44.754784281714038</v>
      </c>
      <c r="O534" s="7">
        <f t="shared" si="183"/>
        <v>4292.9166666666661</v>
      </c>
      <c r="P534" s="7">
        <f t="shared" si="186"/>
        <v>4248.1618823849522</v>
      </c>
      <c r="Q534" s="7">
        <f t="shared" si="187"/>
        <v>1665.4653899392206</v>
      </c>
      <c r="R534" s="7">
        <f t="shared" si="188"/>
        <v>1427.6131591123985</v>
      </c>
      <c r="S534" s="7">
        <v>9136</v>
      </c>
      <c r="T534" s="7">
        <v>10232</v>
      </c>
      <c r="U534" s="7">
        <v>0</v>
      </c>
      <c r="V534" s="103">
        <v>170370</v>
      </c>
      <c r="W534" s="7">
        <f t="shared" si="169"/>
        <v>161234</v>
      </c>
      <c r="X534" s="103">
        <f t="shared" si="170"/>
        <v>175553</v>
      </c>
      <c r="Y534" s="103"/>
      <c r="Z534" s="2">
        <v>1602</v>
      </c>
      <c r="AA534" s="2"/>
      <c r="AB534" s="103">
        <v>5183</v>
      </c>
      <c r="AC534" s="78">
        <v>149121</v>
      </c>
      <c r="AD534" s="103">
        <f t="shared" si="172"/>
        <v>175553</v>
      </c>
      <c r="AE534" s="192">
        <f t="shared" si="184"/>
        <v>1.0205806023296517E-2</v>
      </c>
      <c r="AF534" s="192">
        <f t="shared" si="185"/>
        <v>1.7714308499427522E-2</v>
      </c>
      <c r="AG534" s="20">
        <f t="shared" si="181"/>
        <v>14.720174220934675</v>
      </c>
      <c r="AH534" s="20">
        <f t="shared" si="182"/>
        <v>30.034610060779364</v>
      </c>
      <c r="AI534" s="3">
        <f t="shared" si="189"/>
        <v>147519</v>
      </c>
    </row>
    <row r="535" spans="1:35">
      <c r="A535" s="28">
        <v>46191</v>
      </c>
      <c r="B535" s="7">
        <v>72.25</v>
      </c>
      <c r="C535" s="3">
        <v>518.75</v>
      </c>
      <c r="D535" s="3">
        <v>90.083333333333329</v>
      </c>
      <c r="E535" s="3">
        <v>398.5</v>
      </c>
      <c r="F535" s="3">
        <v>251.16666666666666</v>
      </c>
      <c r="G535" s="3">
        <v>79.083333333333329</v>
      </c>
      <c r="H535" s="3">
        <v>48</v>
      </c>
      <c r="I535" s="3">
        <v>1778.7499999999998</v>
      </c>
      <c r="J535" s="3">
        <v>112.5</v>
      </c>
      <c r="K535" s="3">
        <v>1212.9166666666665</v>
      </c>
      <c r="L535" s="3">
        <v>148.75</v>
      </c>
      <c r="M535" s="3">
        <v>322.5</v>
      </c>
      <c r="N535" s="107">
        <f t="shared" si="158"/>
        <v>25.879050796412901</v>
      </c>
      <c r="O535" s="7">
        <f t="shared" si="183"/>
        <v>4036.4166666666665</v>
      </c>
      <c r="P535" s="7">
        <f t="shared" si="186"/>
        <v>4010.5376158702538</v>
      </c>
      <c r="Q535" s="7">
        <f t="shared" si="187"/>
        <v>1768.1134674655066</v>
      </c>
      <c r="R535" s="7">
        <f t="shared" si="188"/>
        <v>1197.6741484047468</v>
      </c>
      <c r="S535" s="7">
        <v>4482</v>
      </c>
      <c r="T535" s="7">
        <v>6616</v>
      </c>
      <c r="U535" s="7">
        <v>0</v>
      </c>
      <c r="V535" s="103">
        <v>171855</v>
      </c>
      <c r="W535" s="7">
        <f t="shared" si="169"/>
        <v>167373</v>
      </c>
      <c r="X535" s="103">
        <f t="shared" si="170"/>
        <v>173585</v>
      </c>
      <c r="Y535" s="103"/>
      <c r="Z535" s="2">
        <v>1727</v>
      </c>
      <c r="AA535" s="2"/>
      <c r="AB535" s="103">
        <v>1730</v>
      </c>
      <c r="AC535" s="78">
        <v>130554</v>
      </c>
      <c r="AD535" s="103">
        <f t="shared" si="172"/>
        <v>173585</v>
      </c>
      <c r="AE535" s="192">
        <f t="shared" si="184"/>
        <v>1.2566830583513336E-2</v>
      </c>
      <c r="AF535" s="192">
        <f t="shared" si="185"/>
        <v>5.979779358815566E-3</v>
      </c>
      <c r="AG535" s="20">
        <f t="shared" si="181"/>
        <v>15.242518261919715</v>
      </c>
      <c r="AH535" s="20">
        <f t="shared" si="182"/>
        <v>10.636532534493186</v>
      </c>
      <c r="AI535" s="3">
        <f t="shared" si="189"/>
        <v>128827</v>
      </c>
    </row>
    <row r="536" spans="1:35">
      <c r="A536" s="28">
        <v>46192</v>
      </c>
      <c r="B536" s="7">
        <v>59.833333333333314</v>
      </c>
      <c r="C536" s="3">
        <v>541.41666666666674</v>
      </c>
      <c r="D536" s="3">
        <v>97.166666666666657</v>
      </c>
      <c r="E536" s="3">
        <v>373.91666666666663</v>
      </c>
      <c r="F536" s="3">
        <v>276</v>
      </c>
      <c r="G536" s="3">
        <v>76.5</v>
      </c>
      <c r="H536" s="3">
        <v>48</v>
      </c>
      <c r="I536" s="3">
        <v>1755.4166666666667</v>
      </c>
      <c r="J536" s="3">
        <v>117.66666666666666</v>
      </c>
      <c r="K536" s="3">
        <v>1235.6666666666667</v>
      </c>
      <c r="L536" s="3">
        <v>145.25</v>
      </c>
      <c r="M536" s="3">
        <v>315</v>
      </c>
      <c r="N536" s="107">
        <f t="shared" si="158"/>
        <v>41.16455887790903</v>
      </c>
      <c r="O536" s="7">
        <f t="shared" si="183"/>
        <v>4083.1666666666665</v>
      </c>
      <c r="P536" s="7">
        <f t="shared" si="186"/>
        <v>4042.0021077887577</v>
      </c>
      <c r="Q536" s="7">
        <f t="shared" si="187"/>
        <v>1738.7004787209003</v>
      </c>
      <c r="R536" s="7">
        <f t="shared" si="188"/>
        <v>1211.2182957345242</v>
      </c>
      <c r="S536" s="7">
        <v>4714</v>
      </c>
      <c r="T536" s="7">
        <v>7380</v>
      </c>
      <c r="U536" s="7">
        <v>0</v>
      </c>
      <c r="V536" s="103">
        <v>167235</v>
      </c>
      <c r="W536" s="7">
        <f t="shared" si="169"/>
        <v>162521</v>
      </c>
      <c r="X536" s="103">
        <f t="shared" si="170"/>
        <v>169932</v>
      </c>
      <c r="Y536" s="103"/>
      <c r="Z536" s="2">
        <v>2705</v>
      </c>
      <c r="AA536" s="2"/>
      <c r="AB536" s="103">
        <v>2697</v>
      </c>
      <c r="AC536" s="78">
        <v>129880</v>
      </c>
      <c r="AD536" s="103">
        <f t="shared" si="172"/>
        <v>169932</v>
      </c>
      <c r="AE536" s="192">
        <f t="shared" si="184"/>
        <v>1.9785571296581459E-2</v>
      </c>
      <c r="AF536" s="192">
        <f t="shared" si="185"/>
        <v>9.5226325824447414E-3</v>
      </c>
      <c r="AG536" s="20">
        <f t="shared" si="181"/>
        <v>24.448370932142492</v>
      </c>
      <c r="AH536" s="20">
        <f t="shared" si="182"/>
        <v>16.716187945766542</v>
      </c>
      <c r="AI536" s="3">
        <f t="shared" si="189"/>
        <v>127175</v>
      </c>
    </row>
    <row r="537" spans="1:35">
      <c r="A537" s="28">
        <v>46193</v>
      </c>
      <c r="B537" s="7">
        <v>58.916666666666657</v>
      </c>
      <c r="C537" s="3">
        <v>322.66666666666663</v>
      </c>
      <c r="D537" s="3">
        <v>89.083333333333329</v>
      </c>
      <c r="E537" s="3">
        <v>232</v>
      </c>
      <c r="F537" s="3">
        <v>240.08333333333334</v>
      </c>
      <c r="G537" s="3">
        <v>0</v>
      </c>
      <c r="H537" s="3">
        <v>22.5</v>
      </c>
      <c r="I537" s="3">
        <v>1461.4999999999998</v>
      </c>
      <c r="J537" s="3">
        <v>120</v>
      </c>
      <c r="K537" s="3">
        <v>1216.0833333333337</v>
      </c>
      <c r="L537" s="3">
        <v>117.41666666666667</v>
      </c>
      <c r="M537" s="3">
        <v>271.66666666666669</v>
      </c>
      <c r="N537" s="107">
        <f t="shared" si="158"/>
        <v>16.302428744114845</v>
      </c>
      <c r="O537" s="7">
        <f t="shared" si="183"/>
        <v>3508.333333333333</v>
      </c>
      <c r="P537" s="7">
        <f t="shared" si="186"/>
        <v>3492.0309045892186</v>
      </c>
      <c r="Q537" s="7">
        <f t="shared" si="187"/>
        <v>1455.585425219941</v>
      </c>
      <c r="R537" s="7">
        <f t="shared" si="188"/>
        <v>1205.6954793692776</v>
      </c>
      <c r="S537" s="7">
        <v>6476</v>
      </c>
      <c r="T537" s="7">
        <v>9262</v>
      </c>
      <c r="U537" s="7">
        <v>0</v>
      </c>
      <c r="V537" s="103">
        <v>155802</v>
      </c>
      <c r="W537" s="7">
        <f t="shared" si="169"/>
        <v>149326</v>
      </c>
      <c r="X537" s="103">
        <f t="shared" si="170"/>
        <v>156860</v>
      </c>
      <c r="Y537" s="103"/>
      <c r="Z537" s="2">
        <v>1054</v>
      </c>
      <c r="AA537" s="2"/>
      <c r="AB537" s="103">
        <v>1058</v>
      </c>
      <c r="AC537" s="78">
        <v>117220</v>
      </c>
      <c r="AD537" s="103">
        <f t="shared" si="172"/>
        <v>156860</v>
      </c>
      <c r="AE537" s="192">
        <f t="shared" si="184"/>
        <v>8.5420576693397039E-3</v>
      </c>
      <c r="AF537" s="192">
        <f t="shared" si="185"/>
        <v>4.0469208211143699E-3</v>
      </c>
      <c r="AG537" s="20">
        <f t="shared" si="181"/>
        <v>10.387853964056195</v>
      </c>
      <c r="AH537" s="20">
        <f t="shared" si="182"/>
        <v>5.9145747800586506</v>
      </c>
      <c r="AI537" s="3">
        <f t="shared" si="189"/>
        <v>116166</v>
      </c>
    </row>
    <row r="538" spans="1:35">
      <c r="A538" s="28">
        <v>46194</v>
      </c>
      <c r="B538" s="3">
        <v>0</v>
      </c>
      <c r="C538" s="3">
        <v>0</v>
      </c>
      <c r="D538" s="3">
        <v>0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107">
        <f t="shared" si="158"/>
        <v>0</v>
      </c>
      <c r="O538" s="7">
        <f t="shared" si="183"/>
        <v>0</v>
      </c>
      <c r="P538" s="7">
        <f t="shared" si="186"/>
        <v>0</v>
      </c>
      <c r="Q538" s="7">
        <f t="shared" si="187"/>
        <v>0</v>
      </c>
      <c r="R538" s="7">
        <f t="shared" si="188"/>
        <v>0</v>
      </c>
      <c r="U538" s="7"/>
      <c r="V538" s="103"/>
      <c r="W538" s="7">
        <f t="shared" si="169"/>
        <v>0</v>
      </c>
      <c r="X538" s="103">
        <f t="shared" si="170"/>
        <v>0</v>
      </c>
      <c r="Y538" s="103"/>
      <c r="AB538" s="103"/>
      <c r="AD538" s="103">
        <f t="shared" si="172"/>
        <v>0</v>
      </c>
      <c r="AE538" s="192"/>
      <c r="AF538" s="192"/>
      <c r="AG538" s="20"/>
      <c r="AH538" s="20"/>
      <c r="AI538" s="3"/>
    </row>
    <row r="539" spans="1:35">
      <c r="A539" s="28">
        <v>46195</v>
      </c>
      <c r="B539" s="2">
        <v>63</v>
      </c>
      <c r="C539" s="2">
        <v>568.16666666666663</v>
      </c>
      <c r="D539" s="2">
        <v>83.166666666666657</v>
      </c>
      <c r="E539" s="2">
        <v>470</v>
      </c>
      <c r="F539" s="2">
        <v>269.41666666666669</v>
      </c>
      <c r="G539" s="2">
        <v>138.16666666666669</v>
      </c>
      <c r="H539" s="2">
        <v>41.333333333333329</v>
      </c>
      <c r="I539" s="3">
        <v>1591.1666666666667</v>
      </c>
      <c r="J539" s="3">
        <v>124.25</v>
      </c>
      <c r="K539" s="3">
        <v>1501.5</v>
      </c>
      <c r="L539" s="3">
        <v>128.91666666666666</v>
      </c>
      <c r="M539" s="3">
        <v>328.83333333333331</v>
      </c>
      <c r="N539" s="107">
        <f t="shared" ref="N539:N545" si="190">+AH539+AG539</f>
        <v>17.753794652578868</v>
      </c>
      <c r="O539" s="7">
        <f t="shared" ref="O539:O545" si="191">+B539+C539+D539+F539+I539+K539+J539</f>
        <v>4200.666666666667</v>
      </c>
      <c r="P539" s="7">
        <f t="shared" si="186"/>
        <v>4182.912872014088</v>
      </c>
      <c r="Q539" s="7">
        <f t="shared" si="187"/>
        <v>1584.1780433551728</v>
      </c>
      <c r="R539" s="7">
        <f t="shared" si="188"/>
        <v>1490.7348286589151</v>
      </c>
      <c r="S539" s="7">
        <v>6445</v>
      </c>
      <c r="T539" s="7">
        <v>8198</v>
      </c>
      <c r="U539" s="7">
        <v>0</v>
      </c>
      <c r="V539" s="103">
        <v>147270</v>
      </c>
      <c r="W539" s="7">
        <f t="shared" si="169"/>
        <v>140825</v>
      </c>
      <c r="X539" s="103">
        <f t="shared" si="170"/>
        <v>148356</v>
      </c>
      <c r="Y539" s="103"/>
      <c r="Z539" s="2">
        <v>1082</v>
      </c>
      <c r="AA539" s="2"/>
      <c r="AB539" s="103">
        <v>1086</v>
      </c>
      <c r="AC539" s="78">
        <v>143369</v>
      </c>
      <c r="AD539" s="103">
        <f t="shared" si="172"/>
        <v>148356</v>
      </c>
      <c r="AE539" s="192">
        <f t="shared" ref="AE539:AE545" si="192">+(Z539/AC539*0.95)</f>
        <v>7.1696112827738211E-3</v>
      </c>
      <c r="AF539" s="192">
        <f t="shared" ref="AF539:AF545" si="193">+(AB539/AD539*0.6)</f>
        <v>4.3921378306236349E-3</v>
      </c>
      <c r="AG539" s="20">
        <f t="shared" ref="AG539:AG551" si="194">+AE539*K539</f>
        <v>10.765171341084892</v>
      </c>
      <c r="AH539" s="20">
        <f t="shared" ref="AH539:AH551" si="195">+AF539*I539</f>
        <v>6.9886233114939742</v>
      </c>
      <c r="AI539" s="3">
        <f t="shared" ref="AI539:AI545" si="196">+AC539-Z539</f>
        <v>142287</v>
      </c>
    </row>
    <row r="540" spans="1:35">
      <c r="A540" s="28">
        <v>46196</v>
      </c>
      <c r="B540" s="2">
        <v>66.833333333333343</v>
      </c>
      <c r="C540" s="2">
        <v>414.41666666666663</v>
      </c>
      <c r="D540" s="2">
        <v>83</v>
      </c>
      <c r="E540" s="2">
        <v>455.5</v>
      </c>
      <c r="F540" s="2">
        <v>265.16666666666663</v>
      </c>
      <c r="G540" s="2">
        <v>151</v>
      </c>
      <c r="H540" s="2">
        <v>55.5</v>
      </c>
      <c r="I540" s="3">
        <v>1811.25</v>
      </c>
      <c r="J540" s="3">
        <v>124.41666666666666</v>
      </c>
      <c r="K540" s="3">
        <v>1698.9166666666667</v>
      </c>
      <c r="L540" s="3">
        <v>134.91666666666666</v>
      </c>
      <c r="M540" s="3">
        <v>354.41666666666669</v>
      </c>
      <c r="N540" s="107">
        <f t="shared" si="190"/>
        <v>65.260454608432383</v>
      </c>
      <c r="O540" s="7">
        <f t="shared" si="191"/>
        <v>4464</v>
      </c>
      <c r="P540" s="7">
        <f t="shared" si="186"/>
        <v>4398.7395453915678</v>
      </c>
      <c r="Q540" s="7">
        <f t="shared" si="187"/>
        <v>1786.8661016949152</v>
      </c>
      <c r="R540" s="7">
        <f t="shared" si="188"/>
        <v>1658.0401103633192</v>
      </c>
      <c r="S540" s="7">
        <v>7308</v>
      </c>
      <c r="T540" s="7">
        <v>8891</v>
      </c>
      <c r="U540" s="7">
        <v>0</v>
      </c>
      <c r="V540" s="103">
        <v>175624</v>
      </c>
      <c r="W540" s="7">
        <f t="shared" si="169"/>
        <v>168316</v>
      </c>
      <c r="X540" s="103">
        <f t="shared" si="170"/>
        <v>179655</v>
      </c>
      <c r="Y540" s="103"/>
      <c r="Z540" s="2">
        <v>4068</v>
      </c>
      <c r="AA540" s="2"/>
      <c r="AB540" s="103">
        <v>4031</v>
      </c>
      <c r="AC540" s="78">
        <v>160621</v>
      </c>
      <c r="AD540" s="103">
        <f t="shared" si="172"/>
        <v>179655</v>
      </c>
      <c r="AE540" s="192">
        <f t="shared" si="192"/>
        <v>2.406036570560512E-2</v>
      </c>
      <c r="AF540" s="192">
        <f t="shared" si="193"/>
        <v>1.3462469733656173E-2</v>
      </c>
      <c r="AG540" s="20">
        <f t="shared" si="194"/>
        <v>40.876556303347634</v>
      </c>
      <c r="AH540" s="20">
        <f t="shared" si="195"/>
        <v>24.383898305084745</v>
      </c>
      <c r="AI540" s="3">
        <f t="shared" si="196"/>
        <v>156553</v>
      </c>
    </row>
    <row r="541" spans="1:35">
      <c r="A541" s="28">
        <v>46197</v>
      </c>
      <c r="B541" s="2">
        <v>97.5</v>
      </c>
      <c r="C541" s="2">
        <v>544.91666666666663</v>
      </c>
      <c r="D541" s="2">
        <v>81</v>
      </c>
      <c r="E541" s="2">
        <v>454.58333333333337</v>
      </c>
      <c r="F541" s="2">
        <v>288.41666666666669</v>
      </c>
      <c r="G541" s="2">
        <v>143.08333333333334</v>
      </c>
      <c r="H541" s="2">
        <v>55.5</v>
      </c>
      <c r="I541" s="3">
        <v>1797</v>
      </c>
      <c r="J541" s="3">
        <v>130.91666666666669</v>
      </c>
      <c r="K541" s="3">
        <v>1434.6666666666665</v>
      </c>
      <c r="L541" s="3">
        <v>171</v>
      </c>
      <c r="M541" s="3">
        <v>332</v>
      </c>
      <c r="N541" s="107">
        <f t="shared" si="190"/>
        <v>23.721902579357142</v>
      </c>
      <c r="O541" s="7">
        <f t="shared" si="191"/>
        <v>4374.416666666667</v>
      </c>
      <c r="P541" s="7">
        <f t="shared" si="186"/>
        <v>4350.6947640873095</v>
      </c>
      <c r="Q541" s="7">
        <f t="shared" si="187"/>
        <v>1787.4649473368545</v>
      </c>
      <c r="R541" s="7">
        <f t="shared" si="188"/>
        <v>1420.479816750455</v>
      </c>
      <c r="S541" s="7">
        <v>6541</v>
      </c>
      <c r="T541" s="7">
        <v>8401</v>
      </c>
      <c r="U541" s="7">
        <v>0</v>
      </c>
      <c r="V541" s="103">
        <v>161952</v>
      </c>
      <c r="W541" s="7">
        <f t="shared" si="169"/>
        <v>155411</v>
      </c>
      <c r="X541" s="103">
        <f t="shared" si="170"/>
        <v>163397</v>
      </c>
      <c r="Y541" s="103"/>
      <c r="Z541" s="2">
        <v>1439</v>
      </c>
      <c r="AA541" s="2"/>
      <c r="AB541" s="103">
        <v>1445</v>
      </c>
      <c r="AC541" s="78">
        <v>138245</v>
      </c>
      <c r="AD541" s="103">
        <f t="shared" si="172"/>
        <v>163397</v>
      </c>
      <c r="AE541" s="192">
        <f t="shared" si="192"/>
        <v>9.8886035661325897E-3</v>
      </c>
      <c r="AF541" s="192">
        <f t="shared" si="193"/>
        <v>5.3060949711439013E-3</v>
      </c>
      <c r="AG541" s="20">
        <f t="shared" si="194"/>
        <v>14.186849916211553</v>
      </c>
      <c r="AH541" s="20">
        <f t="shared" si="195"/>
        <v>9.5350526631455903</v>
      </c>
      <c r="AI541" s="3">
        <f t="shared" si="196"/>
        <v>136806</v>
      </c>
    </row>
    <row r="542" spans="1:35">
      <c r="A542" s="28">
        <v>46198</v>
      </c>
      <c r="B542" s="2">
        <v>73.333333333333343</v>
      </c>
      <c r="C542" s="2">
        <v>435</v>
      </c>
      <c r="D542" s="2">
        <v>79.166666666666657</v>
      </c>
      <c r="E542" s="2">
        <v>447.16666666666669</v>
      </c>
      <c r="F542" s="2">
        <v>296.83333333333337</v>
      </c>
      <c r="G542" s="2">
        <v>148.41666666666666</v>
      </c>
      <c r="H542" s="2">
        <v>47</v>
      </c>
      <c r="I542" s="3">
        <v>1735</v>
      </c>
      <c r="J542" s="3">
        <v>142.66666666666669</v>
      </c>
      <c r="K542" s="3">
        <v>1712.5</v>
      </c>
      <c r="L542" s="3">
        <v>153.33333333333334</v>
      </c>
      <c r="M542" s="3">
        <v>339.66666666666669</v>
      </c>
      <c r="N542" s="107">
        <f t="shared" si="190"/>
        <v>101.25985490086676</v>
      </c>
      <c r="O542" s="7">
        <f t="shared" si="191"/>
        <v>4474.5000000000009</v>
      </c>
      <c r="P542" s="7">
        <f t="shared" si="186"/>
        <v>4373.2401450991338</v>
      </c>
      <c r="Q542" s="7">
        <f t="shared" si="187"/>
        <v>1733.2583798062813</v>
      </c>
      <c r="R542" s="7">
        <f t="shared" si="188"/>
        <v>1612.9817652928521</v>
      </c>
      <c r="S542" s="7">
        <v>6405</v>
      </c>
      <c r="T542" s="7">
        <v>10585</v>
      </c>
      <c r="U542" s="7">
        <v>0</v>
      </c>
      <c r="V542" s="103">
        <v>170065</v>
      </c>
      <c r="W542" s="7">
        <f t="shared" si="169"/>
        <v>163660</v>
      </c>
      <c r="X542" s="103">
        <f t="shared" si="170"/>
        <v>170350</v>
      </c>
      <c r="Y542" s="103"/>
      <c r="Z542" s="2">
        <v>10207</v>
      </c>
      <c r="AA542" s="2"/>
      <c r="AB542" s="103">
        <v>285</v>
      </c>
      <c r="AC542" s="78">
        <v>166859</v>
      </c>
      <c r="AD542" s="103">
        <f t="shared" si="172"/>
        <v>170350</v>
      </c>
      <c r="AE542" s="192">
        <f t="shared" si="192"/>
        <v>5.8112837785195881E-2</v>
      </c>
      <c r="AF542" s="192">
        <f t="shared" si="193"/>
        <v>1.0038156736131493E-3</v>
      </c>
      <c r="AG542" s="20">
        <f t="shared" si="194"/>
        <v>99.51823470714794</v>
      </c>
      <c r="AH542" s="20">
        <f t="shared" si="195"/>
        <v>1.741620193718814</v>
      </c>
      <c r="AI542" s="3">
        <f t="shared" si="196"/>
        <v>156652</v>
      </c>
    </row>
    <row r="543" spans="1:35">
      <c r="A543" s="28">
        <v>46199</v>
      </c>
      <c r="B543" s="2">
        <v>111.66666666666663</v>
      </c>
      <c r="C543" s="2">
        <v>452.33333333333337</v>
      </c>
      <c r="D543" s="2">
        <v>80.75</v>
      </c>
      <c r="E543" s="2">
        <v>410.08333333333337</v>
      </c>
      <c r="F543" s="2">
        <v>269.91666666666663</v>
      </c>
      <c r="G543" s="2">
        <v>122.41666666666666</v>
      </c>
      <c r="H543" s="2">
        <v>55.5</v>
      </c>
      <c r="I543" s="3">
        <v>1630.7500000000002</v>
      </c>
      <c r="J543" s="3">
        <v>127.5</v>
      </c>
      <c r="K543" s="3">
        <v>1703.5833333333335</v>
      </c>
      <c r="L543" s="3">
        <v>143.58333333333334</v>
      </c>
      <c r="M543" s="3">
        <v>336.91666666666669</v>
      </c>
      <c r="N543" s="107">
        <f t="shared" si="190"/>
        <v>87.239346339079347</v>
      </c>
      <c r="O543" s="7">
        <f t="shared" si="191"/>
        <v>4376.5</v>
      </c>
      <c r="P543" s="7">
        <f t="shared" si="186"/>
        <v>4289.260653660921</v>
      </c>
      <c r="Q543" s="7">
        <f t="shared" si="187"/>
        <v>1630.6618451113015</v>
      </c>
      <c r="R543" s="7">
        <f t="shared" si="188"/>
        <v>1616.4321418829529</v>
      </c>
      <c r="S543" s="7">
        <v>5764</v>
      </c>
      <c r="T543" s="7">
        <v>10142</v>
      </c>
      <c r="U543" s="7">
        <v>0</v>
      </c>
      <c r="V543" s="103">
        <v>155375</v>
      </c>
      <c r="W543" s="7">
        <f t="shared" si="169"/>
        <v>149611</v>
      </c>
      <c r="X543" s="103">
        <f t="shared" si="170"/>
        <v>155389</v>
      </c>
      <c r="Y543" s="103"/>
      <c r="Z543" s="2">
        <v>8127</v>
      </c>
      <c r="AA543" s="2"/>
      <c r="AB543" s="103">
        <v>14</v>
      </c>
      <c r="AC543" s="78">
        <v>150919</v>
      </c>
      <c r="AD543" s="103">
        <f t="shared" si="172"/>
        <v>155389</v>
      </c>
      <c r="AE543" s="192">
        <f t="shared" si="192"/>
        <v>5.1157574592993589E-2</v>
      </c>
      <c r="AF543" s="192">
        <f t="shared" si="193"/>
        <v>5.4057880544954918E-5</v>
      </c>
      <c r="AG543" s="20">
        <f t="shared" si="194"/>
        <v>87.151191450380665</v>
      </c>
      <c r="AH543" s="20">
        <f t="shared" si="195"/>
        <v>8.8154888698685249E-2</v>
      </c>
      <c r="AI543" s="3">
        <f t="shared" si="196"/>
        <v>142792</v>
      </c>
    </row>
    <row r="544" spans="1:35">
      <c r="A544" s="28">
        <v>46200</v>
      </c>
      <c r="B544" s="2">
        <v>89.583333333333343</v>
      </c>
      <c r="C544" s="2">
        <v>334.5</v>
      </c>
      <c r="D544" s="2">
        <v>75.833333333333329</v>
      </c>
      <c r="E544" s="2">
        <v>251.75</v>
      </c>
      <c r="F544" s="2">
        <v>266.41666666666663</v>
      </c>
      <c r="G544" s="2">
        <v>7.1666666666666661</v>
      </c>
      <c r="H544" s="2">
        <v>30</v>
      </c>
      <c r="I544" s="3">
        <v>1535.5</v>
      </c>
      <c r="J544" s="3">
        <v>132</v>
      </c>
      <c r="K544" s="3">
        <v>1681.4166666666663</v>
      </c>
      <c r="L544" s="3">
        <v>74.5</v>
      </c>
      <c r="M544" s="3">
        <v>322.25</v>
      </c>
      <c r="N544" s="107">
        <f t="shared" si="190"/>
        <v>65.524003552563073</v>
      </c>
      <c r="O544" s="7">
        <f t="shared" si="191"/>
        <v>4115.2499999999991</v>
      </c>
      <c r="P544" s="7">
        <f t="shared" si="186"/>
        <v>4049.7259964474365</v>
      </c>
      <c r="Q544" s="7">
        <f t="shared" si="187"/>
        <v>1516.0939109655721</v>
      </c>
      <c r="R544" s="7">
        <f t="shared" si="188"/>
        <v>1635.2987521485311</v>
      </c>
      <c r="S544" s="7">
        <v>7295</v>
      </c>
      <c r="T544" s="7">
        <v>10198</v>
      </c>
      <c r="U544" s="7">
        <v>0</v>
      </c>
      <c r="V544" s="103">
        <v>165915</v>
      </c>
      <c r="W544" s="7">
        <f t="shared" si="169"/>
        <v>158620</v>
      </c>
      <c r="X544" s="103">
        <f t="shared" si="170"/>
        <v>169485</v>
      </c>
      <c r="Y544" s="103"/>
      <c r="Z544" s="2">
        <v>4944</v>
      </c>
      <c r="AA544" s="2"/>
      <c r="AB544" s="103">
        <v>3570</v>
      </c>
      <c r="AC544" s="78">
        <v>171241</v>
      </c>
      <c r="AD544" s="103">
        <f t="shared" si="172"/>
        <v>169485</v>
      </c>
      <c r="AE544" s="192">
        <f t="shared" si="192"/>
        <v>2.7428010815166926E-2</v>
      </c>
      <c r="AF544" s="192">
        <f t="shared" si="193"/>
        <v>1.2638286574033099E-2</v>
      </c>
      <c r="AG544" s="20">
        <f t="shared" si="194"/>
        <v>46.117914518135244</v>
      </c>
      <c r="AH544" s="20">
        <f t="shared" si="195"/>
        <v>19.406089034427822</v>
      </c>
      <c r="AI544" s="3">
        <f t="shared" si="196"/>
        <v>166297</v>
      </c>
    </row>
    <row r="545" spans="1:35">
      <c r="A545" s="28">
        <v>46201</v>
      </c>
      <c r="B545" s="2">
        <v>82.5</v>
      </c>
      <c r="C545" s="2">
        <v>219</v>
      </c>
      <c r="D545" s="2">
        <v>74.75</v>
      </c>
      <c r="E545" s="2">
        <v>7.5</v>
      </c>
      <c r="F545" s="2">
        <v>224.75</v>
      </c>
      <c r="G545" s="2">
        <v>7.5</v>
      </c>
      <c r="H545" s="2">
        <v>22.5</v>
      </c>
      <c r="I545" s="3">
        <v>1361.5833333333335</v>
      </c>
      <c r="J545" s="3">
        <v>112.5</v>
      </c>
      <c r="K545" s="3">
        <v>1119.8333333333335</v>
      </c>
      <c r="L545" s="3">
        <v>15</v>
      </c>
      <c r="M545" s="3">
        <v>253.33333333333334</v>
      </c>
      <c r="N545" s="107">
        <f t="shared" si="190"/>
        <v>4.1002356222167862</v>
      </c>
      <c r="O545" s="7">
        <f t="shared" si="191"/>
        <v>3194.916666666667</v>
      </c>
      <c r="P545" s="7">
        <f t="shared" si="186"/>
        <v>3190.8164310444499</v>
      </c>
      <c r="Q545" s="7">
        <f t="shared" si="187"/>
        <v>1361.4967455843421</v>
      </c>
      <c r="R545" s="7">
        <f t="shared" si="188"/>
        <v>1115.8196854601081</v>
      </c>
      <c r="S545" s="7">
        <v>6528</v>
      </c>
      <c r="T545" s="7">
        <v>8129</v>
      </c>
      <c r="U545" s="7">
        <v>0</v>
      </c>
      <c r="V545" s="103">
        <v>150943</v>
      </c>
      <c r="W545" s="7">
        <f t="shared" si="169"/>
        <v>144415</v>
      </c>
      <c r="X545" s="103">
        <f t="shared" si="170"/>
        <v>150959</v>
      </c>
      <c r="Y545" s="103"/>
      <c r="Z545" s="2">
        <v>446</v>
      </c>
      <c r="AA545" s="2"/>
      <c r="AB545" s="103">
        <v>16</v>
      </c>
      <c r="AC545" s="78">
        <v>118215</v>
      </c>
      <c r="AD545" s="103">
        <f t="shared" si="172"/>
        <v>150959</v>
      </c>
      <c r="AE545" s="192">
        <f t="shared" si="192"/>
        <v>3.5841475278094994E-3</v>
      </c>
      <c r="AF545" s="192">
        <f t="shared" si="193"/>
        <v>6.3593426029584196E-5</v>
      </c>
      <c r="AG545" s="20">
        <f t="shared" si="194"/>
        <v>4.013647873225338</v>
      </c>
      <c r="AH545" s="20">
        <f t="shared" si="195"/>
        <v>8.6587748991448027E-2</v>
      </c>
      <c r="AI545" s="3">
        <f t="shared" si="196"/>
        <v>117769</v>
      </c>
    </row>
    <row r="546" spans="1:35">
      <c r="A546" s="28">
        <v>46202</v>
      </c>
      <c r="B546" s="2">
        <v>74.25</v>
      </c>
      <c r="C546" s="2">
        <v>175.16666666666663</v>
      </c>
      <c r="D546" s="2">
        <v>93</v>
      </c>
      <c r="E546" s="2">
        <v>489.41666666666674</v>
      </c>
      <c r="F546" s="2">
        <v>263</v>
      </c>
      <c r="G546" s="2">
        <v>133.08333333333334</v>
      </c>
      <c r="H546" s="2">
        <v>55.5</v>
      </c>
      <c r="I546" s="2">
        <v>1850.8333333333333</v>
      </c>
      <c r="J546" s="2">
        <v>133</v>
      </c>
      <c r="K546" s="2">
        <v>1653</v>
      </c>
      <c r="L546" s="2">
        <v>91.75</v>
      </c>
      <c r="M546" s="2">
        <v>311.58333333333331</v>
      </c>
      <c r="N546" s="107">
        <f t="shared" ref="N546:N551" si="197">+AH546+AG546</f>
        <v>152.42771377542269</v>
      </c>
      <c r="O546" s="7">
        <f t="shared" ref="O546:O551" si="198">+B546+C546+D546+F546+I546+K546+J546</f>
        <v>4242.25</v>
      </c>
      <c r="P546" s="7">
        <f t="shared" si="186"/>
        <v>4089.8222862245775</v>
      </c>
      <c r="Q546" s="7">
        <f t="shared" si="187"/>
        <v>1850.8333333333333</v>
      </c>
      <c r="R546" s="7">
        <f t="shared" si="188"/>
        <v>1500.5722862245773</v>
      </c>
      <c r="S546" s="7">
        <v>4526</v>
      </c>
      <c r="T546" s="7">
        <v>6952</v>
      </c>
      <c r="U546" s="7">
        <v>0</v>
      </c>
      <c r="V546" s="103">
        <v>161920</v>
      </c>
      <c r="W546" s="7">
        <f t="shared" si="169"/>
        <v>157394</v>
      </c>
      <c r="X546" s="103">
        <f t="shared" si="170"/>
        <v>161920</v>
      </c>
      <c r="Y546" s="103"/>
      <c r="Z546" s="2">
        <v>16413</v>
      </c>
      <c r="AA546" s="2"/>
      <c r="AB546" s="103"/>
      <c r="AC546" s="78">
        <v>169091</v>
      </c>
      <c r="AD546" s="103">
        <f t="shared" si="172"/>
        <v>161920</v>
      </c>
      <c r="AE546" s="192">
        <f t="shared" ref="AE546:AE551" si="199">+(Z546/AC546*0.95)</f>
        <v>9.2212773003885473E-2</v>
      </c>
      <c r="AF546" s="192">
        <f t="shared" ref="AF546:AF551" si="200">+(AB546/AD546*0.6)</f>
        <v>0</v>
      </c>
      <c r="AG546" s="20">
        <f t="shared" si="194"/>
        <v>152.42771377542269</v>
      </c>
      <c r="AH546" s="20">
        <f t="shared" si="195"/>
        <v>0</v>
      </c>
      <c r="AI546" s="3">
        <f t="shared" ref="AI546:AI550" si="201">+AC546-Z546</f>
        <v>152678</v>
      </c>
    </row>
    <row r="547" spans="1:35">
      <c r="A547" s="28">
        <v>46203</v>
      </c>
      <c r="B547" s="2">
        <v>82.5</v>
      </c>
      <c r="C547" s="2">
        <v>402.25</v>
      </c>
      <c r="D547" s="2">
        <v>93</v>
      </c>
      <c r="E547" s="2">
        <v>489.41666666666674</v>
      </c>
      <c r="F547" s="2">
        <v>236.83333333333334</v>
      </c>
      <c r="G547" s="2">
        <v>127.83333333333334</v>
      </c>
      <c r="H547" s="2">
        <v>55.5</v>
      </c>
      <c r="I547" s="2">
        <v>1810.9166666666667</v>
      </c>
      <c r="J547" s="2">
        <v>143.41666666666669</v>
      </c>
      <c r="K547" s="2">
        <v>1498.7500000000002</v>
      </c>
      <c r="L547" s="2">
        <v>91.666666666666671</v>
      </c>
      <c r="M547" s="2">
        <v>305.16666666666663</v>
      </c>
      <c r="N547" s="107">
        <f t="shared" si="197"/>
        <v>266.04536512855833</v>
      </c>
      <c r="O547" s="7">
        <f t="shared" si="198"/>
        <v>4267.666666666667</v>
      </c>
      <c r="P547" s="7">
        <f t="shared" si="186"/>
        <v>4001.621301538109</v>
      </c>
      <c r="Q547" s="7">
        <f t="shared" si="187"/>
        <v>1645.2801925089595</v>
      </c>
      <c r="R547" s="7">
        <f t="shared" si="188"/>
        <v>1398.341109029149</v>
      </c>
      <c r="S547" s="7">
        <v>5745</v>
      </c>
      <c r="T547" s="7">
        <v>8065</v>
      </c>
      <c r="U547" s="7">
        <v>0</v>
      </c>
      <c r="V547" s="103">
        <v>160346</v>
      </c>
      <c r="W547" s="7">
        <f t="shared" si="169"/>
        <v>154601</v>
      </c>
      <c r="X547" s="103">
        <f t="shared" si="170"/>
        <v>189186</v>
      </c>
      <c r="Y547" s="103"/>
      <c r="Z547" s="2">
        <v>10858</v>
      </c>
      <c r="AA547" s="2"/>
      <c r="AB547" s="103">
        <v>28840</v>
      </c>
      <c r="AC547" s="78">
        <v>153968</v>
      </c>
      <c r="AD547" s="103">
        <f t="shared" si="172"/>
        <v>189186</v>
      </c>
      <c r="AE547" s="192">
        <f t="shared" si="199"/>
        <v>6.6995089888808063E-2</v>
      </c>
      <c r="AF547" s="192">
        <f t="shared" si="200"/>
        <v>9.1465541847705431E-2</v>
      </c>
      <c r="AG547" s="20">
        <f t="shared" si="194"/>
        <v>100.4088909708511</v>
      </c>
      <c r="AH547" s="20">
        <f t="shared" si="195"/>
        <v>165.63647415770723</v>
      </c>
      <c r="AI547" s="3">
        <f t="shared" si="201"/>
        <v>143110</v>
      </c>
    </row>
    <row r="548" spans="1:35">
      <c r="A548" s="28">
        <v>46204</v>
      </c>
      <c r="B548" s="2">
        <v>78.916666666666686</v>
      </c>
      <c r="C548" s="2">
        <v>541.08333333333337</v>
      </c>
      <c r="D548" s="2">
        <v>69.083333333333329</v>
      </c>
      <c r="E548" s="2">
        <v>476.08333333333337</v>
      </c>
      <c r="F548" s="2">
        <v>269.5</v>
      </c>
      <c r="G548" s="2">
        <v>75.25</v>
      </c>
      <c r="H548" s="2">
        <v>48</v>
      </c>
      <c r="I548" s="2">
        <v>1837.25</v>
      </c>
      <c r="J548" s="2">
        <v>120.83333333333333</v>
      </c>
      <c r="K548" s="2">
        <v>1444.9999999999998</v>
      </c>
      <c r="L548" s="2">
        <v>100.25</v>
      </c>
      <c r="M548" s="2">
        <v>305.91666666666669</v>
      </c>
      <c r="N548" s="107">
        <f t="shared" si="197"/>
        <v>173.95356346725359</v>
      </c>
      <c r="O548" s="7">
        <f t="shared" si="198"/>
        <v>4361.6666666666661</v>
      </c>
      <c r="P548" s="7">
        <f t="shared" si="186"/>
        <v>4187.7131031994131</v>
      </c>
      <c r="Q548" s="7">
        <f t="shared" si="187"/>
        <v>1775.7937120106628</v>
      </c>
      <c r="R548" s="7">
        <f t="shared" si="188"/>
        <v>1332.5027245220833</v>
      </c>
      <c r="S548" s="7">
        <v>4048</v>
      </c>
      <c r="T548" s="7">
        <v>7101</v>
      </c>
      <c r="U548" s="7">
        <v>0</v>
      </c>
      <c r="V548" s="103">
        <v>164358</v>
      </c>
      <c r="W548" s="7">
        <f t="shared" si="169"/>
        <v>160310</v>
      </c>
      <c r="X548" s="103">
        <f t="shared" si="170"/>
        <v>174062</v>
      </c>
      <c r="Y548" s="103"/>
      <c r="Z548" s="2">
        <v>11836</v>
      </c>
      <c r="AA548" s="2"/>
      <c r="AB548" s="103">
        <v>9704</v>
      </c>
      <c r="AC548" s="78">
        <v>144429</v>
      </c>
      <c r="AD548" s="103">
        <f t="shared" si="172"/>
        <v>174062</v>
      </c>
      <c r="AE548" s="192">
        <f t="shared" si="199"/>
        <v>7.7852785797866073E-2</v>
      </c>
      <c r="AF548" s="192">
        <f t="shared" si="200"/>
        <v>3.3450149946570758E-2</v>
      </c>
      <c r="AG548" s="20">
        <f t="shared" si="194"/>
        <v>112.49727547791646</v>
      </c>
      <c r="AH548" s="20">
        <f t="shared" si="195"/>
        <v>61.456287989337127</v>
      </c>
      <c r="AI548" s="3">
        <f t="shared" si="201"/>
        <v>132593</v>
      </c>
    </row>
    <row r="549" spans="1:35">
      <c r="A549" s="28">
        <v>46205</v>
      </c>
      <c r="B549" s="2">
        <v>66.25</v>
      </c>
      <c r="C549" s="2">
        <v>595</v>
      </c>
      <c r="D549" s="2">
        <v>59.833333333333329</v>
      </c>
      <c r="E549" s="2">
        <v>466.66666666666669</v>
      </c>
      <c r="F549" s="2">
        <v>238.83333333333334</v>
      </c>
      <c r="G549" s="2">
        <v>67.75</v>
      </c>
      <c r="H549" s="2">
        <v>55.5</v>
      </c>
      <c r="I549" s="2">
        <v>1837.5</v>
      </c>
      <c r="J549" s="2">
        <v>129.83333333333331</v>
      </c>
      <c r="K549" s="2">
        <v>1611.7499999999998</v>
      </c>
      <c r="L549" s="2">
        <v>92.75</v>
      </c>
      <c r="M549" s="2">
        <v>280.5</v>
      </c>
      <c r="N549" s="107">
        <f t="shared" si="197"/>
        <v>128.52626392132672</v>
      </c>
      <c r="O549" s="7">
        <f t="shared" si="198"/>
        <v>4539</v>
      </c>
      <c r="P549" s="7">
        <f t="shared" si="186"/>
        <v>4410.473736078673</v>
      </c>
      <c r="Q549" s="7">
        <f t="shared" si="187"/>
        <v>1837.5</v>
      </c>
      <c r="R549" s="7">
        <f t="shared" si="188"/>
        <v>1483.223736078673</v>
      </c>
      <c r="S549" s="7">
        <v>3312</v>
      </c>
      <c r="T549" s="7">
        <v>4628</v>
      </c>
      <c r="U549" s="7">
        <v>0</v>
      </c>
      <c r="V549" s="103">
        <v>154137</v>
      </c>
      <c r="W549" s="7">
        <f t="shared" si="169"/>
        <v>150825</v>
      </c>
      <c r="X549" s="103">
        <f t="shared" si="170"/>
        <v>154137</v>
      </c>
      <c r="Y549" s="103"/>
      <c r="Z549" s="2">
        <v>12112</v>
      </c>
      <c r="AA549" s="2"/>
      <c r="AB549" s="103"/>
      <c r="AC549" s="78">
        <v>144293</v>
      </c>
      <c r="AD549" s="103">
        <f t="shared" si="172"/>
        <v>154137</v>
      </c>
      <c r="AE549" s="192">
        <f t="shared" si="199"/>
        <v>7.9743300090787492E-2</v>
      </c>
      <c r="AF549" s="192">
        <f t="shared" si="200"/>
        <v>0</v>
      </c>
      <c r="AG549" s="20">
        <f t="shared" si="194"/>
        <v>128.52626392132672</v>
      </c>
      <c r="AH549" s="20">
        <f t="shared" si="195"/>
        <v>0</v>
      </c>
      <c r="AI549" s="3">
        <f t="shared" si="201"/>
        <v>132181</v>
      </c>
    </row>
    <row r="550" spans="1:35">
      <c r="A550" s="28">
        <v>46206</v>
      </c>
      <c r="B550" s="2">
        <v>82.5</v>
      </c>
      <c r="C550" s="2">
        <v>541.41666666666674</v>
      </c>
      <c r="D550" s="2">
        <v>67.25</v>
      </c>
      <c r="E550" s="2">
        <v>465.5</v>
      </c>
      <c r="F550" s="2">
        <v>224.16666666666666</v>
      </c>
      <c r="G550" s="2">
        <v>62.166666666666664</v>
      </c>
      <c r="H550" s="2">
        <v>54.583333333333329</v>
      </c>
      <c r="I550" s="2">
        <v>1738.5833333333335</v>
      </c>
      <c r="J550" s="2">
        <v>113.5</v>
      </c>
      <c r="K550" s="2">
        <v>1636.1666666666667</v>
      </c>
      <c r="L550" s="2">
        <v>84.916666666666657</v>
      </c>
      <c r="M550" s="2">
        <v>287.33333333333337</v>
      </c>
      <c r="N550" s="107">
        <f t="shared" si="197"/>
        <v>315.43556755733528</v>
      </c>
      <c r="O550" s="7">
        <f t="shared" si="198"/>
        <v>4403.5833333333339</v>
      </c>
      <c r="P550" s="7">
        <f t="shared" si="186"/>
        <v>4088.1477657759979</v>
      </c>
      <c r="Q550" s="7">
        <f t="shared" si="187"/>
        <v>1615.9867416051591</v>
      </c>
      <c r="R550" s="7">
        <f t="shared" si="188"/>
        <v>1443.3276908375058</v>
      </c>
      <c r="S550" s="7">
        <v>3028</v>
      </c>
      <c r="T550" s="7">
        <v>3177</v>
      </c>
      <c r="U550" s="7">
        <v>0</v>
      </c>
      <c r="V550" s="103">
        <v>122431</v>
      </c>
      <c r="W550" s="7">
        <f t="shared" si="169"/>
        <v>119403</v>
      </c>
      <c r="X550" s="103">
        <f t="shared" si="170"/>
        <v>138736</v>
      </c>
      <c r="Y550" s="103"/>
      <c r="Z550" s="2">
        <v>17667</v>
      </c>
      <c r="AA550" s="2"/>
      <c r="AB550" s="103">
        <v>16305</v>
      </c>
      <c r="AC550" s="78">
        <v>142403</v>
      </c>
      <c r="AD550" s="103">
        <f t="shared" si="172"/>
        <v>138736</v>
      </c>
      <c r="AE550" s="192">
        <f t="shared" si="199"/>
        <v>0.11786022766374303</v>
      </c>
      <c r="AF550" s="192">
        <f t="shared" si="200"/>
        <v>7.0515223157651935E-2</v>
      </c>
      <c r="AG550" s="20">
        <f t="shared" si="194"/>
        <v>192.83897582916089</v>
      </c>
      <c r="AH550" s="20">
        <f t="shared" si="195"/>
        <v>122.59659172817437</v>
      </c>
      <c r="AI550" s="3">
        <f t="shared" si="201"/>
        <v>124736</v>
      </c>
    </row>
    <row r="551" spans="1:35">
      <c r="A551" s="28">
        <v>46207</v>
      </c>
      <c r="B551" s="2">
        <v>80.083333333333343</v>
      </c>
      <c r="C551" s="2">
        <v>475.16666666666669</v>
      </c>
      <c r="D551" s="2">
        <v>62.75</v>
      </c>
      <c r="E551" s="2">
        <v>236.33333333333337</v>
      </c>
      <c r="F551" s="2">
        <v>243.74999999999997</v>
      </c>
      <c r="G551" s="2">
        <v>0</v>
      </c>
      <c r="H551" s="2">
        <v>30</v>
      </c>
      <c r="I551" s="2">
        <v>1638.6666666666667</v>
      </c>
      <c r="J551" s="2">
        <v>108.83333333333333</v>
      </c>
      <c r="K551" s="2">
        <v>1481.8333333333335</v>
      </c>
      <c r="L551" s="2">
        <v>67.5</v>
      </c>
      <c r="M551" s="2">
        <v>260.08333333333337</v>
      </c>
      <c r="N551" s="107">
        <f t="shared" si="197"/>
        <v>198.52258177934752</v>
      </c>
      <c r="O551" s="7">
        <f t="shared" si="198"/>
        <v>4091.0833333333339</v>
      </c>
      <c r="P551" s="7">
        <f t="shared" si="186"/>
        <v>3892.5607515539859</v>
      </c>
      <c r="Q551" s="7">
        <f t="shared" si="187"/>
        <v>1534.1508254269236</v>
      </c>
      <c r="R551" s="7">
        <f t="shared" si="188"/>
        <v>1387.8265927937293</v>
      </c>
      <c r="S551" s="7">
        <v>1819</v>
      </c>
      <c r="T551" s="7">
        <v>2281</v>
      </c>
      <c r="U551" s="7">
        <v>0</v>
      </c>
      <c r="V551" s="103">
        <v>131026</v>
      </c>
      <c r="W551" s="7">
        <f t="shared" si="169"/>
        <v>129207</v>
      </c>
      <c r="X551" s="103">
        <f t="shared" si="170"/>
        <v>146611</v>
      </c>
      <c r="Y551" s="103"/>
      <c r="Z551" s="2">
        <v>9124</v>
      </c>
      <c r="AA551" s="2"/>
      <c r="AB551" s="103">
        <v>15585</v>
      </c>
      <c r="AC551" s="78">
        <v>136631</v>
      </c>
      <c r="AD551" s="103">
        <f t="shared" si="172"/>
        <v>146611</v>
      </c>
      <c r="AE551" s="192">
        <f t="shared" si="199"/>
        <v>6.3439482987023441E-2</v>
      </c>
      <c r="AF551" s="192">
        <f t="shared" si="200"/>
        <v>6.3781025980315251E-2</v>
      </c>
      <c r="AG551" s="20">
        <f t="shared" si="194"/>
        <v>94.006740539604252</v>
      </c>
      <c r="AH551" s="20">
        <f t="shared" si="195"/>
        <v>104.51584123974327</v>
      </c>
      <c r="AI551" s="3">
        <f>+AC551-Z551</f>
        <v>127507</v>
      </c>
    </row>
    <row r="552" spans="1:35">
      <c r="A552" s="28">
        <v>46208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107">
        <f t="shared" ref="N552:N566" si="202">+AH552+AG552</f>
        <v>0</v>
      </c>
      <c r="O552" s="7">
        <f t="shared" ref="O552:O566" si="203">+B552+C552+D552+F552+I552+K552+J552</f>
        <v>0</v>
      </c>
      <c r="P552" s="7">
        <f t="shared" si="186"/>
        <v>0</v>
      </c>
      <c r="Q552" s="7">
        <f t="shared" si="187"/>
        <v>0</v>
      </c>
      <c r="R552" s="7">
        <f t="shared" si="188"/>
        <v>0</v>
      </c>
      <c r="T552" s="7"/>
      <c r="U552" s="7">
        <v>0</v>
      </c>
      <c r="V552" s="103"/>
      <c r="W552" s="7">
        <f t="shared" si="169"/>
        <v>0</v>
      </c>
      <c r="X552" s="103">
        <f t="shared" si="170"/>
        <v>0</v>
      </c>
      <c r="Y552" s="103"/>
      <c r="Z552" s="2"/>
      <c r="AA552" s="2"/>
      <c r="AB552" s="103"/>
      <c r="AC552" s="78"/>
      <c r="AD552" s="103"/>
      <c r="AE552" s="192"/>
      <c r="AF552" s="192"/>
      <c r="AG552" s="20"/>
      <c r="AH552" s="20"/>
      <c r="AI552" s="3"/>
    </row>
    <row r="553" spans="1:35">
      <c r="A553" s="28">
        <v>46209</v>
      </c>
      <c r="B553" s="2">
        <v>78</v>
      </c>
      <c r="C553" s="2">
        <v>490.5</v>
      </c>
      <c r="D553" s="2">
        <v>75</v>
      </c>
      <c r="E553" s="2">
        <v>413.58333333333331</v>
      </c>
      <c r="F553" s="2">
        <v>245.66666666666666</v>
      </c>
      <c r="G553" s="2">
        <v>83.75</v>
      </c>
      <c r="H553" s="2">
        <v>47</v>
      </c>
      <c r="I553" s="2">
        <v>1685.5000000000002</v>
      </c>
      <c r="J553" s="2">
        <v>133</v>
      </c>
      <c r="K553" s="2">
        <v>1432.75</v>
      </c>
      <c r="L553" s="2">
        <v>87.25</v>
      </c>
      <c r="M553" s="2">
        <v>310</v>
      </c>
      <c r="N553" s="107">
        <f t="shared" si="202"/>
        <v>149.70823934256214</v>
      </c>
      <c r="O553" s="7">
        <f t="shared" si="203"/>
        <v>4140.416666666667</v>
      </c>
      <c r="P553" s="7">
        <f t="shared" si="186"/>
        <v>3990.7084273241044</v>
      </c>
      <c r="Q553" s="7">
        <f t="shared" si="187"/>
        <v>1552.2561924838856</v>
      </c>
      <c r="R553" s="7">
        <f t="shared" si="188"/>
        <v>1416.2855681735525</v>
      </c>
      <c r="S553" s="7">
        <v>3628</v>
      </c>
      <c r="T553" s="7">
        <v>7954</v>
      </c>
      <c r="U553" s="7">
        <v>0</v>
      </c>
      <c r="V553" s="103">
        <v>128502</v>
      </c>
      <c r="W553" s="7">
        <f t="shared" si="169"/>
        <v>124874</v>
      </c>
      <c r="X553" s="103">
        <f t="shared" si="170"/>
        <v>148002</v>
      </c>
      <c r="Y553" s="103"/>
      <c r="Z553" s="2">
        <v>1663</v>
      </c>
      <c r="AA553" s="2"/>
      <c r="AB553" s="103">
        <v>19500</v>
      </c>
      <c r="AC553" s="78">
        <v>137480</v>
      </c>
      <c r="AD553" s="103">
        <f t="shared" ref="AD553:AD565" si="204">+X553</f>
        <v>148002</v>
      </c>
      <c r="AE553" s="192">
        <f t="shared" ref="AE553:AE559" si="205">+(Z553/AC553*0.95)</f>
        <v>1.1491489671224904E-2</v>
      </c>
      <c r="AF553" s="192">
        <f t="shared" ref="AF553:AF559" si="206">+(AB553/AD553*0.6)</f>
        <v>7.9052985770462561E-2</v>
      </c>
      <c r="AG553" s="20">
        <f t="shared" ref="AG553:AG565" si="207">+AE553*K553</f>
        <v>16.46443182644748</v>
      </c>
      <c r="AH553" s="20">
        <f t="shared" ref="AH553:AH565" si="208">+AF553*I553</f>
        <v>133.24380751611466</v>
      </c>
      <c r="AI553" s="3">
        <f t="shared" ref="AI553:AI565" si="209">+AC553-Z553</f>
        <v>135817</v>
      </c>
    </row>
    <row r="554" spans="1:35">
      <c r="A554" s="28">
        <v>46210</v>
      </c>
      <c r="B554" s="2">
        <v>93</v>
      </c>
      <c r="C554" s="2">
        <v>482.66666666666663</v>
      </c>
      <c r="D554" s="2">
        <v>82.5</v>
      </c>
      <c r="E554" s="2">
        <v>434.16666666666663</v>
      </c>
      <c r="F554" s="2">
        <v>222.83333333333334</v>
      </c>
      <c r="G554" s="2">
        <v>83.5</v>
      </c>
      <c r="H554" s="2">
        <v>39.5</v>
      </c>
      <c r="I554" s="2">
        <v>1803.1666666666667</v>
      </c>
      <c r="J554" s="2">
        <v>127</v>
      </c>
      <c r="K554" s="2">
        <v>1820.1666666666667</v>
      </c>
      <c r="L554" s="2">
        <v>88.25</v>
      </c>
      <c r="M554" s="2">
        <v>308.33333333333331</v>
      </c>
      <c r="N554" s="107">
        <f t="shared" si="202"/>
        <v>111.10415711477526</v>
      </c>
      <c r="O554" s="7">
        <f t="shared" si="203"/>
        <v>4631.3333333333339</v>
      </c>
      <c r="P554" s="7">
        <f t="shared" si="186"/>
        <v>4520.2291762185578</v>
      </c>
      <c r="Q554" s="7">
        <f t="shared" si="187"/>
        <v>1802.0122691935389</v>
      </c>
      <c r="R554" s="7">
        <f t="shared" si="188"/>
        <v>1710.2169070250193</v>
      </c>
      <c r="S554" s="7">
        <v>7729</v>
      </c>
      <c r="T554" s="7">
        <v>9019</v>
      </c>
      <c r="U554" s="7">
        <v>0</v>
      </c>
      <c r="V554" s="103">
        <v>164771</v>
      </c>
      <c r="W554" s="7">
        <f t="shared" si="169"/>
        <v>157042</v>
      </c>
      <c r="X554" s="103">
        <f t="shared" si="170"/>
        <v>164947</v>
      </c>
      <c r="Y554" s="103"/>
      <c r="Z554" s="2">
        <v>8730</v>
      </c>
      <c r="AA554" s="2"/>
      <c r="AB554" s="103">
        <v>176</v>
      </c>
      <c r="AC554" s="78">
        <v>137295</v>
      </c>
      <c r="AD554" s="103">
        <f t="shared" si="204"/>
        <v>164947</v>
      </c>
      <c r="AE554" s="192">
        <f t="shared" si="205"/>
        <v>6.0406424123238274E-2</v>
      </c>
      <c r="AF554" s="192">
        <f t="shared" si="206"/>
        <v>6.4020564181221842E-4</v>
      </c>
      <c r="AG554" s="20">
        <f t="shared" si="207"/>
        <v>109.94975964164753</v>
      </c>
      <c r="AH554" s="20">
        <f t="shared" si="208"/>
        <v>1.154397473127732</v>
      </c>
      <c r="AI554" s="3">
        <f t="shared" si="209"/>
        <v>128565</v>
      </c>
    </row>
    <row r="555" spans="1:35">
      <c r="A555" s="28">
        <v>46211</v>
      </c>
      <c r="B555" s="2">
        <v>103</v>
      </c>
      <c r="C555" s="2">
        <v>448.5</v>
      </c>
      <c r="D555" s="2">
        <v>82.5</v>
      </c>
      <c r="E555" s="2">
        <v>448.33333333333331</v>
      </c>
      <c r="F555" s="2">
        <v>229.25</v>
      </c>
      <c r="G555" s="2">
        <v>90.333333333333343</v>
      </c>
      <c r="H555" s="2">
        <v>37.166666666666671</v>
      </c>
      <c r="I555" s="2">
        <v>1845.8333333333333</v>
      </c>
      <c r="J555" s="2">
        <v>136</v>
      </c>
      <c r="K555" s="2">
        <v>1862.8333333333333</v>
      </c>
      <c r="L555" s="2">
        <v>89.25</v>
      </c>
      <c r="M555" s="2">
        <v>303.16666666666669</v>
      </c>
      <c r="N555" s="107">
        <f t="shared" si="202"/>
        <v>440.44396208881255</v>
      </c>
      <c r="O555" s="7">
        <f t="shared" si="203"/>
        <v>4707.9166666666661</v>
      </c>
      <c r="P555" s="7">
        <f t="shared" si="186"/>
        <v>4267.4727045778536</v>
      </c>
      <c r="Q555" s="7">
        <f t="shared" si="187"/>
        <v>1680.9217164620518</v>
      </c>
      <c r="R555" s="7">
        <f t="shared" si="188"/>
        <v>1587.3009881158021</v>
      </c>
      <c r="S555" s="7">
        <v>4114</v>
      </c>
      <c r="T555" s="7">
        <v>8122</v>
      </c>
      <c r="U555" s="7">
        <v>0</v>
      </c>
      <c r="V555" s="103">
        <v>105998</v>
      </c>
      <c r="W555" s="7">
        <f t="shared" si="169"/>
        <v>101884</v>
      </c>
      <c r="X555" s="103">
        <f t="shared" si="170"/>
        <v>124543</v>
      </c>
      <c r="Y555" s="103"/>
      <c r="Z555" s="2">
        <v>22263</v>
      </c>
      <c r="AA555" s="2"/>
      <c r="AB555" s="103">
        <v>18545</v>
      </c>
      <c r="AC555" s="78">
        <v>142991</v>
      </c>
      <c r="AD555" s="103">
        <f t="shared" si="204"/>
        <v>124543</v>
      </c>
      <c r="AE555" s="192">
        <f t="shared" si="205"/>
        <v>0.14791035799455909</v>
      </c>
      <c r="AF555" s="192">
        <f t="shared" si="206"/>
        <v>8.9342636679700993E-2</v>
      </c>
      <c r="AG555" s="20">
        <f t="shared" si="207"/>
        <v>275.53234521753114</v>
      </c>
      <c r="AH555" s="20">
        <f t="shared" si="208"/>
        <v>164.91161687128141</v>
      </c>
      <c r="AI555" s="3">
        <f t="shared" si="209"/>
        <v>120728</v>
      </c>
    </row>
    <row r="556" spans="1:35">
      <c r="A556" s="28">
        <v>46212</v>
      </c>
      <c r="B556" s="2">
        <v>82.5</v>
      </c>
      <c r="C556" s="2">
        <v>470.25</v>
      </c>
      <c r="D556" s="2">
        <v>82.5</v>
      </c>
      <c r="E556" s="2">
        <v>405.83333333333331</v>
      </c>
      <c r="F556" s="2">
        <v>239.5</v>
      </c>
      <c r="G556" s="2">
        <v>78.416666666666671</v>
      </c>
      <c r="H556" s="2">
        <v>47</v>
      </c>
      <c r="I556" s="2">
        <v>1826.4166666666667</v>
      </c>
      <c r="J556" s="2">
        <v>123.58333333333333</v>
      </c>
      <c r="K556" s="2">
        <v>1843.4166666666667</v>
      </c>
      <c r="L556" s="2">
        <v>92.75</v>
      </c>
      <c r="M556" s="2">
        <v>304.5</v>
      </c>
      <c r="N556" s="107">
        <f t="shared" si="202"/>
        <v>388.8665016217094</v>
      </c>
      <c r="O556" s="7">
        <f t="shared" si="203"/>
        <v>4668.166666666667</v>
      </c>
      <c r="P556" s="7">
        <f t="shared" si="186"/>
        <v>4279.3001650449578</v>
      </c>
      <c r="Q556" s="7">
        <f t="shared" si="187"/>
        <v>1755.6192336039094</v>
      </c>
      <c r="R556" s="7">
        <f t="shared" si="188"/>
        <v>1525.3475981077147</v>
      </c>
      <c r="S556" s="7">
        <v>3850</v>
      </c>
      <c r="T556" s="7">
        <v>6585</v>
      </c>
      <c r="U556" s="7">
        <v>0</v>
      </c>
      <c r="V556" s="103">
        <v>123532</v>
      </c>
      <c r="W556" s="7">
        <f t="shared" si="169"/>
        <v>119682</v>
      </c>
      <c r="X556" s="103">
        <f t="shared" si="170"/>
        <v>132064</v>
      </c>
      <c r="Y556" s="103"/>
      <c r="Z556" s="2">
        <v>25995</v>
      </c>
      <c r="AA556" s="2"/>
      <c r="AB556" s="103">
        <v>8532</v>
      </c>
      <c r="AC556" s="78">
        <v>143125</v>
      </c>
      <c r="AD556" s="103">
        <f t="shared" si="204"/>
        <v>132064</v>
      </c>
      <c r="AE556" s="192">
        <f t="shared" si="205"/>
        <v>0.17254323144104802</v>
      </c>
      <c r="AF556" s="192">
        <f t="shared" si="206"/>
        <v>3.8763023988369269E-2</v>
      </c>
      <c r="AG556" s="20">
        <f t="shared" si="207"/>
        <v>318.06906855895198</v>
      </c>
      <c r="AH556" s="20">
        <f t="shared" si="208"/>
        <v>70.797433062757449</v>
      </c>
      <c r="AI556" s="3">
        <f t="shared" si="209"/>
        <v>117130</v>
      </c>
    </row>
    <row r="557" spans="1:35">
      <c r="A557" s="28">
        <v>46213</v>
      </c>
      <c r="B557" s="2">
        <v>75</v>
      </c>
      <c r="C557" s="2">
        <v>375.83333333333331</v>
      </c>
      <c r="D557" s="2">
        <v>80.916666666666657</v>
      </c>
      <c r="E557" s="2">
        <v>350.41666666666663</v>
      </c>
      <c r="F557" s="2">
        <v>247.5</v>
      </c>
      <c r="G557" s="2">
        <v>82.75</v>
      </c>
      <c r="H557" s="2">
        <v>39.5</v>
      </c>
      <c r="I557" s="2">
        <v>1804.1666666666665</v>
      </c>
      <c r="J557" s="2">
        <v>125</v>
      </c>
      <c r="K557" s="2">
        <v>1821.1666666666665</v>
      </c>
      <c r="L557" s="2">
        <v>92.25</v>
      </c>
      <c r="M557" s="2">
        <v>288</v>
      </c>
      <c r="N557" s="107">
        <f t="shared" si="202"/>
        <v>532.91361996524438</v>
      </c>
      <c r="O557" s="7">
        <f t="shared" si="203"/>
        <v>4529.583333333333</v>
      </c>
      <c r="P557" s="7">
        <f t="shared" si="186"/>
        <v>3996.6697133680887</v>
      </c>
      <c r="Q557" s="7">
        <f t="shared" si="187"/>
        <v>1586.1983652346598</v>
      </c>
      <c r="R557" s="7">
        <f t="shared" si="188"/>
        <v>1506.2213481334288</v>
      </c>
      <c r="S557" s="7">
        <v>3590</v>
      </c>
      <c r="T557" s="7">
        <v>6608</v>
      </c>
      <c r="U557" s="7">
        <v>0</v>
      </c>
      <c r="V557" s="103">
        <v>140487</v>
      </c>
      <c r="W557" s="7">
        <f t="shared" si="169"/>
        <v>136897</v>
      </c>
      <c r="X557" s="103">
        <f t="shared" si="170"/>
        <v>175907</v>
      </c>
      <c r="Y557" s="103"/>
      <c r="Z557" s="2">
        <v>27941</v>
      </c>
      <c r="AA557" s="2"/>
      <c r="AB557" s="103">
        <v>35420</v>
      </c>
      <c r="AC557" s="78">
        <v>153490</v>
      </c>
      <c r="AD557" s="103">
        <f t="shared" si="204"/>
        <v>175907</v>
      </c>
      <c r="AE557" s="192">
        <f t="shared" si="205"/>
        <v>0.17293602189067692</v>
      </c>
      <c r="AF557" s="192">
        <f t="shared" si="206"/>
        <v>0.12081383913090439</v>
      </c>
      <c r="AG557" s="20">
        <f t="shared" si="207"/>
        <v>314.94531853323775</v>
      </c>
      <c r="AH557" s="20">
        <f t="shared" si="208"/>
        <v>217.96830143200665</v>
      </c>
      <c r="AI557" s="3">
        <f t="shared" si="209"/>
        <v>125549</v>
      </c>
    </row>
    <row r="558" spans="1:35">
      <c r="A558" s="28">
        <v>46214</v>
      </c>
      <c r="B558" s="2">
        <v>82.5</v>
      </c>
      <c r="C558" s="2">
        <v>290.08333333333331</v>
      </c>
      <c r="D558" s="2">
        <v>75</v>
      </c>
      <c r="E558" s="2">
        <v>262.5</v>
      </c>
      <c r="F558" s="2">
        <v>232</v>
      </c>
      <c r="G558" s="2">
        <v>0</v>
      </c>
      <c r="H558" s="2">
        <v>29.666666666666664</v>
      </c>
      <c r="I558" s="2">
        <v>1635.25</v>
      </c>
      <c r="J558" s="2">
        <v>104.75</v>
      </c>
      <c r="K558" s="2">
        <v>1635.25</v>
      </c>
      <c r="L558" s="2">
        <v>49.25</v>
      </c>
      <c r="M558" s="2">
        <v>279</v>
      </c>
      <c r="N558" s="107">
        <f t="shared" si="202"/>
        <v>174.54120177421595</v>
      </c>
      <c r="O558" s="7">
        <f t="shared" si="203"/>
        <v>4054.833333333333</v>
      </c>
      <c r="P558" s="7">
        <f t="shared" si="186"/>
        <v>3880.2921315591175</v>
      </c>
      <c r="Q558" s="7">
        <f t="shared" si="187"/>
        <v>1615.5268798617112</v>
      </c>
      <c r="R558" s="7">
        <f t="shared" si="188"/>
        <v>1480.4319183640728</v>
      </c>
      <c r="S558" s="7">
        <v>1208</v>
      </c>
      <c r="T558" s="7">
        <v>4218</v>
      </c>
      <c r="U558" s="7">
        <v>0</v>
      </c>
      <c r="V558" s="103">
        <v>140584</v>
      </c>
      <c r="W558" s="7">
        <f t="shared" si="169"/>
        <v>139376</v>
      </c>
      <c r="X558" s="103">
        <f t="shared" si="170"/>
        <v>143468</v>
      </c>
      <c r="Y558" s="103"/>
      <c r="Z558" s="2">
        <v>14908</v>
      </c>
      <c r="AA558" s="2"/>
      <c r="AB558" s="2">
        <v>2884</v>
      </c>
      <c r="AC558" s="78">
        <v>149591</v>
      </c>
      <c r="AD558" s="103">
        <f t="shared" si="204"/>
        <v>143468</v>
      </c>
      <c r="AE558" s="192">
        <f t="shared" si="205"/>
        <v>9.467548181374548E-2</v>
      </c>
      <c r="AF558" s="192">
        <f t="shared" si="206"/>
        <v>1.2061226196782557E-2</v>
      </c>
      <c r="AG558" s="20">
        <f t="shared" si="207"/>
        <v>154.81808163592729</v>
      </c>
      <c r="AH558" s="20">
        <f t="shared" si="208"/>
        <v>19.723120138288674</v>
      </c>
      <c r="AI558" s="3">
        <f t="shared" si="209"/>
        <v>134683</v>
      </c>
    </row>
    <row r="559" spans="1:35">
      <c r="A559" s="28">
        <v>46215</v>
      </c>
      <c r="B559" s="2">
        <v>81.75</v>
      </c>
      <c r="C559" s="2">
        <v>184.91666666666666</v>
      </c>
      <c r="D559" s="2">
        <v>37.5</v>
      </c>
      <c r="E559" s="2">
        <v>60</v>
      </c>
      <c r="F559" s="2">
        <v>194.75</v>
      </c>
      <c r="G559" s="2">
        <v>0</v>
      </c>
      <c r="H559" s="2">
        <v>22.5</v>
      </c>
      <c r="I559" s="2">
        <v>1459.4999999999998</v>
      </c>
      <c r="J559" s="2">
        <v>82.5</v>
      </c>
      <c r="K559" s="2">
        <v>1481.9999999999998</v>
      </c>
      <c r="L559" s="2">
        <v>0</v>
      </c>
      <c r="M559" s="2">
        <v>197.41666666666666</v>
      </c>
      <c r="N559" s="107">
        <f t="shared" si="202"/>
        <v>0.39239130434782599</v>
      </c>
      <c r="O559" s="7">
        <f t="shared" si="203"/>
        <v>3522.9166666666661</v>
      </c>
      <c r="P559" s="7">
        <f t="shared" si="186"/>
        <v>3522.5242753623183</v>
      </c>
      <c r="Q559" s="7">
        <f t="shared" si="187"/>
        <v>1459.4999999999998</v>
      </c>
      <c r="R559" s="7">
        <f t="shared" si="188"/>
        <v>1481.6076086956518</v>
      </c>
      <c r="S559" s="7">
        <v>3686</v>
      </c>
      <c r="T559" s="7">
        <v>4773</v>
      </c>
      <c r="U559" s="7">
        <v>0</v>
      </c>
      <c r="V559" s="103">
        <v>128818</v>
      </c>
      <c r="W559" s="7">
        <f t="shared" si="169"/>
        <v>125132</v>
      </c>
      <c r="X559" s="103">
        <f t="shared" si="170"/>
        <v>128818</v>
      </c>
      <c r="Y559" s="103"/>
      <c r="Z559" s="2">
        <v>32</v>
      </c>
      <c r="AA559" s="2"/>
      <c r="AB559" s="2"/>
      <c r="AC559" s="78">
        <v>114816</v>
      </c>
      <c r="AD559" s="103">
        <f t="shared" si="204"/>
        <v>128818</v>
      </c>
      <c r="AE559" s="192">
        <f t="shared" si="205"/>
        <v>2.6477146042363429E-4</v>
      </c>
      <c r="AF559" s="192">
        <f t="shared" si="206"/>
        <v>0</v>
      </c>
      <c r="AG559" s="20">
        <f t="shared" si="207"/>
        <v>0.39239130434782599</v>
      </c>
      <c r="AH559" s="20">
        <f t="shared" si="208"/>
        <v>0</v>
      </c>
      <c r="AI559" s="3">
        <f t="shared" si="209"/>
        <v>114784</v>
      </c>
    </row>
    <row r="560" spans="1:35">
      <c r="A560" s="28">
        <v>46216</v>
      </c>
      <c r="B560" s="3">
        <v>67.5</v>
      </c>
      <c r="C560" s="3">
        <v>182.08333333333331</v>
      </c>
      <c r="D560" s="3">
        <v>85.5</v>
      </c>
      <c r="E560" s="3">
        <v>373.08333333333331</v>
      </c>
      <c r="F560" s="3">
        <v>255.5</v>
      </c>
      <c r="G560" s="3">
        <v>76.083333333333343</v>
      </c>
      <c r="H560" s="3">
        <v>47</v>
      </c>
      <c r="I560" s="3">
        <v>1711.8333333333333</v>
      </c>
      <c r="J560" s="3">
        <v>119.5</v>
      </c>
      <c r="K560" s="3">
        <v>1570.4166666666667</v>
      </c>
      <c r="L560" s="3">
        <v>53.5</v>
      </c>
      <c r="M560" s="3">
        <v>286.83333333333331</v>
      </c>
      <c r="N560" s="107">
        <f t="shared" si="202"/>
        <v>271.13501570107815</v>
      </c>
      <c r="O560" s="7">
        <f t="shared" si="203"/>
        <v>3992.333333333333</v>
      </c>
      <c r="P560" s="7">
        <f t="shared" si="186"/>
        <v>3721.1983176322551</v>
      </c>
      <c r="Q560" s="7">
        <f t="shared" si="187"/>
        <v>1550.2325656260557</v>
      </c>
      <c r="R560" s="7">
        <f t="shared" si="188"/>
        <v>1460.8824186728662</v>
      </c>
      <c r="S560" s="7">
        <v>4225</v>
      </c>
      <c r="T560" s="7">
        <v>7366</v>
      </c>
      <c r="U560" s="7">
        <v>0</v>
      </c>
      <c r="V560" s="103">
        <v>127216</v>
      </c>
      <c r="W560" s="7">
        <f t="shared" si="169"/>
        <v>122991</v>
      </c>
      <c r="X560" s="103">
        <f t="shared" si="170"/>
        <v>150969</v>
      </c>
      <c r="Y560" s="103"/>
      <c r="Z560" s="2">
        <v>11906</v>
      </c>
      <c r="AA560" s="2"/>
      <c r="AB560" s="2">
        <v>23753</v>
      </c>
      <c r="AC560" s="78">
        <v>162164</v>
      </c>
      <c r="AD560" s="103">
        <f t="shared" si="204"/>
        <v>150969</v>
      </c>
      <c r="AE560" s="192">
        <f t="shared" ref="AE560:AE565" si="210">+(Z560/AC560*0.95)</f>
        <v>6.9748526183369922E-2</v>
      </c>
      <c r="AF560" s="192">
        <f t="shared" ref="AF560:AF565" si="211">+(AB560/AD560*0.6)</f>
        <v>9.4402162033265111E-2</v>
      </c>
      <c r="AG560" s="20">
        <f t="shared" si="207"/>
        <v>109.53424799380052</v>
      </c>
      <c r="AH560" s="20">
        <f t="shared" si="208"/>
        <v>161.60076770727764</v>
      </c>
      <c r="AI560" s="3">
        <f t="shared" si="209"/>
        <v>150258</v>
      </c>
    </row>
    <row r="561" spans="1:35">
      <c r="A561" s="28">
        <v>46217</v>
      </c>
      <c r="B561" s="3">
        <v>79.916666666666686</v>
      </c>
      <c r="C561" s="3">
        <v>417.66666666666669</v>
      </c>
      <c r="D561" s="3">
        <v>79.833333333333329</v>
      </c>
      <c r="E561" s="3">
        <v>338.08333333333331</v>
      </c>
      <c r="F561" s="3">
        <v>244.75</v>
      </c>
      <c r="G561" s="3">
        <v>63.833333333333336</v>
      </c>
      <c r="H561" s="3">
        <v>46.5</v>
      </c>
      <c r="I561" s="3">
        <v>1629.3333333333333</v>
      </c>
      <c r="J561" s="3">
        <v>110.75</v>
      </c>
      <c r="K561" s="3">
        <v>1292.25</v>
      </c>
      <c r="L561" s="3">
        <v>59</v>
      </c>
      <c r="M561" s="3">
        <v>261.66666666666663</v>
      </c>
      <c r="N561" s="107">
        <f t="shared" si="202"/>
        <v>367.72314394684213</v>
      </c>
      <c r="O561" s="7">
        <f t="shared" si="203"/>
        <v>3854.5</v>
      </c>
      <c r="P561" s="7">
        <f t="shared" si="186"/>
        <v>3486.7768560531576</v>
      </c>
      <c r="Q561" s="7">
        <f t="shared" si="187"/>
        <v>1524.2224253117977</v>
      </c>
      <c r="R561" s="7">
        <f t="shared" si="188"/>
        <v>1029.6377640746935</v>
      </c>
      <c r="S561" s="7">
        <v>1833</v>
      </c>
      <c r="T561" s="7">
        <v>4545</v>
      </c>
      <c r="U561" s="7">
        <v>0</v>
      </c>
      <c r="V561" s="103">
        <v>118359</v>
      </c>
      <c r="W561" s="7">
        <f t="shared" si="169"/>
        <v>116526</v>
      </c>
      <c r="X561" s="103">
        <f t="shared" si="170"/>
        <v>132618</v>
      </c>
      <c r="Y561" s="103"/>
      <c r="Z561" s="2">
        <v>23026</v>
      </c>
      <c r="AA561" s="2"/>
      <c r="AB561" s="2">
        <v>14259</v>
      </c>
      <c r="AC561" s="78">
        <v>107640</v>
      </c>
      <c r="AD561" s="103">
        <f t="shared" si="204"/>
        <v>132618</v>
      </c>
      <c r="AE561" s="192">
        <f t="shared" si="210"/>
        <v>0.20322092159048682</v>
      </c>
      <c r="AF561" s="192">
        <f t="shared" si="211"/>
        <v>6.4511604759534907E-2</v>
      </c>
      <c r="AG561" s="20">
        <f t="shared" si="207"/>
        <v>262.61223592530661</v>
      </c>
      <c r="AH561" s="20">
        <f t="shared" si="208"/>
        <v>105.11090802153554</v>
      </c>
      <c r="AI561" s="3">
        <f>+AC561-Z561</f>
        <v>84614</v>
      </c>
    </row>
    <row r="562" spans="1:35">
      <c r="A562" s="28">
        <v>46218</v>
      </c>
      <c r="B562" s="3">
        <v>67</v>
      </c>
      <c r="C562" s="3">
        <v>322.16666666666663</v>
      </c>
      <c r="D562" s="3">
        <v>82.5</v>
      </c>
      <c r="E562" s="3">
        <v>50.75</v>
      </c>
      <c r="F562" s="3">
        <v>277.25</v>
      </c>
      <c r="G562" s="3">
        <v>0</v>
      </c>
      <c r="H562" s="3">
        <v>30</v>
      </c>
      <c r="I562" s="3">
        <v>1709.1666666666665</v>
      </c>
      <c r="J562" s="3">
        <v>97.5</v>
      </c>
      <c r="K562" s="3">
        <v>1140.0833333333333</v>
      </c>
      <c r="L562" s="3">
        <v>15</v>
      </c>
      <c r="M562" s="3">
        <v>254.16666666666666</v>
      </c>
      <c r="N562" s="107">
        <f t="shared" si="202"/>
        <v>8.587544304043977</v>
      </c>
      <c r="O562" s="7">
        <f t="shared" si="203"/>
        <v>3695.6666666666661</v>
      </c>
      <c r="P562" s="7">
        <f t="shared" si="186"/>
        <v>3687.079122362622</v>
      </c>
      <c r="Q562" s="7">
        <f t="shared" si="187"/>
        <v>1709.1666666666665</v>
      </c>
      <c r="R562" s="7">
        <f t="shared" si="188"/>
        <v>1131.4957890292892</v>
      </c>
      <c r="S562" s="7">
        <v>4322</v>
      </c>
      <c r="T562" s="7">
        <v>11021</v>
      </c>
      <c r="U562" s="7">
        <v>0</v>
      </c>
      <c r="V562" s="103">
        <v>142055</v>
      </c>
      <c r="W562" s="7">
        <f t="shared" si="169"/>
        <v>137733</v>
      </c>
      <c r="X562" s="103">
        <f t="shared" si="170"/>
        <v>142055</v>
      </c>
      <c r="Y562" s="103"/>
      <c r="Z562" s="2">
        <v>950</v>
      </c>
      <c r="AA562" s="2"/>
      <c r="AB562" s="2"/>
      <c r="AC562" s="78">
        <v>119816</v>
      </c>
      <c r="AD562" s="103">
        <f t="shared" si="204"/>
        <v>142055</v>
      </c>
      <c r="AE562" s="192">
        <f t="shared" si="210"/>
        <v>7.5323829872471111E-3</v>
      </c>
      <c r="AF562" s="192">
        <f t="shared" si="211"/>
        <v>0</v>
      </c>
      <c r="AG562" s="20">
        <f t="shared" si="207"/>
        <v>8.587544304043977</v>
      </c>
      <c r="AH562" s="20">
        <f t="shared" si="208"/>
        <v>0</v>
      </c>
      <c r="AI562" s="3">
        <f t="shared" si="209"/>
        <v>118866</v>
      </c>
    </row>
    <row r="563" spans="1:35">
      <c r="A563" s="28">
        <v>46219</v>
      </c>
      <c r="B563" s="3">
        <v>134.66666666666666</v>
      </c>
      <c r="C563" s="3">
        <v>271.25000000000006</v>
      </c>
      <c r="D563" s="3">
        <v>90</v>
      </c>
      <c r="E563" s="3">
        <v>397.16666666666663</v>
      </c>
      <c r="F563" s="3">
        <v>240.75</v>
      </c>
      <c r="G563" s="3">
        <v>58</v>
      </c>
      <c r="H563" s="3">
        <v>47</v>
      </c>
      <c r="I563" s="3">
        <v>1655.9166666666667</v>
      </c>
      <c r="J563" s="3">
        <v>132.33333333333331</v>
      </c>
      <c r="K563" s="3">
        <v>1407.4166666666665</v>
      </c>
      <c r="L563" s="3">
        <v>63</v>
      </c>
      <c r="M563" s="3">
        <v>282</v>
      </c>
      <c r="N563" s="107">
        <f t="shared" si="202"/>
        <v>0</v>
      </c>
      <c r="O563" s="7">
        <f t="shared" si="203"/>
        <v>3932.3333333333335</v>
      </c>
      <c r="P563" s="7">
        <f t="shared" si="186"/>
        <v>3932.3333333333335</v>
      </c>
      <c r="Q563" s="7">
        <f t="shared" si="187"/>
        <v>1655.9166666666667</v>
      </c>
      <c r="R563" s="7">
        <f t="shared" si="188"/>
        <v>1407.4166666666665</v>
      </c>
      <c r="S563" s="7">
        <v>4670</v>
      </c>
      <c r="T563" s="7">
        <v>9097</v>
      </c>
      <c r="U563" s="7">
        <v>0</v>
      </c>
      <c r="V563" s="103">
        <v>143815</v>
      </c>
      <c r="W563" s="7">
        <f t="shared" si="169"/>
        <v>139145</v>
      </c>
      <c r="X563" s="103">
        <f t="shared" si="170"/>
        <v>143815</v>
      </c>
      <c r="Y563" s="103"/>
      <c r="Z563" s="2"/>
      <c r="AA563" s="2"/>
      <c r="AB563" s="2"/>
      <c r="AC563" s="78">
        <v>145486</v>
      </c>
      <c r="AD563" s="103">
        <f t="shared" si="204"/>
        <v>143815</v>
      </c>
      <c r="AE563" s="192">
        <f t="shared" si="210"/>
        <v>0</v>
      </c>
      <c r="AF563" s="192">
        <f t="shared" si="211"/>
        <v>0</v>
      </c>
      <c r="AG563" s="20">
        <f t="shared" si="207"/>
        <v>0</v>
      </c>
      <c r="AH563" s="20">
        <f t="shared" si="208"/>
        <v>0</v>
      </c>
      <c r="AI563" s="3">
        <f t="shared" si="209"/>
        <v>145486</v>
      </c>
    </row>
    <row r="564" spans="1:35">
      <c r="A564" s="28">
        <v>46220</v>
      </c>
      <c r="B564" s="3">
        <v>118.5</v>
      </c>
      <c r="C564" s="3">
        <v>370.41666666666669</v>
      </c>
      <c r="D564" s="3">
        <v>94.333333333333329</v>
      </c>
      <c r="E564" s="3">
        <v>354.83333333333331</v>
      </c>
      <c r="F564" s="3">
        <v>245.16666666666666</v>
      </c>
      <c r="G564" s="3">
        <v>37.5</v>
      </c>
      <c r="H564" s="3">
        <v>47</v>
      </c>
      <c r="I564" s="3">
        <v>1649.9166666666667</v>
      </c>
      <c r="J564" s="3">
        <v>127</v>
      </c>
      <c r="K564" s="3">
        <v>1377</v>
      </c>
      <c r="L564" s="3">
        <v>67.25</v>
      </c>
      <c r="M564" s="3">
        <v>268.33333333333337</v>
      </c>
      <c r="N564" s="107">
        <f t="shared" si="202"/>
        <v>122.79144719101123</v>
      </c>
      <c r="O564" s="7">
        <f t="shared" si="203"/>
        <v>3982.3333333333335</v>
      </c>
      <c r="P564" s="7">
        <f t="shared" si="186"/>
        <v>3859.5418861423223</v>
      </c>
      <c r="Q564" s="7">
        <f t="shared" si="187"/>
        <v>1527.1252194756555</v>
      </c>
      <c r="R564" s="7">
        <f t="shared" si="188"/>
        <v>1377</v>
      </c>
      <c r="S564" s="7">
        <v>4148</v>
      </c>
      <c r="T564" s="7">
        <v>8031</v>
      </c>
      <c r="U564" s="7">
        <v>0</v>
      </c>
      <c r="V564" s="103">
        <v>126686</v>
      </c>
      <c r="W564" s="7">
        <f t="shared" si="169"/>
        <v>122538</v>
      </c>
      <c r="X564" s="103">
        <f t="shared" si="170"/>
        <v>144625</v>
      </c>
      <c r="Y564" s="103"/>
      <c r="Z564" s="2"/>
      <c r="AA564" s="2"/>
      <c r="AB564" s="2">
        <v>17939</v>
      </c>
      <c r="AC564" s="78">
        <v>143490</v>
      </c>
      <c r="AD564" s="103">
        <f t="shared" si="204"/>
        <v>144625</v>
      </c>
      <c r="AE564" s="192">
        <f t="shared" si="210"/>
        <v>0</v>
      </c>
      <c r="AF564" s="192">
        <f t="shared" si="211"/>
        <v>7.4422817631806387E-2</v>
      </c>
      <c r="AG564" s="20">
        <f t="shared" si="207"/>
        <v>0</v>
      </c>
      <c r="AH564" s="20">
        <f t="shared" si="208"/>
        <v>122.79144719101123</v>
      </c>
      <c r="AI564" s="3">
        <f t="shared" si="209"/>
        <v>143490</v>
      </c>
    </row>
    <row r="565" spans="1:35">
      <c r="A565" s="28">
        <v>46221</v>
      </c>
      <c r="B565" s="3">
        <v>59.333333333333314</v>
      </c>
      <c r="C565" s="3">
        <v>350.41666666666669</v>
      </c>
      <c r="D565" s="3">
        <v>83.5</v>
      </c>
      <c r="E565" s="3">
        <v>232.33333333333331</v>
      </c>
      <c r="F565" s="3">
        <v>217.5</v>
      </c>
      <c r="G565" s="3">
        <v>0</v>
      </c>
      <c r="H565" s="3">
        <v>30</v>
      </c>
      <c r="I565" s="3">
        <v>1521.3333333333333</v>
      </c>
      <c r="J565" s="3">
        <v>112</v>
      </c>
      <c r="K565" s="3">
        <v>1192.75</v>
      </c>
      <c r="L565" s="3">
        <v>66.416666666666671</v>
      </c>
      <c r="M565" s="3">
        <v>224.75</v>
      </c>
      <c r="N565" s="107">
        <f t="shared" si="202"/>
        <v>0</v>
      </c>
      <c r="O565" s="7">
        <f t="shared" si="203"/>
        <v>3536.833333333333</v>
      </c>
      <c r="P565" s="7">
        <f t="shared" ref="P565:P596" si="212">+B565+C565+D565+F565+J565+Q565+R565</f>
        <v>3536.833333333333</v>
      </c>
      <c r="Q565" s="7">
        <f t="shared" ref="Q565:Q596" si="213">+I565-AH565</f>
        <v>1521.3333333333333</v>
      </c>
      <c r="R565" s="7">
        <f t="shared" ref="R565:R596" si="214">+K565-AG565</f>
        <v>1192.75</v>
      </c>
      <c r="S565" s="7">
        <v>1441</v>
      </c>
      <c r="T565" s="7">
        <v>7344</v>
      </c>
      <c r="U565" s="7">
        <v>0</v>
      </c>
      <c r="V565" s="103">
        <v>131045</v>
      </c>
      <c r="W565" s="7">
        <f t="shared" si="169"/>
        <v>129604</v>
      </c>
      <c r="X565" s="103">
        <f t="shared" si="170"/>
        <v>131045</v>
      </c>
      <c r="Y565" s="103"/>
      <c r="Z565" s="2"/>
      <c r="AA565" s="2"/>
      <c r="AB565" s="2"/>
      <c r="AC565" s="78">
        <v>125126</v>
      </c>
      <c r="AD565" s="103">
        <f t="shared" si="204"/>
        <v>131045</v>
      </c>
      <c r="AE565" s="192">
        <f t="shared" si="210"/>
        <v>0</v>
      </c>
      <c r="AF565" s="192">
        <f t="shared" si="211"/>
        <v>0</v>
      </c>
      <c r="AG565" s="20">
        <f t="shared" si="207"/>
        <v>0</v>
      </c>
      <c r="AH565" s="20">
        <f t="shared" si="208"/>
        <v>0</v>
      </c>
      <c r="AI565" s="3">
        <f t="shared" si="209"/>
        <v>125126</v>
      </c>
    </row>
    <row r="566" spans="1:35">
      <c r="A566" s="28">
        <v>46222</v>
      </c>
      <c r="B566" s="3">
        <v>0</v>
      </c>
      <c r="C566" s="3">
        <v>0</v>
      </c>
      <c r="D566" s="3">
        <v>0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107">
        <f t="shared" si="202"/>
        <v>0</v>
      </c>
      <c r="O566" s="7">
        <f t="shared" si="203"/>
        <v>0</v>
      </c>
      <c r="P566" s="7">
        <f t="shared" si="212"/>
        <v>0</v>
      </c>
      <c r="Q566" s="7">
        <f t="shared" si="213"/>
        <v>0</v>
      </c>
      <c r="R566" s="7">
        <f t="shared" si="214"/>
        <v>0</v>
      </c>
      <c r="T566" s="7"/>
      <c r="U566" s="7">
        <v>0</v>
      </c>
      <c r="V566" s="103"/>
      <c r="W566" s="7">
        <f t="shared" si="169"/>
        <v>0</v>
      </c>
      <c r="X566" s="103">
        <f t="shared" si="170"/>
        <v>0</v>
      </c>
      <c r="Y566" s="103"/>
      <c r="Z566" s="2"/>
      <c r="AA566" s="2"/>
      <c r="AB566" s="2"/>
      <c r="AD566" s="103"/>
      <c r="AE566" s="192"/>
      <c r="AF566" s="192"/>
      <c r="AG566" s="20"/>
      <c r="AH566" s="20"/>
      <c r="AI566" s="3"/>
    </row>
    <row r="567" spans="1:35">
      <c r="A567" s="28">
        <v>46223</v>
      </c>
      <c r="B567" s="3">
        <v>127.5</v>
      </c>
      <c r="C567" s="3">
        <v>436.16666666666663</v>
      </c>
      <c r="D567" s="3">
        <v>90</v>
      </c>
      <c r="E567" s="3">
        <v>438.25000000000006</v>
      </c>
      <c r="F567" s="3">
        <v>285</v>
      </c>
      <c r="G567" s="3">
        <v>125.83333333333336</v>
      </c>
      <c r="H567" s="3">
        <v>39.5</v>
      </c>
      <c r="I567" s="3">
        <v>1732.25</v>
      </c>
      <c r="J567" s="3">
        <v>105.25</v>
      </c>
      <c r="K567" s="3">
        <v>1299.3333333333335</v>
      </c>
      <c r="L567" s="3">
        <v>84.25</v>
      </c>
      <c r="M567" s="3">
        <v>296.5</v>
      </c>
      <c r="N567" s="107">
        <f t="shared" ref="N567:N573" si="215">+AH567+AG567</f>
        <v>236.26944204728176</v>
      </c>
      <c r="O567" s="7">
        <f t="shared" ref="O567:O573" si="216">+B567+C567+D567+F567+I567+K567+J567</f>
        <v>4075.5</v>
      </c>
      <c r="P567" s="7">
        <f t="shared" si="212"/>
        <v>3839.2305579527183</v>
      </c>
      <c r="Q567" s="7">
        <f t="shared" si="213"/>
        <v>1628.746854148975</v>
      </c>
      <c r="R567" s="7">
        <f t="shared" si="214"/>
        <v>1166.5670371370768</v>
      </c>
      <c r="S567" s="7">
        <v>5151</v>
      </c>
      <c r="T567" s="7">
        <v>8399</v>
      </c>
      <c r="U567" s="7">
        <v>0</v>
      </c>
      <c r="V567" s="103">
        <v>118754</v>
      </c>
      <c r="W567" s="7">
        <f t="shared" si="169"/>
        <v>113603</v>
      </c>
      <c r="X567" s="103">
        <f t="shared" si="170"/>
        <v>131888</v>
      </c>
      <c r="Y567" s="103"/>
      <c r="Z567" s="2">
        <v>13539</v>
      </c>
      <c r="AA567" s="2"/>
      <c r="AB567" s="2">
        <v>13134</v>
      </c>
      <c r="AC567" s="78">
        <v>125876</v>
      </c>
      <c r="AD567" s="103">
        <f t="shared" ref="AD567:AD630" si="217">+X567</f>
        <v>131888</v>
      </c>
      <c r="AE567" s="192">
        <f t="shared" ref="AE567:AE573" si="218">+(Z567/AC567*0.95)</f>
        <v>0.10218032031523086</v>
      </c>
      <c r="AF567" s="192">
        <f t="shared" ref="AF567:AF573" si="219">+(AB567/AD567*0.6)</f>
        <v>5.9750697561567388E-2</v>
      </c>
      <c r="AG567" s="20">
        <f t="shared" ref="AG567:AG579" si="220">+AE567*K567</f>
        <v>132.76629619625663</v>
      </c>
      <c r="AH567" s="20">
        <f t="shared" ref="AH567:AH579" si="221">+AF567*I567</f>
        <v>103.50314585102511</v>
      </c>
      <c r="AI567" s="3">
        <f t="shared" ref="AI567:AI573" si="222">+AC567-Z567</f>
        <v>112337</v>
      </c>
    </row>
    <row r="568" spans="1:35">
      <c r="A568" s="28">
        <v>46224</v>
      </c>
      <c r="B568" s="3">
        <v>210</v>
      </c>
      <c r="C568" s="3">
        <v>370.08333333333337</v>
      </c>
      <c r="D568" s="3">
        <v>97.5</v>
      </c>
      <c r="E568" s="3">
        <v>460.25000000000006</v>
      </c>
      <c r="F568" s="3">
        <v>282</v>
      </c>
      <c r="G568" s="3">
        <v>117.66666666666667</v>
      </c>
      <c r="H568" s="3">
        <v>39.5</v>
      </c>
      <c r="I568" s="3">
        <v>1680.0833333333333</v>
      </c>
      <c r="J568" s="3">
        <v>122.5</v>
      </c>
      <c r="K568" s="3">
        <v>1313.4166666666665</v>
      </c>
      <c r="L568" s="3">
        <v>71.5</v>
      </c>
      <c r="M568" s="3">
        <v>307.25</v>
      </c>
      <c r="N568" s="107">
        <f t="shared" si="215"/>
        <v>0</v>
      </c>
      <c r="O568" s="7">
        <f t="shared" si="216"/>
        <v>4075.583333333333</v>
      </c>
      <c r="P568" s="7">
        <f t="shared" si="212"/>
        <v>4075.5833333333335</v>
      </c>
      <c r="Q568" s="7">
        <f t="shared" si="213"/>
        <v>1680.0833333333333</v>
      </c>
      <c r="R568" s="7">
        <f t="shared" si="214"/>
        <v>1313.4166666666665</v>
      </c>
      <c r="S568" s="7">
        <v>6008</v>
      </c>
      <c r="T568" s="7">
        <v>9016</v>
      </c>
      <c r="U568" s="7">
        <v>0</v>
      </c>
      <c r="V568" s="103">
        <v>133648</v>
      </c>
      <c r="W568" s="7">
        <f t="shared" si="169"/>
        <v>127640</v>
      </c>
      <c r="X568" s="103">
        <f t="shared" si="170"/>
        <v>133648</v>
      </c>
      <c r="Y568" s="103"/>
      <c r="Z568" s="2"/>
      <c r="AA568" s="2"/>
      <c r="AB568" s="2"/>
      <c r="AC568" s="78">
        <v>115263</v>
      </c>
      <c r="AD568" s="103">
        <f t="shared" si="217"/>
        <v>133648</v>
      </c>
      <c r="AE568" s="192">
        <f t="shared" si="218"/>
        <v>0</v>
      </c>
      <c r="AF568" s="192">
        <f t="shared" si="219"/>
        <v>0</v>
      </c>
      <c r="AG568" s="20">
        <f t="shared" si="220"/>
        <v>0</v>
      </c>
      <c r="AH568" s="20">
        <f t="shared" si="221"/>
        <v>0</v>
      </c>
      <c r="AI568" s="3">
        <f t="shared" si="222"/>
        <v>115263</v>
      </c>
    </row>
    <row r="569" spans="1:35">
      <c r="A569" s="28">
        <v>46225</v>
      </c>
      <c r="B569" s="3">
        <v>201.08333333333334</v>
      </c>
      <c r="C569" s="3">
        <v>345.25</v>
      </c>
      <c r="D569" s="3">
        <v>97.5</v>
      </c>
      <c r="E569" s="3">
        <v>461.41666666666674</v>
      </c>
      <c r="F569" s="3">
        <v>259.5</v>
      </c>
      <c r="G569" s="3">
        <v>130.16666666666669</v>
      </c>
      <c r="H569" s="3">
        <v>37.583333333333336</v>
      </c>
      <c r="I569" s="3">
        <v>1722.6666666666665</v>
      </c>
      <c r="J569" s="3">
        <v>132.58333333333334</v>
      </c>
      <c r="K569" s="3">
        <v>1316.25</v>
      </c>
      <c r="L569" s="3">
        <v>76.916666666666657</v>
      </c>
      <c r="M569" s="3">
        <v>296.83333333333331</v>
      </c>
      <c r="N569" s="107">
        <f t="shared" si="215"/>
        <v>93.60105523907005</v>
      </c>
      <c r="O569" s="7">
        <f t="shared" si="216"/>
        <v>4074.8333333333335</v>
      </c>
      <c r="P569" s="7">
        <f t="shared" si="212"/>
        <v>3981.2322780942632</v>
      </c>
      <c r="Q569" s="7">
        <f t="shared" si="213"/>
        <v>1722.6666666666665</v>
      </c>
      <c r="R569" s="7">
        <f t="shared" si="214"/>
        <v>1222.6489447609299</v>
      </c>
      <c r="S569" s="7">
        <v>3169</v>
      </c>
      <c r="T569" s="7">
        <v>6355</v>
      </c>
      <c r="U569" s="7">
        <v>0</v>
      </c>
      <c r="V569" s="103">
        <v>147108</v>
      </c>
      <c r="W569" s="7">
        <f t="shared" si="169"/>
        <v>143939</v>
      </c>
      <c r="X569" s="103">
        <f t="shared" si="170"/>
        <v>147108</v>
      </c>
      <c r="Y569" s="103"/>
      <c r="Z569" s="2">
        <v>8922</v>
      </c>
      <c r="AA569" s="2"/>
      <c r="AB569" s="2"/>
      <c r="AC569" s="78">
        <v>119191</v>
      </c>
      <c r="AD569" s="103">
        <f t="shared" si="217"/>
        <v>147108</v>
      </c>
      <c r="AE569" s="192">
        <f t="shared" si="218"/>
        <v>7.1111912812208966E-2</v>
      </c>
      <c r="AF569" s="192">
        <f t="shared" si="219"/>
        <v>0</v>
      </c>
      <c r="AG569" s="20">
        <f t="shared" si="220"/>
        <v>93.60105523907005</v>
      </c>
      <c r="AH569" s="20">
        <f t="shared" si="221"/>
        <v>0</v>
      </c>
      <c r="AI569" s="3">
        <f t="shared" si="222"/>
        <v>110269</v>
      </c>
    </row>
    <row r="570" spans="1:35">
      <c r="A570" s="28">
        <v>46226</v>
      </c>
      <c r="B570" s="3">
        <v>202.5</v>
      </c>
      <c r="C570" s="3">
        <v>316.75</v>
      </c>
      <c r="D570" s="3">
        <v>90</v>
      </c>
      <c r="E570" s="3">
        <v>434.16666666666663</v>
      </c>
      <c r="F570" s="3">
        <v>287.5</v>
      </c>
      <c r="G570" s="3">
        <v>126.58333333333333</v>
      </c>
      <c r="H570" s="3">
        <v>39.5</v>
      </c>
      <c r="I570" s="3">
        <v>1731.0833333333333</v>
      </c>
      <c r="J570" s="3">
        <v>118</v>
      </c>
      <c r="K570" s="3">
        <v>1349.5833333333335</v>
      </c>
      <c r="L570" s="3">
        <v>68</v>
      </c>
      <c r="M570" s="3">
        <v>295.91666666666669</v>
      </c>
      <c r="N570" s="107">
        <f t="shared" si="215"/>
        <v>243.00165280144364</v>
      </c>
      <c r="O570" s="7">
        <f t="shared" si="216"/>
        <v>4095.4166666666665</v>
      </c>
      <c r="P570" s="7">
        <f t="shared" si="212"/>
        <v>3852.415013865223</v>
      </c>
      <c r="Q570" s="7">
        <f t="shared" si="213"/>
        <v>1600.2007169654735</v>
      </c>
      <c r="R570" s="7">
        <f t="shared" si="214"/>
        <v>1237.4642968997496</v>
      </c>
      <c r="S570" s="7">
        <v>3741</v>
      </c>
      <c r="T570" s="7">
        <v>4316</v>
      </c>
      <c r="U570" s="7">
        <v>0</v>
      </c>
      <c r="V570" s="103">
        <v>136204</v>
      </c>
      <c r="W570" s="7">
        <f t="shared" si="169"/>
        <v>132463</v>
      </c>
      <c r="X570" s="103">
        <f t="shared" si="170"/>
        <v>155842</v>
      </c>
      <c r="Y570" s="103"/>
      <c r="Z570" s="2">
        <v>12146</v>
      </c>
      <c r="AA570" s="2"/>
      <c r="AB570" s="2">
        <v>19638</v>
      </c>
      <c r="AC570" s="78">
        <v>138892</v>
      </c>
      <c r="AD570" s="103">
        <f t="shared" si="217"/>
        <v>155842</v>
      </c>
      <c r="AE570" s="192">
        <f t="shared" si="218"/>
        <v>8.3076779080148599E-2</v>
      </c>
      <c r="AF570" s="192">
        <f t="shared" si="219"/>
        <v>7.5607345901618314E-2</v>
      </c>
      <c r="AG570" s="20">
        <f t="shared" si="220"/>
        <v>112.11903643358389</v>
      </c>
      <c r="AH570" s="20">
        <f t="shared" si="221"/>
        <v>130.88261636785975</v>
      </c>
      <c r="AI570" s="3">
        <f t="shared" si="222"/>
        <v>126746</v>
      </c>
    </row>
    <row r="571" spans="1:35">
      <c r="A571" s="28">
        <v>46227</v>
      </c>
      <c r="B571" s="3">
        <v>217</v>
      </c>
      <c r="C571" s="3">
        <v>342</v>
      </c>
      <c r="D571" s="3">
        <v>90</v>
      </c>
      <c r="E571" s="3">
        <v>457.66666666666674</v>
      </c>
      <c r="F571" s="3">
        <v>257.58333333333337</v>
      </c>
      <c r="G571" s="3">
        <v>115.66666666666666</v>
      </c>
      <c r="H571" s="3">
        <v>39.5</v>
      </c>
      <c r="I571" s="3">
        <v>1792.4166666666667</v>
      </c>
      <c r="J571" s="3">
        <v>106.99999999999999</v>
      </c>
      <c r="K571" s="3">
        <v>1364.3333333333333</v>
      </c>
      <c r="L571" s="3">
        <v>63.333333333333329</v>
      </c>
      <c r="M571" s="3">
        <v>299.5</v>
      </c>
      <c r="N571" s="107">
        <f t="shared" si="215"/>
        <v>0</v>
      </c>
      <c r="O571" s="7">
        <f t="shared" si="216"/>
        <v>4170.333333333333</v>
      </c>
      <c r="P571" s="7">
        <f t="shared" si="212"/>
        <v>4170.333333333333</v>
      </c>
      <c r="Q571" s="7">
        <f t="shared" si="213"/>
        <v>1792.4166666666667</v>
      </c>
      <c r="R571" s="7">
        <f t="shared" si="214"/>
        <v>1364.3333333333333</v>
      </c>
      <c r="S571" s="7">
        <v>2924</v>
      </c>
      <c r="T571" s="7">
        <v>4042</v>
      </c>
      <c r="U571" s="7">
        <v>0</v>
      </c>
      <c r="V571" s="103">
        <v>140157</v>
      </c>
      <c r="W571" s="7">
        <f t="shared" si="169"/>
        <v>137233</v>
      </c>
      <c r="X571" s="103">
        <f t="shared" si="170"/>
        <v>140157</v>
      </c>
      <c r="Y571" s="103"/>
      <c r="Z571" s="2"/>
      <c r="AA571" s="2"/>
      <c r="AB571" s="2"/>
      <c r="AC571" s="78">
        <v>133621</v>
      </c>
      <c r="AD571" s="103">
        <f t="shared" si="217"/>
        <v>140157</v>
      </c>
      <c r="AE571" s="192">
        <f t="shared" si="218"/>
        <v>0</v>
      </c>
      <c r="AF571" s="192">
        <f t="shared" si="219"/>
        <v>0</v>
      </c>
      <c r="AG571" s="20">
        <f t="shared" si="220"/>
        <v>0</v>
      </c>
      <c r="AH571" s="20">
        <f t="shared" si="221"/>
        <v>0</v>
      </c>
      <c r="AI571" s="3">
        <f t="shared" si="222"/>
        <v>133621</v>
      </c>
    </row>
    <row r="572" spans="1:35">
      <c r="A572" s="28">
        <v>46228</v>
      </c>
      <c r="B572" s="3">
        <v>206.75000000000003</v>
      </c>
      <c r="C572" s="3">
        <v>279</v>
      </c>
      <c r="D572" s="3">
        <v>90</v>
      </c>
      <c r="E572" s="3">
        <v>269.5</v>
      </c>
      <c r="F572" s="3">
        <v>211.91666666666669</v>
      </c>
      <c r="G572" s="3">
        <v>0</v>
      </c>
      <c r="H572" s="3">
        <v>22.5</v>
      </c>
      <c r="I572" s="3">
        <v>1671.5</v>
      </c>
      <c r="J572" s="3">
        <v>97.5</v>
      </c>
      <c r="K572" s="3">
        <v>1320.2499999999998</v>
      </c>
      <c r="L572" s="3">
        <v>52.25</v>
      </c>
      <c r="M572" s="3">
        <v>272.41666666666663</v>
      </c>
      <c r="N572" s="107">
        <f t="shared" si="215"/>
        <v>0</v>
      </c>
      <c r="O572" s="7">
        <f t="shared" si="216"/>
        <v>3876.916666666667</v>
      </c>
      <c r="P572" s="7">
        <f t="shared" si="212"/>
        <v>3876.916666666667</v>
      </c>
      <c r="Q572" s="7">
        <f t="shared" si="213"/>
        <v>1671.5</v>
      </c>
      <c r="R572" s="7">
        <f t="shared" si="214"/>
        <v>1320.2499999999998</v>
      </c>
      <c r="S572" s="7">
        <v>2922</v>
      </c>
      <c r="T572" s="7">
        <v>4140</v>
      </c>
      <c r="U572" s="7">
        <v>0</v>
      </c>
      <c r="V572" s="103">
        <v>144687</v>
      </c>
      <c r="W572" s="7">
        <f t="shared" si="169"/>
        <v>141765</v>
      </c>
      <c r="X572" s="103">
        <f t="shared" si="170"/>
        <v>144687</v>
      </c>
      <c r="Y572" s="103"/>
      <c r="Z572" s="2"/>
      <c r="AA572" s="2"/>
      <c r="AB572" s="2"/>
      <c r="AC572" s="78">
        <v>136059</v>
      </c>
      <c r="AD572" s="103">
        <f t="shared" si="217"/>
        <v>144687</v>
      </c>
      <c r="AE572" s="192">
        <f t="shared" si="218"/>
        <v>0</v>
      </c>
      <c r="AF572" s="192">
        <f t="shared" si="219"/>
        <v>0</v>
      </c>
      <c r="AG572" s="20">
        <f t="shared" si="220"/>
        <v>0</v>
      </c>
      <c r="AH572" s="20">
        <f t="shared" si="221"/>
        <v>0</v>
      </c>
      <c r="AI572" s="3">
        <f t="shared" si="222"/>
        <v>136059</v>
      </c>
    </row>
    <row r="573" spans="1:35">
      <c r="A573" s="28">
        <v>46229</v>
      </c>
      <c r="B573" s="3">
        <v>165</v>
      </c>
      <c r="C573" s="3">
        <v>262.5</v>
      </c>
      <c r="D573" s="3">
        <v>82</v>
      </c>
      <c r="E573" s="3">
        <v>30</v>
      </c>
      <c r="F573" s="3">
        <v>180</v>
      </c>
      <c r="G573" s="3">
        <v>0</v>
      </c>
      <c r="H573" s="3">
        <v>22.5</v>
      </c>
      <c r="I573" s="3">
        <v>1390.3333333333333</v>
      </c>
      <c r="J573" s="3">
        <v>81.666666666666671</v>
      </c>
      <c r="K573" s="3">
        <v>1087.3333333333335</v>
      </c>
      <c r="L573" s="3">
        <v>0</v>
      </c>
      <c r="M573" s="3">
        <v>223.41666666666666</v>
      </c>
      <c r="N573" s="107">
        <f t="shared" si="215"/>
        <v>0</v>
      </c>
      <c r="O573" s="7">
        <f t="shared" si="216"/>
        <v>3248.833333333333</v>
      </c>
      <c r="P573" s="7">
        <f t="shared" si="212"/>
        <v>3248.8333333333335</v>
      </c>
      <c r="Q573" s="7">
        <f t="shared" si="213"/>
        <v>1390.3333333333333</v>
      </c>
      <c r="R573" s="7">
        <f t="shared" si="214"/>
        <v>1087.3333333333335</v>
      </c>
      <c r="S573" s="7">
        <v>1440</v>
      </c>
      <c r="T573" s="7">
        <v>3243</v>
      </c>
      <c r="U573" s="7">
        <v>0</v>
      </c>
      <c r="V573" s="103">
        <v>118866</v>
      </c>
      <c r="W573" s="7">
        <f t="shared" si="169"/>
        <v>117426</v>
      </c>
      <c r="X573" s="103">
        <f t="shared" si="170"/>
        <v>118866</v>
      </c>
      <c r="Y573" s="103"/>
      <c r="Z573" s="2"/>
      <c r="AA573" s="2"/>
      <c r="AB573" s="2"/>
      <c r="AC573" s="78">
        <v>106235</v>
      </c>
      <c r="AD573" s="103">
        <f t="shared" si="217"/>
        <v>118866</v>
      </c>
      <c r="AE573" s="192">
        <f t="shared" si="218"/>
        <v>0</v>
      </c>
      <c r="AF573" s="192">
        <f t="shared" si="219"/>
        <v>0</v>
      </c>
      <c r="AG573" s="20">
        <f t="shared" si="220"/>
        <v>0</v>
      </c>
      <c r="AH573" s="20">
        <f t="shared" si="221"/>
        <v>0</v>
      </c>
      <c r="AI573" s="3">
        <f t="shared" si="222"/>
        <v>106235</v>
      </c>
    </row>
    <row r="574" spans="1:35">
      <c r="A574" s="28">
        <v>46230</v>
      </c>
      <c r="B574" s="2">
        <v>225</v>
      </c>
      <c r="C574" s="2">
        <v>222</v>
      </c>
      <c r="D574" s="2">
        <v>82.5</v>
      </c>
      <c r="E574" s="2">
        <v>455.1666666666668</v>
      </c>
      <c r="F574" s="2">
        <v>260.25</v>
      </c>
      <c r="G574" s="2">
        <v>136.5</v>
      </c>
      <c r="H574" s="2">
        <v>47</v>
      </c>
      <c r="I574" s="2">
        <v>1765.6666666666665</v>
      </c>
      <c r="J574" s="2">
        <v>107.5</v>
      </c>
      <c r="K574" s="2">
        <v>1323.4166666666667</v>
      </c>
      <c r="L574" s="2">
        <v>92.833333333333329</v>
      </c>
      <c r="M574" s="2">
        <v>295.5</v>
      </c>
      <c r="N574" s="107">
        <f t="shared" ref="N574:N587" si="223">+AH574+AG574</f>
        <v>0</v>
      </c>
      <c r="O574" s="7">
        <f t="shared" ref="O574:O579" si="224">+B574+C574+D574+F574+I574+K574+J574</f>
        <v>3986.333333333333</v>
      </c>
      <c r="P574" s="7">
        <f t="shared" si="212"/>
        <v>3986.333333333333</v>
      </c>
      <c r="Q574" s="7">
        <f t="shared" si="213"/>
        <v>1765.6666666666665</v>
      </c>
      <c r="R574" s="7">
        <f t="shared" si="214"/>
        <v>1323.4166666666667</v>
      </c>
      <c r="S574" s="7">
        <v>910</v>
      </c>
      <c r="T574" s="7">
        <v>2452</v>
      </c>
      <c r="U574" s="7">
        <v>0</v>
      </c>
      <c r="V574" s="103">
        <v>136140</v>
      </c>
      <c r="W574" s="7">
        <f t="shared" si="169"/>
        <v>135230</v>
      </c>
      <c r="X574" s="103">
        <f t="shared" si="170"/>
        <v>136140</v>
      </c>
      <c r="Y574" s="103"/>
      <c r="Z574" s="2"/>
      <c r="AA574" s="2"/>
      <c r="AB574" s="2"/>
      <c r="AC574" s="78">
        <v>147358</v>
      </c>
      <c r="AD574" s="103">
        <f t="shared" si="217"/>
        <v>136140</v>
      </c>
      <c r="AE574" s="192">
        <f t="shared" ref="AE574:AE579" si="225">+(Z574/AC574*0.95)</f>
        <v>0</v>
      </c>
      <c r="AF574" s="192">
        <f t="shared" ref="AF574:AF579" si="226">+(AB574/AD574*0.6)</f>
        <v>0</v>
      </c>
      <c r="AG574" s="20">
        <f t="shared" si="220"/>
        <v>0</v>
      </c>
      <c r="AH574" s="20">
        <f t="shared" si="221"/>
        <v>0</v>
      </c>
      <c r="AI574" s="3">
        <f t="shared" ref="AI574:AI579" si="227">+AC574-Z574</f>
        <v>147358</v>
      </c>
    </row>
    <row r="575" spans="1:35">
      <c r="A575" s="28">
        <v>46231</v>
      </c>
      <c r="B575" s="2">
        <v>202.5</v>
      </c>
      <c r="C575" s="2">
        <v>343.75</v>
      </c>
      <c r="D575" s="2">
        <v>82.5</v>
      </c>
      <c r="E575" s="2">
        <v>434.4166666666668</v>
      </c>
      <c r="F575" s="2">
        <v>286</v>
      </c>
      <c r="G575" s="2">
        <v>136.25</v>
      </c>
      <c r="H575" s="2">
        <v>47</v>
      </c>
      <c r="I575" s="2">
        <v>1812.75</v>
      </c>
      <c r="J575" s="2">
        <v>118</v>
      </c>
      <c r="K575" s="2">
        <v>1350</v>
      </c>
      <c r="L575" s="2">
        <v>69.083333333333343</v>
      </c>
      <c r="M575" s="2">
        <v>297.91666666666669</v>
      </c>
      <c r="N575" s="107">
        <f t="shared" si="223"/>
        <v>0</v>
      </c>
      <c r="O575" s="7">
        <f t="shared" si="224"/>
        <v>4195.5</v>
      </c>
      <c r="P575" s="7">
        <f t="shared" si="212"/>
        <v>4195.5</v>
      </c>
      <c r="Q575" s="7">
        <f t="shared" si="213"/>
        <v>1812.75</v>
      </c>
      <c r="R575" s="7">
        <f t="shared" si="214"/>
        <v>1350</v>
      </c>
      <c r="S575" s="7">
        <v>5924</v>
      </c>
      <c r="T575" s="7">
        <v>6098</v>
      </c>
      <c r="U575" s="7">
        <v>0</v>
      </c>
      <c r="V575" s="103">
        <v>129830</v>
      </c>
      <c r="W575" s="7">
        <f t="shared" si="169"/>
        <v>123906</v>
      </c>
      <c r="X575" s="103">
        <f t="shared" si="170"/>
        <v>129830</v>
      </c>
      <c r="Y575" s="103"/>
      <c r="Z575" s="2"/>
      <c r="AA575" s="2"/>
      <c r="AB575" s="2"/>
      <c r="AC575" s="78">
        <v>137554</v>
      </c>
      <c r="AD575" s="103">
        <f t="shared" si="217"/>
        <v>129830</v>
      </c>
      <c r="AE575" s="192">
        <f t="shared" si="225"/>
        <v>0</v>
      </c>
      <c r="AF575" s="192">
        <f t="shared" si="226"/>
        <v>0</v>
      </c>
      <c r="AG575" s="20">
        <f t="shared" si="220"/>
        <v>0</v>
      </c>
      <c r="AH575" s="20">
        <f t="shared" si="221"/>
        <v>0</v>
      </c>
      <c r="AI575" s="3">
        <f t="shared" si="227"/>
        <v>137554</v>
      </c>
    </row>
    <row r="576" spans="1:35">
      <c r="A576" s="28">
        <v>46232</v>
      </c>
      <c r="B576" s="2">
        <v>135</v>
      </c>
      <c r="C576" s="2">
        <v>390.08333333333331</v>
      </c>
      <c r="D576" s="2">
        <v>87</v>
      </c>
      <c r="E576" s="2">
        <v>444.25000000000006</v>
      </c>
      <c r="F576" s="2">
        <v>279.83333333333337</v>
      </c>
      <c r="G576" s="2">
        <v>144.5</v>
      </c>
      <c r="H576" s="2">
        <v>39.5</v>
      </c>
      <c r="I576" s="2">
        <v>1833.25</v>
      </c>
      <c r="J576" s="2">
        <v>114.58333333333333</v>
      </c>
      <c r="K576" s="2">
        <v>1293.9166666666665</v>
      </c>
      <c r="L576" s="2">
        <v>63</v>
      </c>
      <c r="M576" s="2">
        <v>297.75</v>
      </c>
      <c r="N576" s="107">
        <f t="shared" si="223"/>
        <v>0</v>
      </c>
      <c r="O576" s="7">
        <f t="shared" si="224"/>
        <v>4133.6666666666661</v>
      </c>
      <c r="P576" s="7">
        <f t="shared" si="212"/>
        <v>4133.6666666666661</v>
      </c>
      <c r="Q576" s="7">
        <f t="shared" si="213"/>
        <v>1833.25</v>
      </c>
      <c r="R576" s="7">
        <f t="shared" si="214"/>
        <v>1293.9166666666665</v>
      </c>
      <c r="S576" s="7">
        <v>2462</v>
      </c>
      <c r="T576" s="7">
        <v>2651</v>
      </c>
      <c r="U576" s="7">
        <v>0</v>
      </c>
      <c r="V576" s="103">
        <v>146201</v>
      </c>
      <c r="W576" s="7">
        <f t="shared" si="169"/>
        <v>143739</v>
      </c>
      <c r="X576" s="103">
        <f t="shared" si="170"/>
        <v>146201</v>
      </c>
      <c r="Y576" s="103"/>
      <c r="Z576" s="2"/>
      <c r="AA576" s="2"/>
      <c r="AB576" s="2"/>
      <c r="AC576" s="78">
        <v>133519</v>
      </c>
      <c r="AD576" s="103">
        <f t="shared" si="217"/>
        <v>146201</v>
      </c>
      <c r="AE576" s="192">
        <f t="shared" si="225"/>
        <v>0</v>
      </c>
      <c r="AF576" s="192">
        <f t="shared" si="226"/>
        <v>0</v>
      </c>
      <c r="AG576" s="20">
        <f t="shared" si="220"/>
        <v>0</v>
      </c>
      <c r="AH576" s="20">
        <f t="shared" si="221"/>
        <v>0</v>
      </c>
      <c r="AI576" s="3">
        <f t="shared" si="227"/>
        <v>133519</v>
      </c>
    </row>
    <row r="577" spans="1:37">
      <c r="A577" s="28">
        <v>46233</v>
      </c>
      <c r="B577" s="2">
        <v>212.91666666666669</v>
      </c>
      <c r="C577" s="2">
        <v>365.66666666666669</v>
      </c>
      <c r="D577" s="2">
        <v>90</v>
      </c>
      <c r="E577" s="2">
        <v>430.1666666666668</v>
      </c>
      <c r="F577" s="2">
        <v>267</v>
      </c>
      <c r="G577" s="2">
        <v>137.25</v>
      </c>
      <c r="H577" s="2">
        <v>39.5</v>
      </c>
      <c r="I577" s="2">
        <v>1874.7499999999998</v>
      </c>
      <c r="J577" s="2">
        <v>129.16666666666669</v>
      </c>
      <c r="K577" s="2">
        <v>1396.3333333333335</v>
      </c>
      <c r="L577" s="2">
        <v>74.5</v>
      </c>
      <c r="M577" s="2">
        <v>288.66666666666663</v>
      </c>
      <c r="N577" s="107">
        <f t="shared" si="223"/>
        <v>0</v>
      </c>
      <c r="O577" s="7">
        <f t="shared" si="224"/>
        <v>4335.833333333333</v>
      </c>
      <c r="P577" s="7">
        <f t="shared" si="212"/>
        <v>4335.8333333333339</v>
      </c>
      <c r="Q577" s="7">
        <f t="shared" si="213"/>
        <v>1874.7499999999998</v>
      </c>
      <c r="R577" s="7">
        <f t="shared" si="214"/>
        <v>1396.3333333333335</v>
      </c>
      <c r="S577" s="7">
        <v>4681</v>
      </c>
      <c r="T577" s="7">
        <v>5332</v>
      </c>
      <c r="U577" s="7">
        <v>0</v>
      </c>
      <c r="V577" s="103">
        <v>136909</v>
      </c>
      <c r="W577" s="7">
        <f t="shared" si="169"/>
        <v>132228</v>
      </c>
      <c r="X577" s="103">
        <f t="shared" si="170"/>
        <v>136909</v>
      </c>
      <c r="Y577" s="103"/>
      <c r="Z577" s="2"/>
      <c r="AA577" s="2"/>
      <c r="AB577" s="2"/>
      <c r="AC577" s="78">
        <v>139467</v>
      </c>
      <c r="AD577" s="103">
        <f t="shared" si="217"/>
        <v>136909</v>
      </c>
      <c r="AE577" s="192">
        <f t="shared" si="225"/>
        <v>0</v>
      </c>
      <c r="AF577" s="192">
        <f t="shared" si="226"/>
        <v>0</v>
      </c>
      <c r="AG577" s="20">
        <f t="shared" si="220"/>
        <v>0</v>
      </c>
      <c r="AH577" s="20">
        <f t="shared" si="221"/>
        <v>0</v>
      </c>
      <c r="AI577" s="3">
        <f t="shared" si="227"/>
        <v>139467</v>
      </c>
    </row>
    <row r="578" spans="1:37">
      <c r="A578" s="28">
        <v>46234</v>
      </c>
      <c r="B578" s="2">
        <v>139.91666666666666</v>
      </c>
      <c r="C578" s="2">
        <v>435.08333333333331</v>
      </c>
      <c r="D578" s="2">
        <v>67.5</v>
      </c>
      <c r="E578" s="2">
        <v>437.41666666666674</v>
      </c>
      <c r="F578" s="2">
        <v>270.75</v>
      </c>
      <c r="G578" s="2">
        <v>147.91666666666669</v>
      </c>
      <c r="H578" s="2">
        <v>24.5</v>
      </c>
      <c r="I578" s="2">
        <v>1930.0833333333333</v>
      </c>
      <c r="J578" s="2">
        <v>133</v>
      </c>
      <c r="K578" s="2">
        <v>1427.6666666666665</v>
      </c>
      <c r="L578" s="2">
        <v>59.75</v>
      </c>
      <c r="M578" s="2">
        <v>302.16666666666663</v>
      </c>
      <c r="N578" s="107">
        <f t="shared" si="223"/>
        <v>0</v>
      </c>
      <c r="O578" s="7">
        <f t="shared" si="224"/>
        <v>4404</v>
      </c>
      <c r="P578" s="7">
        <f t="shared" si="212"/>
        <v>4404</v>
      </c>
      <c r="Q578" s="7">
        <f t="shared" si="213"/>
        <v>1930.0833333333333</v>
      </c>
      <c r="R578" s="7">
        <f t="shared" si="214"/>
        <v>1427.6666666666665</v>
      </c>
      <c r="S578" s="7">
        <v>4008</v>
      </c>
      <c r="T578" s="7">
        <v>4217</v>
      </c>
      <c r="U578" s="7">
        <v>0</v>
      </c>
      <c r="V578" s="103">
        <v>139121</v>
      </c>
      <c r="W578" s="7">
        <f t="shared" si="169"/>
        <v>135113</v>
      </c>
      <c r="X578" s="103">
        <f t="shared" si="170"/>
        <v>139121</v>
      </c>
      <c r="Y578" s="103"/>
      <c r="Z578" s="2"/>
      <c r="AA578" s="2"/>
      <c r="AB578" s="2"/>
      <c r="AC578" s="78">
        <v>142653</v>
      </c>
      <c r="AD578" s="103">
        <f t="shared" si="217"/>
        <v>139121</v>
      </c>
      <c r="AE578" s="192">
        <f t="shared" si="225"/>
        <v>0</v>
      </c>
      <c r="AF578" s="192">
        <f t="shared" si="226"/>
        <v>0</v>
      </c>
      <c r="AG578" s="20">
        <f t="shared" si="220"/>
        <v>0</v>
      </c>
      <c r="AH578" s="20">
        <f t="shared" si="221"/>
        <v>0</v>
      </c>
      <c r="AI578" s="3">
        <f t="shared" si="227"/>
        <v>142653</v>
      </c>
    </row>
    <row r="579" spans="1:37" ht="16.8">
      <c r="A579" s="28">
        <v>46235</v>
      </c>
      <c r="B579" s="2">
        <v>135.99999999999997</v>
      </c>
      <c r="C579" s="2">
        <v>582.08333333333337</v>
      </c>
      <c r="D579" s="2">
        <v>67.5</v>
      </c>
      <c r="E579" s="2">
        <v>284.25</v>
      </c>
      <c r="F579" s="2">
        <v>217.5</v>
      </c>
      <c r="G579" s="2">
        <v>0</v>
      </c>
      <c r="H579" s="2">
        <v>15</v>
      </c>
      <c r="I579" s="2">
        <v>1810.5833333333333</v>
      </c>
      <c r="J579" s="2">
        <v>104.49999999999999</v>
      </c>
      <c r="K579" s="2">
        <v>1331.5</v>
      </c>
      <c r="L579" s="2">
        <v>59.75</v>
      </c>
      <c r="M579" s="2">
        <v>271.33333333333337</v>
      </c>
      <c r="N579" s="107">
        <f t="shared" si="223"/>
        <v>0</v>
      </c>
      <c r="O579" s="7">
        <f t="shared" si="224"/>
        <v>4249.6666666666661</v>
      </c>
      <c r="P579" s="7">
        <f t="shared" si="212"/>
        <v>4249.6666666666661</v>
      </c>
      <c r="Q579" s="7">
        <f t="shared" si="213"/>
        <v>1810.5833333333333</v>
      </c>
      <c r="R579" s="7">
        <f t="shared" si="214"/>
        <v>1331.5</v>
      </c>
      <c r="S579" s="7">
        <v>2441</v>
      </c>
      <c r="T579" s="7">
        <v>3117</v>
      </c>
      <c r="U579" s="7">
        <v>0</v>
      </c>
      <c r="V579" s="103">
        <v>131146</v>
      </c>
      <c r="W579" s="7">
        <f t="shared" ref="W579:W606" si="228">+V579-U579-S579+AA579</f>
        <v>128705</v>
      </c>
      <c r="X579" s="103">
        <f t="shared" ref="X579:X628" si="229">+V579+AB579+AA579</f>
        <v>131146</v>
      </c>
      <c r="Y579" s="103"/>
      <c r="Z579" s="164"/>
      <c r="AA579" s="164"/>
      <c r="AB579" s="2"/>
      <c r="AC579" s="78">
        <v>96654</v>
      </c>
      <c r="AD579" s="103">
        <f t="shared" si="217"/>
        <v>131146</v>
      </c>
      <c r="AE579" s="192">
        <f t="shared" si="225"/>
        <v>0</v>
      </c>
      <c r="AF579" s="192">
        <f t="shared" si="226"/>
        <v>0</v>
      </c>
      <c r="AG579" s="20">
        <f t="shared" si="220"/>
        <v>0</v>
      </c>
      <c r="AH579" s="20">
        <f t="shared" si="221"/>
        <v>0</v>
      </c>
      <c r="AI579" s="3">
        <f t="shared" si="227"/>
        <v>96654</v>
      </c>
    </row>
    <row r="580" spans="1:37" ht="16.8">
      <c r="A580" s="28">
        <v>46236</v>
      </c>
      <c r="B580"/>
      <c r="C580"/>
      <c r="D580"/>
      <c r="E580"/>
      <c r="F580"/>
      <c r="G580"/>
      <c r="H580"/>
      <c r="I580"/>
      <c r="J580"/>
      <c r="K580"/>
      <c r="L580"/>
      <c r="M580"/>
      <c r="N580" s="107">
        <f t="shared" si="223"/>
        <v>0</v>
      </c>
      <c r="O580" s="7">
        <f t="shared" ref="O580:O587" si="230">+B580+C580+D580+F580+I580+K580+J580</f>
        <v>0</v>
      </c>
      <c r="P580" s="7">
        <f t="shared" si="212"/>
        <v>0</v>
      </c>
      <c r="Q580" s="7">
        <f t="shared" si="213"/>
        <v>0</v>
      </c>
      <c r="R580" s="7">
        <f t="shared" si="214"/>
        <v>0</v>
      </c>
      <c r="T580" s="7"/>
      <c r="U580" s="7">
        <v>0</v>
      </c>
      <c r="V580" s="103"/>
      <c r="W580" s="7">
        <f t="shared" si="228"/>
        <v>0</v>
      </c>
      <c r="X580" s="103">
        <f t="shared" si="229"/>
        <v>0</v>
      </c>
      <c r="Y580" s="103"/>
      <c r="Z580" s="2"/>
      <c r="AA580" s="164"/>
      <c r="AB580" s="2"/>
      <c r="AD580" s="103">
        <f t="shared" si="217"/>
        <v>0</v>
      </c>
      <c r="AE580" s="192"/>
      <c r="AF580" s="192"/>
      <c r="AG580" s="20"/>
      <c r="AH580" s="20"/>
      <c r="AI580" s="3"/>
    </row>
    <row r="581" spans="1:37" s="45" customFormat="1">
      <c r="A581" s="43">
        <v>46237</v>
      </c>
      <c r="B581" s="172">
        <v>195</v>
      </c>
      <c r="C581" s="172">
        <v>338.58333333333331</v>
      </c>
      <c r="D581" s="172">
        <v>82.5</v>
      </c>
      <c r="E581" s="172">
        <v>421.75</v>
      </c>
      <c r="F581" s="172">
        <v>234.16666666666666</v>
      </c>
      <c r="G581" s="172">
        <v>132.58333333333331</v>
      </c>
      <c r="H581" s="172">
        <v>55.5</v>
      </c>
      <c r="I581" s="172">
        <v>1863.5833333333333</v>
      </c>
      <c r="J581" s="172">
        <v>117</v>
      </c>
      <c r="K581" s="172">
        <v>1332.3333333333335</v>
      </c>
      <c r="L581" s="172">
        <v>89.666666666666671</v>
      </c>
      <c r="M581" s="172">
        <v>319.99999999999994</v>
      </c>
      <c r="N581" s="170">
        <f t="shared" si="223"/>
        <v>0</v>
      </c>
      <c r="O581" s="30">
        <f t="shared" si="230"/>
        <v>4163.1666666666661</v>
      </c>
      <c r="P581" s="30">
        <f t="shared" si="212"/>
        <v>4163.1666666666661</v>
      </c>
      <c r="Q581" s="30">
        <f t="shared" si="213"/>
        <v>1863.5833333333333</v>
      </c>
      <c r="R581" s="30">
        <f t="shared" si="214"/>
        <v>1332.3333333333335</v>
      </c>
      <c r="S581" s="30">
        <v>1129</v>
      </c>
      <c r="T581" s="30">
        <v>1799</v>
      </c>
      <c r="U581" s="30">
        <v>0</v>
      </c>
      <c r="V581" s="171">
        <v>133649</v>
      </c>
      <c r="W581" s="30">
        <f t="shared" si="228"/>
        <v>133177</v>
      </c>
      <c r="X581" s="171">
        <f t="shared" si="229"/>
        <v>134306</v>
      </c>
      <c r="Y581" s="171">
        <f>+X581-AB581</f>
        <v>134306</v>
      </c>
      <c r="Z581" s="172"/>
      <c r="AA581" s="171">
        <v>657</v>
      </c>
      <c r="AB581" s="172"/>
      <c r="AC581" s="227">
        <v>130500</v>
      </c>
      <c r="AD581" s="171">
        <f t="shared" si="217"/>
        <v>134306</v>
      </c>
      <c r="AE581" s="228">
        <f t="shared" ref="AE581:AE587" si="231">+(Z581/AC581*0.95)</f>
        <v>0</v>
      </c>
      <c r="AF581" s="228">
        <f t="shared" ref="AF581:AF587" si="232">+(AB581/AD581*0.6)</f>
        <v>0</v>
      </c>
      <c r="AG581" s="175">
        <f t="shared" ref="AG581:AG593" si="233">+AE581*K581</f>
        <v>0</v>
      </c>
      <c r="AH581" s="175">
        <f t="shared" ref="AH581:AH593" si="234">+AF581*I581</f>
        <v>0</v>
      </c>
      <c r="AI581" s="169">
        <f>+AC581-Z581</f>
        <v>130500</v>
      </c>
      <c r="AJ581" s="229">
        <f>+AA581/AD581</f>
        <v>4.8918142152993907E-3</v>
      </c>
      <c r="AK581" s="229"/>
    </row>
    <row r="582" spans="1:37">
      <c r="A582" s="28">
        <v>46238</v>
      </c>
      <c r="B582" s="2">
        <v>225</v>
      </c>
      <c r="C582" s="2">
        <v>337.25</v>
      </c>
      <c r="D582" s="2">
        <v>75</v>
      </c>
      <c r="E582" s="2">
        <v>388.66666666666674</v>
      </c>
      <c r="F582" s="2">
        <v>261</v>
      </c>
      <c r="G582" s="2">
        <v>135.25</v>
      </c>
      <c r="H582" s="2">
        <v>55.5</v>
      </c>
      <c r="I582" s="2">
        <v>1843.5833333333333</v>
      </c>
      <c r="J582" s="2">
        <v>111.08333333333333</v>
      </c>
      <c r="K582" s="2">
        <v>1308.6666666666665</v>
      </c>
      <c r="L582" s="2">
        <v>84.25</v>
      </c>
      <c r="M582" s="2">
        <v>300.66666666666663</v>
      </c>
      <c r="N582" s="107">
        <f t="shared" si="223"/>
        <v>0</v>
      </c>
      <c r="O582" s="7">
        <f t="shared" si="230"/>
        <v>4161.583333333333</v>
      </c>
      <c r="P582" s="7">
        <f t="shared" si="212"/>
        <v>4161.583333333333</v>
      </c>
      <c r="Q582" s="7">
        <f t="shared" si="213"/>
        <v>1843.5833333333333</v>
      </c>
      <c r="R582" s="7">
        <f t="shared" si="214"/>
        <v>1308.6666666666665</v>
      </c>
      <c r="S582" s="7">
        <v>2415</v>
      </c>
      <c r="T582" s="7">
        <v>3802</v>
      </c>
      <c r="U582" s="7">
        <v>0</v>
      </c>
      <c r="V582" s="103">
        <v>117862</v>
      </c>
      <c r="W582" s="7">
        <f t="shared" si="228"/>
        <v>121636</v>
      </c>
      <c r="X582" s="103">
        <f t="shared" si="229"/>
        <v>124051</v>
      </c>
      <c r="Y582" s="103">
        <f t="shared" ref="Y582:Y628" si="235">+X582-AB582</f>
        <v>124051</v>
      </c>
      <c r="Z582" s="2"/>
      <c r="AA582" s="103">
        <v>6189</v>
      </c>
      <c r="AB582" s="2"/>
      <c r="AC582" s="78">
        <v>120146</v>
      </c>
      <c r="AD582" s="103">
        <f t="shared" si="217"/>
        <v>124051</v>
      </c>
      <c r="AE582" s="192">
        <f t="shared" si="231"/>
        <v>0</v>
      </c>
      <c r="AF582" s="192">
        <f t="shared" si="232"/>
        <v>0</v>
      </c>
      <c r="AG582" s="20">
        <f t="shared" si="233"/>
        <v>0</v>
      </c>
      <c r="AH582" s="20">
        <f t="shared" si="234"/>
        <v>0</v>
      </c>
      <c r="AI582" s="3">
        <f t="shared" ref="AI582:AI587" si="236">+AC582-Z582</f>
        <v>120146</v>
      </c>
      <c r="AJ582" s="31">
        <f t="shared" ref="AJ582:AJ601" si="237">+AA582/AD582</f>
        <v>4.9890770731392732E-2</v>
      </c>
      <c r="AK582" s="31"/>
    </row>
    <row r="583" spans="1:37">
      <c r="A583" s="28">
        <v>46239</v>
      </c>
      <c r="B583" s="2">
        <v>217.5</v>
      </c>
      <c r="C583" s="2">
        <v>364.25</v>
      </c>
      <c r="D583" s="2">
        <v>73.583333333333343</v>
      </c>
      <c r="E583" s="2">
        <v>400.58333333333337</v>
      </c>
      <c r="F583" s="2">
        <v>236.75</v>
      </c>
      <c r="G583" s="2">
        <v>126.91666666666667</v>
      </c>
      <c r="H583" s="2">
        <v>44.25</v>
      </c>
      <c r="I583" s="2">
        <v>1943.4166666666667</v>
      </c>
      <c r="J583" s="2">
        <v>113.24999999999999</v>
      </c>
      <c r="K583" s="2">
        <v>1298.3333333333333</v>
      </c>
      <c r="L583" s="2">
        <v>73.916666666666671</v>
      </c>
      <c r="M583" s="2">
        <v>315.83333333333331</v>
      </c>
      <c r="N583" s="107">
        <f t="shared" si="223"/>
        <v>81.084006116722293</v>
      </c>
      <c r="O583" s="7">
        <f t="shared" si="230"/>
        <v>4247.083333333333</v>
      </c>
      <c r="P583" s="7">
        <f t="shared" si="212"/>
        <v>4165.9993272166112</v>
      </c>
      <c r="Q583" s="7">
        <f t="shared" si="213"/>
        <v>1943.4166666666667</v>
      </c>
      <c r="R583" s="7">
        <f t="shared" si="214"/>
        <v>1217.2493272166109</v>
      </c>
      <c r="S583" s="7">
        <v>2581</v>
      </c>
      <c r="T583" s="7">
        <v>3251</v>
      </c>
      <c r="U583" s="7">
        <v>0</v>
      </c>
      <c r="V583" s="103">
        <v>148488</v>
      </c>
      <c r="W583" s="7">
        <f t="shared" si="228"/>
        <v>147041</v>
      </c>
      <c r="X583" s="103">
        <f t="shared" si="229"/>
        <v>149622</v>
      </c>
      <c r="Y583" s="103">
        <f t="shared" si="235"/>
        <v>149622</v>
      </c>
      <c r="Z583" s="2">
        <v>7817</v>
      </c>
      <c r="AA583" s="103">
        <v>1134</v>
      </c>
      <c r="AB583" s="2"/>
      <c r="AC583" s="78">
        <v>118909</v>
      </c>
      <c r="AD583" s="103">
        <f t="shared" si="217"/>
        <v>149622</v>
      </c>
      <c r="AE583" s="192">
        <f t="shared" si="231"/>
        <v>6.2452379550748886E-2</v>
      </c>
      <c r="AF583" s="192">
        <f t="shared" si="232"/>
        <v>0</v>
      </c>
      <c r="AG583" s="20">
        <f t="shared" si="233"/>
        <v>81.084006116722293</v>
      </c>
      <c r="AH583" s="20">
        <f t="shared" si="234"/>
        <v>0</v>
      </c>
      <c r="AI583" s="3">
        <f t="shared" si="236"/>
        <v>111092</v>
      </c>
      <c r="AJ583" s="31">
        <f t="shared" si="237"/>
        <v>7.5790993303123874E-3</v>
      </c>
      <c r="AK583" s="31"/>
    </row>
    <row r="584" spans="1:37">
      <c r="A584" s="28">
        <v>46240</v>
      </c>
      <c r="B584" s="2">
        <v>207.66666666666666</v>
      </c>
      <c r="C584" s="2">
        <v>398.58333333333331</v>
      </c>
      <c r="D584" s="2">
        <v>84.666666666666657</v>
      </c>
      <c r="E584" s="2">
        <v>402.41666666666674</v>
      </c>
      <c r="F584" s="2">
        <v>263.16666666666663</v>
      </c>
      <c r="G584" s="2">
        <v>134.41666666666666</v>
      </c>
      <c r="H584" s="2">
        <v>39.5</v>
      </c>
      <c r="I584" s="2">
        <v>1913.25</v>
      </c>
      <c r="J584" s="2">
        <v>97.5</v>
      </c>
      <c r="K584" s="2">
        <v>1359.75</v>
      </c>
      <c r="L584" s="2">
        <v>93</v>
      </c>
      <c r="M584" s="2">
        <v>314.41666666666669</v>
      </c>
      <c r="N584" s="107">
        <f t="shared" si="223"/>
        <v>200.45807119083551</v>
      </c>
      <c r="O584" s="7">
        <f t="shared" si="230"/>
        <v>4324.583333333333</v>
      </c>
      <c r="P584" s="7">
        <f t="shared" si="212"/>
        <v>4124.1252621424974</v>
      </c>
      <c r="Q584" s="7">
        <f t="shared" si="213"/>
        <v>1859.9596101637262</v>
      </c>
      <c r="R584" s="7">
        <f t="shared" si="214"/>
        <v>1212.5823186454384</v>
      </c>
      <c r="S584" s="7">
        <v>1451</v>
      </c>
      <c r="T584" s="7">
        <v>1583</v>
      </c>
      <c r="U584" s="7">
        <v>0</v>
      </c>
      <c r="V584" s="103">
        <v>148575</v>
      </c>
      <c r="W584" s="7">
        <f t="shared" si="228"/>
        <v>147125</v>
      </c>
      <c r="X584" s="103">
        <f t="shared" si="229"/>
        <v>155809</v>
      </c>
      <c r="Y584" s="103">
        <f t="shared" si="235"/>
        <v>148576</v>
      </c>
      <c r="Z584" s="2">
        <v>14934</v>
      </c>
      <c r="AA584" s="103">
        <v>1</v>
      </c>
      <c r="AB584" s="2">
        <v>7233</v>
      </c>
      <c r="AC584" s="78">
        <v>131083</v>
      </c>
      <c r="AD584" s="103">
        <f t="shared" si="217"/>
        <v>155809</v>
      </c>
      <c r="AE584" s="192">
        <f t="shared" si="231"/>
        <v>0.10823142589046635</v>
      </c>
      <c r="AF584" s="192">
        <f t="shared" si="232"/>
        <v>2.7853333247758471E-2</v>
      </c>
      <c r="AG584" s="20">
        <f t="shared" si="233"/>
        <v>147.16768135456161</v>
      </c>
      <c r="AH584" s="20">
        <f t="shared" si="234"/>
        <v>53.290389836273896</v>
      </c>
      <c r="AI584" s="3">
        <f t="shared" si="236"/>
        <v>116149</v>
      </c>
      <c r="AJ584" s="31">
        <f t="shared" si="237"/>
        <v>6.4181144863262075E-6</v>
      </c>
      <c r="AK584" s="31"/>
    </row>
    <row r="585" spans="1:37">
      <c r="A585" s="28">
        <v>46241</v>
      </c>
      <c r="B585" s="2">
        <v>209.25</v>
      </c>
      <c r="C585" s="2">
        <v>381.66666666666669</v>
      </c>
      <c r="D585" s="2">
        <v>85.25</v>
      </c>
      <c r="E585" s="2">
        <v>356.75</v>
      </c>
      <c r="F585" s="2">
        <v>324</v>
      </c>
      <c r="G585" s="2">
        <v>114.91666666666667</v>
      </c>
      <c r="H585" s="2">
        <v>57.25</v>
      </c>
      <c r="I585" s="2">
        <v>1798.1666666666665</v>
      </c>
      <c r="J585" s="2">
        <v>117</v>
      </c>
      <c r="K585" s="2">
        <v>1286.25</v>
      </c>
      <c r="L585" s="2">
        <v>70.5</v>
      </c>
      <c r="M585" s="2">
        <v>294.16666666666674</v>
      </c>
      <c r="N585" s="107">
        <f t="shared" si="223"/>
        <v>134.57560771350535</v>
      </c>
      <c r="O585" s="7">
        <f t="shared" si="230"/>
        <v>4201.583333333333</v>
      </c>
      <c r="P585" s="7">
        <f t="shared" si="212"/>
        <v>4067.0077256198283</v>
      </c>
      <c r="Q585" s="7">
        <f t="shared" si="213"/>
        <v>1688.2988088881586</v>
      </c>
      <c r="R585" s="7">
        <f t="shared" si="214"/>
        <v>1261.5422500650027</v>
      </c>
      <c r="S585" s="7">
        <v>6868</v>
      </c>
      <c r="T585" s="7">
        <v>8217</v>
      </c>
      <c r="U585" s="7">
        <v>0</v>
      </c>
      <c r="V585" s="103">
        <v>127315</v>
      </c>
      <c r="W585" s="7">
        <f t="shared" si="228"/>
        <v>124338</v>
      </c>
      <c r="X585" s="103">
        <f t="shared" si="229"/>
        <v>146082</v>
      </c>
      <c r="Y585" s="103">
        <f t="shared" si="235"/>
        <v>131206</v>
      </c>
      <c r="Z585" s="2">
        <v>2333</v>
      </c>
      <c r="AA585" s="103">
        <v>3891</v>
      </c>
      <c r="AB585" s="2">
        <v>14876</v>
      </c>
      <c r="AC585" s="78">
        <v>115380</v>
      </c>
      <c r="AD585" s="103">
        <f t="shared" si="217"/>
        <v>146082</v>
      </c>
      <c r="AE585" s="192">
        <f t="shared" si="231"/>
        <v>1.9209135032067948E-2</v>
      </c>
      <c r="AF585" s="192">
        <f t="shared" si="232"/>
        <v>6.1099930176202404E-2</v>
      </c>
      <c r="AG585" s="20">
        <f t="shared" si="233"/>
        <v>24.707749934997398</v>
      </c>
      <c r="AH585" s="20">
        <f t="shared" si="234"/>
        <v>109.86785777850794</v>
      </c>
      <c r="AI585" s="3">
        <f t="shared" si="236"/>
        <v>113047</v>
      </c>
      <c r="AJ585" s="31">
        <f t="shared" si="237"/>
        <v>2.6635725140674416E-2</v>
      </c>
      <c r="AK585" s="31"/>
    </row>
    <row r="586" spans="1:37">
      <c r="A586" s="28">
        <v>46242</v>
      </c>
      <c r="B586" s="2">
        <v>202.5</v>
      </c>
      <c r="C586" s="2">
        <v>358.33333333333337</v>
      </c>
      <c r="D586" s="2">
        <v>70.5</v>
      </c>
      <c r="E586" s="2">
        <v>236.66666666666669</v>
      </c>
      <c r="F586" s="2">
        <v>223.5</v>
      </c>
      <c r="G586" s="2">
        <v>0</v>
      </c>
      <c r="H586" s="2">
        <v>22.5</v>
      </c>
      <c r="I586" s="2">
        <v>1835.4166666666667</v>
      </c>
      <c r="J586" s="2">
        <v>82.5</v>
      </c>
      <c r="K586" s="2">
        <v>1268.2499999999998</v>
      </c>
      <c r="L586" s="2">
        <v>60</v>
      </c>
      <c r="M586" s="2">
        <v>249</v>
      </c>
      <c r="N586" s="107">
        <f t="shared" si="223"/>
        <v>0</v>
      </c>
      <c r="O586" s="7">
        <f t="shared" si="230"/>
        <v>4041</v>
      </c>
      <c r="P586" s="7">
        <f t="shared" si="212"/>
        <v>4041</v>
      </c>
      <c r="Q586" s="7">
        <f t="shared" si="213"/>
        <v>1835.4166666666667</v>
      </c>
      <c r="R586" s="7">
        <f t="shared" si="214"/>
        <v>1268.2499999999998</v>
      </c>
      <c r="S586" s="7">
        <v>2254</v>
      </c>
      <c r="T586" s="7">
        <v>3319</v>
      </c>
      <c r="U586" s="7">
        <v>0</v>
      </c>
      <c r="V586" s="103">
        <v>145319</v>
      </c>
      <c r="W586" s="7">
        <f t="shared" si="228"/>
        <v>147369</v>
      </c>
      <c r="X586" s="103">
        <f t="shared" si="229"/>
        <v>149623</v>
      </c>
      <c r="Y586" s="103">
        <f t="shared" si="235"/>
        <v>149623</v>
      </c>
      <c r="Z586" s="2"/>
      <c r="AA586" s="103">
        <v>4304</v>
      </c>
      <c r="AB586" s="2"/>
      <c r="AC586" s="78">
        <v>117434</v>
      </c>
      <c r="AD586" s="103">
        <f t="shared" si="217"/>
        <v>149623</v>
      </c>
      <c r="AE586" s="192">
        <f t="shared" si="231"/>
        <v>0</v>
      </c>
      <c r="AF586" s="192">
        <f t="shared" si="232"/>
        <v>0</v>
      </c>
      <c r="AG586" s="20">
        <f t="shared" si="233"/>
        <v>0</v>
      </c>
      <c r="AH586" s="20">
        <f t="shared" si="234"/>
        <v>0</v>
      </c>
      <c r="AI586" s="3">
        <f t="shared" si="236"/>
        <v>117434</v>
      </c>
      <c r="AJ586" s="31">
        <f t="shared" si="237"/>
        <v>2.8765630952460517E-2</v>
      </c>
      <c r="AK586" s="31"/>
    </row>
    <row r="587" spans="1:37">
      <c r="A587" s="28">
        <v>46243</v>
      </c>
      <c r="B587" s="2">
        <v>150</v>
      </c>
      <c r="C587" s="2">
        <v>150</v>
      </c>
      <c r="D587" s="2">
        <v>67.166666666666657</v>
      </c>
      <c r="E587" s="2">
        <v>45</v>
      </c>
      <c r="F587" s="2">
        <v>186.83333333333334</v>
      </c>
      <c r="G587" s="2">
        <v>0</v>
      </c>
      <c r="H587" s="2">
        <v>22.5</v>
      </c>
      <c r="I587" s="2">
        <v>1418.2500000000002</v>
      </c>
      <c r="J587" s="2">
        <v>90</v>
      </c>
      <c r="K587" s="2">
        <v>1059.25</v>
      </c>
      <c r="L587" s="2">
        <v>34.5</v>
      </c>
      <c r="M587" s="2">
        <v>238.33333333333334</v>
      </c>
      <c r="N587" s="107">
        <f t="shared" si="223"/>
        <v>0</v>
      </c>
      <c r="O587" s="7">
        <f t="shared" si="230"/>
        <v>3121.5</v>
      </c>
      <c r="P587" s="7">
        <f t="shared" si="212"/>
        <v>3121.5</v>
      </c>
      <c r="Q587" s="7">
        <f t="shared" si="213"/>
        <v>1418.2500000000002</v>
      </c>
      <c r="R587" s="7">
        <f t="shared" si="214"/>
        <v>1059.25</v>
      </c>
      <c r="S587" s="7">
        <v>725</v>
      </c>
      <c r="T587" s="7">
        <v>1141</v>
      </c>
      <c r="U587" s="7">
        <v>0</v>
      </c>
      <c r="V587" s="103">
        <v>120912</v>
      </c>
      <c r="W587" s="7">
        <f t="shared" si="228"/>
        <v>120187</v>
      </c>
      <c r="X587" s="103">
        <f t="shared" si="229"/>
        <v>120912</v>
      </c>
      <c r="Y587" s="103">
        <f t="shared" si="235"/>
        <v>120912</v>
      </c>
      <c r="Z587" s="2"/>
      <c r="AA587" s="103"/>
      <c r="AB587" s="2"/>
      <c r="AC587" s="78">
        <v>102790</v>
      </c>
      <c r="AD587" s="103">
        <f t="shared" si="217"/>
        <v>120912</v>
      </c>
      <c r="AE587" s="192">
        <f t="shared" si="231"/>
        <v>0</v>
      </c>
      <c r="AF587" s="192">
        <f t="shared" si="232"/>
        <v>0</v>
      </c>
      <c r="AG587" s="20">
        <f t="shared" si="233"/>
        <v>0</v>
      </c>
      <c r="AH587" s="20">
        <f t="shared" si="234"/>
        <v>0</v>
      </c>
      <c r="AI587" s="3">
        <f t="shared" si="236"/>
        <v>102790</v>
      </c>
      <c r="AJ587" s="31">
        <f t="shared" si="237"/>
        <v>0</v>
      </c>
      <c r="AK587" s="31"/>
    </row>
    <row r="588" spans="1:37">
      <c r="A588" s="28">
        <v>46244</v>
      </c>
      <c r="B588" s="2">
        <v>225</v>
      </c>
      <c r="C588" s="2">
        <v>189</v>
      </c>
      <c r="D588" s="2">
        <v>67.5</v>
      </c>
      <c r="E588" s="2">
        <v>385.66666666666669</v>
      </c>
      <c r="F588" s="2">
        <v>278.25</v>
      </c>
      <c r="G588" s="2">
        <v>67.75</v>
      </c>
      <c r="H588" s="2">
        <v>44.416666666666664</v>
      </c>
      <c r="I588" s="2">
        <v>1921.1666666666667</v>
      </c>
      <c r="J588" s="2">
        <v>110.25</v>
      </c>
      <c r="K588" s="2">
        <v>1550.8333333333335</v>
      </c>
      <c r="L588" s="2">
        <v>70.5</v>
      </c>
      <c r="M588" s="2">
        <v>294.25</v>
      </c>
      <c r="N588" s="107">
        <f t="shared" ref="N588:N622" si="238">+AH588+AG588</f>
        <v>200.16744849407132</v>
      </c>
      <c r="O588" s="7">
        <f>+B588+C588+D588+F588+I588+K588+J588</f>
        <v>4342</v>
      </c>
      <c r="P588" s="7">
        <f t="shared" si="212"/>
        <v>4141.8325515059296</v>
      </c>
      <c r="Q588" s="7">
        <f t="shared" si="213"/>
        <v>1921.1666666666667</v>
      </c>
      <c r="R588" s="7">
        <f t="shared" si="214"/>
        <v>1350.6658848392622</v>
      </c>
      <c r="S588" s="7">
        <v>5623</v>
      </c>
      <c r="T588" s="7">
        <v>5650</v>
      </c>
      <c r="U588" s="7">
        <v>0</v>
      </c>
      <c r="V588" s="103">
        <v>126148</v>
      </c>
      <c r="W588" s="7">
        <f t="shared" si="228"/>
        <v>128815</v>
      </c>
      <c r="X588" s="103">
        <f>+V588+AB588+AA588</f>
        <v>134438</v>
      </c>
      <c r="Y588" s="103">
        <f>+X588-AB588</f>
        <v>134438</v>
      </c>
      <c r="Z588" s="2">
        <v>19731</v>
      </c>
      <c r="AA588" s="103">
        <v>8290</v>
      </c>
      <c r="AB588" s="103"/>
      <c r="AC588" s="78">
        <v>145226</v>
      </c>
      <c r="AD588" s="103">
        <f t="shared" si="217"/>
        <v>134438</v>
      </c>
      <c r="AE588" s="192">
        <f t="shared" ref="AE588:AE593" si="239">+(Z588/AC588*0.95)</f>
        <v>0.12907089639596214</v>
      </c>
      <c r="AF588" s="192">
        <f t="shared" ref="AF588:AF593" si="240">+(AB588/AD588*0.6)</f>
        <v>0</v>
      </c>
      <c r="AG588" s="20">
        <f t="shared" si="233"/>
        <v>200.16744849407132</v>
      </c>
      <c r="AH588" s="20">
        <f t="shared" si="234"/>
        <v>0</v>
      </c>
      <c r="AI588" s="3">
        <f t="shared" ref="AI588:AI593" si="241">+AC588-Z588</f>
        <v>125495</v>
      </c>
      <c r="AJ588" s="31">
        <f t="shared" si="237"/>
        <v>6.166411282524286E-2</v>
      </c>
      <c r="AK588" s="31"/>
    </row>
    <row r="589" spans="1:37">
      <c r="A589" s="28">
        <v>46245</v>
      </c>
      <c r="B589" s="2">
        <v>223.75000000000003</v>
      </c>
      <c r="C589" s="2">
        <v>368.16666666666663</v>
      </c>
      <c r="D589" s="2">
        <v>67.5</v>
      </c>
      <c r="E589" s="2">
        <v>437.08333333333331</v>
      </c>
      <c r="F589" s="2">
        <v>233.66666666666669</v>
      </c>
      <c r="G589" s="2">
        <v>63.249999999999993</v>
      </c>
      <c r="H589" s="2">
        <v>44.583333333333336</v>
      </c>
      <c r="I589" s="2">
        <v>2092.833333333333</v>
      </c>
      <c r="J589" s="2">
        <v>110.5</v>
      </c>
      <c r="K589" s="2">
        <v>1520.5</v>
      </c>
      <c r="L589" s="2">
        <v>54.5</v>
      </c>
      <c r="M589" s="2">
        <v>298.08333333333337</v>
      </c>
      <c r="N589" s="107">
        <f t="shared" si="238"/>
        <v>181.96897459368998</v>
      </c>
      <c r="O589" s="7">
        <f t="shared" ref="O589:O601" si="242">+B589+C589+D589+F589+I589+K589+J589</f>
        <v>4616.9166666666661</v>
      </c>
      <c r="P589" s="7">
        <f t="shared" si="212"/>
        <v>4434.9476920729758</v>
      </c>
      <c r="Q589" s="7">
        <f t="shared" si="213"/>
        <v>2012.9409644643229</v>
      </c>
      <c r="R589" s="7">
        <f t="shared" si="214"/>
        <v>1418.4233942753203</v>
      </c>
      <c r="S589" s="7">
        <v>48</v>
      </c>
      <c r="T589" s="7">
        <v>1123</v>
      </c>
      <c r="U589" s="7">
        <v>0</v>
      </c>
      <c r="V589" s="103">
        <v>129469</v>
      </c>
      <c r="W589" s="7">
        <f>+V589-U589-S589+AA589</f>
        <v>135823</v>
      </c>
      <c r="X589" s="103">
        <f>+V589+AB589+AA589</f>
        <v>145103</v>
      </c>
      <c r="Y589" s="103">
        <f t="shared" si="235"/>
        <v>135871</v>
      </c>
      <c r="Z589" s="2">
        <v>9868</v>
      </c>
      <c r="AA589" s="103">
        <v>6402</v>
      </c>
      <c r="AB589" s="103">
        <v>9232</v>
      </c>
      <c r="AC589" s="78">
        <v>139641</v>
      </c>
      <c r="AD589" s="103">
        <f t="shared" si="217"/>
        <v>145103</v>
      </c>
      <c r="AE589" s="192">
        <f t="shared" si="239"/>
        <v>6.7133578247076428E-2</v>
      </c>
      <c r="AF589" s="192">
        <f t="shared" si="240"/>
        <v>3.8174262420487513E-2</v>
      </c>
      <c r="AG589" s="20">
        <f t="shared" si="233"/>
        <v>102.07660572467971</v>
      </c>
      <c r="AH589" s="20">
        <f t="shared" si="234"/>
        <v>79.892368869010269</v>
      </c>
      <c r="AI589" s="3">
        <f t="shared" si="241"/>
        <v>129773</v>
      </c>
      <c r="AJ589" s="31">
        <f t="shared" si="237"/>
        <v>4.4120383451754959E-2</v>
      </c>
      <c r="AK589" s="31"/>
    </row>
    <row r="590" spans="1:37">
      <c r="A590" s="28">
        <v>46246</v>
      </c>
      <c r="B590" s="2">
        <v>202.5</v>
      </c>
      <c r="C590" s="2">
        <v>508.58333333333326</v>
      </c>
      <c r="D590" s="2">
        <v>67.5</v>
      </c>
      <c r="E590" s="2">
        <v>444.66666666666663</v>
      </c>
      <c r="F590" s="2">
        <v>241.5</v>
      </c>
      <c r="G590" s="2">
        <v>68</v>
      </c>
      <c r="H590" s="2">
        <v>48</v>
      </c>
      <c r="I590" s="2">
        <v>2138.25</v>
      </c>
      <c r="J590" s="2">
        <v>88</v>
      </c>
      <c r="K590" s="2">
        <v>1708.3333333333333</v>
      </c>
      <c r="L590" s="2">
        <v>48</v>
      </c>
      <c r="M590" s="2">
        <v>274</v>
      </c>
      <c r="N590" s="107">
        <f t="shared" si="238"/>
        <v>288.74234763586946</v>
      </c>
      <c r="O590" s="7">
        <f t="shared" si="242"/>
        <v>4954.6666666666661</v>
      </c>
      <c r="P590" s="7">
        <f t="shared" si="212"/>
        <v>4665.9243190307971</v>
      </c>
      <c r="Q590" s="7">
        <f t="shared" si="213"/>
        <v>2061.1855667731375</v>
      </c>
      <c r="R590" s="7">
        <f t="shared" si="214"/>
        <v>1496.6554189243263</v>
      </c>
      <c r="S590" s="7">
        <v>1255</v>
      </c>
      <c r="T590" s="7">
        <v>1336</v>
      </c>
      <c r="U590" s="7">
        <v>0</v>
      </c>
      <c r="V590" s="103">
        <v>134757</v>
      </c>
      <c r="W590" s="7">
        <f>+V590-U590-S590+AA590</f>
        <v>139700</v>
      </c>
      <c r="X590" s="103">
        <f t="shared" si="229"/>
        <v>149963</v>
      </c>
      <c r="Y590" s="103">
        <f t="shared" si="235"/>
        <v>140955</v>
      </c>
      <c r="Z590" s="2">
        <v>20100</v>
      </c>
      <c r="AA590" s="103">
        <v>6198</v>
      </c>
      <c r="AB590" s="103">
        <v>9008</v>
      </c>
      <c r="AC590" s="78">
        <v>154105</v>
      </c>
      <c r="AD590" s="103">
        <f t="shared" si="217"/>
        <v>149963</v>
      </c>
      <c r="AE590" s="192">
        <f t="shared" si="239"/>
        <v>0.12390902306868692</v>
      </c>
      <c r="AF590" s="192">
        <f t="shared" si="240"/>
        <v>3.6040890086221265E-2</v>
      </c>
      <c r="AG590" s="20">
        <f t="shared" si="233"/>
        <v>211.67791440900683</v>
      </c>
      <c r="AH590" s="20">
        <f t="shared" si="234"/>
        <v>77.064433226862619</v>
      </c>
      <c r="AI590" s="3">
        <f t="shared" si="241"/>
        <v>134005</v>
      </c>
      <c r="AJ590" s="31">
        <f t="shared" si="237"/>
        <v>4.1330194781379406E-2</v>
      </c>
      <c r="AK590" s="31"/>
    </row>
    <row r="591" spans="1:37">
      <c r="A591" s="28">
        <v>46247</v>
      </c>
      <c r="B591" s="2">
        <v>202.5</v>
      </c>
      <c r="C591" s="2">
        <v>469.66666666666669</v>
      </c>
      <c r="D591" s="2">
        <v>67.5</v>
      </c>
      <c r="E591" s="2">
        <v>427.00000000000006</v>
      </c>
      <c r="F591" s="2">
        <v>363.83333333333337</v>
      </c>
      <c r="G591" s="2">
        <v>68</v>
      </c>
      <c r="H591" s="2">
        <v>48</v>
      </c>
      <c r="I591" s="2">
        <v>2150.8333333333335</v>
      </c>
      <c r="J591" s="2">
        <v>95.5</v>
      </c>
      <c r="K591" s="2">
        <v>1820.1666666666667</v>
      </c>
      <c r="L591" s="2">
        <v>61</v>
      </c>
      <c r="M591" s="2">
        <v>274.5</v>
      </c>
      <c r="N591" s="107">
        <f t="shared" si="238"/>
        <v>27.531357150668715</v>
      </c>
      <c r="O591" s="7">
        <f t="shared" si="242"/>
        <v>5170</v>
      </c>
      <c r="P591" s="7">
        <f t="shared" si="212"/>
        <v>5142.4686428493314</v>
      </c>
      <c r="Q591" s="7">
        <f t="shared" si="213"/>
        <v>2150.8333333333335</v>
      </c>
      <c r="R591" s="7">
        <f t="shared" si="214"/>
        <v>1792.635309515998</v>
      </c>
      <c r="S591" s="7">
        <v>8276</v>
      </c>
      <c r="T591" s="7">
        <v>8589</v>
      </c>
      <c r="U591" s="7">
        <v>0</v>
      </c>
      <c r="V591" s="103">
        <v>175906</v>
      </c>
      <c r="W591" s="7">
        <f t="shared" si="228"/>
        <v>170366</v>
      </c>
      <c r="X591" s="103">
        <f>+V591+AB591+AA591</f>
        <v>178642</v>
      </c>
      <c r="Y591" s="103">
        <f>+X591-AB591</f>
        <v>178642</v>
      </c>
      <c r="Z591" s="2">
        <v>2475</v>
      </c>
      <c r="AA591" s="103">
        <v>2736</v>
      </c>
      <c r="AB591" s="103"/>
      <c r="AC591" s="78">
        <v>155447</v>
      </c>
      <c r="AD591" s="103">
        <f t="shared" si="217"/>
        <v>178642</v>
      </c>
      <c r="AE591" s="192">
        <f t="shared" si="239"/>
        <v>1.51257341730622E-2</v>
      </c>
      <c r="AF591" s="192">
        <f>+(AB591/AD591*0.6)</f>
        <v>0</v>
      </c>
      <c r="AG591" s="20">
        <f t="shared" si="233"/>
        <v>27.531357150668715</v>
      </c>
      <c r="AH591" s="20">
        <f t="shared" si="234"/>
        <v>0</v>
      </c>
      <c r="AI591" s="3">
        <f t="shared" si="241"/>
        <v>152972</v>
      </c>
      <c r="AJ591" s="31">
        <f t="shared" si="237"/>
        <v>1.5315547295708736E-2</v>
      </c>
      <c r="AK591" s="31"/>
    </row>
    <row r="592" spans="1:37">
      <c r="A592" s="28">
        <v>46248</v>
      </c>
      <c r="B592" s="2">
        <v>217.5</v>
      </c>
      <c r="C592" s="2">
        <v>365.75</v>
      </c>
      <c r="D592" s="2">
        <v>67.5</v>
      </c>
      <c r="E592" s="2">
        <v>439.16666666666663</v>
      </c>
      <c r="F592" s="2">
        <v>394.75</v>
      </c>
      <c r="G592" s="2">
        <v>55.666666666666664</v>
      </c>
      <c r="H592" s="2">
        <v>48</v>
      </c>
      <c r="I592" s="2">
        <v>2119</v>
      </c>
      <c r="J592" s="2">
        <v>100</v>
      </c>
      <c r="K592" s="2">
        <v>2207.75</v>
      </c>
      <c r="L592" s="2">
        <v>47</v>
      </c>
      <c r="M592" s="2">
        <v>252.24999999999997</v>
      </c>
      <c r="N592" s="107">
        <f t="shared" si="238"/>
        <v>73.555272842601624</v>
      </c>
      <c r="O592" s="7">
        <f t="shared" si="242"/>
        <v>5472.25</v>
      </c>
      <c r="P592" s="7">
        <f t="shared" si="212"/>
        <v>5398.6947271573981</v>
      </c>
      <c r="Q592" s="7">
        <f t="shared" si="213"/>
        <v>2045.4447271573983</v>
      </c>
      <c r="R592" s="7">
        <f t="shared" si="214"/>
        <v>2207.75</v>
      </c>
      <c r="S592" s="7">
        <v>6948</v>
      </c>
      <c r="T592" s="7">
        <v>7291</v>
      </c>
      <c r="U592" s="7">
        <v>0</v>
      </c>
      <c r="V592" s="103">
        <v>150848</v>
      </c>
      <c r="W592" s="7">
        <f t="shared" si="228"/>
        <v>150495</v>
      </c>
      <c r="X592" s="103">
        <f>+V592+AB592+AA592</f>
        <v>167111</v>
      </c>
      <c r="Y592" s="103">
        <f>+X592-AB592</f>
        <v>157443</v>
      </c>
      <c r="Z592" s="2"/>
      <c r="AA592" s="103">
        <v>6595</v>
      </c>
      <c r="AB592" s="103">
        <v>9668</v>
      </c>
      <c r="AC592" s="78">
        <v>175241</v>
      </c>
      <c r="AD592" s="103">
        <f t="shared" si="217"/>
        <v>167111</v>
      </c>
      <c r="AE592" s="192">
        <f t="shared" si="239"/>
        <v>0</v>
      </c>
      <c r="AF592" s="192">
        <f>+(AB592/AD592*0.6)</f>
        <v>3.4712257122511386E-2</v>
      </c>
      <c r="AG592" s="20">
        <f t="shared" si="233"/>
        <v>0</v>
      </c>
      <c r="AH592" s="20">
        <f t="shared" si="234"/>
        <v>73.555272842601624</v>
      </c>
      <c r="AI592" s="3">
        <f>+AC592-Z592</f>
        <v>175241</v>
      </c>
      <c r="AJ592" s="31">
        <f t="shared" si="237"/>
        <v>3.9464786878182764E-2</v>
      </c>
      <c r="AK592" s="31"/>
    </row>
    <row r="593" spans="1:37">
      <c r="A593" s="28">
        <v>46249</v>
      </c>
      <c r="B593" s="2">
        <v>210</v>
      </c>
      <c r="C593" s="2">
        <v>416.75</v>
      </c>
      <c r="D593" s="2">
        <v>60</v>
      </c>
      <c r="E593" s="2">
        <v>343.41666666666669</v>
      </c>
      <c r="F593" s="2">
        <v>433.75</v>
      </c>
      <c r="G593" s="2">
        <v>0</v>
      </c>
      <c r="H593" s="2">
        <v>22.5</v>
      </c>
      <c r="I593" s="2">
        <v>1891.5</v>
      </c>
      <c r="J593" s="2">
        <v>82.5</v>
      </c>
      <c r="K593" s="2">
        <v>1966.6666666666667</v>
      </c>
      <c r="L593" s="2">
        <v>7.5</v>
      </c>
      <c r="M593" s="2">
        <v>214.41666666666666</v>
      </c>
      <c r="N593" s="107">
        <f t="shared" si="238"/>
        <v>0</v>
      </c>
      <c r="O593" s="7">
        <f t="shared" si="242"/>
        <v>5061.166666666667</v>
      </c>
      <c r="P593" s="7">
        <f t="shared" si="212"/>
        <v>5061.166666666667</v>
      </c>
      <c r="Q593" s="7">
        <f t="shared" si="213"/>
        <v>1891.5</v>
      </c>
      <c r="R593" s="7">
        <f t="shared" si="214"/>
        <v>1966.6666666666667</v>
      </c>
      <c r="S593" s="7">
        <v>7174</v>
      </c>
      <c r="T593" s="7">
        <v>7896</v>
      </c>
      <c r="U593" s="7">
        <v>0</v>
      </c>
      <c r="V593" s="103">
        <v>150983</v>
      </c>
      <c r="W593" s="7">
        <f t="shared" si="228"/>
        <v>152560</v>
      </c>
      <c r="X593" s="103">
        <f t="shared" si="229"/>
        <v>159734</v>
      </c>
      <c r="Y593" s="103">
        <f t="shared" si="235"/>
        <v>159734</v>
      </c>
      <c r="Z593" s="2"/>
      <c r="AA593" s="103">
        <v>8751</v>
      </c>
      <c r="AB593" s="103"/>
      <c r="AC593" s="78">
        <v>165762</v>
      </c>
      <c r="AD593" s="103">
        <f t="shared" si="217"/>
        <v>159734</v>
      </c>
      <c r="AE593" s="192">
        <f t="shared" si="239"/>
        <v>0</v>
      </c>
      <c r="AF593" s="192">
        <f t="shared" si="240"/>
        <v>0</v>
      </c>
      <c r="AG593" s="20">
        <f t="shared" si="233"/>
        <v>0</v>
      </c>
      <c r="AH593" s="20">
        <f t="shared" si="234"/>
        <v>0</v>
      </c>
      <c r="AI593" s="3">
        <f t="shared" si="241"/>
        <v>165762</v>
      </c>
      <c r="AJ593" s="31">
        <f t="shared" si="237"/>
        <v>5.478482977950843E-2</v>
      </c>
      <c r="AK593" s="31"/>
    </row>
    <row r="594" spans="1:37">
      <c r="A594" s="28">
        <v>46250</v>
      </c>
      <c r="B594"/>
      <c r="C594"/>
      <c r="D594"/>
      <c r="E594"/>
      <c r="F594"/>
      <c r="G594"/>
      <c r="H594"/>
      <c r="I594"/>
      <c r="J594"/>
      <c r="K594"/>
      <c r="L594"/>
      <c r="M594"/>
      <c r="N594" s="107">
        <f t="shared" si="238"/>
        <v>0</v>
      </c>
      <c r="O594" s="7">
        <f t="shared" si="242"/>
        <v>0</v>
      </c>
      <c r="P594" s="7">
        <f t="shared" si="212"/>
        <v>0</v>
      </c>
      <c r="Q594" s="7">
        <f t="shared" si="213"/>
        <v>0</v>
      </c>
      <c r="R594" s="7">
        <f t="shared" si="214"/>
        <v>0</v>
      </c>
      <c r="T594" s="7"/>
      <c r="U594" s="7"/>
      <c r="V594" s="103"/>
      <c r="W594" s="7">
        <f t="shared" si="228"/>
        <v>0</v>
      </c>
      <c r="X594" s="103">
        <f t="shared" si="229"/>
        <v>0</v>
      </c>
      <c r="Y594" s="103">
        <f t="shared" si="235"/>
        <v>0</v>
      </c>
      <c r="Z594" s="2"/>
      <c r="AA594" s="103"/>
      <c r="AB594" s="103"/>
      <c r="AD594" s="103"/>
      <c r="AE594" s="192"/>
      <c r="AF594" s="192"/>
      <c r="AG594" s="20"/>
      <c r="AH594" s="20"/>
      <c r="AI594" s="3"/>
      <c r="AJ594" s="31"/>
      <c r="AK594" s="31"/>
    </row>
    <row r="595" spans="1:37">
      <c r="A595" s="28">
        <v>46251</v>
      </c>
      <c r="B595" s="3">
        <v>195</v>
      </c>
      <c r="C595" s="3">
        <v>270</v>
      </c>
      <c r="D595" s="3">
        <v>67.5</v>
      </c>
      <c r="E595" s="3">
        <v>491.33333333333331</v>
      </c>
      <c r="F595" s="3">
        <v>331.5</v>
      </c>
      <c r="G595" s="3">
        <v>118.5</v>
      </c>
      <c r="H595" s="3">
        <v>39.5</v>
      </c>
      <c r="I595" s="3">
        <v>2291.9166666666665</v>
      </c>
      <c r="J595" s="3">
        <v>208</v>
      </c>
      <c r="K595" s="3">
        <v>2109.166666666667</v>
      </c>
      <c r="L595" s="3">
        <v>103.5</v>
      </c>
      <c r="M595" s="3">
        <v>238.83333333333331</v>
      </c>
      <c r="N595" s="107">
        <f t="shared" si="238"/>
        <v>349.69048757384473</v>
      </c>
      <c r="O595" s="7">
        <f t="shared" si="242"/>
        <v>5473.0833333333339</v>
      </c>
      <c r="P595" s="7">
        <f t="shared" si="212"/>
        <v>5123.3928457594884</v>
      </c>
      <c r="Q595" s="7">
        <f t="shared" si="213"/>
        <v>2074.9003621375887</v>
      </c>
      <c r="R595" s="7">
        <f t="shared" si="214"/>
        <v>1976.4924836219002</v>
      </c>
      <c r="S595" s="7">
        <v>5534</v>
      </c>
      <c r="T595" s="7">
        <v>6152</v>
      </c>
      <c r="U595" s="7">
        <v>0</v>
      </c>
      <c r="V595" s="103">
        <v>165877</v>
      </c>
      <c r="W595" s="7">
        <f>+V595-U595-S595+AA595</f>
        <v>161134</v>
      </c>
      <c r="X595" s="103">
        <f t="shared" si="229"/>
        <v>197899</v>
      </c>
      <c r="Y595" s="103">
        <f t="shared" si="235"/>
        <v>166668</v>
      </c>
      <c r="Z595" s="2">
        <v>12452</v>
      </c>
      <c r="AA595" s="103">
        <v>791</v>
      </c>
      <c r="AB595" s="103">
        <v>31231</v>
      </c>
      <c r="AC595" s="78">
        <v>188056</v>
      </c>
      <c r="AD595" s="103">
        <f t="shared" si="217"/>
        <v>197899</v>
      </c>
      <c r="AE595" s="192">
        <f t="shared" ref="AE595:AE601" si="243">+(Z595/AC595*0.95)</f>
        <v>6.2903603182030879E-2</v>
      </c>
      <c r="AF595" s="192">
        <f t="shared" ref="AF595:AF601" si="244">+(AB595/AD595*0.6)</f>
        <v>9.4687694227863703E-2</v>
      </c>
      <c r="AG595" s="20">
        <f t="shared" ref="AG595:AG607" si="245">+AE595*K595</f>
        <v>132.67418304476681</v>
      </c>
      <c r="AH595" s="20">
        <f t="shared" ref="AH595:AH607" si="246">+AF595*I595</f>
        <v>217.01630452907793</v>
      </c>
      <c r="AI595" s="3">
        <f t="shared" ref="AI595:AI601" si="247">+AC595-Z595</f>
        <v>175604</v>
      </c>
      <c r="AJ595" s="31">
        <f t="shared" si="237"/>
        <v>3.9969883627506957E-3</v>
      </c>
      <c r="AK595" s="31"/>
    </row>
    <row r="596" spans="1:37">
      <c r="A596" s="28">
        <v>46252</v>
      </c>
      <c r="B596" s="3">
        <v>180</v>
      </c>
      <c r="C596" s="3">
        <v>420</v>
      </c>
      <c r="D596" s="3">
        <v>67.5</v>
      </c>
      <c r="E596" s="3">
        <v>518.08333333333326</v>
      </c>
      <c r="F596" s="3">
        <v>244.5</v>
      </c>
      <c r="G596" s="3">
        <v>97.75</v>
      </c>
      <c r="H596" s="3">
        <v>32</v>
      </c>
      <c r="I596" s="3">
        <v>2272.916666666667</v>
      </c>
      <c r="J596" s="3">
        <v>149.5</v>
      </c>
      <c r="K596" s="3">
        <v>1819.5833333333333</v>
      </c>
      <c r="L596" s="3">
        <v>95</v>
      </c>
      <c r="M596" s="3">
        <v>252</v>
      </c>
      <c r="N596" s="107">
        <f t="shared" si="238"/>
        <v>326.16233981097906</v>
      </c>
      <c r="O596" s="7">
        <f t="shared" si="242"/>
        <v>5154</v>
      </c>
      <c r="P596" s="7">
        <f t="shared" si="212"/>
        <v>4827.8376601890213</v>
      </c>
      <c r="Q596" s="7">
        <f t="shared" si="213"/>
        <v>2114.1992248124607</v>
      </c>
      <c r="R596" s="7">
        <f t="shared" si="214"/>
        <v>1652.1384353765604</v>
      </c>
      <c r="S596" s="7">
        <v>1331</v>
      </c>
      <c r="T596" s="7">
        <v>1618</v>
      </c>
      <c r="U596" s="7">
        <v>0</v>
      </c>
      <c r="V596" s="103">
        <v>150608</v>
      </c>
      <c r="W596" s="7">
        <f t="shared" si="228"/>
        <v>162830</v>
      </c>
      <c r="X596" s="103">
        <f t="shared" si="229"/>
        <v>185783</v>
      </c>
      <c r="Y596" s="103">
        <f t="shared" si="235"/>
        <v>164161</v>
      </c>
      <c r="Z596" s="2">
        <v>17083</v>
      </c>
      <c r="AA596" s="103">
        <v>13553</v>
      </c>
      <c r="AB596" s="103">
        <v>21622</v>
      </c>
      <c r="AC596" s="78">
        <v>176355</v>
      </c>
      <c r="AD596" s="103">
        <f t="shared" si="217"/>
        <v>185783</v>
      </c>
      <c r="AE596" s="192">
        <f t="shared" si="243"/>
        <v>9.2023758895409827E-2</v>
      </c>
      <c r="AF596" s="192">
        <f t="shared" si="244"/>
        <v>6.9829855261245646E-2</v>
      </c>
      <c r="AG596" s="20">
        <f t="shared" si="245"/>
        <v>167.44489795677279</v>
      </c>
      <c r="AH596" s="20">
        <f t="shared" si="246"/>
        <v>158.71744185420627</v>
      </c>
      <c r="AI596" s="3">
        <f>+AC596-Z596</f>
        <v>159272</v>
      </c>
      <c r="AJ596" s="31">
        <f t="shared" si="237"/>
        <v>7.2950700548489372E-2</v>
      </c>
      <c r="AK596" s="31"/>
    </row>
    <row r="597" spans="1:37">
      <c r="A597" s="28">
        <v>46253</v>
      </c>
      <c r="B597" s="3">
        <v>200.33333333333331</v>
      </c>
      <c r="C597" s="3">
        <v>502.5</v>
      </c>
      <c r="D597" s="3">
        <v>71.5</v>
      </c>
      <c r="E597" s="3">
        <v>479.50000000000006</v>
      </c>
      <c r="F597" s="3">
        <v>262.08333333333331</v>
      </c>
      <c r="G597" s="3">
        <v>95</v>
      </c>
      <c r="H597" s="3">
        <v>39.5</v>
      </c>
      <c r="I597" s="3">
        <v>2297.25</v>
      </c>
      <c r="J597" s="3">
        <v>137.5</v>
      </c>
      <c r="K597" s="3">
        <v>1790.9999999999998</v>
      </c>
      <c r="L597" s="3">
        <v>103.5</v>
      </c>
      <c r="M597" s="3">
        <v>270</v>
      </c>
      <c r="N597" s="107">
        <f t="shared" si="238"/>
        <v>272.96429533269361</v>
      </c>
      <c r="O597" s="7">
        <f t="shared" si="242"/>
        <v>5262.1666666666661</v>
      </c>
      <c r="P597" s="7">
        <f t="shared" ref="P597:P622" si="248">+B597+C597+D597+F597+J597+Q597+R597</f>
        <v>4989.2023713339731</v>
      </c>
      <c r="Q597" s="7">
        <f t="shared" ref="Q597:Q622" si="249">+I597-AH597</f>
        <v>2166.1665763851192</v>
      </c>
      <c r="R597" s="7">
        <f t="shared" ref="R597:R622" si="250">+K597-AG597</f>
        <v>1649.1191282821871</v>
      </c>
      <c r="S597" s="7">
        <v>8</v>
      </c>
      <c r="T597" s="7">
        <v>40</v>
      </c>
      <c r="U597" s="7">
        <v>0</v>
      </c>
      <c r="V597" s="103">
        <v>147308</v>
      </c>
      <c r="W597" s="7">
        <f t="shared" si="228"/>
        <v>156686</v>
      </c>
      <c r="X597" s="103">
        <f t="shared" si="229"/>
        <v>173162</v>
      </c>
      <c r="Y597" s="103">
        <f t="shared" si="235"/>
        <v>156694</v>
      </c>
      <c r="Z597" s="2">
        <v>13929</v>
      </c>
      <c r="AA597" s="103">
        <v>9386</v>
      </c>
      <c r="AB597" s="103">
        <v>16468</v>
      </c>
      <c r="AC597" s="78">
        <v>167038</v>
      </c>
      <c r="AD597" s="103">
        <f t="shared" si="217"/>
        <v>173162</v>
      </c>
      <c r="AE597" s="192">
        <f t="shared" si="243"/>
        <v>7.9218800512458248E-2</v>
      </c>
      <c r="AF597" s="192">
        <f t="shared" si="244"/>
        <v>5.7061018006260032E-2</v>
      </c>
      <c r="AG597" s="20">
        <f t="shared" si="245"/>
        <v>141.88087171781271</v>
      </c>
      <c r="AH597" s="20">
        <f t="shared" si="246"/>
        <v>131.08342361488087</v>
      </c>
      <c r="AI597" s="3">
        <f t="shared" si="247"/>
        <v>153109</v>
      </c>
      <c r="AJ597" s="31">
        <f t="shared" si="237"/>
        <v>5.4203578152250492E-2</v>
      </c>
      <c r="AK597" s="31"/>
    </row>
    <row r="598" spans="1:37">
      <c r="A598" s="28">
        <v>46254</v>
      </c>
      <c r="B598" s="3">
        <v>157.5</v>
      </c>
      <c r="C598" s="3">
        <v>582.16666666666674</v>
      </c>
      <c r="D598" s="3">
        <v>85.583333333333329</v>
      </c>
      <c r="E598" s="3">
        <v>477.91666666666669</v>
      </c>
      <c r="F598" s="3">
        <v>269.75</v>
      </c>
      <c r="G598" s="3">
        <v>111.33333333333334</v>
      </c>
      <c r="H598" s="3">
        <v>47</v>
      </c>
      <c r="I598" s="3">
        <v>2293.4166666666665</v>
      </c>
      <c r="J598" s="3">
        <v>185.5</v>
      </c>
      <c r="K598" s="3">
        <v>1651.5833333333333</v>
      </c>
      <c r="L598" s="3">
        <v>103.5</v>
      </c>
      <c r="M598" s="3">
        <v>266.75</v>
      </c>
      <c r="N598" s="107">
        <f t="shared" si="238"/>
        <v>116.27060362993929</v>
      </c>
      <c r="O598" s="7">
        <f t="shared" si="242"/>
        <v>5225.5</v>
      </c>
      <c r="P598" s="7">
        <f t="shared" si="248"/>
        <v>5109.2293963700604</v>
      </c>
      <c r="Q598" s="7">
        <f t="shared" si="249"/>
        <v>2283.698234951039</v>
      </c>
      <c r="R598" s="7">
        <f t="shared" si="250"/>
        <v>1545.0311614190216</v>
      </c>
      <c r="S598" s="7">
        <v>2738</v>
      </c>
      <c r="T598" s="7">
        <v>3278</v>
      </c>
      <c r="U598" s="7">
        <v>0</v>
      </c>
      <c r="V598" s="103">
        <v>131474</v>
      </c>
      <c r="W598" s="7">
        <f t="shared" si="228"/>
        <v>137432</v>
      </c>
      <c r="X598" s="103">
        <f t="shared" si="229"/>
        <v>141167</v>
      </c>
      <c r="Y598" s="103">
        <f t="shared" si="235"/>
        <v>140170</v>
      </c>
      <c r="Z598" s="2">
        <v>10230</v>
      </c>
      <c r="AA598" s="103">
        <v>8696</v>
      </c>
      <c r="AB598" s="103">
        <v>997</v>
      </c>
      <c r="AC598" s="78">
        <v>150639</v>
      </c>
      <c r="AD598" s="103">
        <f t="shared" si="217"/>
        <v>141167</v>
      </c>
      <c r="AE598" s="192">
        <f t="shared" si="243"/>
        <v>6.4515165395415533E-2</v>
      </c>
      <c r="AF598" s="192">
        <f t="shared" si="244"/>
        <v>4.2375342679238067E-3</v>
      </c>
      <c r="AG598" s="20">
        <f t="shared" si="245"/>
        <v>106.5521719143117</v>
      </c>
      <c r="AH598" s="20">
        <f t="shared" si="246"/>
        <v>9.7184317156275899</v>
      </c>
      <c r="AI598" s="3">
        <f t="shared" si="247"/>
        <v>140409</v>
      </c>
      <c r="AJ598" s="31">
        <f t="shared" si="237"/>
        <v>6.1600799053603182E-2</v>
      </c>
      <c r="AK598" s="31"/>
    </row>
    <row r="599" spans="1:37">
      <c r="A599" s="28">
        <v>46255</v>
      </c>
      <c r="B599" s="3">
        <v>187.5</v>
      </c>
      <c r="C599" s="3">
        <v>514.58333333333326</v>
      </c>
      <c r="D599" s="3">
        <v>83.166666666666657</v>
      </c>
      <c r="E599" s="3">
        <v>562.58333333333337</v>
      </c>
      <c r="F599" s="3">
        <v>300.33333333333337</v>
      </c>
      <c r="G599" s="3">
        <v>110.5</v>
      </c>
      <c r="H599" s="3">
        <v>47</v>
      </c>
      <c r="I599" s="3">
        <v>2287.3333333333335</v>
      </c>
      <c r="J599" s="3">
        <v>130.75</v>
      </c>
      <c r="K599" s="3">
        <v>1644.0833333333333</v>
      </c>
      <c r="L599" s="3">
        <v>103.5</v>
      </c>
      <c r="M599" s="3">
        <v>268.75</v>
      </c>
      <c r="N599" s="107">
        <f t="shared" si="238"/>
        <v>164.97444833699836</v>
      </c>
      <c r="O599" s="7">
        <f t="shared" si="242"/>
        <v>5147.75</v>
      </c>
      <c r="P599" s="7">
        <f t="shared" si="248"/>
        <v>4982.7755516630014</v>
      </c>
      <c r="Q599" s="7">
        <f t="shared" si="249"/>
        <v>2202.6962537732661</v>
      </c>
      <c r="R599" s="7">
        <f t="shared" si="250"/>
        <v>1563.7459645564024</v>
      </c>
      <c r="S599" s="7">
        <v>2858</v>
      </c>
      <c r="T599" s="7">
        <v>3036</v>
      </c>
      <c r="U599" s="7">
        <v>0</v>
      </c>
      <c r="V599" s="103">
        <v>165944</v>
      </c>
      <c r="W599" s="7">
        <f t="shared" si="228"/>
        <v>170077</v>
      </c>
      <c r="X599" s="103">
        <f t="shared" si="229"/>
        <v>184301</v>
      </c>
      <c r="Y599" s="103">
        <f t="shared" si="235"/>
        <v>172935</v>
      </c>
      <c r="Z599" s="2">
        <v>7214</v>
      </c>
      <c r="AA599" s="103">
        <v>6991</v>
      </c>
      <c r="AB599" s="103">
        <v>11366</v>
      </c>
      <c r="AC599" s="78">
        <v>140251</v>
      </c>
      <c r="AD599" s="103">
        <f t="shared" si="217"/>
        <v>184301</v>
      </c>
      <c r="AE599" s="192">
        <f t="shared" si="243"/>
        <v>4.886453572523547E-2</v>
      </c>
      <c r="AF599" s="192">
        <f t="shared" si="244"/>
        <v>3.7002512194724932E-2</v>
      </c>
      <c r="AG599" s="20">
        <f t="shared" si="245"/>
        <v>80.337368776930873</v>
      </c>
      <c r="AH599" s="20">
        <f t="shared" si="246"/>
        <v>84.637079560067505</v>
      </c>
      <c r="AI599" s="3">
        <f t="shared" si="247"/>
        <v>133037</v>
      </c>
      <c r="AJ599" s="31">
        <f t="shared" si="237"/>
        <v>3.7932512574538391E-2</v>
      </c>
      <c r="AK599" s="31"/>
    </row>
    <row r="600" spans="1:37">
      <c r="A600" s="28">
        <v>46256</v>
      </c>
      <c r="B600" s="3">
        <v>180</v>
      </c>
      <c r="C600" s="3">
        <v>456</v>
      </c>
      <c r="D600" s="3">
        <v>82.5</v>
      </c>
      <c r="E600" s="3">
        <v>367.08333333333331</v>
      </c>
      <c r="F600" s="3">
        <v>267.08333333333337</v>
      </c>
      <c r="G600" s="3">
        <v>0</v>
      </c>
      <c r="H600" s="3">
        <v>30</v>
      </c>
      <c r="I600" s="3">
        <v>2059.5</v>
      </c>
      <c r="J600" s="3">
        <v>185.5</v>
      </c>
      <c r="K600" s="3">
        <v>1516.4166666666667</v>
      </c>
      <c r="L600" s="3">
        <v>67.5</v>
      </c>
      <c r="M600" s="3">
        <v>254.16666666666666</v>
      </c>
      <c r="N600" s="107">
        <f t="shared" si="238"/>
        <v>105.71418404507628</v>
      </c>
      <c r="O600" s="7">
        <f t="shared" si="242"/>
        <v>4747</v>
      </c>
      <c r="P600" s="7">
        <f t="shared" si="248"/>
        <v>4641.2858159549241</v>
      </c>
      <c r="Q600" s="7">
        <f t="shared" si="249"/>
        <v>2059.5</v>
      </c>
      <c r="R600" s="7">
        <f t="shared" si="250"/>
        <v>1410.7024826215904</v>
      </c>
      <c r="S600" s="7">
        <v>573</v>
      </c>
      <c r="T600" s="7">
        <v>771</v>
      </c>
      <c r="U600" s="7">
        <v>0</v>
      </c>
      <c r="V600" s="103">
        <v>170660</v>
      </c>
      <c r="W600" s="7">
        <f t="shared" si="228"/>
        <v>173281</v>
      </c>
      <c r="X600" s="103">
        <f t="shared" si="229"/>
        <v>173854</v>
      </c>
      <c r="Y600" s="103">
        <f t="shared" si="235"/>
        <v>173854</v>
      </c>
      <c r="Z600" s="2">
        <v>10458</v>
      </c>
      <c r="AA600" s="103">
        <v>3194</v>
      </c>
      <c r="AB600" s="103"/>
      <c r="AC600" s="78">
        <v>142514</v>
      </c>
      <c r="AD600" s="103">
        <f t="shared" si="217"/>
        <v>173854</v>
      </c>
      <c r="AE600" s="192">
        <f t="shared" si="243"/>
        <v>6.9713150988674796E-2</v>
      </c>
      <c r="AF600" s="192">
        <f t="shared" si="244"/>
        <v>0</v>
      </c>
      <c r="AG600" s="20">
        <f t="shared" si="245"/>
        <v>105.71418404507628</v>
      </c>
      <c r="AH600" s="20">
        <f t="shared" si="246"/>
        <v>0</v>
      </c>
      <c r="AI600" s="3">
        <f t="shared" si="247"/>
        <v>132056</v>
      </c>
      <c r="AJ600" s="31">
        <f t="shared" si="237"/>
        <v>1.8371737204781025E-2</v>
      </c>
      <c r="AK600" s="31"/>
    </row>
    <row r="601" spans="1:37">
      <c r="A601" s="28">
        <v>46257</v>
      </c>
      <c r="B601" s="3">
        <v>150</v>
      </c>
      <c r="C601" s="3">
        <v>267.66666666666663</v>
      </c>
      <c r="D601" s="3">
        <v>67.5</v>
      </c>
      <c r="E601" s="3">
        <v>250.16666666666669</v>
      </c>
      <c r="F601" s="3">
        <v>217.5</v>
      </c>
      <c r="G601" s="3">
        <v>0</v>
      </c>
      <c r="H601" s="3">
        <v>22.5</v>
      </c>
      <c r="I601" s="3">
        <v>1695</v>
      </c>
      <c r="J601" s="3">
        <v>90</v>
      </c>
      <c r="K601" s="3">
        <v>1187.3333333333335</v>
      </c>
      <c r="L601" s="3">
        <v>45</v>
      </c>
      <c r="M601" s="3">
        <v>223.41666666666666</v>
      </c>
      <c r="N601" s="107">
        <f t="shared" si="238"/>
        <v>62.726703173361457</v>
      </c>
      <c r="O601" s="7">
        <f t="shared" si="242"/>
        <v>3675</v>
      </c>
      <c r="P601" s="7">
        <f t="shared" si="248"/>
        <v>3612.2732968266387</v>
      </c>
      <c r="Q601" s="7">
        <f t="shared" si="249"/>
        <v>1632.2732968266384</v>
      </c>
      <c r="R601" s="7">
        <f t="shared" si="250"/>
        <v>1187.3333333333335</v>
      </c>
      <c r="T601" s="7">
        <v>25</v>
      </c>
      <c r="U601" s="7">
        <v>0</v>
      </c>
      <c r="V601" s="103">
        <v>135932</v>
      </c>
      <c r="W601" s="7">
        <f t="shared" si="228"/>
        <v>137938</v>
      </c>
      <c r="X601" s="103">
        <f t="shared" si="229"/>
        <v>147005</v>
      </c>
      <c r="Y601" s="103">
        <f t="shared" si="235"/>
        <v>137938</v>
      </c>
      <c r="Z601" s="2"/>
      <c r="AA601" s="103">
        <v>2006</v>
      </c>
      <c r="AB601" s="103">
        <v>9067</v>
      </c>
      <c r="AC601" s="78">
        <v>121091</v>
      </c>
      <c r="AD601" s="103">
        <f t="shared" si="217"/>
        <v>147005</v>
      </c>
      <c r="AE601" s="192">
        <f t="shared" si="243"/>
        <v>0</v>
      </c>
      <c r="AF601" s="192">
        <f t="shared" si="244"/>
        <v>3.7006904527056905E-2</v>
      </c>
      <c r="AG601" s="20">
        <f t="shared" si="245"/>
        <v>0</v>
      </c>
      <c r="AH601" s="20">
        <f t="shared" si="246"/>
        <v>62.726703173361457</v>
      </c>
      <c r="AI601" s="3">
        <f t="shared" si="247"/>
        <v>121091</v>
      </c>
      <c r="AJ601" s="31">
        <f t="shared" si="237"/>
        <v>1.3645794360736029E-2</v>
      </c>
    </row>
    <row r="602" spans="1:37" ht="16.8">
      <c r="A602" s="28">
        <v>46258</v>
      </c>
      <c r="B602" s="3">
        <v>198</v>
      </c>
      <c r="C602" s="3">
        <v>248.83333333333331</v>
      </c>
      <c r="D602" s="3">
        <v>82.5</v>
      </c>
      <c r="E602" s="3">
        <v>532.75</v>
      </c>
      <c r="F602" s="3">
        <v>270</v>
      </c>
      <c r="G602" s="3">
        <v>76.5</v>
      </c>
      <c r="H602" s="3">
        <v>47</v>
      </c>
      <c r="I602" s="3">
        <v>2109.75</v>
      </c>
      <c r="J602" s="3">
        <v>106</v>
      </c>
      <c r="K602" s="3">
        <v>1417.5</v>
      </c>
      <c r="L602" s="3">
        <v>88.5</v>
      </c>
      <c r="M602" s="3">
        <v>267.5</v>
      </c>
      <c r="N602" s="107">
        <f t="shared" si="238"/>
        <v>31.008593459225448</v>
      </c>
      <c r="O602" s="7">
        <f t="shared" ref="O602:O622" si="251">+B602+C602+D602+F602+I602+K602+J602</f>
        <v>4432.583333333333</v>
      </c>
      <c r="P602" s="7">
        <f t="shared" si="248"/>
        <v>4401.5747398741078</v>
      </c>
      <c r="Q602" s="7">
        <f t="shared" si="249"/>
        <v>2109.75</v>
      </c>
      <c r="R602" s="7">
        <f t="shared" si="250"/>
        <v>1386.4914065407745</v>
      </c>
      <c r="T602" s="7">
        <v>54</v>
      </c>
      <c r="U602" s="164"/>
      <c r="V602" s="103">
        <v>120065</v>
      </c>
      <c r="W602" s="7">
        <f>+V602-U602-S602+AA602</f>
        <v>131016</v>
      </c>
      <c r="X602" s="103">
        <f t="shared" si="229"/>
        <v>131016</v>
      </c>
      <c r="Y602" s="103">
        <f t="shared" si="235"/>
        <v>131016</v>
      </c>
      <c r="Z602" s="2">
        <v>2351</v>
      </c>
      <c r="AA602" s="103">
        <v>10951</v>
      </c>
      <c r="AB602" s="103"/>
      <c r="AC602" s="78">
        <v>102098</v>
      </c>
      <c r="AD602" s="103">
        <f t="shared" si="217"/>
        <v>131016</v>
      </c>
      <c r="AE602" s="192">
        <f t="shared" ref="AE602:AE607" si="252">+(Z602/AC602*0.95)</f>
        <v>2.1875550941252521E-2</v>
      </c>
      <c r="AF602" s="192">
        <f t="shared" ref="AF602:AF607" si="253">+(AB602/AD602*0.6)</f>
        <v>0</v>
      </c>
      <c r="AG602" s="20">
        <f t="shared" si="245"/>
        <v>31.008593459225448</v>
      </c>
      <c r="AH602" s="20">
        <f t="shared" si="246"/>
        <v>0</v>
      </c>
      <c r="AI602" s="3">
        <f t="shared" ref="AI602:AI607" si="254">+AC602-Z602</f>
        <v>99747</v>
      </c>
      <c r="AJ602" s="31">
        <f t="shared" ref="AJ602:AJ607" si="255">+AA602/AD602</f>
        <v>8.3585210966599502E-2</v>
      </c>
    </row>
    <row r="603" spans="1:37" ht="16.8">
      <c r="A603" s="28">
        <v>46259</v>
      </c>
      <c r="B603" s="3">
        <v>193.5</v>
      </c>
      <c r="C603" s="3">
        <v>472.5</v>
      </c>
      <c r="D603" s="3">
        <v>67.5</v>
      </c>
      <c r="E603" s="3">
        <v>502.49999999999994</v>
      </c>
      <c r="F603" s="3">
        <v>251.16666666666666</v>
      </c>
      <c r="G603" s="3">
        <v>75.416666666666671</v>
      </c>
      <c r="H603" s="3">
        <v>39.5</v>
      </c>
      <c r="I603" s="3">
        <v>2208.166666666667</v>
      </c>
      <c r="J603" s="3">
        <v>106</v>
      </c>
      <c r="K603" s="3">
        <v>1349.1666666666667</v>
      </c>
      <c r="L603" s="3">
        <v>88.5</v>
      </c>
      <c r="M603" s="3">
        <v>269.25</v>
      </c>
      <c r="N603" s="107">
        <f t="shared" si="238"/>
        <v>251.90011288006599</v>
      </c>
      <c r="O603" s="7">
        <f t="shared" si="251"/>
        <v>4648</v>
      </c>
      <c r="P603" s="7">
        <f t="shared" si="248"/>
        <v>4396.0998871199345</v>
      </c>
      <c r="Q603" s="7">
        <f t="shared" si="249"/>
        <v>2120.9658721018013</v>
      </c>
      <c r="R603" s="7">
        <f t="shared" si="250"/>
        <v>1184.4673483514666</v>
      </c>
      <c r="S603" s="7">
        <v>8</v>
      </c>
      <c r="T603" s="7">
        <v>119</v>
      </c>
      <c r="U603" s="164"/>
      <c r="V603" s="103">
        <v>134557</v>
      </c>
      <c r="W603" s="7">
        <f t="shared" si="228"/>
        <v>144370</v>
      </c>
      <c r="X603" s="103">
        <f>+V603+AB603+AA603</f>
        <v>154550</v>
      </c>
      <c r="Y603" s="103">
        <f>+X603-AB603</f>
        <v>144378</v>
      </c>
      <c r="Z603" s="2">
        <v>14232</v>
      </c>
      <c r="AA603" s="103">
        <v>9821</v>
      </c>
      <c r="AB603" s="103">
        <v>10172</v>
      </c>
      <c r="AC603" s="78">
        <v>110755</v>
      </c>
      <c r="AD603" s="103">
        <f t="shared" si="217"/>
        <v>154550</v>
      </c>
      <c r="AE603" s="192">
        <f t="shared" si="252"/>
        <v>0.12207484989390999</v>
      </c>
      <c r="AF603" s="192">
        <f t="shared" si="253"/>
        <v>3.9490132643157552E-2</v>
      </c>
      <c r="AG603" s="20">
        <f t="shared" si="245"/>
        <v>164.69931831520023</v>
      </c>
      <c r="AH603" s="20">
        <f t="shared" si="246"/>
        <v>87.200794564865745</v>
      </c>
      <c r="AI603" s="3">
        <f t="shared" si="254"/>
        <v>96523</v>
      </c>
      <c r="AJ603" s="31">
        <f t="shared" si="255"/>
        <v>6.3545778065351013E-2</v>
      </c>
    </row>
    <row r="604" spans="1:37" ht="16.8">
      <c r="A604" s="28">
        <v>46260</v>
      </c>
      <c r="B604" s="3">
        <v>201</v>
      </c>
      <c r="C604" s="3">
        <v>501</v>
      </c>
      <c r="D604" s="3">
        <v>81</v>
      </c>
      <c r="E604" s="3">
        <v>491.49999999999994</v>
      </c>
      <c r="F604" s="3">
        <v>247.00000000000003</v>
      </c>
      <c r="G604" s="3">
        <v>75.75</v>
      </c>
      <c r="H604" s="3">
        <v>47</v>
      </c>
      <c r="I604" s="3">
        <v>2057.4166666666665</v>
      </c>
      <c r="J604" s="3">
        <v>97</v>
      </c>
      <c r="K604" s="3">
        <v>1587.8333333333335</v>
      </c>
      <c r="L604" s="3">
        <v>57.5</v>
      </c>
      <c r="M604" s="3">
        <v>272.16666666666663</v>
      </c>
      <c r="N604" s="107">
        <f t="shared" si="238"/>
        <v>310.96571083685353</v>
      </c>
      <c r="O604" s="7">
        <f t="shared" si="251"/>
        <v>4772.25</v>
      </c>
      <c r="P604" s="7">
        <f t="shared" si="248"/>
        <v>4461.2842891631462</v>
      </c>
      <c r="Q604" s="7">
        <f t="shared" si="249"/>
        <v>2057.4166666666665</v>
      </c>
      <c r="R604" s="7">
        <f t="shared" si="250"/>
        <v>1276.86762249648</v>
      </c>
      <c r="S604" s="7">
        <v>5</v>
      </c>
      <c r="T604" s="7">
        <v>68</v>
      </c>
      <c r="U604" s="164"/>
      <c r="V604" s="103">
        <v>131533</v>
      </c>
      <c r="W604" s="7">
        <f t="shared" si="228"/>
        <v>143393</v>
      </c>
      <c r="X604" s="103">
        <f t="shared" si="229"/>
        <v>143398</v>
      </c>
      <c r="Y604" s="103">
        <f t="shared" si="235"/>
        <v>143398</v>
      </c>
      <c r="Z604" s="2">
        <v>26158</v>
      </c>
      <c r="AA604" s="103">
        <v>11865</v>
      </c>
      <c r="AB604" s="103"/>
      <c r="AC604" s="78">
        <v>126888</v>
      </c>
      <c r="AD604" s="103">
        <f t="shared" si="217"/>
        <v>143398</v>
      </c>
      <c r="AE604" s="192">
        <f t="shared" si="252"/>
        <v>0.19584279049240275</v>
      </c>
      <c r="AF604" s="192">
        <f t="shared" si="253"/>
        <v>0</v>
      </c>
      <c r="AG604" s="20">
        <f t="shared" si="245"/>
        <v>310.96571083685353</v>
      </c>
      <c r="AH604" s="20">
        <f t="shared" si="246"/>
        <v>0</v>
      </c>
      <c r="AI604" s="3">
        <f t="shared" si="254"/>
        <v>100730</v>
      </c>
      <c r="AJ604" s="31">
        <f t="shared" si="255"/>
        <v>8.2741739773218595E-2</v>
      </c>
    </row>
    <row r="605" spans="1:37" ht="16.8">
      <c r="A605" s="28">
        <v>46261</v>
      </c>
      <c r="B605" s="3">
        <v>189</v>
      </c>
      <c r="C605" s="3">
        <v>508.25</v>
      </c>
      <c r="D605" s="3">
        <v>79</v>
      </c>
      <c r="E605" s="3">
        <v>467.66666666666669</v>
      </c>
      <c r="F605" s="3">
        <v>216.91666666666666</v>
      </c>
      <c r="G605" s="3">
        <v>76.5</v>
      </c>
      <c r="H605" s="3">
        <v>43.583333333333336</v>
      </c>
      <c r="I605" s="3">
        <v>2098.083333333333</v>
      </c>
      <c r="J605" s="3">
        <v>105.75</v>
      </c>
      <c r="K605" s="3">
        <v>1674.2499999999998</v>
      </c>
      <c r="L605" s="3">
        <v>65</v>
      </c>
      <c r="M605" s="3">
        <v>262.91666666666669</v>
      </c>
      <c r="N605" s="107">
        <f t="shared" si="238"/>
        <v>48.657727750785071</v>
      </c>
      <c r="O605" s="7">
        <f t="shared" si="251"/>
        <v>4871.2499999999991</v>
      </c>
      <c r="P605" s="7">
        <f t="shared" si="248"/>
        <v>4822.5922722492141</v>
      </c>
      <c r="Q605" s="7">
        <f t="shared" si="249"/>
        <v>2097.9643568983256</v>
      </c>
      <c r="R605" s="7">
        <f t="shared" si="250"/>
        <v>1625.711248684222</v>
      </c>
      <c r="T605" s="7">
        <v>23</v>
      </c>
      <c r="U605" s="164"/>
      <c r="V605" s="103">
        <v>119455</v>
      </c>
      <c r="W605" s="7">
        <f t="shared" si="228"/>
        <v>126956</v>
      </c>
      <c r="X605" s="103">
        <f t="shared" si="229"/>
        <v>126968</v>
      </c>
      <c r="Y605" s="103">
        <f t="shared" si="235"/>
        <v>126956</v>
      </c>
      <c r="Z605" s="2">
        <v>3450</v>
      </c>
      <c r="AA605" s="103">
        <v>7501</v>
      </c>
      <c r="AB605" s="103">
        <v>12</v>
      </c>
      <c r="AC605" s="78">
        <v>113051</v>
      </c>
      <c r="AD605" s="103">
        <f t="shared" si="217"/>
        <v>126968</v>
      </c>
      <c r="AE605" s="192">
        <f t="shared" si="252"/>
        <v>2.8991340191594942E-2</v>
      </c>
      <c r="AF605" s="192">
        <f t="shared" si="253"/>
        <v>5.6707201814630455E-5</v>
      </c>
      <c r="AG605" s="20">
        <f t="shared" si="245"/>
        <v>48.538751315777823</v>
      </c>
      <c r="AH605" s="20">
        <f t="shared" si="246"/>
        <v>0.11897643500724589</v>
      </c>
      <c r="AI605" s="3">
        <f t="shared" si="254"/>
        <v>109601</v>
      </c>
      <c r="AJ605" s="31">
        <f t="shared" si="255"/>
        <v>5.9077877890492091E-2</v>
      </c>
    </row>
    <row r="606" spans="1:37" ht="16.8">
      <c r="A606" s="28">
        <v>46262</v>
      </c>
      <c r="B606" s="3">
        <v>295.5</v>
      </c>
      <c r="C606" s="3">
        <v>450.75</v>
      </c>
      <c r="D606" s="3">
        <v>75.083333333333329</v>
      </c>
      <c r="E606" s="3">
        <v>470.5</v>
      </c>
      <c r="F606" s="3">
        <v>235.16666666666669</v>
      </c>
      <c r="G606" s="3">
        <v>73</v>
      </c>
      <c r="H606" s="3">
        <v>47</v>
      </c>
      <c r="I606" s="3">
        <v>1907</v>
      </c>
      <c r="J606" s="3">
        <v>112</v>
      </c>
      <c r="K606" s="3">
        <v>1462.1666666666667</v>
      </c>
      <c r="L606" s="3">
        <v>83.25</v>
      </c>
      <c r="M606" s="3">
        <v>246.5</v>
      </c>
      <c r="N606" s="107">
        <f t="shared" si="238"/>
        <v>174.98304506377843</v>
      </c>
      <c r="O606" s="7">
        <f t="shared" si="251"/>
        <v>4537.666666666667</v>
      </c>
      <c r="P606" s="7">
        <f t="shared" si="248"/>
        <v>4362.6836216028878</v>
      </c>
      <c r="Q606" s="7">
        <f t="shared" si="249"/>
        <v>1748.4071729905759</v>
      </c>
      <c r="R606" s="7">
        <f t="shared" si="250"/>
        <v>1445.7764486123124</v>
      </c>
      <c r="S606" s="7">
        <v>5</v>
      </c>
      <c r="T606" s="7">
        <v>66</v>
      </c>
      <c r="U606" s="164"/>
      <c r="V606" s="103">
        <v>132739</v>
      </c>
      <c r="W606" s="7">
        <f t="shared" si="228"/>
        <v>139658</v>
      </c>
      <c r="X606" s="103">
        <f t="shared" si="229"/>
        <v>162136</v>
      </c>
      <c r="Y606" s="103">
        <f t="shared" si="235"/>
        <v>139663</v>
      </c>
      <c r="Z606" s="2">
        <v>1296</v>
      </c>
      <c r="AA606" s="103">
        <v>6924</v>
      </c>
      <c r="AB606" s="103">
        <v>22473</v>
      </c>
      <c r="AC606" s="78">
        <v>109835</v>
      </c>
      <c r="AD606" s="103">
        <f t="shared" si="217"/>
        <v>162136</v>
      </c>
      <c r="AE606" s="192">
        <f t="shared" si="252"/>
        <v>1.120954158510493E-2</v>
      </c>
      <c r="AF606" s="192">
        <f t="shared" si="253"/>
        <v>8.3163517047416979E-2</v>
      </c>
      <c r="AG606" s="20">
        <f t="shared" si="245"/>
        <v>16.390218054354261</v>
      </c>
      <c r="AH606" s="20">
        <f t="shared" si="246"/>
        <v>158.59282700942418</v>
      </c>
      <c r="AI606" s="3">
        <f t="shared" si="254"/>
        <v>108539</v>
      </c>
      <c r="AJ606" s="31">
        <f t="shared" si="255"/>
        <v>4.2704889722208518E-2</v>
      </c>
    </row>
    <row r="607" spans="1:37" ht="16.8">
      <c r="A607" s="28">
        <v>46263</v>
      </c>
      <c r="B607" s="3">
        <v>180</v>
      </c>
      <c r="C607" s="3">
        <v>381.16666666666669</v>
      </c>
      <c r="D607" s="3">
        <v>73</v>
      </c>
      <c r="E607" s="3">
        <v>305.41666666666663</v>
      </c>
      <c r="F607" s="3">
        <v>224</v>
      </c>
      <c r="G607" s="3">
        <v>0</v>
      </c>
      <c r="H607" s="3">
        <v>30</v>
      </c>
      <c r="I607" s="3">
        <v>1878.8333333333333</v>
      </c>
      <c r="J607" s="3">
        <v>67.5</v>
      </c>
      <c r="K607" s="3">
        <v>1447.9166666666665</v>
      </c>
      <c r="L607" s="3">
        <v>60</v>
      </c>
      <c r="M607" s="3">
        <v>225</v>
      </c>
      <c r="N607" s="107">
        <f t="shared" si="238"/>
        <v>472.21189989146512</v>
      </c>
      <c r="O607" s="7">
        <f t="shared" si="251"/>
        <v>4252.4166666666661</v>
      </c>
      <c r="P607" s="7">
        <f t="shared" si="248"/>
        <v>3780.2047667752013</v>
      </c>
      <c r="Q607" s="7">
        <f t="shared" si="249"/>
        <v>1758.0650104298691</v>
      </c>
      <c r="R607" s="7">
        <f t="shared" si="250"/>
        <v>1096.4730896786657</v>
      </c>
      <c r="T607" s="7">
        <v>25</v>
      </c>
      <c r="U607" s="164"/>
      <c r="V607" s="103">
        <v>128650</v>
      </c>
      <c r="W607" s="7">
        <f>+V607-U607-S607+AA607</f>
        <v>135259</v>
      </c>
      <c r="X607" s="103">
        <f t="shared" si="229"/>
        <v>151488</v>
      </c>
      <c r="Y607" s="103">
        <f t="shared" si="235"/>
        <v>135259</v>
      </c>
      <c r="Z607" s="2">
        <v>30726</v>
      </c>
      <c r="AA607" s="103">
        <v>6609</v>
      </c>
      <c r="AB607" s="103">
        <v>16229</v>
      </c>
      <c r="AC607" s="78">
        <v>120259</v>
      </c>
      <c r="AD607" s="103">
        <f t="shared" si="217"/>
        <v>151488</v>
      </c>
      <c r="AE607" s="192">
        <f t="shared" si="252"/>
        <v>0.2427236215168927</v>
      </c>
      <c r="AF607" s="192">
        <f t="shared" si="253"/>
        <v>6.4278358681875786E-2</v>
      </c>
      <c r="AG607" s="20">
        <f t="shared" si="245"/>
        <v>351.44357698800087</v>
      </c>
      <c r="AH607" s="20">
        <f t="shared" si="246"/>
        <v>120.76832290346428</v>
      </c>
      <c r="AI607" s="3">
        <f t="shared" si="254"/>
        <v>89533</v>
      </c>
      <c r="AJ607" s="31">
        <f t="shared" si="255"/>
        <v>4.3627217997465148E-2</v>
      </c>
    </row>
    <row r="608" spans="1:37" ht="16.8">
      <c r="A608" s="28">
        <v>46264</v>
      </c>
      <c r="B608" s="3">
        <v>0</v>
      </c>
      <c r="C608" s="3">
        <v>0</v>
      </c>
      <c r="D608" s="3">
        <v>0</v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7</v>
      </c>
      <c r="N608" s="107">
        <f t="shared" si="238"/>
        <v>0</v>
      </c>
      <c r="O608" s="7">
        <f t="shared" si="251"/>
        <v>0</v>
      </c>
      <c r="P608" s="7">
        <f t="shared" si="248"/>
        <v>0</v>
      </c>
      <c r="Q608" s="7">
        <f t="shared" si="249"/>
        <v>0</v>
      </c>
      <c r="R608" s="7">
        <f t="shared" si="250"/>
        <v>0</v>
      </c>
      <c r="T608" s="7"/>
      <c r="U608" s="164"/>
      <c r="V608" s="103"/>
      <c r="W608" s="7"/>
      <c r="X608" s="103">
        <f t="shared" si="229"/>
        <v>0</v>
      </c>
      <c r="Y608" s="103">
        <f t="shared" si="235"/>
        <v>0</v>
      </c>
      <c r="Z608" s="2"/>
      <c r="AD608" s="103"/>
      <c r="AE608" s="192"/>
      <c r="AF608" s="192"/>
      <c r="AG608" s="20"/>
      <c r="AH608" s="20"/>
      <c r="AI608" s="3"/>
      <c r="AJ608" s="31"/>
    </row>
    <row r="609" spans="1:40">
      <c r="A609" s="28">
        <v>46265</v>
      </c>
      <c r="B609" s="2">
        <v>210.08333333333334</v>
      </c>
      <c r="C609" s="2">
        <v>342.75</v>
      </c>
      <c r="D609" s="2">
        <v>86.666666666666657</v>
      </c>
      <c r="E609" s="2">
        <v>500.33333333333337</v>
      </c>
      <c r="F609" s="2">
        <v>277</v>
      </c>
      <c r="G609" s="2">
        <v>119.75000000000001</v>
      </c>
      <c r="H609" s="2">
        <v>70.5</v>
      </c>
      <c r="I609" s="2">
        <v>1926.8333333333333</v>
      </c>
      <c r="J609" s="2">
        <v>120</v>
      </c>
      <c r="K609" s="2">
        <v>1495.1666666666667</v>
      </c>
      <c r="L609" s="2">
        <v>96</v>
      </c>
      <c r="M609" s="2">
        <v>231</v>
      </c>
      <c r="N609" s="107">
        <f t="shared" si="238"/>
        <v>48.140292867030425</v>
      </c>
      <c r="O609" s="7">
        <f t="shared" si="251"/>
        <v>4458.5</v>
      </c>
      <c r="P609" s="7">
        <f t="shared" si="248"/>
        <v>4410.3597071329696</v>
      </c>
      <c r="Q609" s="7">
        <f t="shared" si="249"/>
        <v>1888.1943244642648</v>
      </c>
      <c r="R609" s="7">
        <f t="shared" si="250"/>
        <v>1485.6653826687048</v>
      </c>
      <c r="T609" s="7"/>
      <c r="U609" s="74"/>
      <c r="V609" s="103">
        <v>105877</v>
      </c>
      <c r="W609" s="7">
        <f t="shared" ref="W609:W635" si="256">+V609-U609-S609+AA609</f>
        <v>117074</v>
      </c>
      <c r="X609" s="103">
        <f t="shared" si="229"/>
        <v>119742</v>
      </c>
      <c r="Y609" s="103">
        <f>+X609-AB609</f>
        <v>117074</v>
      </c>
      <c r="Z609" s="2">
        <v>989</v>
      </c>
      <c r="AA609" s="103">
        <v>11197</v>
      </c>
      <c r="AB609" s="103">
        <v>2668</v>
      </c>
      <c r="AC609" s="78">
        <v>147852</v>
      </c>
      <c r="AD609" s="103">
        <f t="shared" si="217"/>
        <v>119742</v>
      </c>
      <c r="AE609" s="192">
        <f t="shared" ref="AE609:AE615" si="257">+(Z609/AC609*0.95)</f>
        <v>6.3546654762870972E-3</v>
      </c>
      <c r="AF609" s="31">
        <f>+(AB609/AD609*0.9)</f>
        <v>2.0053114195520371E-2</v>
      </c>
      <c r="AG609" s="20">
        <f t="shared" ref="AG609:AG615" si="258">+AE609*K609</f>
        <v>9.5012839979619255</v>
      </c>
      <c r="AH609" s="20">
        <f t="shared" ref="AH609:AH615" si="259">+AF609*I609</f>
        <v>38.639008869068498</v>
      </c>
      <c r="AI609" s="3">
        <f t="shared" ref="AI609:AI615" si="260">+AC609-Z609</f>
        <v>146863</v>
      </c>
      <c r="AJ609" s="31">
        <f t="shared" ref="AJ609:AJ615" si="261">+AA609/AD609</f>
        <v>9.35093784971021E-2</v>
      </c>
    </row>
    <row r="610" spans="1:40">
      <c r="A610" s="28">
        <v>46266</v>
      </c>
      <c r="B610" s="2">
        <v>179.24999999999997</v>
      </c>
      <c r="C610" s="2">
        <v>498</v>
      </c>
      <c r="D610" s="2">
        <v>82</v>
      </c>
      <c r="E610" s="2">
        <v>461.91666666666663</v>
      </c>
      <c r="F610" s="2">
        <v>220.5</v>
      </c>
      <c r="G610" s="2">
        <v>56.75</v>
      </c>
      <c r="H610" s="2">
        <v>70.5</v>
      </c>
      <c r="I610" s="2">
        <v>2024.0833333333333</v>
      </c>
      <c r="J610" s="2">
        <v>127.5</v>
      </c>
      <c r="K610" s="2">
        <v>1528.4166666666667</v>
      </c>
      <c r="L610" s="2">
        <v>96</v>
      </c>
      <c r="M610" s="2">
        <v>248.5</v>
      </c>
      <c r="N610" s="107">
        <f t="shared" si="238"/>
        <v>226.38509755351402</v>
      </c>
      <c r="O610" s="7">
        <f t="shared" si="251"/>
        <v>4659.75</v>
      </c>
      <c r="P610" s="7">
        <f t="shared" si="248"/>
        <v>4433.3649024464858</v>
      </c>
      <c r="Q610" s="7">
        <f t="shared" si="249"/>
        <v>1916.3246508642073</v>
      </c>
      <c r="R610" s="7">
        <f t="shared" si="250"/>
        <v>1409.7902515822786</v>
      </c>
      <c r="S610" s="74"/>
      <c r="T610" s="74"/>
      <c r="U610" s="74"/>
      <c r="V610" s="103">
        <v>132306</v>
      </c>
      <c r="W610" s="7">
        <f t="shared" si="256"/>
        <v>140331</v>
      </c>
      <c r="X610" s="103">
        <f t="shared" si="229"/>
        <v>149154</v>
      </c>
      <c r="Y610" s="103">
        <f t="shared" si="235"/>
        <v>140331</v>
      </c>
      <c r="Z610" s="2">
        <v>12263</v>
      </c>
      <c r="AA610" s="103">
        <v>8025</v>
      </c>
      <c r="AB610" s="103">
        <v>8823</v>
      </c>
      <c r="AC610" s="78">
        <v>150100</v>
      </c>
      <c r="AD610" s="103">
        <f t="shared" si="217"/>
        <v>149154</v>
      </c>
      <c r="AE610" s="192">
        <f t="shared" si="257"/>
        <v>7.7613924050632901E-2</v>
      </c>
      <c r="AF610" s="31">
        <f t="shared" ref="AF610:AF615" si="262">+(AB610/AD610*0.9)</f>
        <v>5.3238263807876419E-2</v>
      </c>
      <c r="AG610" s="20">
        <f t="shared" si="258"/>
        <v>118.62641508438817</v>
      </c>
      <c r="AH610" s="20">
        <f t="shared" si="259"/>
        <v>107.75868246912586</v>
      </c>
      <c r="AI610" s="3">
        <f t="shared" si="260"/>
        <v>137837</v>
      </c>
      <c r="AJ610" s="31">
        <f t="shared" si="261"/>
        <v>5.3803451466269761E-2</v>
      </c>
    </row>
    <row r="611" spans="1:40">
      <c r="A611" s="28">
        <v>46267</v>
      </c>
      <c r="B611" s="2">
        <v>195</v>
      </c>
      <c r="C611" s="2">
        <v>496.5</v>
      </c>
      <c r="D611" s="2">
        <v>75</v>
      </c>
      <c r="E611" s="2">
        <v>480.83333333333337</v>
      </c>
      <c r="F611" s="2">
        <v>216</v>
      </c>
      <c r="G611" s="2">
        <v>68</v>
      </c>
      <c r="H611" s="2">
        <v>63</v>
      </c>
      <c r="I611" s="2">
        <v>2187.6666666666665</v>
      </c>
      <c r="J611" s="2">
        <v>120</v>
      </c>
      <c r="K611" s="2">
        <v>1619.2500000000002</v>
      </c>
      <c r="L611" s="2">
        <v>53.833333333333329</v>
      </c>
      <c r="M611" s="2">
        <v>247</v>
      </c>
      <c r="N611" s="107">
        <f t="shared" si="238"/>
        <v>360.11371125511135</v>
      </c>
      <c r="O611" s="7">
        <f t="shared" si="251"/>
        <v>4909.416666666667</v>
      </c>
      <c r="P611" s="7">
        <f t="shared" si="248"/>
        <v>4549.3029554115556</v>
      </c>
      <c r="Q611" s="7">
        <f t="shared" si="249"/>
        <v>1976.410186117392</v>
      </c>
      <c r="R611" s="7">
        <f t="shared" si="250"/>
        <v>1470.3927692941634</v>
      </c>
      <c r="S611" s="74"/>
      <c r="T611" s="74"/>
      <c r="U611" s="74"/>
      <c r="V611" s="103">
        <v>136703</v>
      </c>
      <c r="W611" s="7">
        <f t="shared" si="256"/>
        <v>162264</v>
      </c>
      <c r="X611" s="103">
        <f t="shared" si="229"/>
        <v>181767</v>
      </c>
      <c r="Y611" s="103">
        <f t="shared" si="235"/>
        <v>162264</v>
      </c>
      <c r="Z611" s="2">
        <v>14971</v>
      </c>
      <c r="AA611" s="103">
        <v>25561</v>
      </c>
      <c r="AB611" s="103">
        <v>19503</v>
      </c>
      <c r="AC611" s="78">
        <v>154710</v>
      </c>
      <c r="AD611" s="103">
        <f t="shared" si="217"/>
        <v>181767</v>
      </c>
      <c r="AE611" s="192">
        <f t="shared" si="257"/>
        <v>9.1929739512636541E-2</v>
      </c>
      <c r="AF611" s="31">
        <f t="shared" si="262"/>
        <v>9.6567033619964021E-2</v>
      </c>
      <c r="AG611" s="20">
        <f t="shared" si="258"/>
        <v>148.85723070583674</v>
      </c>
      <c r="AH611" s="20">
        <f t="shared" si="259"/>
        <v>211.25648054927461</v>
      </c>
      <c r="AI611" s="3">
        <f t="shared" si="260"/>
        <v>139739</v>
      </c>
      <c r="AJ611" s="31">
        <f t="shared" si="261"/>
        <v>0.14062508596169823</v>
      </c>
    </row>
    <row r="612" spans="1:40">
      <c r="A612" s="28">
        <v>46268</v>
      </c>
      <c r="B612" s="2">
        <v>202.5</v>
      </c>
      <c r="C612" s="2">
        <v>455.41666666666663</v>
      </c>
      <c r="D612" s="2">
        <v>85</v>
      </c>
      <c r="E612" s="2">
        <v>504.00000000000006</v>
      </c>
      <c r="F612" s="2">
        <v>282.41666666666663</v>
      </c>
      <c r="G612" s="2">
        <v>68</v>
      </c>
      <c r="H612" s="2">
        <v>62</v>
      </c>
      <c r="I612" s="2">
        <v>2437.1666666666665</v>
      </c>
      <c r="J612" s="2">
        <v>108</v>
      </c>
      <c r="K612" s="2">
        <v>2012.5</v>
      </c>
      <c r="L612" s="2">
        <v>50.083333333333329</v>
      </c>
      <c r="M612" s="2">
        <v>252.58333333333334</v>
      </c>
      <c r="N612" s="107">
        <f t="shared" si="238"/>
        <v>47.964136970772337</v>
      </c>
      <c r="O612" s="7">
        <f t="shared" si="251"/>
        <v>5583</v>
      </c>
      <c r="P612" s="7">
        <f t="shared" si="248"/>
        <v>5535.0358630292276</v>
      </c>
      <c r="Q612" s="7">
        <f t="shared" si="249"/>
        <v>2437.1666666666665</v>
      </c>
      <c r="R612" s="7">
        <f t="shared" si="250"/>
        <v>1964.5358630292276</v>
      </c>
      <c r="S612" s="74"/>
      <c r="T612" s="74"/>
      <c r="U612" s="74"/>
      <c r="V612" s="103">
        <v>116733</v>
      </c>
      <c r="W612" s="7">
        <f t="shared" si="256"/>
        <v>122468</v>
      </c>
      <c r="X612" s="103">
        <f t="shared" si="229"/>
        <v>122468</v>
      </c>
      <c r="Y612" s="103">
        <f>+X612-AB612</f>
        <v>122468</v>
      </c>
      <c r="Z612" s="2">
        <v>3563</v>
      </c>
      <c r="AA612" s="103">
        <v>5735</v>
      </c>
      <c r="AB612" s="103"/>
      <c r="AC612" s="78">
        <v>142023</v>
      </c>
      <c r="AD612" s="103">
        <f t="shared" si="217"/>
        <v>122468</v>
      </c>
      <c r="AE612" s="192">
        <f t="shared" si="257"/>
        <v>2.3833111538271969E-2</v>
      </c>
      <c r="AF612" s="31">
        <f t="shared" si="262"/>
        <v>0</v>
      </c>
      <c r="AG612" s="20">
        <f t="shared" si="258"/>
        <v>47.964136970772337</v>
      </c>
      <c r="AH612" s="20">
        <f t="shared" si="259"/>
        <v>0</v>
      </c>
      <c r="AI612" s="3">
        <f t="shared" si="260"/>
        <v>138460</v>
      </c>
      <c r="AJ612" s="31">
        <f t="shared" si="261"/>
        <v>4.6828559297122513E-2</v>
      </c>
    </row>
    <row r="613" spans="1:40">
      <c r="A613" s="28">
        <v>46269</v>
      </c>
      <c r="B613" s="2">
        <v>180</v>
      </c>
      <c r="C613" s="2">
        <v>482.83333333333337</v>
      </c>
      <c r="D613" s="2">
        <v>84.166666666666671</v>
      </c>
      <c r="E613" s="2">
        <v>477.5</v>
      </c>
      <c r="F613" s="2">
        <v>274.66666666666669</v>
      </c>
      <c r="G613" s="2">
        <v>66.583333333333343</v>
      </c>
      <c r="H613" s="2">
        <v>70.5</v>
      </c>
      <c r="I613" s="2">
        <v>2246.166666666667</v>
      </c>
      <c r="J613" s="2">
        <v>105</v>
      </c>
      <c r="K613" s="2">
        <v>1830.3333333333333</v>
      </c>
      <c r="L613" s="2">
        <v>47</v>
      </c>
      <c r="M613" s="2">
        <v>229</v>
      </c>
      <c r="N613" s="107">
        <f t="shared" si="238"/>
        <v>6.2625104794517679</v>
      </c>
      <c r="O613" s="7">
        <f t="shared" si="251"/>
        <v>5203.166666666667</v>
      </c>
      <c r="P613" s="7">
        <f t="shared" si="248"/>
        <v>5196.9041561872154</v>
      </c>
      <c r="Q613" s="7">
        <f t="shared" si="249"/>
        <v>2246.1346859353125</v>
      </c>
      <c r="R613" s="7">
        <f t="shared" si="250"/>
        <v>1824.1028035852357</v>
      </c>
      <c r="S613"/>
      <c r="T613"/>
      <c r="U613"/>
      <c r="V613" s="103">
        <v>121896</v>
      </c>
      <c r="W613" s="7">
        <f t="shared" si="256"/>
        <v>126421</v>
      </c>
      <c r="X613" s="103">
        <f t="shared" si="229"/>
        <v>126423</v>
      </c>
      <c r="Y613" s="103">
        <f t="shared" si="235"/>
        <v>126421</v>
      </c>
      <c r="Z613" s="2">
        <v>587</v>
      </c>
      <c r="AA613" s="103">
        <v>4525</v>
      </c>
      <c r="AB613" s="103">
        <v>2</v>
      </c>
      <c r="AC613" s="78">
        <v>163820</v>
      </c>
      <c r="AD613" s="103">
        <f t="shared" si="217"/>
        <v>126423</v>
      </c>
      <c r="AE613" s="192">
        <f t="shared" si="257"/>
        <v>3.4040410206324012E-3</v>
      </c>
      <c r="AF613" s="31">
        <f t="shared" si="262"/>
        <v>1.4237915569160676E-5</v>
      </c>
      <c r="AG613" s="20">
        <f t="shared" si="258"/>
        <v>6.2305297480975046</v>
      </c>
      <c r="AH613" s="20">
        <f t="shared" si="259"/>
        <v>3.1980731354263076E-2</v>
      </c>
      <c r="AI613" s="3">
        <f t="shared" si="260"/>
        <v>163233</v>
      </c>
      <c r="AJ613" s="31">
        <f t="shared" si="261"/>
        <v>3.5792537750251138E-2</v>
      </c>
    </row>
    <row r="614" spans="1:40">
      <c r="A614" s="28">
        <v>46270</v>
      </c>
      <c r="B614" s="2">
        <v>184.5</v>
      </c>
      <c r="C614" s="2">
        <v>437.91666666666663</v>
      </c>
      <c r="D614" s="2">
        <v>82.5</v>
      </c>
      <c r="E614" s="2">
        <v>375</v>
      </c>
      <c r="F614" s="2">
        <v>244.08333333333331</v>
      </c>
      <c r="G614" s="2">
        <v>0</v>
      </c>
      <c r="H614" s="2">
        <v>45</v>
      </c>
      <c r="I614" s="2">
        <v>2223.25</v>
      </c>
      <c r="J614" s="2">
        <v>112.5</v>
      </c>
      <c r="K614" s="2">
        <v>1628.4166666666667</v>
      </c>
      <c r="L614" s="2">
        <v>45</v>
      </c>
      <c r="M614" s="2">
        <v>222.75</v>
      </c>
      <c r="N614" s="107">
        <f t="shared" si="238"/>
        <v>332.66572968529255</v>
      </c>
      <c r="O614" s="7">
        <f t="shared" si="251"/>
        <v>4913.166666666667</v>
      </c>
      <c r="P614" s="7">
        <f t="shared" si="248"/>
        <v>4580.5009369813743</v>
      </c>
      <c r="Q614" s="7">
        <f t="shared" si="249"/>
        <v>2221.975077448697</v>
      </c>
      <c r="R614" s="7">
        <f t="shared" si="250"/>
        <v>1297.025859532677</v>
      </c>
      <c r="S614"/>
      <c r="T614"/>
      <c r="U614"/>
      <c r="V614" s="103">
        <v>130853</v>
      </c>
      <c r="W614" s="7">
        <f t="shared" si="256"/>
        <v>136455</v>
      </c>
      <c r="X614" s="103">
        <f t="shared" si="229"/>
        <v>136542</v>
      </c>
      <c r="Y614" s="103">
        <f t="shared" si="235"/>
        <v>136455</v>
      </c>
      <c r="Z614" s="2">
        <v>19671</v>
      </c>
      <c r="AA614" s="103">
        <v>5602</v>
      </c>
      <c r="AB614" s="103">
        <v>87</v>
      </c>
      <c r="AC614" s="78">
        <v>91828</v>
      </c>
      <c r="AD614" s="103">
        <f t="shared" si="217"/>
        <v>136542</v>
      </c>
      <c r="AE614" s="192">
        <f t="shared" si="257"/>
        <v>0.20350492224593805</v>
      </c>
      <c r="AF614" s="31">
        <f t="shared" si="262"/>
        <v>5.7344992749483676E-4</v>
      </c>
      <c r="AG614" s="20">
        <f t="shared" si="258"/>
        <v>331.39080713398965</v>
      </c>
      <c r="AH614" s="20">
        <f t="shared" si="259"/>
        <v>1.2749225513028959</v>
      </c>
      <c r="AI614" s="3">
        <f t="shared" si="260"/>
        <v>72157</v>
      </c>
      <c r="AJ614" s="31">
        <f t="shared" si="261"/>
        <v>4.102766914209547E-2</v>
      </c>
    </row>
    <row r="615" spans="1:40" ht="16.8">
      <c r="A615" s="28">
        <v>46271</v>
      </c>
      <c r="B615" s="2">
        <v>127.5</v>
      </c>
      <c r="C615" s="2">
        <v>247.5</v>
      </c>
      <c r="D615" s="2">
        <v>75</v>
      </c>
      <c r="E615" s="2">
        <v>140.83333333333331</v>
      </c>
      <c r="F615" s="2">
        <v>215.5</v>
      </c>
      <c r="G615" s="2">
        <v>0</v>
      </c>
      <c r="H615" s="2">
        <v>30</v>
      </c>
      <c r="I615" s="2">
        <v>1708.3333333333333</v>
      </c>
      <c r="J615" s="2">
        <v>110.58333333333333</v>
      </c>
      <c r="K615" s="2">
        <v>1112.0833333333335</v>
      </c>
      <c r="L615" s="2">
        <v>45</v>
      </c>
      <c r="M615" s="2">
        <v>199.91666666666666</v>
      </c>
      <c r="N615" s="107">
        <f t="shared" si="238"/>
        <v>451.10867292624647</v>
      </c>
      <c r="O615" s="7">
        <f t="shared" si="251"/>
        <v>3596.5</v>
      </c>
      <c r="P615" s="7">
        <f t="shared" si="248"/>
        <v>3145.3913270737539</v>
      </c>
      <c r="Q615" s="7">
        <f t="shared" si="249"/>
        <v>1534.2053581304003</v>
      </c>
      <c r="R615" s="7">
        <f t="shared" si="250"/>
        <v>835.10263561001989</v>
      </c>
      <c r="S615" s="164"/>
      <c r="T615" s="164"/>
      <c r="U615" s="164"/>
      <c r="V615" s="103">
        <v>105882</v>
      </c>
      <c r="W615" s="7">
        <f t="shared" si="256"/>
        <v>109569</v>
      </c>
      <c r="X615" s="103">
        <f t="shared" si="229"/>
        <v>123563</v>
      </c>
      <c r="Y615" s="103">
        <f t="shared" si="235"/>
        <v>109569</v>
      </c>
      <c r="Z615" s="2">
        <v>29096</v>
      </c>
      <c r="AA615" s="103">
        <v>3687</v>
      </c>
      <c r="AB615" s="103">
        <v>13994</v>
      </c>
      <c r="AC615" s="78">
        <v>110980</v>
      </c>
      <c r="AD615" s="103">
        <f t="shared" si="217"/>
        <v>123563</v>
      </c>
      <c r="AE615" s="192">
        <f t="shared" si="257"/>
        <v>0.24906469634168316</v>
      </c>
      <c r="AF615" s="31">
        <f t="shared" si="262"/>
        <v>0.10192857085049732</v>
      </c>
      <c r="AG615" s="20">
        <f t="shared" si="258"/>
        <v>276.98069772331354</v>
      </c>
      <c r="AH615" s="20">
        <f t="shared" si="259"/>
        <v>174.12797520293293</v>
      </c>
      <c r="AI615" s="3">
        <f t="shared" si="260"/>
        <v>81884</v>
      </c>
      <c r="AJ615" s="31">
        <f t="shared" si="261"/>
        <v>2.983902948293583E-2</v>
      </c>
    </row>
    <row r="616" spans="1:40" ht="16.8">
      <c r="A616" s="28">
        <v>46272</v>
      </c>
      <c r="B616" s="3">
        <v>195</v>
      </c>
      <c r="C616" s="3">
        <v>280.66666666666663</v>
      </c>
      <c r="D616" s="3">
        <v>82.5</v>
      </c>
      <c r="E616" s="3">
        <v>551</v>
      </c>
      <c r="F616" s="3">
        <v>341.08333333333337</v>
      </c>
      <c r="G616" s="3">
        <v>142.66666666666666</v>
      </c>
      <c r="H616" s="3">
        <v>70.5</v>
      </c>
      <c r="I616" s="3">
        <v>2649.5</v>
      </c>
      <c r="J616" s="3">
        <v>126.83333333333333</v>
      </c>
      <c r="K616" s="3">
        <v>1672.5</v>
      </c>
      <c r="L616" s="3">
        <v>85.5</v>
      </c>
      <c r="M616" s="3">
        <v>285.25</v>
      </c>
      <c r="N616" s="107">
        <f t="shared" si="238"/>
        <v>545.29731740763145</v>
      </c>
      <c r="O616" s="7">
        <f t="shared" si="251"/>
        <v>5348.083333333333</v>
      </c>
      <c r="P616" s="7">
        <f t="shared" si="248"/>
        <v>4802.7860159257016</v>
      </c>
      <c r="Q616" s="7">
        <f t="shared" si="249"/>
        <v>2447.0743372744246</v>
      </c>
      <c r="R616" s="7">
        <f t="shared" si="250"/>
        <v>1329.6283453179442</v>
      </c>
      <c r="S616" s="81"/>
      <c r="T616" s="164"/>
      <c r="U616" s="81"/>
      <c r="V616" s="103">
        <v>144446</v>
      </c>
      <c r="W616" s="7">
        <f t="shared" si="256"/>
        <v>154411</v>
      </c>
      <c r="X616" s="103">
        <f>+V616+AB616+AA616</f>
        <v>168735</v>
      </c>
      <c r="Y616" s="103">
        <f t="shared" si="235"/>
        <v>154411</v>
      </c>
      <c r="Z616" s="2">
        <v>38833</v>
      </c>
      <c r="AA616" s="103">
        <v>9965</v>
      </c>
      <c r="AB616" s="103">
        <v>14324</v>
      </c>
      <c r="AC616" s="78">
        <v>179953</v>
      </c>
      <c r="AD616" s="103">
        <f t="shared" si="217"/>
        <v>168735</v>
      </c>
      <c r="AE616" s="192">
        <f t="shared" ref="AE616:AE621" si="263">+(Z616/AC616*0.95)</f>
        <v>0.20500547365145341</v>
      </c>
      <c r="AF616" s="31">
        <f t="shared" ref="AF616:AF621" si="264">+(AB616/AD616*0.9)</f>
        <v>7.6401457907369547E-2</v>
      </c>
      <c r="AG616" s="20">
        <f t="shared" ref="AG616:AG621" si="265">+AE616*K616</f>
        <v>342.87165468205581</v>
      </c>
      <c r="AH616" s="20">
        <f t="shared" ref="AH616:AH621" si="266">+AF616*I616</f>
        <v>202.42566272557562</v>
      </c>
      <c r="AI616" s="3">
        <f t="shared" ref="AI616:AI621" si="267">+AC616-Z616</f>
        <v>141120</v>
      </c>
      <c r="AJ616" s="31">
        <f t="shared" ref="AJ616:AJ621" si="268">+AA616/AD616</f>
        <v>5.9057101371973807E-2</v>
      </c>
    </row>
    <row r="617" spans="1:40" ht="16.8">
      <c r="A617" s="28">
        <v>46273</v>
      </c>
      <c r="B617" s="3">
        <v>187.5</v>
      </c>
      <c r="C617" s="3">
        <v>465</v>
      </c>
      <c r="D617" s="3">
        <v>75</v>
      </c>
      <c r="E617" s="3">
        <v>495.33333333333331</v>
      </c>
      <c r="F617" s="3">
        <v>360</v>
      </c>
      <c r="G617" s="3">
        <v>125.25</v>
      </c>
      <c r="H617" s="3">
        <v>63</v>
      </c>
      <c r="I617" s="3">
        <v>2631.3333333333335</v>
      </c>
      <c r="J617" s="3">
        <v>116.5</v>
      </c>
      <c r="K617" s="3">
        <v>1668.0833333333333</v>
      </c>
      <c r="L617" s="3">
        <v>73.5</v>
      </c>
      <c r="M617" s="3">
        <v>284.66666666666663</v>
      </c>
      <c r="N617" s="107">
        <f t="shared" si="238"/>
        <v>577.25400848651918</v>
      </c>
      <c r="O617" s="7">
        <f t="shared" si="251"/>
        <v>5503.416666666667</v>
      </c>
      <c r="P617" s="7">
        <f t="shared" si="248"/>
        <v>4926.1626581801474</v>
      </c>
      <c r="Q617" s="7">
        <f t="shared" si="249"/>
        <v>2501.3572131931542</v>
      </c>
      <c r="R617" s="7">
        <f t="shared" si="250"/>
        <v>1220.8054449869933</v>
      </c>
      <c r="S617" s="164"/>
      <c r="T617" s="164"/>
      <c r="U617" s="81"/>
      <c r="V617" s="103">
        <v>157790</v>
      </c>
      <c r="W617" s="7">
        <f t="shared" si="256"/>
        <v>160734</v>
      </c>
      <c r="X617" s="103">
        <f t="shared" si="229"/>
        <v>170068</v>
      </c>
      <c r="Y617" s="103">
        <f t="shared" si="235"/>
        <v>160734</v>
      </c>
      <c r="Z617" s="2">
        <v>51792</v>
      </c>
      <c r="AA617" s="103">
        <v>2944</v>
      </c>
      <c r="AB617" s="103">
        <v>9334</v>
      </c>
      <c r="AC617" s="78">
        <v>183496</v>
      </c>
      <c r="AD617" s="103">
        <f t="shared" si="217"/>
        <v>170068</v>
      </c>
      <c r="AE617" s="192">
        <f t="shared" si="263"/>
        <v>0.26813881501504117</v>
      </c>
      <c r="AF617" s="31">
        <f t="shared" si="264"/>
        <v>4.9395535903285749E-2</v>
      </c>
      <c r="AG617" s="20">
        <f t="shared" si="265"/>
        <v>447.27788834633992</v>
      </c>
      <c r="AH617" s="20">
        <f t="shared" si="266"/>
        <v>129.97612014017923</v>
      </c>
      <c r="AI617" s="3">
        <f t="shared" si="267"/>
        <v>131704</v>
      </c>
      <c r="AJ617" s="31">
        <f t="shared" si="268"/>
        <v>1.7310722769715643E-2</v>
      </c>
    </row>
    <row r="618" spans="1:40" ht="16.8">
      <c r="A618" s="28">
        <v>46274</v>
      </c>
      <c r="B618" s="3">
        <v>187.5</v>
      </c>
      <c r="C618" s="3">
        <v>415.33333333333337</v>
      </c>
      <c r="D618" s="3">
        <v>82.5</v>
      </c>
      <c r="E618" s="3">
        <v>508.08333333333331</v>
      </c>
      <c r="F618" s="3">
        <v>350.91666666666663</v>
      </c>
      <c r="G618" s="3">
        <v>139.83333333333331</v>
      </c>
      <c r="H618" s="3">
        <v>70.5</v>
      </c>
      <c r="I618" s="3">
        <v>2685.333333333333</v>
      </c>
      <c r="J618" s="3">
        <v>133.08333333333334</v>
      </c>
      <c r="K618" s="3">
        <v>1753.8333333333335</v>
      </c>
      <c r="L618" s="3">
        <v>88.25</v>
      </c>
      <c r="M618" s="3">
        <v>311.41666666666669</v>
      </c>
      <c r="N618" s="107">
        <f t="shared" si="238"/>
        <v>370.36242425233888</v>
      </c>
      <c r="O618" s="7">
        <f t="shared" si="251"/>
        <v>5608.4999999999991</v>
      </c>
      <c r="P618" s="7">
        <f t="shared" si="248"/>
        <v>5238.1375757476599</v>
      </c>
      <c r="Q618" s="7">
        <f t="shared" si="249"/>
        <v>2397.9649076371652</v>
      </c>
      <c r="R618" s="7">
        <f t="shared" si="250"/>
        <v>1670.8393347771621</v>
      </c>
      <c r="S618" s="164"/>
      <c r="T618" s="164"/>
      <c r="U618" s="81"/>
      <c r="V618" s="103">
        <v>133719</v>
      </c>
      <c r="W618" s="7">
        <f>+V618-U618-S618+AA618</f>
        <v>143808</v>
      </c>
      <c r="X618" s="103">
        <f t="shared" si="229"/>
        <v>163215</v>
      </c>
      <c r="Y618" s="103">
        <f t="shared" si="235"/>
        <v>143808</v>
      </c>
      <c r="Z618" s="2">
        <v>8602</v>
      </c>
      <c r="AA618" s="103">
        <v>10089</v>
      </c>
      <c r="AB618" s="103">
        <v>19407</v>
      </c>
      <c r="AC618" s="78">
        <v>172689</v>
      </c>
      <c r="AD618" s="103">
        <f t="shared" si="217"/>
        <v>163215</v>
      </c>
      <c r="AE618" s="192">
        <f t="shared" si="263"/>
        <v>4.7321485444932795E-2</v>
      </c>
      <c r="AF618" s="31">
        <f t="shared" si="264"/>
        <v>0.1070140612076096</v>
      </c>
      <c r="AG618" s="20">
        <f t="shared" si="265"/>
        <v>82.993998556171306</v>
      </c>
      <c r="AH618" s="20">
        <f t="shared" si="266"/>
        <v>287.36842569616761</v>
      </c>
      <c r="AI618" s="3">
        <f t="shared" si="267"/>
        <v>164087</v>
      </c>
      <c r="AJ618" s="31">
        <f t="shared" si="268"/>
        <v>6.1814171491590846E-2</v>
      </c>
    </row>
    <row r="619" spans="1:40" ht="16.8">
      <c r="A619" s="28">
        <v>46275</v>
      </c>
      <c r="B619" s="3">
        <v>202.5</v>
      </c>
      <c r="C619" s="3">
        <v>427.5</v>
      </c>
      <c r="D619" s="3">
        <v>82.5</v>
      </c>
      <c r="E619" s="3">
        <v>510.16666666666669</v>
      </c>
      <c r="F619" s="3">
        <v>339</v>
      </c>
      <c r="G619" s="3">
        <v>138.75</v>
      </c>
      <c r="H619" s="3">
        <v>70.5</v>
      </c>
      <c r="I619" s="3">
        <v>2569.4166666666665</v>
      </c>
      <c r="J619" s="3">
        <v>148.08333333333334</v>
      </c>
      <c r="K619" s="3">
        <v>1605.4166666666665</v>
      </c>
      <c r="L619" s="3">
        <v>87.5</v>
      </c>
      <c r="M619" s="3">
        <v>293.33333333333331</v>
      </c>
      <c r="N619" s="107">
        <f t="shared" si="238"/>
        <v>194.66458305047647</v>
      </c>
      <c r="O619" s="7">
        <f t="shared" si="251"/>
        <v>5374.4166666666661</v>
      </c>
      <c r="P619" s="7">
        <f t="shared" si="248"/>
        <v>5179.7520836161902</v>
      </c>
      <c r="Q619" s="7">
        <f t="shared" si="249"/>
        <v>2437.5987016303893</v>
      </c>
      <c r="R619" s="7">
        <f t="shared" si="250"/>
        <v>1542.5700486524672</v>
      </c>
      <c r="S619" s="81"/>
      <c r="T619" s="164"/>
      <c r="U619" s="81"/>
      <c r="V619" s="103">
        <v>160458</v>
      </c>
      <c r="W619" s="7">
        <f t="shared" si="256"/>
        <v>165843</v>
      </c>
      <c r="X619" s="103">
        <f t="shared" si="229"/>
        <v>175868</v>
      </c>
      <c r="Y619" s="103">
        <f t="shared" si="235"/>
        <v>165843</v>
      </c>
      <c r="Z619" s="2">
        <v>7466</v>
      </c>
      <c r="AA619" s="103">
        <v>5385</v>
      </c>
      <c r="AB619" s="103">
        <v>10025</v>
      </c>
      <c r="AC619" s="78">
        <v>181183</v>
      </c>
      <c r="AD619" s="103">
        <f t="shared" si="217"/>
        <v>175868</v>
      </c>
      <c r="AE619" s="192">
        <f t="shared" si="263"/>
        <v>3.9146608677414547E-2</v>
      </c>
      <c r="AF619" s="31">
        <f t="shared" si="264"/>
        <v>5.1302681556622015E-2</v>
      </c>
      <c r="AG619" s="20">
        <f t="shared" si="265"/>
        <v>62.846618014199265</v>
      </c>
      <c r="AH619" s="20">
        <f t="shared" si="266"/>
        <v>131.8179650362772</v>
      </c>
      <c r="AI619" s="3">
        <f t="shared" si="267"/>
        <v>173717</v>
      </c>
      <c r="AJ619" s="31">
        <f t="shared" si="268"/>
        <v>3.0619555575772738E-2</v>
      </c>
    </row>
    <row r="620" spans="1:40" ht="16.8">
      <c r="A620" s="28">
        <v>46276</v>
      </c>
      <c r="B620" s="3">
        <v>207</v>
      </c>
      <c r="C620" s="3">
        <v>438.83333333333326</v>
      </c>
      <c r="D620" s="3">
        <v>89.666666666666657</v>
      </c>
      <c r="E620" s="3">
        <v>553.16666666666674</v>
      </c>
      <c r="F620" s="3">
        <v>429.08333333333331</v>
      </c>
      <c r="G620" s="3">
        <v>152.25</v>
      </c>
      <c r="H620" s="3">
        <v>68.25</v>
      </c>
      <c r="I620" s="3">
        <v>2756.1666666666665</v>
      </c>
      <c r="J620" s="3">
        <v>143.5</v>
      </c>
      <c r="K620" s="3">
        <v>1451.3333333333333</v>
      </c>
      <c r="L620" s="3">
        <v>43.25</v>
      </c>
      <c r="M620" s="3">
        <v>271.58333333333331</v>
      </c>
      <c r="N620" s="107">
        <f t="shared" si="238"/>
        <v>138.91486493228371</v>
      </c>
      <c r="O620" s="7">
        <f t="shared" si="251"/>
        <v>5515.583333333333</v>
      </c>
      <c r="P620" s="7">
        <f t="shared" si="248"/>
        <v>5376.6684684010497</v>
      </c>
      <c r="Q620" s="7">
        <f t="shared" si="249"/>
        <v>2663.7223558826304</v>
      </c>
      <c r="R620" s="7">
        <f t="shared" si="250"/>
        <v>1404.8627791850859</v>
      </c>
      <c r="S620" s="164"/>
      <c r="T620" s="164"/>
      <c r="U620" s="81"/>
      <c r="V620" s="103">
        <v>172460</v>
      </c>
      <c r="W620" s="7">
        <f t="shared" si="256"/>
        <v>173468</v>
      </c>
      <c r="X620" s="103">
        <f t="shared" si="229"/>
        <v>180183</v>
      </c>
      <c r="Y620" s="103">
        <f t="shared" si="235"/>
        <v>173468</v>
      </c>
      <c r="Z620" s="2">
        <v>4750</v>
      </c>
      <c r="AA620" s="103">
        <v>1008</v>
      </c>
      <c r="AB620" s="103">
        <v>6715</v>
      </c>
      <c r="AC620" s="78">
        <v>140931</v>
      </c>
      <c r="AD620" s="103">
        <f t="shared" si="217"/>
        <v>180183</v>
      </c>
      <c r="AE620" s="192">
        <f t="shared" si="263"/>
        <v>3.2019215076881595E-2</v>
      </c>
      <c r="AF620" s="31">
        <f t="shared" si="264"/>
        <v>3.3540900084913672E-2</v>
      </c>
      <c r="AG620" s="20">
        <f t="shared" si="265"/>
        <v>46.470554148247487</v>
      </c>
      <c r="AH620" s="20">
        <f t="shared" si="266"/>
        <v>92.444310784036233</v>
      </c>
      <c r="AI620" s="3">
        <f t="shared" si="267"/>
        <v>136181</v>
      </c>
      <c r="AJ620" s="31">
        <f t="shared" si="268"/>
        <v>5.5943124490101734E-3</v>
      </c>
    </row>
    <row r="621" spans="1:40" ht="16.8">
      <c r="A621" s="28">
        <v>46277</v>
      </c>
      <c r="B621" s="3">
        <v>202.5</v>
      </c>
      <c r="C621" s="3">
        <v>427.41666666666674</v>
      </c>
      <c r="D621" s="3">
        <v>87.5</v>
      </c>
      <c r="E621" s="3">
        <v>351.83333333333337</v>
      </c>
      <c r="F621" s="3">
        <v>356.25</v>
      </c>
      <c r="G621" s="3">
        <v>0</v>
      </c>
      <c r="H621" s="3">
        <v>45</v>
      </c>
      <c r="I621" s="3">
        <v>2560.166666666667</v>
      </c>
      <c r="J621" s="3">
        <v>134</v>
      </c>
      <c r="K621" s="3">
        <v>1176.4999999999998</v>
      </c>
      <c r="L621" s="3">
        <v>60</v>
      </c>
      <c r="M621" s="3">
        <v>257.75</v>
      </c>
      <c r="N621" s="107">
        <f t="shared" si="238"/>
        <v>262.71922804190763</v>
      </c>
      <c r="O621" s="7">
        <f t="shared" si="251"/>
        <v>4944.3333333333339</v>
      </c>
      <c r="P621" s="7">
        <f t="shared" si="248"/>
        <v>4681.6141052914263</v>
      </c>
      <c r="Q621" s="7">
        <f t="shared" si="249"/>
        <v>2560.166666666667</v>
      </c>
      <c r="R621" s="7">
        <f t="shared" si="250"/>
        <v>913.78077195809215</v>
      </c>
      <c r="S621" s="81"/>
      <c r="T621" s="164"/>
      <c r="U621" s="81"/>
      <c r="V621" s="103">
        <v>176609</v>
      </c>
      <c r="W621" s="7">
        <f t="shared" si="256"/>
        <v>180638</v>
      </c>
      <c r="X621" s="103">
        <f t="shared" si="229"/>
        <v>180638</v>
      </c>
      <c r="Y621" s="103">
        <f t="shared" si="235"/>
        <v>180638</v>
      </c>
      <c r="Z621" s="2">
        <v>31657</v>
      </c>
      <c r="AA621" s="103">
        <v>4029</v>
      </c>
      <c r="AB621" s="103"/>
      <c r="AC621" s="78">
        <v>134677</v>
      </c>
      <c r="AD621" s="103">
        <f t="shared" si="217"/>
        <v>180638</v>
      </c>
      <c r="AE621" s="192">
        <f t="shared" si="263"/>
        <v>0.22330576119159173</v>
      </c>
      <c r="AF621" s="31">
        <f t="shared" si="264"/>
        <v>0</v>
      </c>
      <c r="AG621" s="20">
        <f t="shared" si="265"/>
        <v>262.71922804190763</v>
      </c>
      <c r="AH621" s="20">
        <f t="shared" si="266"/>
        <v>0</v>
      </c>
      <c r="AI621" s="3">
        <f t="shared" si="267"/>
        <v>103020</v>
      </c>
      <c r="AJ621" s="31">
        <f t="shared" si="268"/>
        <v>2.2304277062412118E-2</v>
      </c>
      <c r="AN621" s="31"/>
    </row>
    <row r="622" spans="1:40" ht="16.8">
      <c r="A622" s="28">
        <v>46278</v>
      </c>
      <c r="B622" s="3">
        <v>0</v>
      </c>
      <c r="C622" s="3">
        <v>0</v>
      </c>
      <c r="D622" s="3">
        <v>0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107">
        <f t="shared" si="238"/>
        <v>0</v>
      </c>
      <c r="O622" s="7">
        <f t="shared" si="251"/>
        <v>0</v>
      </c>
      <c r="P622" s="7">
        <f t="shared" si="248"/>
        <v>0</v>
      </c>
      <c r="Q622" s="7">
        <f t="shared" si="249"/>
        <v>0</v>
      </c>
      <c r="R622" s="7">
        <f t="shared" si="250"/>
        <v>0</v>
      </c>
      <c r="S622" s="164"/>
      <c r="T622" s="164"/>
      <c r="U622" s="81"/>
      <c r="V622" s="103"/>
      <c r="W622" s="7"/>
      <c r="X622" s="103"/>
      <c r="Y622" s="103"/>
      <c r="Z622" s="2"/>
      <c r="AA622" s="103"/>
      <c r="AB622" s="103"/>
      <c r="AD622" s="103"/>
      <c r="AE622" s="192"/>
      <c r="AF622" s="31"/>
      <c r="AG622" s="20"/>
      <c r="AH622" s="20"/>
      <c r="AI622" s="3"/>
      <c r="AJ622" s="31"/>
    </row>
    <row r="623" spans="1:40" ht="16.8">
      <c r="A623" s="28">
        <v>46279</v>
      </c>
      <c r="B623" s="3">
        <v>195</v>
      </c>
      <c r="C623" s="3">
        <v>606</v>
      </c>
      <c r="D623" s="3">
        <v>74.083333333333343</v>
      </c>
      <c r="E623" s="3">
        <v>481</v>
      </c>
      <c r="F623" s="3">
        <v>477.75</v>
      </c>
      <c r="G623" s="3">
        <v>181.66666666666666</v>
      </c>
      <c r="H623" s="3">
        <v>78</v>
      </c>
      <c r="I623" s="3">
        <v>2604.583333333333</v>
      </c>
      <c r="J623" s="3">
        <v>239.58333333333334</v>
      </c>
      <c r="K623" s="3">
        <v>1643.6666666666665</v>
      </c>
      <c r="L623" s="3">
        <v>85.5</v>
      </c>
      <c r="M623" s="3">
        <v>287</v>
      </c>
      <c r="N623" s="107">
        <f t="shared" ref="N623:N628" si="269">+AH623+AG623</f>
        <v>343.44611502240241</v>
      </c>
      <c r="O623" s="7">
        <f t="shared" ref="O623:O628" si="270">+B623+C623+D623+F623+I623+K623+J623</f>
        <v>5840.6666666666661</v>
      </c>
      <c r="P623" s="7">
        <f t="shared" ref="P623:P628" si="271">+B623+C623+D623+F623+J623+Q623+R623</f>
        <v>5497.2205516442637</v>
      </c>
      <c r="Q623" s="7">
        <f t="shared" ref="Q623:Q628" si="272">+I623-AH623</f>
        <v>2266.4282627614839</v>
      </c>
      <c r="R623" s="7">
        <f t="shared" ref="R623:R628" si="273">+K623-AG623</f>
        <v>1638.375622216113</v>
      </c>
      <c r="S623" s="164"/>
      <c r="T623" s="164"/>
      <c r="U623" s="81"/>
      <c r="V623" s="103">
        <v>148135</v>
      </c>
      <c r="W623" s="7">
        <f t="shared" si="256"/>
        <v>151755</v>
      </c>
      <c r="X623" s="103">
        <f t="shared" si="229"/>
        <v>177337</v>
      </c>
      <c r="Y623" s="103">
        <f t="shared" si="235"/>
        <v>151755</v>
      </c>
      <c r="Z623" s="2">
        <v>567</v>
      </c>
      <c r="AA623" s="103">
        <v>3620</v>
      </c>
      <c r="AB623" s="2">
        <v>25582</v>
      </c>
      <c r="AC623" s="78">
        <v>167332</v>
      </c>
      <c r="AD623" s="103">
        <f t="shared" si="217"/>
        <v>177337</v>
      </c>
      <c r="AE623" s="192">
        <f t="shared" ref="AE623:AE628" si="274">+(Z623/AC623*0.95)</f>
        <v>3.2190495541797146E-3</v>
      </c>
      <c r="AF623" s="31">
        <f t="shared" ref="AF623:AF628" si="275">+(AB623/AD623*0.9)</f>
        <v>0.12983077417572192</v>
      </c>
      <c r="AG623" s="20">
        <f t="shared" ref="AG623:AG628" si="276">+AE623*K623</f>
        <v>5.2910444505533905</v>
      </c>
      <c r="AH623" s="20">
        <f t="shared" ref="AH623:AH628" si="277">+AF623*I623</f>
        <v>338.15507057184902</v>
      </c>
      <c r="AI623" s="3">
        <f t="shared" ref="AI623:AI628" si="278">+AC623-Z623</f>
        <v>166765</v>
      </c>
      <c r="AJ623" s="31">
        <f t="shared" ref="AJ623:AJ628" si="279">+AA623/AD623</f>
        <v>2.041311175896739E-2</v>
      </c>
    </row>
    <row r="624" spans="1:40">
      <c r="A624" s="28">
        <v>46280</v>
      </c>
      <c r="B624" s="3">
        <v>187.5</v>
      </c>
      <c r="C624" s="3">
        <v>490.5</v>
      </c>
      <c r="D624" s="3">
        <v>82.5</v>
      </c>
      <c r="E624" s="3">
        <v>527.25</v>
      </c>
      <c r="F624" s="3">
        <v>371.33333333333337</v>
      </c>
      <c r="G624" s="3">
        <v>185.16666666666666</v>
      </c>
      <c r="H624" s="3">
        <v>84.75</v>
      </c>
      <c r="I624" s="3">
        <v>2991.5</v>
      </c>
      <c r="J624" s="3">
        <v>181</v>
      </c>
      <c r="K624" s="3">
        <v>1525.5833333333333</v>
      </c>
      <c r="L624" s="3">
        <v>70.5</v>
      </c>
      <c r="M624" s="3">
        <v>290.41666666666669</v>
      </c>
      <c r="N624" s="107">
        <f t="shared" si="269"/>
        <v>221.07186341760675</v>
      </c>
      <c r="O624" s="7">
        <f t="shared" si="270"/>
        <v>5829.916666666667</v>
      </c>
      <c r="P624" s="7">
        <f t="shared" si="271"/>
        <v>5608.8448032490596</v>
      </c>
      <c r="Q624" s="7">
        <f t="shared" si="272"/>
        <v>2843.7351991020887</v>
      </c>
      <c r="R624" s="7">
        <f t="shared" si="273"/>
        <v>1452.2762708136379</v>
      </c>
      <c r="S624"/>
      <c r="T624"/>
      <c r="U624"/>
      <c r="V624" s="103">
        <v>168826</v>
      </c>
      <c r="W624" s="7">
        <f t="shared" si="256"/>
        <v>174306</v>
      </c>
      <c r="X624" s="103">
        <f t="shared" si="229"/>
        <v>184428</v>
      </c>
      <c r="Y624" s="103">
        <f t="shared" si="235"/>
        <v>174306</v>
      </c>
      <c r="Z624" s="2">
        <v>7972</v>
      </c>
      <c r="AA624" s="103">
        <v>5480</v>
      </c>
      <c r="AB624" s="2">
        <v>10122</v>
      </c>
      <c r="AC624" s="78">
        <v>157609</v>
      </c>
      <c r="AD624" s="103">
        <f t="shared" si="217"/>
        <v>184428</v>
      </c>
      <c r="AE624" s="192">
        <f t="shared" si="274"/>
        <v>4.8051824451649336E-2</v>
      </c>
      <c r="AF624" s="31">
        <f t="shared" si="275"/>
        <v>4.9394885809096234E-2</v>
      </c>
      <c r="AG624" s="20">
        <f t="shared" si="276"/>
        <v>73.307062519695364</v>
      </c>
      <c r="AH624" s="20">
        <f t="shared" si="277"/>
        <v>147.76480089791139</v>
      </c>
      <c r="AI624" s="3">
        <f t="shared" si="278"/>
        <v>149637</v>
      </c>
      <c r="AJ624" s="31">
        <f t="shared" si="279"/>
        <v>2.9713492528249508E-2</v>
      </c>
    </row>
    <row r="625" spans="1:36">
      <c r="A625" s="28">
        <v>46281</v>
      </c>
      <c r="B625" s="3">
        <v>187.08333333333334</v>
      </c>
      <c r="C625" s="3">
        <v>570.75</v>
      </c>
      <c r="D625" s="3">
        <v>90</v>
      </c>
      <c r="E625" s="3">
        <v>486</v>
      </c>
      <c r="F625" s="3">
        <v>427.33333333333337</v>
      </c>
      <c r="G625" s="3">
        <v>183.91666666666669</v>
      </c>
      <c r="H625" s="3">
        <v>86.5</v>
      </c>
      <c r="I625" s="3">
        <v>2669.25</v>
      </c>
      <c r="J625" s="3">
        <v>188.5</v>
      </c>
      <c r="K625" s="3">
        <v>1632.4166666666667</v>
      </c>
      <c r="L625" s="3">
        <v>70.5</v>
      </c>
      <c r="M625" s="3">
        <v>301.83333333333337</v>
      </c>
      <c r="N625" s="107">
        <f t="shared" si="269"/>
        <v>602.23562714284458</v>
      </c>
      <c r="O625" s="7">
        <f t="shared" si="270"/>
        <v>5765.3333333333339</v>
      </c>
      <c r="P625" s="7">
        <f t="shared" si="271"/>
        <v>5163.0977061904887</v>
      </c>
      <c r="Q625" s="7">
        <f t="shared" si="272"/>
        <v>2213.344499883739</v>
      </c>
      <c r="R625" s="7">
        <f t="shared" si="273"/>
        <v>1486.0865396400832</v>
      </c>
      <c r="S625"/>
      <c r="T625"/>
      <c r="U625"/>
      <c r="V625" s="103">
        <v>166378</v>
      </c>
      <c r="W625" s="7">
        <f t="shared" si="256"/>
        <v>167256</v>
      </c>
      <c r="X625" s="103">
        <f>+V625+AB625+AA625</f>
        <v>206432</v>
      </c>
      <c r="Y625" s="103">
        <f>+X625-AB625</f>
        <v>167256</v>
      </c>
      <c r="Z625" s="2">
        <v>15910</v>
      </c>
      <c r="AA625" s="103">
        <v>878</v>
      </c>
      <c r="AB625" s="2">
        <v>39176</v>
      </c>
      <c r="AC625" s="78">
        <v>168613</v>
      </c>
      <c r="AD625" s="103">
        <f t="shared" si="217"/>
        <v>206432</v>
      </c>
      <c r="AE625" s="192">
        <f t="shared" si="274"/>
        <v>8.9640181955128018E-2</v>
      </c>
      <c r="AF625" s="31">
        <f t="shared" si="275"/>
        <v>0.17079910091458689</v>
      </c>
      <c r="AG625" s="20">
        <f t="shared" si="276"/>
        <v>146.33012702658357</v>
      </c>
      <c r="AH625" s="20">
        <f t="shared" si="277"/>
        <v>455.90550011626107</v>
      </c>
      <c r="AI625" s="3">
        <f t="shared" si="278"/>
        <v>152703</v>
      </c>
      <c r="AJ625" s="31">
        <f t="shared" si="279"/>
        <v>4.2532165555727794E-3</v>
      </c>
    </row>
    <row r="626" spans="1:36">
      <c r="A626" s="28">
        <v>46282</v>
      </c>
      <c r="B626" s="3">
        <v>202.5</v>
      </c>
      <c r="C626" s="3">
        <v>469.66666666666674</v>
      </c>
      <c r="D626" s="3">
        <v>92.5</v>
      </c>
      <c r="E626" s="3">
        <v>491.25000000000006</v>
      </c>
      <c r="F626" s="3">
        <v>359.75</v>
      </c>
      <c r="G626" s="3">
        <v>183.08333333333331</v>
      </c>
      <c r="H626" s="3">
        <v>87</v>
      </c>
      <c r="I626" s="3">
        <v>2949.1666666666665</v>
      </c>
      <c r="J626" s="3">
        <v>155.08333333333334</v>
      </c>
      <c r="K626" s="3">
        <v>1830.9999999999998</v>
      </c>
      <c r="L626" s="3">
        <v>70.5</v>
      </c>
      <c r="M626" s="3">
        <v>321.66666666666663</v>
      </c>
      <c r="N626" s="107">
        <f t="shared" si="269"/>
        <v>312.2985582982671</v>
      </c>
      <c r="O626" s="7">
        <f>+B626+C626+D626+F626+I626+K626+J626</f>
        <v>6059.6666666666661</v>
      </c>
      <c r="P626" s="7">
        <f t="shared" si="271"/>
        <v>5747.3681083683996</v>
      </c>
      <c r="Q626" s="7">
        <f t="shared" si="272"/>
        <v>2722.6335685212916</v>
      </c>
      <c r="R626" s="7">
        <f t="shared" si="273"/>
        <v>1745.2345398471077</v>
      </c>
      <c r="S626"/>
      <c r="T626"/>
      <c r="U626"/>
      <c r="V626" s="103">
        <v>158069</v>
      </c>
      <c r="W626" s="7">
        <f t="shared" si="256"/>
        <v>158802</v>
      </c>
      <c r="X626" s="103">
        <f t="shared" si="229"/>
        <v>173620</v>
      </c>
      <c r="Y626" s="103">
        <f>+X626-AB626</f>
        <v>158802</v>
      </c>
      <c r="Z626" s="2">
        <v>7514</v>
      </c>
      <c r="AA626" s="103">
        <v>733</v>
      </c>
      <c r="AB626" s="2">
        <v>14818</v>
      </c>
      <c r="AC626" s="78">
        <v>152395</v>
      </c>
      <c r="AD626" s="103">
        <f t="shared" si="217"/>
        <v>173620</v>
      </c>
      <c r="AE626" s="192">
        <f t="shared" si="274"/>
        <v>4.68407756159979E-2</v>
      </c>
      <c r="AF626" s="31">
        <f t="shared" si="275"/>
        <v>7.6812579195945169E-2</v>
      </c>
      <c r="AG626" s="20">
        <f t="shared" si="276"/>
        <v>85.765460152892146</v>
      </c>
      <c r="AH626" s="20">
        <f t="shared" si="277"/>
        <v>226.53309814537494</v>
      </c>
      <c r="AI626" s="3">
        <f t="shared" si="278"/>
        <v>144881</v>
      </c>
      <c r="AJ626" s="31">
        <f t="shared" si="279"/>
        <v>4.2218638405713627E-3</v>
      </c>
    </row>
    <row r="627" spans="1:36">
      <c r="A627" s="28">
        <v>46283</v>
      </c>
      <c r="B627" s="3">
        <v>194.66666666666666</v>
      </c>
      <c r="C627" s="3">
        <v>515.5</v>
      </c>
      <c r="D627" s="3">
        <v>82.5</v>
      </c>
      <c r="E627" s="3">
        <v>454.33333333333331</v>
      </c>
      <c r="F627" s="3">
        <v>428.91666666666663</v>
      </c>
      <c r="G627" s="3">
        <v>165.08333333333331</v>
      </c>
      <c r="H627" s="3">
        <v>86.25</v>
      </c>
      <c r="I627" s="3">
        <v>2771.5833333333335</v>
      </c>
      <c r="J627" s="3">
        <v>166</v>
      </c>
      <c r="K627" s="3">
        <v>1738.6666666666665</v>
      </c>
      <c r="L627" s="3">
        <v>63</v>
      </c>
      <c r="M627" s="3">
        <v>298</v>
      </c>
      <c r="N627" s="107">
        <f t="shared" si="269"/>
        <v>825.5763075769529</v>
      </c>
      <c r="O627" s="7">
        <f t="shared" si="270"/>
        <v>5897.8333333333339</v>
      </c>
      <c r="P627" s="7">
        <f t="shared" si="271"/>
        <v>5072.2570257563802</v>
      </c>
      <c r="Q627" s="7">
        <f t="shared" si="272"/>
        <v>2368.7788760221097</v>
      </c>
      <c r="R627" s="7">
        <f t="shared" si="273"/>
        <v>1315.8948164009375</v>
      </c>
      <c r="S627"/>
      <c r="T627"/>
      <c r="U627"/>
      <c r="V627" s="103">
        <v>163781</v>
      </c>
      <c r="W627" s="7">
        <f t="shared" si="256"/>
        <v>165204</v>
      </c>
      <c r="X627" s="103">
        <f t="shared" si="229"/>
        <v>197019</v>
      </c>
      <c r="Y627" s="103">
        <f t="shared" si="235"/>
        <v>165204</v>
      </c>
      <c r="Z627" s="2">
        <v>44228</v>
      </c>
      <c r="AA627" s="103">
        <v>1423</v>
      </c>
      <c r="AB627" s="2">
        <v>31815</v>
      </c>
      <c r="AC627" s="78">
        <v>172795</v>
      </c>
      <c r="AD627" s="103">
        <f t="shared" si="217"/>
        <v>197019</v>
      </c>
      <c r="AE627" s="192">
        <f t="shared" si="274"/>
        <v>0.24315865621111721</v>
      </c>
      <c r="AF627" s="31">
        <f t="shared" si="275"/>
        <v>0.14533369878032068</v>
      </c>
      <c r="AG627" s="20">
        <f t="shared" si="276"/>
        <v>422.77185026572909</v>
      </c>
      <c r="AH627" s="20">
        <f t="shared" si="277"/>
        <v>402.80445731122381</v>
      </c>
      <c r="AI627" s="3">
        <f t="shared" si="278"/>
        <v>128567</v>
      </c>
      <c r="AJ627" s="31">
        <f t="shared" si="279"/>
        <v>7.2226536526933949E-3</v>
      </c>
    </row>
    <row r="628" spans="1:36">
      <c r="A628" s="28">
        <v>46284</v>
      </c>
      <c r="B628" s="3">
        <v>202.5</v>
      </c>
      <c r="C628" s="3">
        <v>647.58333333333337</v>
      </c>
      <c r="D628" s="3">
        <v>80.75</v>
      </c>
      <c r="E628" s="3">
        <v>297.83333333333337</v>
      </c>
      <c r="F628" s="3">
        <v>266.83333333333337</v>
      </c>
      <c r="G628" s="3">
        <v>6.1666666666666661</v>
      </c>
      <c r="H628" s="3">
        <v>52.5</v>
      </c>
      <c r="I628" s="3">
        <v>2701.3333333333335</v>
      </c>
      <c r="J628" s="3">
        <v>127.5</v>
      </c>
      <c r="K628" s="3">
        <v>1723.5833333333335</v>
      </c>
      <c r="L628" s="3">
        <v>41.75</v>
      </c>
      <c r="M628" s="3">
        <v>291.5</v>
      </c>
      <c r="N628" s="107">
        <f t="shared" si="269"/>
        <v>1134.1292764177301</v>
      </c>
      <c r="O628" s="7">
        <f t="shared" si="270"/>
        <v>5750.0833333333339</v>
      </c>
      <c r="P628" s="7">
        <f t="shared" si="271"/>
        <v>4615.9540569156034</v>
      </c>
      <c r="Q628" s="7">
        <f t="shared" si="272"/>
        <v>2114.069368099601</v>
      </c>
      <c r="R628" s="7">
        <f t="shared" si="273"/>
        <v>1176.7180221493359</v>
      </c>
      <c r="V628" s="103">
        <v>146022</v>
      </c>
      <c r="W628" s="7">
        <f t="shared" si="256"/>
        <v>154978</v>
      </c>
      <c r="X628" s="103">
        <f t="shared" si="229"/>
        <v>204336</v>
      </c>
      <c r="Y628" s="103">
        <f t="shared" si="235"/>
        <v>154978</v>
      </c>
      <c r="Z628" s="2">
        <v>59111</v>
      </c>
      <c r="AA628" s="103">
        <v>8956</v>
      </c>
      <c r="AB628" s="2">
        <v>49358</v>
      </c>
      <c r="AC628" s="78">
        <v>176988</v>
      </c>
      <c r="AD628" s="103">
        <f t="shared" si="217"/>
        <v>204336</v>
      </c>
      <c r="AE628" s="192">
        <f t="shared" si="274"/>
        <v>0.31728394015413475</v>
      </c>
      <c r="AF628" s="31">
        <f t="shared" si="275"/>
        <v>0.21739781536293165</v>
      </c>
      <c r="AG628" s="20">
        <f t="shared" si="276"/>
        <v>546.86531118399751</v>
      </c>
      <c r="AH628" s="20">
        <f t="shared" si="277"/>
        <v>587.26396523373273</v>
      </c>
      <c r="AI628" s="3">
        <f t="shared" si="278"/>
        <v>117877</v>
      </c>
      <c r="AJ628" s="31">
        <f t="shared" si="279"/>
        <v>4.3829770573956622E-2</v>
      </c>
    </row>
    <row r="629" spans="1:36">
      <c r="A629" s="28">
        <v>46285</v>
      </c>
      <c r="B629" s="3">
        <v>0</v>
      </c>
      <c r="C629" s="3">
        <v>0</v>
      </c>
      <c r="D629" s="3">
        <v>0</v>
      </c>
      <c r="E629" s="3">
        <v>0</v>
      </c>
      <c r="F629" s="3"/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107">
        <f t="shared" ref="N629:N635" si="280">+AH629+AG629</f>
        <v>0</v>
      </c>
      <c r="O629" s="7">
        <f t="shared" ref="O629:O635" si="281">+B629+C629+D629+F629+I629+K629+J629</f>
        <v>0</v>
      </c>
      <c r="P629" s="7">
        <f t="shared" ref="P629:P635" si="282">+B629+C629+D629+F629+J629+Q629+R629</f>
        <v>0</v>
      </c>
      <c r="Q629" s="7">
        <f t="shared" ref="Q629:Q635" si="283">+I629-AH629</f>
        <v>0</v>
      </c>
      <c r="R629" s="7">
        <f t="shared" ref="R629:R635" si="284">+K629-AG629</f>
        <v>0</v>
      </c>
      <c r="V629" s="103"/>
      <c r="W629" s="7"/>
      <c r="X629" s="103"/>
      <c r="Y629" s="103"/>
      <c r="Z629" s="2"/>
      <c r="AA629" s="103"/>
      <c r="AD629" s="103"/>
      <c r="AE629" s="192"/>
      <c r="AF629" s="31"/>
      <c r="AG629" s="20"/>
      <c r="AH629" s="20"/>
      <c r="AI629" s="3"/>
      <c r="AJ629" s="31"/>
    </row>
    <row r="630" spans="1:36">
      <c r="A630" s="28">
        <v>46286</v>
      </c>
      <c r="B630" s="3">
        <v>244.41666666666669</v>
      </c>
      <c r="C630" s="3">
        <v>591.91666666666674</v>
      </c>
      <c r="D630" s="3">
        <v>86.833333333333343</v>
      </c>
      <c r="E630" s="3">
        <v>454.75</v>
      </c>
      <c r="F630" s="3">
        <v>219</v>
      </c>
      <c r="G630" s="3">
        <v>170.33333333333331</v>
      </c>
      <c r="H630" s="3">
        <v>85.083333333333343</v>
      </c>
      <c r="I630" s="3">
        <v>2702.75</v>
      </c>
      <c r="J630" s="3">
        <v>181</v>
      </c>
      <c r="K630" s="3">
        <v>1741.1666666666667</v>
      </c>
      <c r="L630" s="3">
        <v>93</v>
      </c>
      <c r="M630" s="3">
        <v>294.5</v>
      </c>
      <c r="N630" s="107">
        <f t="shared" si="280"/>
        <v>858.21930485021335</v>
      </c>
      <c r="O630" s="7">
        <f t="shared" si="281"/>
        <v>5767.0833333333339</v>
      </c>
      <c r="P630" s="7">
        <f t="shared" si="282"/>
        <v>4908.8640284831208</v>
      </c>
      <c r="Q630" s="7">
        <f t="shared" si="283"/>
        <v>1844.5306951497867</v>
      </c>
      <c r="R630" s="7">
        <f t="shared" si="284"/>
        <v>1741.1666666666667</v>
      </c>
      <c r="V630" s="103">
        <v>148754</v>
      </c>
      <c r="W630" s="7">
        <f t="shared" si="256"/>
        <v>149993</v>
      </c>
      <c r="X630" s="103">
        <f>+V630+AB630+AA630</f>
        <v>231763</v>
      </c>
      <c r="Y630" s="103">
        <f t="shared" ref="Y630:Y635" si="285">+X630-AB630</f>
        <v>149993</v>
      </c>
      <c r="Z630" s="2">
        <v>0</v>
      </c>
      <c r="AA630" s="103">
        <v>1239</v>
      </c>
      <c r="AB630" s="2">
        <v>81770</v>
      </c>
      <c r="AC630" s="78">
        <v>181378</v>
      </c>
      <c r="AD630" s="103">
        <f t="shared" si="217"/>
        <v>231763</v>
      </c>
      <c r="AE630" s="192">
        <f t="shared" ref="AE630:AE635" si="286">+(Z630/AC630*0.95)</f>
        <v>0</v>
      </c>
      <c r="AF630" s="31">
        <f t="shared" ref="AF630:AF635" si="287">+(AB630/AD630*0.9)</f>
        <v>0.31753558592182529</v>
      </c>
      <c r="AG630" s="20">
        <f t="shared" ref="AG630:AG635" si="288">+AE630*K630</f>
        <v>0</v>
      </c>
      <c r="AH630" s="20">
        <f t="shared" ref="AH630:AH635" si="289">+AF630*I630</f>
        <v>858.21930485021335</v>
      </c>
      <c r="AI630" s="3">
        <f t="shared" ref="AI630:AI635" si="290">+AC630-Z630</f>
        <v>181378</v>
      </c>
      <c r="AJ630" s="31">
        <f t="shared" ref="AJ630:AJ635" si="291">+AA630/AD630</f>
        <v>5.3459784348666526E-3</v>
      </c>
    </row>
    <row r="631" spans="1:36">
      <c r="A631" s="28">
        <v>46287</v>
      </c>
      <c r="B631" s="3">
        <v>270</v>
      </c>
      <c r="C631" s="3">
        <v>546.66666666666663</v>
      </c>
      <c r="D631" s="3">
        <v>89.166666666666657</v>
      </c>
      <c r="E631" s="3">
        <v>459.91666666666669</v>
      </c>
      <c r="F631" s="3">
        <v>207</v>
      </c>
      <c r="G631" s="3">
        <v>164.75</v>
      </c>
      <c r="H631" s="3">
        <v>62</v>
      </c>
      <c r="I631" s="3">
        <v>2732.083333333333</v>
      </c>
      <c r="J631" s="3">
        <v>126.75</v>
      </c>
      <c r="K631" s="3">
        <v>1724.25</v>
      </c>
      <c r="L631" s="3">
        <v>96</v>
      </c>
      <c r="M631" s="3">
        <v>290.33333333333331</v>
      </c>
      <c r="N631" s="107">
        <f t="shared" si="280"/>
        <v>395.37031892834125</v>
      </c>
      <c r="O631" s="7">
        <f t="shared" si="281"/>
        <v>5695.9166666666661</v>
      </c>
      <c r="P631" s="7">
        <f t="shared" si="282"/>
        <v>5300.5463477383246</v>
      </c>
      <c r="Q631" s="7">
        <f t="shared" si="283"/>
        <v>2732.083333333333</v>
      </c>
      <c r="R631" s="7">
        <f t="shared" si="284"/>
        <v>1328.8796810716588</v>
      </c>
      <c r="V631" s="103">
        <v>156908</v>
      </c>
      <c r="W631" s="7">
        <f t="shared" si="256"/>
        <v>161496</v>
      </c>
      <c r="X631" s="103">
        <f>+V631+AB631+AA631</f>
        <v>161496</v>
      </c>
      <c r="Y631" s="103">
        <f>+X631-AB631</f>
        <v>161496</v>
      </c>
      <c r="Z631" s="2">
        <v>43825</v>
      </c>
      <c r="AA631" s="103">
        <v>4588</v>
      </c>
      <c r="AB631" s="103">
        <v>0</v>
      </c>
      <c r="AC631" s="78">
        <v>181569</v>
      </c>
      <c r="AD631" s="103">
        <f t="shared" ref="AD631:AD649" si="292">+X631</f>
        <v>161496</v>
      </c>
      <c r="AE631" s="192">
        <f t="shared" si="286"/>
        <v>0.22929988048620634</v>
      </c>
      <c r="AF631" s="31">
        <f t="shared" si="287"/>
        <v>0</v>
      </c>
      <c r="AG631" s="20">
        <f t="shared" si="288"/>
        <v>395.37031892834125</v>
      </c>
      <c r="AH631" s="20">
        <f t="shared" si="289"/>
        <v>0</v>
      </c>
      <c r="AI631" s="3">
        <f t="shared" si="290"/>
        <v>137744</v>
      </c>
      <c r="AJ631" s="31">
        <f t="shared" si="291"/>
        <v>2.8409372368355872E-2</v>
      </c>
    </row>
    <row r="632" spans="1:36">
      <c r="A632" s="28">
        <v>46288</v>
      </c>
      <c r="B632" s="3">
        <v>392.58333333333331</v>
      </c>
      <c r="C632" s="3">
        <v>667.5</v>
      </c>
      <c r="D632" s="3">
        <v>85</v>
      </c>
      <c r="E632" s="3">
        <v>472.83333333333331</v>
      </c>
      <c r="F632" s="3">
        <v>215.16666666666666</v>
      </c>
      <c r="G632" s="3">
        <v>173.5</v>
      </c>
      <c r="H632" s="3">
        <v>78</v>
      </c>
      <c r="I632" s="3">
        <v>2902.083333333333</v>
      </c>
      <c r="J632" s="3">
        <v>143.5</v>
      </c>
      <c r="K632" s="3">
        <v>1750.5833333333335</v>
      </c>
      <c r="L632" s="3">
        <v>103.5</v>
      </c>
      <c r="M632" s="3">
        <v>305.25</v>
      </c>
      <c r="N632" s="107">
        <f t="shared" si="280"/>
        <v>636.5877210207459</v>
      </c>
      <c r="O632" s="7">
        <f t="shared" si="281"/>
        <v>6156.4166666666661</v>
      </c>
      <c r="P632" s="7">
        <f t="shared" si="282"/>
        <v>5519.8289456459206</v>
      </c>
      <c r="Q632" s="7">
        <f t="shared" si="283"/>
        <v>2627.1557290498613</v>
      </c>
      <c r="R632" s="7">
        <f t="shared" si="284"/>
        <v>1388.9232165960591</v>
      </c>
      <c r="V632" s="103">
        <v>161770</v>
      </c>
      <c r="W632" s="7">
        <f>+V632-U632-S632+AA632</f>
        <v>167565</v>
      </c>
      <c r="X632" s="103">
        <f t="shared" ref="X632:X635" si="293">+V632+AB632+AA632</f>
        <v>187278</v>
      </c>
      <c r="Y632" s="103">
        <f t="shared" si="285"/>
        <v>167565</v>
      </c>
      <c r="Z632" s="2">
        <v>35522</v>
      </c>
      <c r="AA632" s="103">
        <v>5795</v>
      </c>
      <c r="AB632" s="103">
        <v>19713</v>
      </c>
      <c r="AC632" s="78">
        <v>163344</v>
      </c>
      <c r="AD632" s="103">
        <f t="shared" si="292"/>
        <v>187278</v>
      </c>
      <c r="AE632" s="192">
        <f t="shared" si="286"/>
        <v>0.2065940591634832</v>
      </c>
      <c r="AF632" s="31">
        <f t="shared" si="287"/>
        <v>9.473456572581937E-2</v>
      </c>
      <c r="AG632" s="20">
        <f t="shared" si="288"/>
        <v>361.66011673727434</v>
      </c>
      <c r="AH632" s="20">
        <f t="shared" si="289"/>
        <v>274.92760428347162</v>
      </c>
      <c r="AI632" s="3">
        <f t="shared" si="290"/>
        <v>127822</v>
      </c>
      <c r="AJ632" s="31">
        <f t="shared" si="291"/>
        <v>3.0943303538055723E-2</v>
      </c>
    </row>
    <row r="633" spans="1:36">
      <c r="A633" s="28">
        <v>46289</v>
      </c>
      <c r="B633" s="3">
        <v>373.41666666666663</v>
      </c>
      <c r="C633" s="3">
        <v>527.25000000000011</v>
      </c>
      <c r="D633" s="3">
        <v>82.5</v>
      </c>
      <c r="E633" s="3">
        <v>465.25000000000006</v>
      </c>
      <c r="F633" s="3">
        <v>198</v>
      </c>
      <c r="G633" s="3">
        <v>172.08333333333334</v>
      </c>
      <c r="H633" s="3">
        <v>79</v>
      </c>
      <c r="I633" s="3">
        <v>2846.75</v>
      </c>
      <c r="J633" s="3">
        <v>128.5</v>
      </c>
      <c r="K633" s="3">
        <v>1938.0833333333335</v>
      </c>
      <c r="L633" s="3">
        <v>111</v>
      </c>
      <c r="M633" s="3">
        <v>308.5</v>
      </c>
      <c r="N633" s="107">
        <f t="shared" si="280"/>
        <v>857.66813406582378</v>
      </c>
      <c r="O633" s="7">
        <f t="shared" si="281"/>
        <v>6094.5</v>
      </c>
      <c r="P633" s="7">
        <f t="shared" si="282"/>
        <v>5236.8318659341767</v>
      </c>
      <c r="Q633" s="7">
        <f t="shared" si="283"/>
        <v>2465.1464001166742</v>
      </c>
      <c r="R633" s="7">
        <f t="shared" si="284"/>
        <v>1462.0187991508355</v>
      </c>
      <c r="V633" s="103">
        <v>150543</v>
      </c>
      <c r="W633" s="7">
        <f t="shared" si="256"/>
        <v>157557</v>
      </c>
      <c r="X633" s="103">
        <f t="shared" si="293"/>
        <v>185131</v>
      </c>
      <c r="Y633" s="103">
        <f t="shared" si="285"/>
        <v>157557</v>
      </c>
      <c r="Z633" s="2">
        <v>51094</v>
      </c>
      <c r="AA633" s="103">
        <v>7014</v>
      </c>
      <c r="AB633" s="103">
        <v>27574</v>
      </c>
      <c r="AC633" s="78">
        <v>197606</v>
      </c>
      <c r="AD633" s="103">
        <f t="shared" si="292"/>
        <v>185131</v>
      </c>
      <c r="AE633" s="192">
        <f t="shared" si="286"/>
        <v>0.24563677216278856</v>
      </c>
      <c r="AF633" s="31">
        <f t="shared" si="287"/>
        <v>0.13404886269722521</v>
      </c>
      <c r="AG633" s="20">
        <f t="shared" si="288"/>
        <v>476.06453418249782</v>
      </c>
      <c r="AH633" s="20">
        <f t="shared" si="289"/>
        <v>381.6035998833259</v>
      </c>
      <c r="AI633" s="3">
        <f>+AC633-Z633</f>
        <v>146512</v>
      </c>
      <c r="AJ633" s="31">
        <f t="shared" si="291"/>
        <v>3.78866856442195E-2</v>
      </c>
    </row>
    <row r="634" spans="1:36">
      <c r="A634" s="28">
        <v>46290</v>
      </c>
      <c r="B634" s="3">
        <v>297</v>
      </c>
      <c r="C634" s="3">
        <v>706.08333333333337</v>
      </c>
      <c r="D634" s="3">
        <v>82.5</v>
      </c>
      <c r="E634" s="3">
        <v>449.41666666666663</v>
      </c>
      <c r="F634" s="3">
        <v>213</v>
      </c>
      <c r="G634" s="3">
        <v>154.58333333333331</v>
      </c>
      <c r="H634" s="3">
        <v>76.5</v>
      </c>
      <c r="I634" s="3">
        <v>2850.7499999999995</v>
      </c>
      <c r="J634" s="3">
        <v>128.5</v>
      </c>
      <c r="K634" s="3">
        <v>1907.416666666667</v>
      </c>
      <c r="L634" s="3">
        <v>88.5</v>
      </c>
      <c r="M634" s="3">
        <v>307.58333333333331</v>
      </c>
      <c r="N634" s="107">
        <f t="shared" si="280"/>
        <v>1068.8230009516535</v>
      </c>
      <c r="O634" s="7">
        <f t="shared" si="281"/>
        <v>6185.25</v>
      </c>
      <c r="P634" s="7">
        <f t="shared" si="282"/>
        <v>5116.4269990483463</v>
      </c>
      <c r="Q634" s="7">
        <f t="shared" si="283"/>
        <v>2259.8004537928236</v>
      </c>
      <c r="R634" s="7">
        <f t="shared" si="284"/>
        <v>1429.5432119221896</v>
      </c>
      <c r="V634" s="103">
        <v>130860</v>
      </c>
      <c r="W634" s="7">
        <f t="shared" si="256"/>
        <v>136662</v>
      </c>
      <c r="X634" s="103">
        <f t="shared" si="293"/>
        <v>177559</v>
      </c>
      <c r="Y634" s="103">
        <f t="shared" si="285"/>
        <v>136662</v>
      </c>
      <c r="Z634" s="2">
        <v>43848</v>
      </c>
      <c r="AA634" s="103">
        <v>5802</v>
      </c>
      <c r="AB634" s="103">
        <v>40897</v>
      </c>
      <c r="AC634" s="78">
        <v>166267</v>
      </c>
      <c r="AD634" s="103">
        <f t="shared" si="292"/>
        <v>177559</v>
      </c>
      <c r="AE634" s="192">
        <f t="shared" si="286"/>
        <v>0.2505343814467092</v>
      </c>
      <c r="AF634" s="31">
        <f t="shared" si="287"/>
        <v>0.20729616634470796</v>
      </c>
      <c r="AG634" s="20">
        <f t="shared" si="288"/>
        <v>477.87345474447733</v>
      </c>
      <c r="AH634" s="20">
        <f t="shared" si="289"/>
        <v>590.94954620717613</v>
      </c>
      <c r="AI634" s="3">
        <f t="shared" si="290"/>
        <v>122419</v>
      </c>
      <c r="AJ634" s="31">
        <f t="shared" si="291"/>
        <v>3.2676462471629149E-2</v>
      </c>
    </row>
    <row r="635" spans="1:36">
      <c r="A635" s="28">
        <v>46291</v>
      </c>
      <c r="B635" s="3">
        <v>257.5</v>
      </c>
      <c r="C635" s="3">
        <v>708.91666666666674</v>
      </c>
      <c r="D635" s="3">
        <v>75</v>
      </c>
      <c r="E635" s="3">
        <v>266.58333333333331</v>
      </c>
      <c r="F635" s="3">
        <v>171.5</v>
      </c>
      <c r="G635" s="3">
        <v>7.5</v>
      </c>
      <c r="H635" s="3">
        <v>44.666666666666664</v>
      </c>
      <c r="I635" s="3">
        <v>2792.3333333333335</v>
      </c>
      <c r="J635" s="3">
        <v>112.5</v>
      </c>
      <c r="K635" s="3">
        <v>1828.25</v>
      </c>
      <c r="L635" s="3">
        <v>15</v>
      </c>
      <c r="M635" s="3">
        <v>284.91666666666663</v>
      </c>
      <c r="N635" s="107">
        <f t="shared" si="280"/>
        <v>1443.2776175007011</v>
      </c>
      <c r="O635" s="7">
        <f t="shared" si="281"/>
        <v>5946</v>
      </c>
      <c r="P635" s="7">
        <f t="shared" si="282"/>
        <v>4502.7223824992989</v>
      </c>
      <c r="Q635" s="7">
        <f t="shared" si="283"/>
        <v>1972.1496731714831</v>
      </c>
      <c r="R635" s="7">
        <f t="shared" si="284"/>
        <v>1205.1560426611491</v>
      </c>
      <c r="V635" s="103">
        <v>138924</v>
      </c>
      <c r="W635" s="7">
        <f t="shared" si="256"/>
        <v>141428</v>
      </c>
      <c r="X635" s="103">
        <f t="shared" si="293"/>
        <v>209947</v>
      </c>
      <c r="Y635" s="103">
        <f t="shared" si="285"/>
        <v>141428</v>
      </c>
      <c r="Z635" s="2">
        <v>62679</v>
      </c>
      <c r="AA635" s="103">
        <v>2504</v>
      </c>
      <c r="AB635" s="103">
        <v>68519</v>
      </c>
      <c r="AC635" s="78">
        <v>174714</v>
      </c>
      <c r="AD635" s="103">
        <f t="shared" si="292"/>
        <v>209947</v>
      </c>
      <c r="AE635" s="192">
        <f t="shared" si="286"/>
        <v>0.3408144167038703</v>
      </c>
      <c r="AF635" s="31">
        <f t="shared" si="287"/>
        <v>0.29372698823988913</v>
      </c>
      <c r="AG635" s="20">
        <f t="shared" si="288"/>
        <v>623.09395733885083</v>
      </c>
      <c r="AH635" s="20">
        <f t="shared" si="289"/>
        <v>820.18366016185041</v>
      </c>
      <c r="AI635" s="3">
        <f t="shared" si="290"/>
        <v>112035</v>
      </c>
      <c r="AJ635" s="31">
        <f t="shared" si="291"/>
        <v>1.1926819625905586E-2</v>
      </c>
    </row>
    <row r="636" spans="1:36">
      <c r="A636" s="28">
        <v>46292</v>
      </c>
      <c r="B636"/>
      <c r="C636"/>
      <c r="D636"/>
      <c r="E636"/>
      <c r="F636"/>
      <c r="G636"/>
      <c r="H636"/>
      <c r="I636"/>
      <c r="J636"/>
      <c r="K636"/>
      <c r="N636" s="107"/>
      <c r="V636" s="103"/>
      <c r="W636" s="7"/>
      <c r="X636" s="103"/>
      <c r="Y636" s="103"/>
      <c r="Z636" s="2"/>
      <c r="AA636" s="103"/>
      <c r="AB636" s="103"/>
      <c r="AC636" s="78"/>
      <c r="AD636" s="103">
        <f t="shared" si="292"/>
        <v>0</v>
      </c>
      <c r="AE636" s="192"/>
      <c r="AF636" s="31"/>
      <c r="AG636" s="20"/>
      <c r="AH636" s="20"/>
      <c r="AI636" s="3"/>
      <c r="AJ636" s="31"/>
    </row>
    <row r="637" spans="1:36">
      <c r="A637" s="28">
        <v>46293</v>
      </c>
      <c r="B637" s="3">
        <v>328.25</v>
      </c>
      <c r="C637" s="3">
        <v>523.25</v>
      </c>
      <c r="D637" s="3">
        <v>82.5</v>
      </c>
      <c r="E637" s="3">
        <v>536.41666666666674</v>
      </c>
      <c r="F637" s="3">
        <v>236.91666666666669</v>
      </c>
      <c r="G637" s="3">
        <v>159.91666666666669</v>
      </c>
      <c r="H637" s="3">
        <v>70.5</v>
      </c>
      <c r="I637" s="3">
        <v>2886.166666666667</v>
      </c>
      <c r="J637" s="3">
        <v>135.66666666666669</v>
      </c>
      <c r="K637" s="3">
        <v>2057.166666666667</v>
      </c>
      <c r="L637" s="3">
        <v>100.5</v>
      </c>
      <c r="M637" s="3">
        <v>262.83333333333337</v>
      </c>
      <c r="N637" s="107">
        <f t="shared" ref="N637:N642" si="294">+AH637+AG637</f>
        <v>536.73347599017302</v>
      </c>
      <c r="O637" s="7">
        <f t="shared" ref="O637:O642" si="295">+B637+C637+D637+F637+I637+K637+J637</f>
        <v>6249.9166666666679</v>
      </c>
      <c r="P637" s="7">
        <f t="shared" ref="P637:P642" si="296">+B637+C637+D637+F637+J637+Q637+R637</f>
        <v>5713.1831906764946</v>
      </c>
      <c r="Q637" s="7">
        <f t="shared" ref="Q637:Q642" si="297">+I637-AH637</f>
        <v>2349.4331906764937</v>
      </c>
      <c r="R637" s="7">
        <f t="shared" ref="R637:R642" si="298">+K637-AG637</f>
        <v>2057.166666666667</v>
      </c>
      <c r="V637" s="103">
        <v>145900</v>
      </c>
      <c r="W637" s="7">
        <f t="shared" ref="W637:W649" si="299">+V637-U637-S637+AA637</f>
        <v>151455</v>
      </c>
      <c r="X637" s="103">
        <f t="shared" ref="X637:X649" si="300">+V637+AB637+AA637</f>
        <v>190901</v>
      </c>
      <c r="Y637" s="103">
        <f t="shared" ref="Y637:Y649" si="301">+X637-AB637</f>
        <v>151455</v>
      </c>
      <c r="Z637" s="2"/>
      <c r="AA637" s="103">
        <v>5555</v>
      </c>
      <c r="AB637" s="103">
        <v>39446</v>
      </c>
      <c r="AC637" s="78">
        <v>202503</v>
      </c>
      <c r="AD637" s="103">
        <f t="shared" si="292"/>
        <v>190901</v>
      </c>
      <c r="AE637" s="192">
        <f t="shared" ref="AE637:AE642" si="302">+(Z637/AC637*0.95)</f>
        <v>0</v>
      </c>
      <c r="AF637" s="31">
        <f t="shared" ref="AF637:AF642" si="303">+(AB637/AD637*0.9)</f>
        <v>0.185967595769535</v>
      </c>
      <c r="AG637" s="20">
        <f t="shared" ref="AG637:AG642" si="304">+AE637*K637</f>
        <v>0</v>
      </c>
      <c r="AH637" s="20">
        <f t="shared" ref="AH637:AH642" si="305">+AF637*I637</f>
        <v>536.73347599017302</v>
      </c>
      <c r="AI637" s="3">
        <f t="shared" ref="AI637:AI642" si="306">+AC637-Z637</f>
        <v>202503</v>
      </c>
      <c r="AJ637" s="31">
        <f t="shared" ref="AJ637:AJ642" si="307">+AA637/AD637</f>
        <v>2.9098852284692066E-2</v>
      </c>
    </row>
    <row r="638" spans="1:36">
      <c r="A638" s="28">
        <v>46294</v>
      </c>
      <c r="B638" s="3">
        <v>304</v>
      </c>
      <c r="C638" s="3">
        <v>636.91666666666663</v>
      </c>
      <c r="D638" s="3">
        <v>82.5</v>
      </c>
      <c r="E638" s="3">
        <v>519.45833333333326</v>
      </c>
      <c r="F638" s="3">
        <v>269.33333333333331</v>
      </c>
      <c r="G638" s="3">
        <v>142</v>
      </c>
      <c r="H638" s="3">
        <v>70.5</v>
      </c>
      <c r="I638" s="3">
        <v>2892.8333333333335</v>
      </c>
      <c r="J638" s="3">
        <v>143.16666666666666</v>
      </c>
      <c r="K638" s="3">
        <v>1984.25</v>
      </c>
      <c r="L638" s="3">
        <v>65.958333333333343</v>
      </c>
      <c r="M638" s="3">
        <v>291.66666666666669</v>
      </c>
      <c r="N638" s="107">
        <f t="shared" si="294"/>
        <v>341.15760611399133</v>
      </c>
      <c r="O638" s="7">
        <f t="shared" si="295"/>
        <v>6313.0000000000009</v>
      </c>
      <c r="P638" s="7">
        <f t="shared" si="296"/>
        <v>5971.8423938860087</v>
      </c>
      <c r="Q638" s="7">
        <f t="shared" si="297"/>
        <v>2625.020555095794</v>
      </c>
      <c r="R638" s="7">
        <f t="shared" si="298"/>
        <v>1910.9051721235483</v>
      </c>
      <c r="V638" s="103">
        <v>166962</v>
      </c>
      <c r="W638" s="7">
        <f t="shared" si="299"/>
        <v>168029</v>
      </c>
      <c r="X638" s="103">
        <f t="shared" si="300"/>
        <v>187295</v>
      </c>
      <c r="Y638" s="103">
        <f t="shared" si="301"/>
        <v>168029</v>
      </c>
      <c r="Z638" s="2">
        <v>7974</v>
      </c>
      <c r="AA638" s="103">
        <v>1067</v>
      </c>
      <c r="AB638" s="103">
        <v>19266</v>
      </c>
      <c r="AC638" s="78">
        <v>204940</v>
      </c>
      <c r="AD638" s="103">
        <f t="shared" si="292"/>
        <v>187295</v>
      </c>
      <c r="AE638" s="192">
        <f t="shared" si="302"/>
        <v>3.6963501512637845E-2</v>
      </c>
      <c r="AF638" s="31">
        <f t="shared" si="303"/>
        <v>9.2578018633706183E-2</v>
      </c>
      <c r="AG638" s="20">
        <f t="shared" si="304"/>
        <v>73.344827876451646</v>
      </c>
      <c r="AH638" s="20">
        <f t="shared" si="305"/>
        <v>267.8127782375397</v>
      </c>
      <c r="AI638" s="3">
        <f t="shared" si="306"/>
        <v>196966</v>
      </c>
      <c r="AJ638" s="31">
        <f t="shared" si="307"/>
        <v>5.6968952721642326E-3</v>
      </c>
    </row>
    <row r="639" spans="1:36">
      <c r="A639" s="28">
        <v>46295</v>
      </c>
      <c r="B639" s="3">
        <v>307.5</v>
      </c>
      <c r="C639" s="3">
        <v>622.5</v>
      </c>
      <c r="D639" s="3">
        <v>90</v>
      </c>
      <c r="E639" s="3">
        <v>541.66666666666674</v>
      </c>
      <c r="F639" s="3">
        <v>315</v>
      </c>
      <c r="G639" s="3">
        <v>171</v>
      </c>
      <c r="H639" s="3">
        <v>79</v>
      </c>
      <c r="I639" s="3">
        <v>3141.2499999999995</v>
      </c>
      <c r="J639" s="3">
        <v>135.66666666666669</v>
      </c>
      <c r="K639" s="3">
        <v>1834.5833333333335</v>
      </c>
      <c r="L639" s="3">
        <v>32.916666666666671</v>
      </c>
      <c r="M639" s="3">
        <v>307.58333333333331</v>
      </c>
      <c r="N639" s="107">
        <f t="shared" si="294"/>
        <v>388.49398746422651</v>
      </c>
      <c r="O639" s="7">
        <f t="shared" si="295"/>
        <v>6446.5000000000009</v>
      </c>
      <c r="P639" s="7">
        <f t="shared" si="296"/>
        <v>6058.0060125357732</v>
      </c>
      <c r="Q639" s="7">
        <f t="shared" si="297"/>
        <v>3022.8936490731844</v>
      </c>
      <c r="R639" s="7">
        <f t="shared" si="298"/>
        <v>1564.4456967959222</v>
      </c>
      <c r="V639" s="103">
        <v>170899</v>
      </c>
      <c r="W639" s="7">
        <f t="shared" si="299"/>
        <v>180552</v>
      </c>
      <c r="X639" s="103">
        <f t="shared" si="300"/>
        <v>188441</v>
      </c>
      <c r="Y639" s="103">
        <f t="shared" si="301"/>
        <v>180552</v>
      </c>
      <c r="Z639" s="2">
        <v>26961</v>
      </c>
      <c r="AA639" s="103">
        <v>9653</v>
      </c>
      <c r="AB639" s="103">
        <v>7889</v>
      </c>
      <c r="AC639" s="78">
        <v>173945</v>
      </c>
      <c r="AD639" s="103">
        <f t="shared" si="292"/>
        <v>188441</v>
      </c>
      <c r="AE639" s="192">
        <f t="shared" si="302"/>
        <v>0.14724740578918621</v>
      </c>
      <c r="AF639" s="31">
        <f t="shared" si="303"/>
        <v>3.7678106144628819E-2</v>
      </c>
      <c r="AG639" s="20">
        <f t="shared" si="304"/>
        <v>270.13763653741125</v>
      </c>
      <c r="AH639" s="20">
        <f t="shared" si="305"/>
        <v>118.35635092681525</v>
      </c>
      <c r="AI639" s="3">
        <f t="shared" si="306"/>
        <v>146984</v>
      </c>
      <c r="AJ639" s="31">
        <f t="shared" si="307"/>
        <v>5.1225582543077144E-2</v>
      </c>
    </row>
    <row r="640" spans="1:36">
      <c r="A640" s="28">
        <v>46296</v>
      </c>
      <c r="B640" s="3">
        <v>287.91666666666663</v>
      </c>
      <c r="C640" s="3">
        <v>604.25</v>
      </c>
      <c r="D640" s="3">
        <v>89.583333333333343</v>
      </c>
      <c r="E640" s="3">
        <v>489.83333333333331</v>
      </c>
      <c r="F640" s="3">
        <v>351.66666666666663</v>
      </c>
      <c r="G640" s="3">
        <v>168.75</v>
      </c>
      <c r="H640" s="3">
        <v>79</v>
      </c>
      <c r="I640" s="3">
        <v>3048.1666666666665</v>
      </c>
      <c r="J640" s="3">
        <v>128.5</v>
      </c>
      <c r="K640" s="3">
        <v>1957.7500000000002</v>
      </c>
      <c r="L640" s="3">
        <v>73.5</v>
      </c>
      <c r="M640" s="3">
        <v>268.25</v>
      </c>
      <c r="N640" s="107">
        <f t="shared" si="294"/>
        <v>776.67234901451866</v>
      </c>
      <c r="O640" s="7">
        <f t="shared" si="295"/>
        <v>6467.833333333333</v>
      </c>
      <c r="P640" s="7">
        <f t="shared" si="296"/>
        <v>5691.1609843188153</v>
      </c>
      <c r="Q640" s="7">
        <f t="shared" si="297"/>
        <v>2907.6312016736638</v>
      </c>
      <c r="R640" s="7">
        <f t="shared" si="298"/>
        <v>1321.6131159784845</v>
      </c>
      <c r="V640" s="103">
        <v>172873</v>
      </c>
      <c r="W640" s="7">
        <f t="shared" si="299"/>
        <v>178984</v>
      </c>
      <c r="X640" s="103">
        <f t="shared" si="300"/>
        <v>188648</v>
      </c>
      <c r="Y640" s="103">
        <f t="shared" si="301"/>
        <v>178984</v>
      </c>
      <c r="Z640" s="2">
        <v>71727</v>
      </c>
      <c r="AA640" s="103">
        <v>6111</v>
      </c>
      <c r="AB640" s="103">
        <v>9664</v>
      </c>
      <c r="AC640" s="78">
        <v>209707</v>
      </c>
      <c r="AD640" s="103">
        <f t="shared" si="292"/>
        <v>188648</v>
      </c>
      <c r="AE640" s="192">
        <f t="shared" si="302"/>
        <v>0.32493264411774525</v>
      </c>
      <c r="AF640" s="31">
        <f t="shared" si="303"/>
        <v>4.6104914973919685E-2</v>
      </c>
      <c r="AG640" s="20">
        <f t="shared" si="304"/>
        <v>636.13688402151581</v>
      </c>
      <c r="AH640" s="20">
        <f t="shared" si="305"/>
        <v>140.53546499300285</v>
      </c>
      <c r="AI640" s="3">
        <f t="shared" si="306"/>
        <v>137980</v>
      </c>
      <c r="AJ640" s="31">
        <f t="shared" si="307"/>
        <v>3.2393664390823119E-2</v>
      </c>
    </row>
    <row r="641" spans="1:36">
      <c r="A641" s="28">
        <v>46297</v>
      </c>
      <c r="B641" s="3">
        <v>247.5</v>
      </c>
      <c r="C641" s="3">
        <v>712.5</v>
      </c>
      <c r="D641" s="3">
        <v>82.5</v>
      </c>
      <c r="E641" s="3">
        <v>462.16666666666663</v>
      </c>
      <c r="F641" s="3">
        <v>261.75</v>
      </c>
      <c r="G641" s="3">
        <v>165.33333333333334</v>
      </c>
      <c r="H641" s="3">
        <v>79</v>
      </c>
      <c r="I641" s="3">
        <v>2948.75</v>
      </c>
      <c r="J641" s="3">
        <v>143.5</v>
      </c>
      <c r="K641" s="3">
        <v>1943.5833333333333</v>
      </c>
      <c r="L641" s="3">
        <v>84.75</v>
      </c>
      <c r="M641" s="3">
        <v>260.08333333333337</v>
      </c>
      <c r="N641" s="107">
        <f t="shared" si="294"/>
        <v>425.83713062666334</v>
      </c>
      <c r="O641" s="7">
        <f t="shared" si="295"/>
        <v>6340.083333333333</v>
      </c>
      <c r="P641" s="7">
        <f t="shared" si="296"/>
        <v>5914.2462027066704</v>
      </c>
      <c r="Q641" s="7">
        <f t="shared" si="297"/>
        <v>2948.75</v>
      </c>
      <c r="R641" s="7">
        <f t="shared" si="298"/>
        <v>1517.7462027066699</v>
      </c>
      <c r="V641" s="103">
        <v>164173</v>
      </c>
      <c r="W641" s="7">
        <f t="shared" si="299"/>
        <v>169036</v>
      </c>
      <c r="X641" s="103">
        <f t="shared" si="300"/>
        <v>169036</v>
      </c>
      <c r="Y641" s="103">
        <f t="shared" si="301"/>
        <v>169036</v>
      </c>
      <c r="Z641" s="2">
        <v>43993</v>
      </c>
      <c r="AA641" s="103">
        <v>4863</v>
      </c>
      <c r="AB641" s="103"/>
      <c r="AC641" s="78">
        <v>190751</v>
      </c>
      <c r="AD641" s="103">
        <f t="shared" si="292"/>
        <v>169036</v>
      </c>
      <c r="AE641" s="192">
        <f t="shared" si="302"/>
        <v>0.21909898244308024</v>
      </c>
      <c r="AF641" s="31">
        <f t="shared" si="303"/>
        <v>0</v>
      </c>
      <c r="AG641" s="20">
        <f t="shared" si="304"/>
        <v>425.83713062666334</v>
      </c>
      <c r="AH641" s="20">
        <f t="shared" si="305"/>
        <v>0</v>
      </c>
      <c r="AI641" s="3">
        <f t="shared" si="306"/>
        <v>146758</v>
      </c>
      <c r="AJ641" s="31">
        <f t="shared" si="307"/>
        <v>2.8769019617122981E-2</v>
      </c>
    </row>
    <row r="642" spans="1:36">
      <c r="A642" s="28">
        <v>46298</v>
      </c>
      <c r="B642" s="3">
        <v>352.25</v>
      </c>
      <c r="C642" s="3">
        <v>674.33333333333326</v>
      </c>
      <c r="D642" s="3">
        <v>80.25</v>
      </c>
      <c r="E642" s="3">
        <v>475.5</v>
      </c>
      <c r="F642" s="3">
        <v>269.08333333333337</v>
      </c>
      <c r="G642" s="3">
        <v>7.5</v>
      </c>
      <c r="H642" s="3">
        <v>45</v>
      </c>
      <c r="I642" s="3">
        <v>2903.8333333333335</v>
      </c>
      <c r="J642" s="3">
        <v>133.08333333333331</v>
      </c>
      <c r="K642" s="3">
        <v>1361.8333333333333</v>
      </c>
      <c r="L642" s="3">
        <v>67.5</v>
      </c>
      <c r="M642" s="3">
        <v>259.33333333333331</v>
      </c>
      <c r="N642" s="107">
        <f t="shared" si="294"/>
        <v>826.26144851900074</v>
      </c>
      <c r="O642" s="7">
        <f t="shared" si="295"/>
        <v>5774.6666666666661</v>
      </c>
      <c r="P642" s="7">
        <f t="shared" si="296"/>
        <v>4948.4052181476654</v>
      </c>
      <c r="Q642" s="7">
        <f t="shared" si="297"/>
        <v>2077.5718848143329</v>
      </c>
      <c r="R642" s="7">
        <f t="shared" si="298"/>
        <v>1361.8333333333333</v>
      </c>
      <c r="V642" s="103">
        <v>165723</v>
      </c>
      <c r="W642" s="7">
        <f t="shared" si="299"/>
        <v>167590</v>
      </c>
      <c r="X642" s="103">
        <f t="shared" si="300"/>
        <v>245071</v>
      </c>
      <c r="Y642" s="103">
        <f t="shared" si="301"/>
        <v>167590</v>
      </c>
      <c r="Z642" s="2"/>
      <c r="AA642" s="103">
        <v>1867</v>
      </c>
      <c r="AB642" s="103">
        <v>77481</v>
      </c>
      <c r="AC642" s="78">
        <v>118764</v>
      </c>
      <c r="AD642" s="103">
        <f t="shared" si="292"/>
        <v>245071</v>
      </c>
      <c r="AE642" s="192">
        <f t="shared" si="302"/>
        <v>0</v>
      </c>
      <c r="AF642" s="31">
        <f t="shared" si="303"/>
        <v>0.28454162263180877</v>
      </c>
      <c r="AG642" s="20">
        <f t="shared" si="304"/>
        <v>0</v>
      </c>
      <c r="AH642" s="20">
        <f t="shared" si="305"/>
        <v>826.26144851900074</v>
      </c>
      <c r="AI642" s="3">
        <f t="shared" si="306"/>
        <v>118764</v>
      </c>
      <c r="AJ642" s="31">
        <f t="shared" si="307"/>
        <v>7.6182004398725267E-3</v>
      </c>
    </row>
    <row r="643" spans="1:36">
      <c r="A643" s="28">
        <v>46299</v>
      </c>
      <c r="B643"/>
      <c r="C643"/>
      <c r="D643"/>
      <c r="E643"/>
      <c r="F643"/>
      <c r="G643"/>
      <c r="H643"/>
      <c r="I643"/>
      <c r="J643"/>
      <c r="K643"/>
      <c r="N643" s="107"/>
      <c r="V643" s="103"/>
      <c r="W643" s="7">
        <f t="shared" si="299"/>
        <v>0</v>
      </c>
      <c r="X643" s="103">
        <f t="shared" si="300"/>
        <v>0</v>
      </c>
      <c r="Y643" s="103">
        <f t="shared" si="301"/>
        <v>0</v>
      </c>
      <c r="Z643" s="2"/>
      <c r="AA643" s="103"/>
      <c r="AB643" s="103"/>
      <c r="AC643"/>
      <c r="AD643" s="103">
        <f t="shared" si="292"/>
        <v>0</v>
      </c>
      <c r="AE643" s="192"/>
      <c r="AF643" s="31"/>
      <c r="AG643" s="20"/>
      <c r="AH643" s="20"/>
      <c r="AI643" s="3"/>
      <c r="AJ643" s="31"/>
    </row>
    <row r="644" spans="1:36">
      <c r="A644" s="28">
        <v>46300</v>
      </c>
      <c r="B644" s="3">
        <v>209</v>
      </c>
      <c r="C644" s="3">
        <v>793</v>
      </c>
      <c r="D644" s="3">
        <v>108</v>
      </c>
      <c r="E644" s="3">
        <v>534.08333333333326</v>
      </c>
      <c r="F644" s="3">
        <v>281.08333333333331</v>
      </c>
      <c r="G644" s="3">
        <v>165.16666666666669</v>
      </c>
      <c r="H644" s="3">
        <v>82.166666666666657</v>
      </c>
      <c r="I644" s="3">
        <v>3005.5</v>
      </c>
      <c r="J644" s="3">
        <v>142.5</v>
      </c>
      <c r="K644" s="3">
        <v>1983.25</v>
      </c>
      <c r="L644" s="3">
        <v>95</v>
      </c>
      <c r="M644" s="3">
        <v>296.91666666666669</v>
      </c>
      <c r="N644" s="107">
        <f t="shared" ref="N644:N649" si="308">+AH644+AG644</f>
        <v>481.02821194541536</v>
      </c>
      <c r="O644" s="7">
        <f t="shared" ref="O644:O649" si="309">+B644+C644+D644+F644+I644+K644+J644</f>
        <v>6522.333333333333</v>
      </c>
      <c r="P644" s="7">
        <f t="shared" ref="P644:P649" si="310">+B644+C644+D644+F644+J644+Q644+R644</f>
        <v>6041.305121387918</v>
      </c>
      <c r="Q644" s="7">
        <f t="shared" ref="Q644:Q649" si="311">+I644-AH644</f>
        <v>2524.4717880545845</v>
      </c>
      <c r="R644" s="7">
        <f t="shared" ref="R644:R649" si="312">+K644-AG644</f>
        <v>1983.25</v>
      </c>
      <c r="V644" s="103">
        <v>156517</v>
      </c>
      <c r="W644" s="7">
        <f t="shared" si="299"/>
        <v>159720</v>
      </c>
      <c r="X644" s="103">
        <f t="shared" si="300"/>
        <v>194267</v>
      </c>
      <c r="Y644" s="103">
        <f t="shared" si="301"/>
        <v>159720</v>
      </c>
      <c r="Z644"/>
      <c r="AA644" s="103">
        <v>3203</v>
      </c>
      <c r="AB644" s="103">
        <v>34547</v>
      </c>
      <c r="AC644" s="78">
        <v>194508</v>
      </c>
      <c r="AD644" s="103">
        <f t="shared" si="292"/>
        <v>194267</v>
      </c>
      <c r="AE644" s="192">
        <f t="shared" ref="AE644:AE649" si="313">+(Z644/AC644*0.95)</f>
        <v>0</v>
      </c>
      <c r="AF644" s="31">
        <f t="shared" ref="AF644:AF649" si="314">+(AB644/AD644*0.9)</f>
        <v>0.16004931357358687</v>
      </c>
      <c r="AG644" s="20">
        <f t="shared" ref="AG644:AG649" si="315">+AE644*K644</f>
        <v>0</v>
      </c>
      <c r="AH644" s="20">
        <f t="shared" ref="AH644:AH649" si="316">+AF644*I644</f>
        <v>481.02821194541536</v>
      </c>
      <c r="AI644" s="3">
        <f t="shared" ref="AI644:AI649" si="317">+AC644-Z644</f>
        <v>194508</v>
      </c>
      <c r="AJ644" s="31">
        <f t="shared" ref="AJ644:AJ649" si="318">+AA644/AD644</f>
        <v>1.6487617557279413E-2</v>
      </c>
    </row>
    <row r="645" spans="1:36">
      <c r="A645" s="28">
        <v>46301</v>
      </c>
      <c r="B645" s="3">
        <v>360</v>
      </c>
      <c r="C645" s="3">
        <v>652.5</v>
      </c>
      <c r="D645" s="3">
        <v>108</v>
      </c>
      <c r="E645" s="3">
        <v>505.75</v>
      </c>
      <c r="F645" s="3">
        <v>298</v>
      </c>
      <c r="G645" s="3">
        <v>155.41666666666669</v>
      </c>
      <c r="H645" s="3">
        <v>93</v>
      </c>
      <c r="I645" s="3">
        <v>3024.916666666667</v>
      </c>
      <c r="J645" s="3">
        <v>121</v>
      </c>
      <c r="K645" s="3">
        <v>2037.916666666667</v>
      </c>
      <c r="L645" s="3">
        <v>96</v>
      </c>
      <c r="M645" s="3">
        <v>272.41666666666663</v>
      </c>
      <c r="N645" s="107">
        <f t="shared" si="308"/>
        <v>0</v>
      </c>
      <c r="O645" s="7">
        <f>+B645+C645+D645+F645+I645+K645+J645</f>
        <v>6602.3333333333339</v>
      </c>
      <c r="P645" s="7">
        <f t="shared" si="310"/>
        <v>6602.3333333333339</v>
      </c>
      <c r="Q645" s="7">
        <f t="shared" si="311"/>
        <v>3024.916666666667</v>
      </c>
      <c r="R645" s="7">
        <f t="shared" si="312"/>
        <v>2037.916666666667</v>
      </c>
      <c r="V645" s="103">
        <v>200286</v>
      </c>
      <c r="W645" s="7">
        <f>+V645-U645-S645+AA645</f>
        <v>201650</v>
      </c>
      <c r="X645" s="103">
        <f t="shared" si="300"/>
        <v>201650</v>
      </c>
      <c r="Y645" s="103">
        <f t="shared" si="301"/>
        <v>201650</v>
      </c>
      <c r="Z645" s="2"/>
      <c r="AA645" s="103">
        <v>1364</v>
      </c>
      <c r="AB645" s="103">
        <v>0</v>
      </c>
      <c r="AC645" s="78">
        <v>197642</v>
      </c>
      <c r="AD645" s="103">
        <f t="shared" si="292"/>
        <v>201650</v>
      </c>
      <c r="AE645" s="192">
        <f t="shared" si="313"/>
        <v>0</v>
      </c>
      <c r="AF645" s="31">
        <f t="shared" si="314"/>
        <v>0</v>
      </c>
      <c r="AG645" s="20">
        <f t="shared" si="315"/>
        <v>0</v>
      </c>
      <c r="AH645" s="20">
        <f t="shared" si="316"/>
        <v>0</v>
      </c>
      <c r="AI645" s="3">
        <f t="shared" si="317"/>
        <v>197642</v>
      </c>
      <c r="AJ645" s="31">
        <f t="shared" si="318"/>
        <v>6.7641953880485991E-3</v>
      </c>
    </row>
    <row r="646" spans="1:36">
      <c r="A646" s="28">
        <v>46302</v>
      </c>
      <c r="B646" s="3">
        <v>337.5</v>
      </c>
      <c r="C646" s="3">
        <v>619.66666666666663</v>
      </c>
      <c r="D646" s="3">
        <v>100.5</v>
      </c>
      <c r="E646" s="3">
        <v>522.33333333333337</v>
      </c>
      <c r="F646" s="3">
        <v>313.5</v>
      </c>
      <c r="G646" s="3">
        <v>163.75</v>
      </c>
      <c r="H646" s="3">
        <v>93</v>
      </c>
      <c r="I646" s="3">
        <v>3134.5</v>
      </c>
      <c r="J646" s="3">
        <v>136</v>
      </c>
      <c r="K646" s="3">
        <v>1925.666666666667</v>
      </c>
      <c r="L646" s="3">
        <v>103.5</v>
      </c>
      <c r="M646" s="3">
        <v>285</v>
      </c>
      <c r="N646" s="107">
        <f t="shared" si="308"/>
        <v>370.26905731307323</v>
      </c>
      <c r="O646" s="7">
        <f t="shared" si="309"/>
        <v>6567.333333333333</v>
      </c>
      <c r="P646" s="7">
        <f t="shared" si="310"/>
        <v>6197.06427602026</v>
      </c>
      <c r="Q646" s="7">
        <f t="shared" si="311"/>
        <v>3134.5</v>
      </c>
      <c r="R646" s="7">
        <f t="shared" si="312"/>
        <v>1555.3976093535937</v>
      </c>
      <c r="V646" s="103">
        <v>175032</v>
      </c>
      <c r="W646" s="7">
        <f t="shared" si="299"/>
        <v>185079</v>
      </c>
      <c r="X646" s="103">
        <f t="shared" si="300"/>
        <v>185079</v>
      </c>
      <c r="Y646" s="103">
        <f t="shared" si="301"/>
        <v>185079</v>
      </c>
      <c r="Z646" s="2">
        <v>36737</v>
      </c>
      <c r="AA646" s="103">
        <v>10047</v>
      </c>
      <c r="AB646" s="7">
        <v>0</v>
      </c>
      <c r="AC646" s="78">
        <v>181506</v>
      </c>
      <c r="AD646" s="103">
        <f t="shared" si="292"/>
        <v>185079</v>
      </c>
      <c r="AE646" s="192">
        <f t="shared" si="313"/>
        <v>0.19228097142794176</v>
      </c>
      <c r="AF646" s="31">
        <f t="shared" si="314"/>
        <v>0</v>
      </c>
      <c r="AG646" s="20">
        <f t="shared" si="315"/>
        <v>370.26905731307323</v>
      </c>
      <c r="AH646" s="20">
        <f t="shared" si="316"/>
        <v>0</v>
      </c>
      <c r="AI646" s="3">
        <f t="shared" si="317"/>
        <v>144769</v>
      </c>
      <c r="AJ646" s="31">
        <f t="shared" si="318"/>
        <v>5.4284926977128688E-2</v>
      </c>
    </row>
    <row r="647" spans="1:36">
      <c r="A647" s="28">
        <v>46303</v>
      </c>
      <c r="B647" s="3">
        <v>442.5</v>
      </c>
      <c r="C647" s="3">
        <v>652.5</v>
      </c>
      <c r="D647" s="3">
        <v>108</v>
      </c>
      <c r="E647" s="3">
        <v>511.41666666666669</v>
      </c>
      <c r="F647" s="3">
        <v>318.75</v>
      </c>
      <c r="G647" s="3">
        <v>173.16666666666666</v>
      </c>
      <c r="H647" s="3">
        <v>92</v>
      </c>
      <c r="I647" s="3">
        <v>3015.166666666667</v>
      </c>
      <c r="J647" s="3">
        <v>143.5</v>
      </c>
      <c r="K647" s="3">
        <v>1858.8333333333335</v>
      </c>
      <c r="L647" s="3">
        <v>92.75</v>
      </c>
      <c r="M647" s="3">
        <v>279.91666666666669</v>
      </c>
      <c r="N647" s="107">
        <f t="shared" si="308"/>
        <v>363.87142928201945</v>
      </c>
      <c r="O647" s="7">
        <f t="shared" si="309"/>
        <v>6539.25</v>
      </c>
      <c r="P647" s="7">
        <f t="shared" si="310"/>
        <v>6175.3785707179813</v>
      </c>
      <c r="Q647" s="7">
        <f t="shared" si="311"/>
        <v>2873.1967823925324</v>
      </c>
      <c r="R647" s="7">
        <f t="shared" si="312"/>
        <v>1636.9317883254489</v>
      </c>
      <c r="V647" s="103">
        <v>173777</v>
      </c>
      <c r="W647" s="7">
        <f t="shared" si="299"/>
        <v>175491</v>
      </c>
      <c r="X647" s="103">
        <f t="shared" si="300"/>
        <v>185179</v>
      </c>
      <c r="Y647" s="103">
        <f t="shared" si="301"/>
        <v>175491</v>
      </c>
      <c r="Z647" s="2">
        <v>19284</v>
      </c>
      <c r="AA647" s="103">
        <v>1714</v>
      </c>
      <c r="AB647" s="7">
        <v>9688</v>
      </c>
      <c r="AC647" s="78">
        <v>153462</v>
      </c>
      <c r="AD647" s="103">
        <f t="shared" si="292"/>
        <v>185179</v>
      </c>
      <c r="AE647" s="192">
        <f t="shared" si="313"/>
        <v>0.11937678382922155</v>
      </c>
      <c r="AF647" s="31">
        <f t="shared" si="314"/>
        <v>4.7085252647438423E-2</v>
      </c>
      <c r="AG647" s="20">
        <f t="shared" si="315"/>
        <v>221.90154500788469</v>
      </c>
      <c r="AH647" s="20">
        <f t="shared" si="316"/>
        <v>141.96988427413476</v>
      </c>
      <c r="AI647" s="3">
        <f t="shared" si="317"/>
        <v>134178</v>
      </c>
      <c r="AJ647" s="31">
        <f t="shared" si="318"/>
        <v>9.2559091473655222E-3</v>
      </c>
    </row>
    <row r="648" spans="1:36">
      <c r="A648" s="28">
        <v>46304</v>
      </c>
      <c r="B648" s="3">
        <v>450</v>
      </c>
      <c r="C648" s="3">
        <v>712.5</v>
      </c>
      <c r="D648" s="3">
        <v>107.16666666666667</v>
      </c>
      <c r="E648" s="3">
        <v>672.25</v>
      </c>
      <c r="F648" s="3">
        <v>337.25</v>
      </c>
      <c r="G648" s="3">
        <v>157.41666666666669</v>
      </c>
      <c r="H648" s="3">
        <v>96</v>
      </c>
      <c r="I648" s="3">
        <v>2848.9166666666665</v>
      </c>
      <c r="J648" s="3">
        <v>136</v>
      </c>
      <c r="K648" s="3">
        <v>1727.916666666667</v>
      </c>
      <c r="L648" s="3">
        <v>85.25</v>
      </c>
      <c r="M648" s="3">
        <v>270.41666666666663</v>
      </c>
      <c r="N648" s="107">
        <f t="shared" si="308"/>
        <v>582.72707625109695</v>
      </c>
      <c r="O648" s="7">
        <f t="shared" si="309"/>
        <v>6319.75</v>
      </c>
      <c r="P648" s="7">
        <f t="shared" si="310"/>
        <v>5737.0229237489029</v>
      </c>
      <c r="Q648" s="7">
        <f t="shared" si="311"/>
        <v>2266.1895904155695</v>
      </c>
      <c r="R648" s="7">
        <f t="shared" si="312"/>
        <v>1727.916666666667</v>
      </c>
      <c r="V648" s="103">
        <v>146629</v>
      </c>
      <c r="W648" s="7">
        <f t="shared" si="299"/>
        <v>153206</v>
      </c>
      <c r="X648" s="103">
        <f t="shared" si="300"/>
        <v>198266</v>
      </c>
      <c r="Y648" s="103">
        <f t="shared" si="301"/>
        <v>153206</v>
      </c>
      <c r="Z648" s="2"/>
      <c r="AA648" s="103">
        <v>6577</v>
      </c>
      <c r="AB648" s="7">
        <v>45060</v>
      </c>
      <c r="AC648" s="78">
        <v>126044</v>
      </c>
      <c r="AD648" s="103">
        <f t="shared" si="292"/>
        <v>198266</v>
      </c>
      <c r="AE648" s="192">
        <f t="shared" si="313"/>
        <v>0</v>
      </c>
      <c r="AF648" s="31">
        <f t="shared" si="314"/>
        <v>0.20454339120171891</v>
      </c>
      <c r="AG648" s="20">
        <f t="shared" si="315"/>
        <v>0</v>
      </c>
      <c r="AH648" s="20">
        <f t="shared" si="316"/>
        <v>582.72707625109695</v>
      </c>
      <c r="AI648" s="3">
        <f t="shared" si="317"/>
        <v>126044</v>
      </c>
      <c r="AJ648" s="31">
        <f t="shared" si="318"/>
        <v>3.3172606498340612E-2</v>
      </c>
    </row>
    <row r="649" spans="1:36">
      <c r="A649" s="28">
        <v>46305</v>
      </c>
      <c r="B649" s="3">
        <v>410.83333333333337</v>
      </c>
      <c r="C649" s="3">
        <v>706.83333333333337</v>
      </c>
      <c r="D649" s="3">
        <v>105</v>
      </c>
      <c r="E649" s="3">
        <v>697.5</v>
      </c>
      <c r="F649" s="3">
        <v>267.25</v>
      </c>
      <c r="G649" s="3">
        <v>7.5</v>
      </c>
      <c r="H649" s="3">
        <v>67.5</v>
      </c>
      <c r="I649" s="3">
        <v>2634.5833333333335</v>
      </c>
      <c r="J649" s="3">
        <v>127.5</v>
      </c>
      <c r="K649" s="3">
        <v>1642.5</v>
      </c>
      <c r="L649" s="3">
        <v>75</v>
      </c>
      <c r="M649" s="3">
        <v>262.08333333333331</v>
      </c>
      <c r="N649" s="107">
        <f t="shared" si="308"/>
        <v>269.29062962499739</v>
      </c>
      <c r="O649" s="7">
        <f t="shared" si="309"/>
        <v>5894.5</v>
      </c>
      <c r="P649" s="7">
        <f t="shared" si="310"/>
        <v>5625.2093703750024</v>
      </c>
      <c r="Q649" s="7">
        <f t="shared" si="311"/>
        <v>2365.2927037083359</v>
      </c>
      <c r="R649" s="7">
        <f t="shared" si="312"/>
        <v>1642.5</v>
      </c>
      <c r="V649" s="103">
        <v>124420</v>
      </c>
      <c r="W649" s="7">
        <f t="shared" si="299"/>
        <v>127574</v>
      </c>
      <c r="X649" s="103">
        <f t="shared" si="300"/>
        <v>143919</v>
      </c>
      <c r="Y649" s="103">
        <f t="shared" si="301"/>
        <v>127574</v>
      </c>
      <c r="Z649" s="2"/>
      <c r="AA649" s="103">
        <v>3154</v>
      </c>
      <c r="AB649" s="7">
        <v>16345</v>
      </c>
      <c r="AC649" s="78">
        <v>108033</v>
      </c>
      <c r="AD649" s="103">
        <f t="shared" si="292"/>
        <v>143919</v>
      </c>
      <c r="AE649" s="192">
        <f t="shared" si="313"/>
        <v>0</v>
      </c>
      <c r="AF649" s="31">
        <f t="shared" si="314"/>
        <v>0.10221374523169283</v>
      </c>
      <c r="AG649" s="20">
        <f t="shared" si="315"/>
        <v>0</v>
      </c>
      <c r="AH649" s="20">
        <f t="shared" si="316"/>
        <v>269.29062962499739</v>
      </c>
      <c r="AI649" s="3">
        <f t="shared" si="317"/>
        <v>108033</v>
      </c>
      <c r="AJ649" s="31">
        <f t="shared" si="318"/>
        <v>2.1915105024353978E-2</v>
      </c>
    </row>
    <row r="650" spans="1:36">
      <c r="A650" s="28">
        <v>46306</v>
      </c>
      <c r="B650"/>
      <c r="C650"/>
      <c r="D650"/>
      <c r="E650"/>
      <c r="F650"/>
      <c r="G650"/>
      <c r="H650"/>
      <c r="V650" s="103"/>
      <c r="X650" s="103"/>
      <c r="Z650" s="2"/>
      <c r="AA650" s="103"/>
      <c r="AC650" s="78"/>
    </row>
    <row r="651" spans="1:36">
      <c r="A651" s="28"/>
      <c r="B651"/>
      <c r="C651"/>
      <c r="D651"/>
      <c r="E651"/>
      <c r="F651"/>
      <c r="G651"/>
      <c r="H651"/>
      <c r="V651" s="103"/>
      <c r="X651"/>
      <c r="Z651" s="2"/>
    </row>
    <row r="652" spans="1:36">
      <c r="A652" s="28"/>
      <c r="B652"/>
      <c r="C652"/>
      <c r="D652"/>
      <c r="E652"/>
      <c r="F652"/>
      <c r="G652"/>
      <c r="H652"/>
      <c r="V652" s="103"/>
      <c r="X652"/>
      <c r="Z652" s="2"/>
    </row>
    <row r="653" spans="1:36">
      <c r="A653"/>
      <c r="B653" s="3"/>
      <c r="C653" s="3"/>
      <c r="D653" s="3"/>
      <c r="E653" s="3"/>
      <c r="F653" s="3"/>
      <c r="G653" s="3"/>
      <c r="H653" s="3"/>
      <c r="X653"/>
      <c r="Z653" s="2"/>
    </row>
    <row r="654" spans="1:36">
      <c r="A654"/>
      <c r="B654"/>
      <c r="C654"/>
      <c r="D654"/>
      <c r="E654"/>
      <c r="F654"/>
      <c r="G654"/>
      <c r="H654"/>
      <c r="Z654" s="2"/>
    </row>
    <row r="655" spans="1:36">
      <c r="A655" s="238" t="s">
        <v>1421</v>
      </c>
      <c r="B655" s="238" t="s">
        <v>3209</v>
      </c>
      <c r="C655" s="238" t="s">
        <v>3210</v>
      </c>
      <c r="D655" s="238" t="s">
        <v>3211</v>
      </c>
      <c r="E655" s="238" t="s">
        <v>3212</v>
      </c>
      <c r="F655" s="238" t="s">
        <v>3213</v>
      </c>
      <c r="G655" s="238" t="s">
        <v>3214</v>
      </c>
      <c r="H655" s="238" t="s">
        <v>3215</v>
      </c>
    </row>
    <row r="656" spans="1:36">
      <c r="A656" s="48" t="s">
        <v>58</v>
      </c>
      <c r="B656" s="3">
        <v>209</v>
      </c>
      <c r="C656" s="3">
        <v>360</v>
      </c>
      <c r="D656" s="3">
        <v>337.5</v>
      </c>
      <c r="E656" s="3">
        <v>442.5</v>
      </c>
      <c r="F656" s="3">
        <v>450</v>
      </c>
      <c r="G656" s="3">
        <v>410.83333333333337</v>
      </c>
      <c r="H656" s="3">
        <v>0</v>
      </c>
      <c r="I656" s="190"/>
      <c r="J656" s="190"/>
    </row>
    <row r="657" spans="1:10">
      <c r="A657" s="48" t="s">
        <v>59</v>
      </c>
      <c r="B657" s="3">
        <v>793</v>
      </c>
      <c r="C657" s="3">
        <v>652.5</v>
      </c>
      <c r="D657" s="3">
        <v>619.66666666666663</v>
      </c>
      <c r="E657" s="3">
        <v>652.5</v>
      </c>
      <c r="F657" s="3">
        <v>712.5</v>
      </c>
      <c r="G657" s="3">
        <v>706.83333333333337</v>
      </c>
      <c r="H657" s="3">
        <v>0</v>
      </c>
      <c r="I657" s="222"/>
      <c r="J657" s="190"/>
    </row>
    <row r="658" spans="1:10">
      <c r="A658" s="48" t="s">
        <v>60</v>
      </c>
      <c r="B658" s="3">
        <v>108</v>
      </c>
      <c r="C658" s="3">
        <v>108</v>
      </c>
      <c r="D658" s="3">
        <v>100.5</v>
      </c>
      <c r="E658" s="3">
        <v>108</v>
      </c>
      <c r="F658" s="3">
        <v>107.16666666666667</v>
      </c>
      <c r="G658" s="3">
        <v>105</v>
      </c>
      <c r="H658" s="3">
        <v>0</v>
      </c>
      <c r="I658" s="222"/>
      <c r="J658" s="190"/>
    </row>
    <row r="659" spans="1:10">
      <c r="A659" s="48" t="s">
        <v>61</v>
      </c>
      <c r="B659" s="3">
        <v>534.08333333333326</v>
      </c>
      <c r="C659" s="3">
        <v>505.75</v>
      </c>
      <c r="D659" s="3">
        <v>522.33333333333337</v>
      </c>
      <c r="E659" s="3">
        <v>511.41666666666669</v>
      </c>
      <c r="F659" s="3">
        <v>672.25</v>
      </c>
      <c r="G659" s="3">
        <v>697.5</v>
      </c>
      <c r="H659" s="3">
        <v>0</v>
      </c>
      <c r="I659" s="222"/>
      <c r="J659" s="190"/>
    </row>
    <row r="660" spans="1:10">
      <c r="A660" s="48" t="s">
        <v>62</v>
      </c>
      <c r="B660" s="3">
        <v>281.08333333333331</v>
      </c>
      <c r="C660" s="3">
        <v>298</v>
      </c>
      <c r="D660" s="3">
        <v>313.5</v>
      </c>
      <c r="E660" s="3">
        <v>318.75</v>
      </c>
      <c r="F660" s="3">
        <v>337.25</v>
      </c>
      <c r="G660" s="3">
        <v>267.25</v>
      </c>
      <c r="H660" s="3">
        <v>0</v>
      </c>
    </row>
    <row r="661" spans="1:10">
      <c r="A661" s="48" t="s">
        <v>63</v>
      </c>
      <c r="B661" s="3">
        <v>165.16666666666669</v>
      </c>
      <c r="C661" s="3">
        <v>155.41666666666669</v>
      </c>
      <c r="D661" s="3">
        <v>163.75</v>
      </c>
      <c r="E661" s="3">
        <v>173.16666666666666</v>
      </c>
      <c r="F661" s="3">
        <v>157.41666666666669</v>
      </c>
      <c r="G661" s="3">
        <v>7.5</v>
      </c>
      <c r="H661" s="3">
        <v>0</v>
      </c>
    </row>
    <row r="662" spans="1:10">
      <c r="A662" s="48" t="s">
        <v>64</v>
      </c>
      <c r="B662" s="3">
        <v>82.166666666666657</v>
      </c>
      <c r="C662" s="3">
        <v>93</v>
      </c>
      <c r="D662" s="3">
        <v>93</v>
      </c>
      <c r="E662" s="3">
        <v>92</v>
      </c>
      <c r="F662" s="3">
        <v>96</v>
      </c>
      <c r="G662" s="3">
        <v>67.5</v>
      </c>
      <c r="H662" s="3">
        <v>0</v>
      </c>
    </row>
    <row r="663" spans="1:10">
      <c r="A663" s="48" t="s">
        <v>65</v>
      </c>
      <c r="B663" s="3">
        <v>3005.5</v>
      </c>
      <c r="C663" s="3">
        <v>3024.916666666667</v>
      </c>
      <c r="D663" s="3">
        <v>3134.5</v>
      </c>
      <c r="E663" s="3">
        <v>3015.166666666667</v>
      </c>
      <c r="F663" s="3">
        <v>2848.9166666666665</v>
      </c>
      <c r="G663" s="3">
        <v>2634.5833333333335</v>
      </c>
      <c r="H663" s="3">
        <v>0</v>
      </c>
    </row>
    <row r="664" spans="1:10">
      <c r="A664" s="48" t="s">
        <v>66</v>
      </c>
      <c r="B664" s="3">
        <v>142.5</v>
      </c>
      <c r="C664" s="3">
        <v>121</v>
      </c>
      <c r="D664" s="3">
        <v>136</v>
      </c>
      <c r="E664" s="3">
        <v>143.5</v>
      </c>
      <c r="F664" s="3">
        <v>136</v>
      </c>
      <c r="G664" s="3">
        <v>127.5</v>
      </c>
      <c r="H664" s="3">
        <v>0</v>
      </c>
    </row>
    <row r="665" spans="1:10">
      <c r="A665" s="48" t="s">
        <v>67</v>
      </c>
      <c r="B665" s="3">
        <v>1983.25</v>
      </c>
      <c r="C665" s="3">
        <v>2037.916666666667</v>
      </c>
      <c r="D665" s="3">
        <v>1925.666666666667</v>
      </c>
      <c r="E665" s="3">
        <v>1858.8333333333335</v>
      </c>
      <c r="F665" s="3">
        <v>1727.916666666667</v>
      </c>
      <c r="G665" s="3">
        <v>1642.5</v>
      </c>
      <c r="H665" s="3">
        <v>0</v>
      </c>
    </row>
    <row r="666" spans="1:10">
      <c r="A666" s="48" t="s">
        <v>68</v>
      </c>
      <c r="B666" s="3">
        <v>95</v>
      </c>
      <c r="C666" s="3">
        <v>96</v>
      </c>
      <c r="D666" s="3">
        <v>103.5</v>
      </c>
      <c r="E666" s="3">
        <v>92.75</v>
      </c>
      <c r="F666" s="3">
        <v>85.25</v>
      </c>
      <c r="G666" s="3">
        <v>75</v>
      </c>
      <c r="H666" s="3">
        <v>0</v>
      </c>
    </row>
    <row r="667" spans="1:10">
      <c r="A667" s="48" t="s">
        <v>1832</v>
      </c>
      <c r="B667" s="3">
        <v>296.91666666666669</v>
      </c>
      <c r="C667" s="3">
        <v>272.41666666666663</v>
      </c>
      <c r="D667" s="3">
        <v>285</v>
      </c>
      <c r="E667" s="3">
        <v>279.91666666666669</v>
      </c>
      <c r="F667" s="3">
        <v>270.41666666666663</v>
      </c>
      <c r="G667" s="3">
        <v>262.08333333333331</v>
      </c>
      <c r="H667" s="3">
        <v>0</v>
      </c>
    </row>
    <row r="668" spans="1:10">
      <c r="A668" s="48"/>
      <c r="B668" s="3"/>
      <c r="C668" s="3"/>
      <c r="D668" s="3"/>
      <c r="E668" s="3"/>
      <c r="F668" s="3"/>
      <c r="G668" s="3"/>
      <c r="H668" s="3"/>
    </row>
    <row r="669" spans="1:10">
      <c r="B669" s="8"/>
      <c r="C669" s="8"/>
      <c r="D669" s="8"/>
      <c r="E669" s="8"/>
      <c r="F669" s="8"/>
      <c r="G669" s="8"/>
      <c r="H669" s="8"/>
    </row>
    <row r="670" spans="1:10">
      <c r="B670" s="8"/>
      <c r="C670" s="8"/>
      <c r="D670" s="8"/>
      <c r="E670" s="8"/>
      <c r="F670" s="8"/>
      <c r="G670" s="8"/>
      <c r="H670" s="8"/>
    </row>
    <row r="671" spans="1:10">
      <c r="B671" s="8"/>
      <c r="C671" s="8"/>
      <c r="D671" s="8"/>
      <c r="E671" s="8"/>
      <c r="F671" s="8"/>
      <c r="G671" s="8"/>
      <c r="H671" s="8"/>
    </row>
    <row r="672" spans="1:10">
      <c r="A672" s="238" t="s">
        <v>3217</v>
      </c>
      <c r="B672" s="243">
        <v>46300</v>
      </c>
      <c r="C672" s="243">
        <v>46301</v>
      </c>
      <c r="D672" s="243">
        <v>46302</v>
      </c>
      <c r="E672" s="243">
        <v>46303</v>
      </c>
      <c r="F672" s="243">
        <v>46304</v>
      </c>
      <c r="G672" s="243">
        <v>46305</v>
      </c>
      <c r="H672" s="243"/>
    </row>
    <row r="673" spans="1:8">
      <c r="A673" s="48" t="s">
        <v>59</v>
      </c>
      <c r="B673" s="3">
        <v>7.5</v>
      </c>
      <c r="C673" s="3">
        <v>172.5</v>
      </c>
      <c r="D673" s="3">
        <v>187.5</v>
      </c>
      <c r="E673" s="3">
        <v>165</v>
      </c>
      <c r="F673" s="3">
        <v>97.5</v>
      </c>
      <c r="G673" s="3">
        <v>105</v>
      </c>
      <c r="H673" s="3"/>
    </row>
    <row r="674" spans="1:8">
      <c r="A674" s="48" t="s">
        <v>3216</v>
      </c>
      <c r="B674" s="3">
        <v>242</v>
      </c>
      <c r="C674" s="3">
        <v>257</v>
      </c>
      <c r="D674" s="3">
        <v>129.5</v>
      </c>
      <c r="E674" s="3">
        <v>84.5</v>
      </c>
      <c r="F674" s="3">
        <v>84.5</v>
      </c>
      <c r="G674" s="3">
        <v>82.5</v>
      </c>
      <c r="H674" s="3"/>
    </row>
    <row r="675" spans="1:8">
      <c r="A675" s="48" t="s">
        <v>64</v>
      </c>
      <c r="B675" s="3"/>
      <c r="C675" s="3">
        <v>7.5</v>
      </c>
      <c r="D675" s="3">
        <v>7.5</v>
      </c>
      <c r="E675" s="3">
        <v>7.5</v>
      </c>
      <c r="F675" s="3"/>
      <c r="G675" s="3"/>
      <c r="H675" s="3"/>
    </row>
    <row r="676" spans="1:8">
      <c r="A676" s="48" t="s">
        <v>65</v>
      </c>
      <c r="B676" s="3"/>
      <c r="C676" s="3"/>
      <c r="D676" s="3"/>
      <c r="E676" s="3"/>
      <c r="F676" s="3">
        <v>187.5</v>
      </c>
      <c r="G676" s="3">
        <v>187.5</v>
      </c>
      <c r="H676" s="3"/>
    </row>
    <row r="677" spans="1:8">
      <c r="A677" s="48" t="s">
        <v>1832</v>
      </c>
      <c r="B677" s="3"/>
      <c r="C677" s="3"/>
      <c r="D677" s="3"/>
      <c r="E677" s="3"/>
      <c r="F677" s="3">
        <v>7.5</v>
      </c>
      <c r="G677" s="3"/>
      <c r="H677" s="3"/>
    </row>
    <row r="678" spans="1:8">
      <c r="A678" s="48" t="s">
        <v>67</v>
      </c>
      <c r="B678" s="3">
        <v>82.5</v>
      </c>
      <c r="C678" s="3">
        <v>60</v>
      </c>
      <c r="D678" s="3">
        <v>165</v>
      </c>
      <c r="E678" s="3">
        <v>240</v>
      </c>
      <c r="F678" s="3">
        <v>345</v>
      </c>
      <c r="G678" s="3">
        <v>382.5</v>
      </c>
      <c r="H678" s="3"/>
    </row>
    <row r="679" spans="1:8">
      <c r="A679" s="48" t="s">
        <v>68</v>
      </c>
      <c r="B679" s="3"/>
      <c r="C679" s="3"/>
      <c r="D679" s="3"/>
      <c r="E679" s="3">
        <v>7.5</v>
      </c>
      <c r="F679" s="3">
        <v>7.5</v>
      </c>
      <c r="G679" s="3"/>
      <c r="H679" s="3"/>
    </row>
    <row r="680" spans="1:8">
      <c r="A680"/>
      <c r="B680"/>
      <c r="C680"/>
      <c r="D680"/>
      <c r="E680"/>
      <c r="F680"/>
      <c r="G680"/>
      <c r="H680"/>
    </row>
    <row r="681" spans="1:8">
      <c r="A681"/>
      <c r="B681"/>
      <c r="C681"/>
      <c r="D681"/>
      <c r="E681"/>
      <c r="F681"/>
      <c r="G681"/>
      <c r="H681"/>
    </row>
    <row r="682" spans="1:8">
      <c r="A682" s="238" t="s">
        <v>3225</v>
      </c>
      <c r="B682" s="243">
        <v>46300</v>
      </c>
      <c r="C682" s="243">
        <v>46301</v>
      </c>
      <c r="D682" s="243">
        <v>46302</v>
      </c>
      <c r="E682" s="243">
        <v>46303</v>
      </c>
      <c r="F682" s="243">
        <v>46304</v>
      </c>
      <c r="G682" s="243">
        <v>46305</v>
      </c>
      <c r="H682" s="243"/>
    </row>
    <row r="683" spans="1:8">
      <c r="A683" s="48" t="s">
        <v>3218</v>
      </c>
      <c r="B683" s="3"/>
      <c r="C683" s="3">
        <v>157.5</v>
      </c>
      <c r="D683" s="3">
        <v>135</v>
      </c>
      <c r="E683" s="3">
        <v>247.5</v>
      </c>
      <c r="F683" s="3">
        <v>255</v>
      </c>
      <c r="G683" s="3">
        <v>210</v>
      </c>
      <c r="H683" s="3"/>
    </row>
    <row r="684" spans="1:8">
      <c r="A684" s="48" t="s">
        <v>3219</v>
      </c>
      <c r="B684" s="3">
        <v>60</v>
      </c>
      <c r="C684" s="3">
        <v>67.5</v>
      </c>
      <c r="D684" s="3">
        <v>67.5</v>
      </c>
      <c r="E684" s="3">
        <v>82.5</v>
      </c>
      <c r="F684" s="3">
        <v>97.5</v>
      </c>
      <c r="G684" s="3">
        <v>60</v>
      </c>
      <c r="H684" s="3"/>
    </row>
    <row r="685" spans="1:8">
      <c r="A685" s="48" t="s">
        <v>3220</v>
      </c>
      <c r="B685" s="3">
        <v>52.5</v>
      </c>
      <c r="C685" s="3">
        <v>15</v>
      </c>
      <c r="D685" s="3">
        <v>52.5</v>
      </c>
      <c r="E685" s="3">
        <v>52.5</v>
      </c>
      <c r="F685" s="3">
        <v>225</v>
      </c>
      <c r="G685" s="3">
        <v>405</v>
      </c>
      <c r="H685" s="3"/>
    </row>
    <row r="686" spans="1:8">
      <c r="A686" s="48" t="s">
        <v>3221</v>
      </c>
      <c r="B686" s="3">
        <v>112.5</v>
      </c>
      <c r="C686" s="3">
        <v>127.5</v>
      </c>
      <c r="D686" s="3">
        <v>52.5</v>
      </c>
      <c r="E686" s="3">
        <v>52.5</v>
      </c>
      <c r="F686" s="3">
        <v>52.5</v>
      </c>
      <c r="G686" s="3">
        <v>82.5</v>
      </c>
      <c r="H686" s="3"/>
    </row>
    <row r="687" spans="1:8">
      <c r="A687" s="48" t="s">
        <v>3222</v>
      </c>
      <c r="B687" s="3">
        <v>107</v>
      </c>
      <c r="C687" s="3">
        <v>99.5</v>
      </c>
      <c r="D687" s="3">
        <v>174.5</v>
      </c>
      <c r="E687" s="3">
        <v>69.5</v>
      </c>
      <c r="F687" s="3">
        <v>24.5</v>
      </c>
      <c r="G687" s="3"/>
      <c r="H687" s="3"/>
    </row>
    <row r="688" spans="1:8">
      <c r="A688" s="48" t="s">
        <v>3223</v>
      </c>
      <c r="B688" s="3"/>
      <c r="C688" s="3">
        <v>22.5</v>
      </c>
      <c r="D688" s="3"/>
      <c r="E688" s="3"/>
      <c r="F688" s="3"/>
      <c r="G688" s="3"/>
      <c r="H688" s="3"/>
    </row>
    <row r="689" spans="1:8">
      <c r="A689" s="48" t="s">
        <v>3224</v>
      </c>
      <c r="B689" s="3"/>
      <c r="C689" s="3">
        <v>7.5</v>
      </c>
      <c r="D689" s="3">
        <v>7.5</v>
      </c>
      <c r="E689" s="3"/>
      <c r="F689" s="3"/>
      <c r="G689" s="3"/>
      <c r="H689" s="3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D6D53-012B-4F9B-A645-692E98A60E3C}">
  <dimension ref="G1:M12"/>
  <sheetViews>
    <sheetView workbookViewId="0">
      <selection activeCell="K20" sqref="K20"/>
    </sheetView>
  </sheetViews>
  <sheetFormatPr defaultRowHeight="14.4"/>
  <cols>
    <col min="7" max="7" width="19.21875" bestFit="1" customWidth="1"/>
    <col min="8" max="8" width="12.88671875" bestFit="1" customWidth="1"/>
    <col min="11" max="11" width="39.21875" style="226" bestFit="1" customWidth="1"/>
    <col min="12" max="12" width="30.6640625" style="226" bestFit="1" customWidth="1"/>
  </cols>
  <sheetData>
    <row r="1" spans="7:13">
      <c r="K1" s="139" t="s">
        <v>2577</v>
      </c>
      <c r="L1" s="139" t="s">
        <v>2578</v>
      </c>
    </row>
    <row r="2" spans="7:13">
      <c r="K2" s="233">
        <v>48.58982934239237</v>
      </c>
      <c r="L2" s="233">
        <v>39.730186999109527</v>
      </c>
      <c r="M2" s="65"/>
    </row>
    <row r="8" spans="7:13">
      <c r="G8" t="s">
        <v>2575</v>
      </c>
      <c r="H8" s="232">
        <f>31.63*1.1</f>
        <v>34.792999999999999</v>
      </c>
    </row>
    <row r="9" spans="7:13">
      <c r="G9" t="s">
        <v>2574</v>
      </c>
      <c r="H9" s="232">
        <f>41.4128997661852*1.1</f>
        <v>45.554189742803722</v>
      </c>
    </row>
    <row r="10" spans="7:13">
      <c r="G10" t="s">
        <v>2576</v>
      </c>
      <c r="H10">
        <v>44617</v>
      </c>
    </row>
    <row r="11" spans="7:13">
      <c r="H11" s="29">
        <f>+H8*H10+H9*H10*1.1</f>
        <v>3788099.6931301411</v>
      </c>
    </row>
    <row r="12" spans="7:13">
      <c r="H12">
        <f>+H11/3600</f>
        <v>1052.2499147583726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388D7-7E82-4771-B3DC-C29B56614AD1}">
  <dimension ref="A1:AJ33"/>
  <sheetViews>
    <sheetView showGridLines="0" topLeftCell="U1" workbookViewId="0">
      <selection activeCell="A12" sqref="A12:XFD12"/>
    </sheetView>
  </sheetViews>
  <sheetFormatPr defaultRowHeight="14.4"/>
  <cols>
    <col min="1" max="1" width="11.21875" bestFit="1" customWidth="1"/>
    <col min="2" max="2" width="13.33203125" bestFit="1" customWidth="1"/>
    <col min="3" max="3" width="18.88671875" bestFit="1" customWidth="1"/>
    <col min="5" max="5" width="2.88671875" customWidth="1"/>
    <col min="6" max="6" width="13.33203125" bestFit="1" customWidth="1"/>
    <col min="7" max="7" width="18.88671875" bestFit="1" customWidth="1"/>
    <col min="8" max="8" width="9.33203125" bestFit="1" customWidth="1"/>
    <col min="9" max="9" width="3.109375" customWidth="1"/>
    <col min="10" max="10" width="12.88671875" style="138" bestFit="1" customWidth="1"/>
    <col min="11" max="11" width="18.44140625" style="138" bestFit="1" customWidth="1"/>
    <col min="12" max="12" width="5.109375" style="138" bestFit="1" customWidth="1"/>
    <col min="13" max="13" width="2.109375" customWidth="1"/>
    <col min="14" max="14" width="13.88671875" style="138" bestFit="1" customWidth="1"/>
    <col min="15" max="15" width="18.44140625" style="138" bestFit="1" customWidth="1"/>
    <col min="16" max="16" width="6.109375" style="138" bestFit="1" customWidth="1"/>
    <col min="17" max="17" width="2.5546875" customWidth="1"/>
    <col min="18" max="18" width="12.88671875" style="138" bestFit="1" customWidth="1"/>
    <col min="19" max="19" width="18.44140625" style="138" bestFit="1" customWidth="1"/>
    <col min="20" max="20" width="6.109375" style="138" bestFit="1" customWidth="1"/>
    <col min="21" max="21" width="2.5546875" customWidth="1"/>
    <col min="22" max="22" width="15" style="138" bestFit="1" customWidth="1"/>
    <col min="23" max="23" width="18.44140625" style="138" bestFit="1" customWidth="1"/>
    <col min="24" max="24" width="6.109375" style="138" bestFit="1" customWidth="1"/>
    <col min="25" max="25" width="7" bestFit="1" customWidth="1"/>
    <col min="26" max="26" width="12.88671875" style="138" bestFit="1" customWidth="1"/>
    <col min="27" max="27" width="18.44140625" style="138" bestFit="1" customWidth="1"/>
    <col min="28" max="28" width="6.109375" style="138" bestFit="1" customWidth="1"/>
    <col min="29" max="29" width="2.5546875" customWidth="1"/>
    <col min="30" max="30" width="13.33203125" style="138" bestFit="1" customWidth="1"/>
    <col min="31" max="31" width="28.6640625" style="138" bestFit="1" customWidth="1"/>
    <col min="32" max="32" width="22" bestFit="1" customWidth="1"/>
    <col min="33" max="33" width="12" bestFit="1" customWidth="1"/>
    <col min="34" max="34" width="12.88671875" bestFit="1" customWidth="1"/>
    <col min="35" max="35" width="18.44140625" bestFit="1" customWidth="1"/>
    <col min="36" max="36" width="5.109375" bestFit="1" customWidth="1"/>
  </cols>
  <sheetData>
    <row r="1" spans="1:36" s="8" customFormat="1" ht="15" thickBot="1">
      <c r="A1" s="143" t="s">
        <v>2234</v>
      </c>
      <c r="B1" s="152">
        <v>38</v>
      </c>
      <c r="C1" s="150">
        <v>0.1</v>
      </c>
      <c r="F1" s="143" t="s">
        <v>2234</v>
      </c>
      <c r="G1" s="152">
        <v>38</v>
      </c>
      <c r="J1" s="143" t="s">
        <v>2234</v>
      </c>
      <c r="K1" s="152">
        <v>345</v>
      </c>
      <c r="L1" s="139"/>
      <c r="M1"/>
      <c r="N1" s="144" t="s">
        <v>2234</v>
      </c>
      <c r="O1" s="160">
        <v>113</v>
      </c>
      <c r="P1" s="139"/>
      <c r="Q1"/>
      <c r="R1" s="144" t="s">
        <v>2234</v>
      </c>
      <c r="S1" s="160">
        <v>79</v>
      </c>
      <c r="T1" s="139"/>
      <c r="U1"/>
      <c r="V1" s="144" t="s">
        <v>2234</v>
      </c>
      <c r="W1" s="160">
        <v>72</v>
      </c>
      <c r="X1" s="139"/>
      <c r="Y1"/>
      <c r="Z1" s="144" t="s">
        <v>2234</v>
      </c>
      <c r="AA1" s="160">
        <v>134</v>
      </c>
      <c r="AB1" s="139"/>
      <c r="AC1"/>
      <c r="AD1" s="144" t="s">
        <v>2234</v>
      </c>
      <c r="AE1" s="160">
        <v>677</v>
      </c>
      <c r="AG1"/>
      <c r="AH1" s="144" t="s">
        <v>2234</v>
      </c>
      <c r="AI1" s="160">
        <v>18</v>
      </c>
    </row>
    <row r="2" spans="1:36" ht="15" thickBot="1">
      <c r="A2" s="141" t="s">
        <v>428</v>
      </c>
      <c r="B2" s="153">
        <f>+B16/B1-1</f>
        <v>-3.5521865506178973E-2</v>
      </c>
      <c r="C2" s="154"/>
      <c r="F2" s="141" t="s">
        <v>2236</v>
      </c>
      <c r="G2" s="153">
        <f>+F16/G1-1</f>
        <v>-5.0309360629929745E-2</v>
      </c>
      <c r="H2" s="142"/>
      <c r="J2" s="141" t="s">
        <v>59</v>
      </c>
      <c r="K2" s="146">
        <f>+J16/K1-1</f>
        <v>6.7435333091500294E-2</v>
      </c>
      <c r="N2" s="141" t="s">
        <v>67</v>
      </c>
      <c r="O2" s="147">
        <f>+N16/O1-1</f>
        <v>-7.0033847675006089E-2</v>
      </c>
      <c r="R2" s="141" t="s">
        <v>65</v>
      </c>
      <c r="S2" s="149">
        <f>+R16/S1-1</f>
        <v>1.649621716042815E-2</v>
      </c>
      <c r="V2" s="141" t="s">
        <v>66</v>
      </c>
      <c r="W2" s="151">
        <f>+V16/W1-1</f>
        <v>0.15190059608282769</v>
      </c>
      <c r="Z2" s="141" t="s">
        <v>62</v>
      </c>
      <c r="AA2" s="147">
        <f>+Z16/AA1-1</f>
        <v>-0.13251948504096367</v>
      </c>
      <c r="AD2" s="141" t="s">
        <v>2233</v>
      </c>
      <c r="AE2" s="149">
        <f>+AD16/AE1-1</f>
        <v>8.1436958750869204E-2</v>
      </c>
      <c r="AH2" s="141" t="s">
        <v>61</v>
      </c>
      <c r="AI2" s="148">
        <f>+AH16/AI1-1</f>
        <v>0.25123257393208065</v>
      </c>
    </row>
    <row r="3" spans="1:36" ht="15" thickBot="1">
      <c r="A3" s="152" t="s">
        <v>2230</v>
      </c>
      <c r="B3" s="152" t="s">
        <v>2232</v>
      </c>
      <c r="C3" s="152" t="s">
        <v>2231</v>
      </c>
      <c r="D3" s="152" t="s">
        <v>2235</v>
      </c>
      <c r="E3" s="140"/>
      <c r="F3" s="152" t="s">
        <v>2232</v>
      </c>
      <c r="G3" s="152" t="s">
        <v>2231</v>
      </c>
      <c r="H3" s="152" t="s">
        <v>2235</v>
      </c>
      <c r="J3" s="152" t="s">
        <v>2232</v>
      </c>
      <c r="K3" s="145" t="s">
        <v>2231</v>
      </c>
      <c r="L3" s="152" t="s">
        <v>2235</v>
      </c>
      <c r="N3" s="152" t="s">
        <v>2232</v>
      </c>
      <c r="O3" s="152" t="s">
        <v>2231</v>
      </c>
      <c r="P3" s="152" t="s">
        <v>2235</v>
      </c>
      <c r="R3" s="152" t="s">
        <v>2232</v>
      </c>
      <c r="S3" s="152" t="s">
        <v>2231</v>
      </c>
      <c r="T3" s="152" t="s">
        <v>2235</v>
      </c>
      <c r="V3" s="152" t="s">
        <v>2232</v>
      </c>
      <c r="W3" s="152" t="s">
        <v>2231</v>
      </c>
      <c r="X3" s="152" t="s">
        <v>2235</v>
      </c>
      <c r="Z3" s="152" t="s">
        <v>2232</v>
      </c>
      <c r="AA3" s="152" t="s">
        <v>2231</v>
      </c>
      <c r="AB3" s="152" t="s">
        <v>2235</v>
      </c>
      <c r="AD3" s="152" t="s">
        <v>2232</v>
      </c>
      <c r="AE3" s="152" t="s">
        <v>2231</v>
      </c>
      <c r="AF3" s="152" t="s">
        <v>2235</v>
      </c>
      <c r="AH3" s="152" t="s">
        <v>2232</v>
      </c>
      <c r="AI3" s="152" t="s">
        <v>2231</v>
      </c>
      <c r="AJ3" s="152" t="s">
        <v>2235</v>
      </c>
    </row>
    <row r="4" spans="1:36" ht="15" thickBot="1">
      <c r="A4" s="178" t="s">
        <v>441</v>
      </c>
      <c r="B4" s="155">
        <v>30.664808924847936</v>
      </c>
      <c r="C4" s="155">
        <v>32</v>
      </c>
      <c r="D4" s="176">
        <f>+C4/B4-1</f>
        <v>4.3541477086137981E-2</v>
      </c>
      <c r="E4" s="159"/>
      <c r="F4" s="155">
        <v>28.895295708164401</v>
      </c>
      <c r="G4" s="155">
        <f>+F4*1.1</f>
        <v>31.784825278980843</v>
      </c>
      <c r="H4" s="189">
        <f>(F4*(1+D4))</f>
        <v>30.153439564138623</v>
      </c>
      <c r="J4" s="155">
        <v>229.8502410136345</v>
      </c>
      <c r="K4" s="155">
        <f>+J4*1.1</f>
        <v>252.83526511499798</v>
      </c>
      <c r="L4" s="155"/>
      <c r="N4" s="155">
        <v>120.70205996423432</v>
      </c>
      <c r="O4" s="155">
        <f>+N4*1.1</f>
        <v>132.77226596065776</v>
      </c>
      <c r="P4" s="155"/>
      <c r="R4" s="155">
        <v>77.397194055408576</v>
      </c>
      <c r="S4" s="155">
        <f>+R4*1.1</f>
        <v>85.136913460949444</v>
      </c>
      <c r="T4" s="155"/>
      <c r="V4" s="155">
        <v>55.08817441700014</v>
      </c>
      <c r="W4" s="155">
        <f>+V4*1.1</f>
        <v>60.596991858700157</v>
      </c>
      <c r="X4" s="155"/>
      <c r="Z4" s="155">
        <v>99.268879017507174</v>
      </c>
      <c r="AA4" s="155">
        <f>+Z4*1.1</f>
        <v>109.19576691925791</v>
      </c>
      <c r="AB4" s="155"/>
      <c r="AD4" s="155">
        <v>688.18488641631893</v>
      </c>
      <c r="AE4" s="155">
        <f>+AD4*1.1</f>
        <v>757.00337505795085</v>
      </c>
      <c r="AF4" s="155">
        <v>616.42572982849549</v>
      </c>
      <c r="AG4">
        <f>+AF4*1.1</f>
        <v>678.06830281134512</v>
      </c>
      <c r="AH4" s="155">
        <v>14.116222225726585</v>
      </c>
      <c r="AI4" s="155">
        <f>+AH4*1.1</f>
        <v>15.527844448299245</v>
      </c>
      <c r="AJ4" s="155"/>
    </row>
    <row r="5" spans="1:36" ht="15" thickBot="1">
      <c r="A5" s="179" t="s">
        <v>442</v>
      </c>
      <c r="B5" s="156">
        <v>38.745240101095192</v>
      </c>
      <c r="C5" s="156">
        <v>34</v>
      </c>
      <c r="D5" s="158">
        <f t="shared" ref="D5:D16" si="0">+C5/B5-1</f>
        <v>-0.12247285314825185</v>
      </c>
      <c r="E5" s="159"/>
      <c r="F5" s="156">
        <v>37.721744406298143</v>
      </c>
      <c r="G5" s="155">
        <f t="shared" ref="G5:G16" si="1">+F5*1.1</f>
        <v>41.493918846927961</v>
      </c>
      <c r="H5" s="189">
        <f t="shared" ref="H5:H16" si="2">(F5*(1+D5))</f>
        <v>33.101854743129699</v>
      </c>
      <c r="J5" s="156">
        <v>327.09184218967169</v>
      </c>
      <c r="K5" s="155">
        <f t="shared" ref="K5:K16" si="3">+J5*1.1</f>
        <v>359.8010264086389</v>
      </c>
      <c r="L5" s="156"/>
      <c r="N5" s="156">
        <v>144.39305636630687</v>
      </c>
      <c r="O5" s="155">
        <f t="shared" ref="O5:O16" si="4">+N5*1.1</f>
        <v>158.83236200293757</v>
      </c>
      <c r="P5" s="156"/>
      <c r="R5" s="156">
        <v>86.905479246845445</v>
      </c>
      <c r="S5" s="155">
        <f t="shared" ref="S5:S16" si="5">+R5*1.1</f>
        <v>95.596027171529997</v>
      </c>
      <c r="T5" s="156"/>
      <c r="V5" s="156">
        <v>69.0680608365019</v>
      </c>
      <c r="W5" s="155">
        <f t="shared" ref="W5:W16" si="6">+V5*1.1</f>
        <v>75.974866920152095</v>
      </c>
      <c r="X5" s="156"/>
      <c r="Z5" s="156">
        <v>106.08713480266532</v>
      </c>
      <c r="AA5" s="155">
        <f t="shared" ref="AA5:AA16" si="7">+Z5*1.1</f>
        <v>116.69584828293186</v>
      </c>
      <c r="AB5" s="156"/>
      <c r="AD5" s="156">
        <v>726.52673123360933</v>
      </c>
      <c r="AE5" s="155">
        <f t="shared" ref="AE5:AE16" si="8">+AD5*1.1</f>
        <v>799.17940435697028</v>
      </c>
      <c r="AF5" s="156">
        <v>722.02730111217193</v>
      </c>
      <c r="AG5">
        <f t="shared" ref="AG5:AG16" si="9">+AF5*1.1</f>
        <v>794.23003122338923</v>
      </c>
      <c r="AH5" s="156">
        <v>17.237654723127033</v>
      </c>
      <c r="AI5" s="155">
        <f t="shared" ref="AI5:AI16" si="10">+AH5*1.1</f>
        <v>18.961420195439739</v>
      </c>
      <c r="AJ5" s="156"/>
    </row>
    <row r="6" spans="1:36" ht="15" thickBot="1">
      <c r="A6" s="179" t="s">
        <v>443</v>
      </c>
      <c r="B6" s="156">
        <v>41.618182335120935</v>
      </c>
      <c r="C6" s="156">
        <v>38</v>
      </c>
      <c r="D6" s="158">
        <f t="shared" si="0"/>
        <v>-8.6937538645641577E-2</v>
      </c>
      <c r="E6" s="159"/>
      <c r="F6" s="156">
        <v>41.113687864035207</v>
      </c>
      <c r="G6" s="155">
        <f t="shared" si="1"/>
        <v>45.225056650438731</v>
      </c>
      <c r="H6" s="205">
        <f t="shared" si="2"/>
        <v>37.5393650364908</v>
      </c>
      <c r="J6" s="156">
        <v>435.39431907784837</v>
      </c>
      <c r="K6" s="155">
        <f t="shared" si="3"/>
        <v>478.93375098563325</v>
      </c>
      <c r="L6" s="156"/>
      <c r="N6" s="156">
        <v>121.84209540246373</v>
      </c>
      <c r="O6" s="155">
        <f t="shared" si="4"/>
        <v>134.02630494271011</v>
      </c>
      <c r="P6" s="156"/>
      <c r="R6" s="156">
        <v>85.000003166390499</v>
      </c>
      <c r="S6" s="155">
        <f t="shared" si="5"/>
        <v>93.500003483029559</v>
      </c>
      <c r="T6" s="156"/>
      <c r="V6" s="156">
        <v>76.240255408367489</v>
      </c>
      <c r="W6" s="155">
        <f t="shared" si="6"/>
        <v>83.864280949204243</v>
      </c>
      <c r="X6" s="156"/>
      <c r="Z6" s="156">
        <v>125.8040808219027</v>
      </c>
      <c r="AA6" s="155">
        <f t="shared" si="7"/>
        <v>138.38448890409299</v>
      </c>
      <c r="AB6" s="156"/>
      <c r="AD6" s="156">
        <v>877.14690721649481</v>
      </c>
      <c r="AE6" s="155">
        <f t="shared" si="8"/>
        <v>964.86159793814431</v>
      </c>
      <c r="AF6" s="156">
        <v>749.01348005502064</v>
      </c>
      <c r="AG6">
        <f t="shared" si="9"/>
        <v>823.91482806052272</v>
      </c>
      <c r="AH6" s="156">
        <v>27.353615758229903</v>
      </c>
      <c r="AI6" s="155">
        <f t="shared" si="10"/>
        <v>30.088977334052895</v>
      </c>
      <c r="AJ6" s="156"/>
    </row>
    <row r="7" spans="1:36" ht="15" thickBot="1">
      <c r="A7" s="179" t="s">
        <v>444</v>
      </c>
      <c r="B7" s="156">
        <v>40.339406138061058</v>
      </c>
      <c r="C7" s="156">
        <v>38</v>
      </c>
      <c r="D7" s="158">
        <f t="shared" si="0"/>
        <v>-5.7993073325236177E-2</v>
      </c>
      <c r="E7" s="159"/>
      <c r="F7" s="156">
        <v>39.355365134854246</v>
      </c>
      <c r="G7" s="155">
        <f t="shared" si="1"/>
        <v>43.290901648339677</v>
      </c>
      <c r="H7" s="189">
        <f t="shared" si="2"/>
        <v>37.073026558847204</v>
      </c>
      <c r="J7" s="156">
        <v>322.43095654788107</v>
      </c>
      <c r="K7" s="155">
        <f t="shared" si="3"/>
        <v>354.6740522026692</v>
      </c>
      <c r="L7" s="156"/>
      <c r="N7" s="156">
        <v>138.30348425831883</v>
      </c>
      <c r="O7" s="155">
        <f t="shared" si="4"/>
        <v>152.13383268415072</v>
      </c>
      <c r="P7" s="156"/>
      <c r="R7" s="156">
        <v>87.272632241353747</v>
      </c>
      <c r="S7" s="155">
        <f t="shared" si="5"/>
        <v>95.999895465489132</v>
      </c>
      <c r="T7" s="156"/>
      <c r="V7" s="156">
        <v>76.593049588351093</v>
      </c>
      <c r="W7" s="155">
        <f t="shared" si="6"/>
        <v>84.252354547186215</v>
      </c>
      <c r="X7" s="156"/>
      <c r="Z7" s="156">
        <v>116.51290238157547</v>
      </c>
      <c r="AA7" s="155">
        <f t="shared" si="7"/>
        <v>128.16419261973303</v>
      </c>
      <c r="AB7" s="156"/>
      <c r="AD7" s="156">
        <v>670.07571822806824</v>
      </c>
      <c r="AE7" s="155">
        <f t="shared" si="8"/>
        <v>737.08329005087512</v>
      </c>
      <c r="AF7" s="156">
        <v>670.07571822806824</v>
      </c>
      <c r="AG7">
        <f t="shared" si="9"/>
        <v>737.08329005087512</v>
      </c>
      <c r="AH7" s="156">
        <v>23.938046613580205</v>
      </c>
      <c r="AI7" s="155">
        <f t="shared" si="10"/>
        <v>26.331851274938227</v>
      </c>
      <c r="AJ7" s="156"/>
    </row>
    <row r="8" spans="1:36" ht="15" thickBot="1">
      <c r="A8" s="179" t="s">
        <v>445</v>
      </c>
      <c r="B8" s="156">
        <v>39.29286603159423</v>
      </c>
      <c r="C8" s="156">
        <v>37</v>
      </c>
      <c r="D8" s="158">
        <f t="shared" si="0"/>
        <v>-5.8353239739514118E-2</v>
      </c>
      <c r="E8" s="159"/>
      <c r="F8" s="156">
        <v>38.900798195075211</v>
      </c>
      <c r="G8" s="155">
        <f t="shared" si="1"/>
        <v>42.790878014582738</v>
      </c>
      <c r="H8" s="189">
        <f t="shared" si="2"/>
        <v>36.630810591939529</v>
      </c>
      <c r="J8" s="156">
        <v>566.13052410143473</v>
      </c>
      <c r="K8" s="155">
        <f t="shared" si="3"/>
        <v>622.74357651157823</v>
      </c>
      <c r="L8" s="156"/>
      <c r="N8" s="156">
        <v>98.5872360915928</v>
      </c>
      <c r="O8" s="155">
        <f t="shared" si="4"/>
        <v>108.44595970075208</v>
      </c>
      <c r="P8" s="156"/>
      <c r="R8" s="156">
        <v>87.108620938285327</v>
      </c>
      <c r="S8" s="155">
        <f t="shared" si="5"/>
        <v>95.819483032113865</v>
      </c>
      <c r="T8" s="156"/>
      <c r="V8" s="156">
        <v>95.435107419609309</v>
      </c>
      <c r="W8" s="155">
        <f t="shared" si="6"/>
        <v>104.97861816157025</v>
      </c>
      <c r="X8" s="156"/>
      <c r="Z8" s="156">
        <v>123.67212042553625</v>
      </c>
      <c r="AA8" s="155">
        <f t="shared" si="7"/>
        <v>136.0393324680899</v>
      </c>
      <c r="AB8" s="156"/>
      <c r="AD8" s="156">
        <v>626.53987608097816</v>
      </c>
      <c r="AE8" s="155">
        <f t="shared" si="8"/>
        <v>689.19386368907601</v>
      </c>
      <c r="AF8" s="156">
        <v>611.9809702579372</v>
      </c>
      <c r="AG8">
        <f t="shared" si="9"/>
        <v>673.179067283731</v>
      </c>
      <c r="AH8" s="156">
        <v>23.654137974208087</v>
      </c>
      <c r="AI8" s="155">
        <f t="shared" si="10"/>
        <v>26.019551771628898</v>
      </c>
      <c r="AJ8" s="156"/>
    </row>
    <row r="9" spans="1:36" ht="15" thickBot="1">
      <c r="A9" s="179" t="s">
        <v>446</v>
      </c>
      <c r="B9" s="156">
        <v>37.035708872723781</v>
      </c>
      <c r="C9" s="156">
        <v>42</v>
      </c>
      <c r="D9" s="158">
        <f t="shared" si="0"/>
        <v>0.13404066719328656</v>
      </c>
      <c r="E9" s="159"/>
      <c r="F9" s="156">
        <v>36.622494074925349</v>
      </c>
      <c r="G9" s="155">
        <f t="shared" si="1"/>
        <v>40.284743482417888</v>
      </c>
      <c r="H9" s="189">
        <f t="shared" si="2"/>
        <v>41.531397615010526</v>
      </c>
      <c r="J9" s="156">
        <v>550.45879384484169</v>
      </c>
      <c r="K9" s="155">
        <f t="shared" si="3"/>
        <v>605.50467322932593</v>
      </c>
      <c r="L9" s="156"/>
      <c r="N9" s="156">
        <v>91.134169662033131</v>
      </c>
      <c r="O9" s="155">
        <f t="shared" si="4"/>
        <v>100.24758662823645</v>
      </c>
      <c r="P9" s="156"/>
      <c r="R9" s="156">
        <v>84.900105774681506</v>
      </c>
      <c r="S9" s="155">
        <f t="shared" si="5"/>
        <v>93.390116352149661</v>
      </c>
      <c r="T9" s="156"/>
      <c r="V9" s="156">
        <v>90.252129184585556</v>
      </c>
      <c r="W9" s="155">
        <f t="shared" si="6"/>
        <v>99.27734210304412</v>
      </c>
      <c r="X9" s="156"/>
      <c r="Z9" s="156">
        <v>121.23270378345126</v>
      </c>
      <c r="AA9" s="155">
        <f t="shared" si="7"/>
        <v>133.35597416179638</v>
      </c>
      <c r="AB9" s="156"/>
      <c r="AD9" s="156">
        <v>777.93989499255554</v>
      </c>
      <c r="AE9" s="155">
        <f t="shared" si="8"/>
        <v>855.73388449181118</v>
      </c>
      <c r="AF9" s="156">
        <v>766.67498165810719</v>
      </c>
      <c r="AG9">
        <f t="shared" si="9"/>
        <v>843.34247982391798</v>
      </c>
      <c r="AH9" s="156">
        <v>26.652761916210856</v>
      </c>
      <c r="AI9" s="155">
        <f t="shared" si="10"/>
        <v>29.318038107831946</v>
      </c>
      <c r="AJ9" s="156"/>
    </row>
    <row r="10" spans="1:36" ht="15" thickBot="1">
      <c r="A10" s="179" t="s">
        <v>447</v>
      </c>
      <c r="B10" s="156">
        <v>36.946857376542617</v>
      </c>
      <c r="C10" s="156">
        <v>42</v>
      </c>
      <c r="D10" s="158">
        <f>+C10/B10-1</f>
        <v>0.13676786017166376</v>
      </c>
      <c r="E10" s="159"/>
      <c r="F10" s="156">
        <v>35.718934290608189</v>
      </c>
      <c r="G10" s="155">
        <f t="shared" si="1"/>
        <v>39.290827719669011</v>
      </c>
      <c r="H10" s="189">
        <f>(F10*(1+D10))</f>
        <v>40.604136501146932</v>
      </c>
      <c r="J10" s="156">
        <v>438.98562818729721</v>
      </c>
      <c r="K10" s="155">
        <f t="shared" si="3"/>
        <v>482.88419100602698</v>
      </c>
      <c r="L10" s="156"/>
      <c r="N10" s="156">
        <v>101.48718901411716</v>
      </c>
      <c r="O10" s="155">
        <f t="shared" si="4"/>
        <v>111.63590791552889</v>
      </c>
      <c r="P10" s="156"/>
      <c r="R10" s="156">
        <v>87.535067235951118</v>
      </c>
      <c r="S10" s="155">
        <f t="shared" si="5"/>
        <v>96.288573959546241</v>
      </c>
      <c r="T10" s="156"/>
      <c r="V10" s="156">
        <v>75.95424340807719</v>
      </c>
      <c r="W10" s="155">
        <f t="shared" si="6"/>
        <v>83.549667748884914</v>
      </c>
      <c r="X10" s="156"/>
      <c r="Z10" s="156">
        <v>117.18498286057661</v>
      </c>
      <c r="AA10" s="155">
        <f t="shared" si="7"/>
        <v>128.90348114663428</v>
      </c>
      <c r="AB10" s="156"/>
      <c r="AD10" s="156">
        <v>876.63705286373977</v>
      </c>
      <c r="AE10" s="155">
        <f t="shared" si="8"/>
        <v>964.30075815011378</v>
      </c>
      <c r="AF10" s="156">
        <v>833.74042148733258</v>
      </c>
      <c r="AG10">
        <f t="shared" si="9"/>
        <v>917.11446363606592</v>
      </c>
      <c r="AH10" s="156">
        <v>20.191324663188226</v>
      </c>
      <c r="AI10" s="155">
        <f t="shared" si="10"/>
        <v>22.210457129507052</v>
      </c>
      <c r="AJ10" s="156"/>
    </row>
    <row r="11" spans="1:36" ht="15" thickBot="1">
      <c r="A11" s="179" t="s">
        <v>448</v>
      </c>
      <c r="B11" s="156">
        <v>39.383754991228145</v>
      </c>
      <c r="C11" s="156">
        <v>44</v>
      </c>
      <c r="D11" s="158">
        <f t="shared" ref="D11:D13" si="11">+C11/B11-1</f>
        <v>0.11721190652846647</v>
      </c>
      <c r="E11" s="159"/>
      <c r="F11" s="156">
        <v>38.252457668627351</v>
      </c>
      <c r="G11" s="155">
        <f>+F11*1.1</f>
        <v>42.077703435490086</v>
      </c>
      <c r="H11" s="205">
        <f>(F11*(1+D11))</f>
        <v>42.736101161366619</v>
      </c>
      <c r="J11" s="156">
        <v>405.81632941842366</v>
      </c>
      <c r="K11" s="155">
        <f t="shared" si="3"/>
        <v>446.39796236026609</v>
      </c>
      <c r="L11" s="156"/>
      <c r="N11" s="156">
        <v>117.29499401387329</v>
      </c>
      <c r="O11" s="155">
        <f t="shared" si="4"/>
        <v>129.02449341526062</v>
      </c>
      <c r="P11" s="156"/>
      <c r="R11" s="156">
        <v>86.212753516494416</v>
      </c>
      <c r="S11" s="155">
        <f t="shared" si="5"/>
        <v>94.834028868143861</v>
      </c>
      <c r="T11" s="156"/>
      <c r="V11" s="156">
        <v>64.250489884911545</v>
      </c>
      <c r="W11" s="155">
        <f t="shared" si="6"/>
        <v>70.675538873402701</v>
      </c>
      <c r="X11" s="156"/>
      <c r="Z11" s="156">
        <v>122.79765119638259</v>
      </c>
      <c r="AA11" s="155">
        <f t="shared" si="7"/>
        <v>135.07741631602084</v>
      </c>
      <c r="AB11" s="156"/>
      <c r="AD11" s="156">
        <v>754.52401524777633</v>
      </c>
      <c r="AE11" s="155">
        <f t="shared" si="8"/>
        <v>829.97641677255399</v>
      </c>
      <c r="AF11" s="156">
        <v>723.453216374269</v>
      </c>
      <c r="AG11">
        <f t="shared" si="9"/>
        <v>795.798538011696</v>
      </c>
      <c r="AH11" s="156">
        <v>22.194499281661173</v>
      </c>
      <c r="AI11" s="155">
        <f t="shared" si="10"/>
        <v>24.413949209827294</v>
      </c>
      <c r="AJ11" s="156"/>
    </row>
    <row r="12" spans="1:36" ht="15" thickBot="1">
      <c r="A12" s="179" t="s">
        <v>449</v>
      </c>
      <c r="B12" s="156">
        <v>38.73760827776826</v>
      </c>
      <c r="C12" s="156">
        <v>44</v>
      </c>
      <c r="D12" s="158">
        <f t="shared" si="11"/>
        <v>0.13584709940009021</v>
      </c>
      <c r="E12" s="159"/>
      <c r="F12" s="156">
        <v>38.117509559822125</v>
      </c>
      <c r="G12" s="155">
        <f t="shared" si="1"/>
        <v>41.929260515804337</v>
      </c>
      <c r="H12" s="189">
        <f t="shared" si="2"/>
        <v>43.295662669879171</v>
      </c>
      <c r="J12" s="156">
        <v>395.3196453569762</v>
      </c>
      <c r="K12" s="155">
        <f t="shared" si="3"/>
        <v>434.85160989267388</v>
      </c>
      <c r="L12" s="156"/>
      <c r="N12" s="156">
        <v>104.00988850695798</v>
      </c>
      <c r="O12" s="155">
        <f t="shared" si="4"/>
        <v>114.41087735765379</v>
      </c>
      <c r="P12" s="156"/>
      <c r="R12" s="156">
        <v>82.453843116702515</v>
      </c>
      <c r="S12" s="155">
        <f t="shared" si="5"/>
        <v>90.69922742837278</v>
      </c>
      <c r="T12" s="156"/>
      <c r="V12" s="156">
        <v>84.686892744052614</v>
      </c>
      <c r="W12" s="155">
        <f t="shared" si="6"/>
        <v>93.155582018457878</v>
      </c>
      <c r="X12" s="156"/>
      <c r="Z12" s="156">
        <v>118.24923424149604</v>
      </c>
      <c r="AA12" s="155">
        <f t="shared" si="7"/>
        <v>130.07415766564566</v>
      </c>
      <c r="AB12" s="156"/>
      <c r="AD12" s="156">
        <v>617.54628137830673</v>
      </c>
      <c r="AE12" s="155">
        <f t="shared" si="8"/>
        <v>679.30090951613749</v>
      </c>
      <c r="AF12" s="156">
        <v>596.16717675982136</v>
      </c>
      <c r="AG12">
        <f t="shared" si="9"/>
        <v>655.78389443580352</v>
      </c>
      <c r="AH12" s="156">
        <v>23.144613770797523</v>
      </c>
      <c r="AI12" s="155">
        <f t="shared" si="10"/>
        <v>25.459075147877279</v>
      </c>
      <c r="AJ12" s="156"/>
    </row>
    <row r="13" spans="1:36" ht="15" thickBot="1">
      <c r="A13" s="179" t="s">
        <v>450</v>
      </c>
      <c r="B13" s="156">
        <v>35.172920548338467</v>
      </c>
      <c r="C13" s="156">
        <v>42</v>
      </c>
      <c r="D13" s="158">
        <f t="shared" si="11"/>
        <v>0.19410044276189731</v>
      </c>
      <c r="E13" s="159"/>
      <c r="F13" s="156">
        <v>35.641013468368619</v>
      </c>
      <c r="G13" s="155">
        <f t="shared" si="1"/>
        <v>39.205114815205484</v>
      </c>
      <c r="H13" s="189">
        <f t="shared" si="2"/>
        <v>42.558949963061714</v>
      </c>
      <c r="J13" s="156">
        <v>361.93962886914471</v>
      </c>
      <c r="K13" s="155">
        <f t="shared" si="3"/>
        <v>398.13359175605922</v>
      </c>
      <c r="L13" s="156"/>
      <c r="N13" s="156">
        <v>87.336217639335388</v>
      </c>
      <c r="O13" s="155">
        <f t="shared" si="4"/>
        <v>96.069839403268929</v>
      </c>
      <c r="P13" s="156"/>
      <c r="R13" s="156">
        <v>74.171093985647914</v>
      </c>
      <c r="S13" s="155">
        <f t="shared" si="5"/>
        <v>81.588203384212719</v>
      </c>
      <c r="T13" s="156"/>
      <c r="V13" s="156">
        <v>101.35218256290227</v>
      </c>
      <c r="W13" s="155">
        <f t="shared" si="6"/>
        <v>111.4874008191925</v>
      </c>
      <c r="X13" s="156"/>
      <c r="Z13" s="156">
        <v>124.67748941905683</v>
      </c>
      <c r="AA13" s="155">
        <f t="shared" si="7"/>
        <v>137.14523836096251</v>
      </c>
      <c r="AB13" s="156"/>
      <c r="AD13" s="156">
        <v>812.53199831956283</v>
      </c>
      <c r="AE13" s="155">
        <f t="shared" si="8"/>
        <v>893.78519815151924</v>
      </c>
      <c r="AF13" s="156">
        <v>698.69239568908438</v>
      </c>
      <c r="AG13">
        <f t="shared" si="9"/>
        <v>768.56163525799286</v>
      </c>
      <c r="AH13" s="156">
        <v>23.54463693738834</v>
      </c>
      <c r="AI13" s="155">
        <f t="shared" si="10"/>
        <v>25.899100631127176</v>
      </c>
      <c r="AJ13" s="156"/>
    </row>
    <row r="14" spans="1:36" ht="15" thickBot="1">
      <c r="A14" s="179" t="s">
        <v>451</v>
      </c>
      <c r="B14" s="156">
        <v>30.194445410527212</v>
      </c>
      <c r="C14" s="156">
        <v>39</v>
      </c>
      <c r="D14" s="158">
        <f t="shared" si="0"/>
        <v>0.29162829354046549</v>
      </c>
      <c r="E14" s="159"/>
      <c r="F14" s="156">
        <v>30.102897127413055</v>
      </c>
      <c r="G14" s="155">
        <f t="shared" si="1"/>
        <v>33.113186840154363</v>
      </c>
      <c r="H14" s="189">
        <f t="shared" si="2"/>
        <v>38.881753647304706</v>
      </c>
      <c r="J14" s="156">
        <v>229.43831535101674</v>
      </c>
      <c r="K14" s="155">
        <f t="shared" si="3"/>
        <v>252.38214688611845</v>
      </c>
      <c r="L14" s="156"/>
      <c r="N14" s="156">
        <v>92.745998300405759</v>
      </c>
      <c r="O14" s="155">
        <f t="shared" si="4"/>
        <v>102.02059813044634</v>
      </c>
      <c r="P14" s="156"/>
      <c r="R14" s="156">
        <v>65.008226468099949</v>
      </c>
      <c r="S14" s="155">
        <f t="shared" si="5"/>
        <v>71.509049114909956</v>
      </c>
      <c r="T14" s="156"/>
      <c r="V14" s="156">
        <v>93.056781658452962</v>
      </c>
      <c r="W14" s="155">
        <f t="shared" si="6"/>
        <v>102.36245982429827</v>
      </c>
      <c r="X14" s="156"/>
      <c r="Z14" s="156">
        <v>108.79171027407905</v>
      </c>
      <c r="AA14" s="155">
        <f t="shared" si="7"/>
        <v>119.67088130148697</v>
      </c>
      <c r="AB14" s="156"/>
      <c r="AD14" s="156">
        <v>684.07822892881973</v>
      </c>
      <c r="AE14" s="155">
        <f t="shared" si="8"/>
        <v>752.48605182170172</v>
      </c>
      <c r="AF14" s="156">
        <v>619.03815056597</v>
      </c>
      <c r="AG14">
        <f t="shared" si="9"/>
        <v>680.94196562256707</v>
      </c>
      <c r="AH14" s="156">
        <v>27.125893766525031</v>
      </c>
      <c r="AI14" s="155">
        <f t="shared" si="10"/>
        <v>29.838483143177537</v>
      </c>
      <c r="AJ14" s="156"/>
    </row>
    <row r="15" spans="1:36" ht="15" thickBot="1">
      <c r="A15" s="180" t="s">
        <v>452</v>
      </c>
      <c r="B15" s="181">
        <v>34.898624696814188</v>
      </c>
      <c r="C15" s="181">
        <v>41</v>
      </c>
      <c r="D15" s="177">
        <f t="shared" si="0"/>
        <v>0.17483139682988114</v>
      </c>
      <c r="E15" s="159"/>
      <c r="F15" s="181">
        <v>34.330922052084418</v>
      </c>
      <c r="G15" s="182">
        <f t="shared" si="1"/>
        <v>37.764014257292864</v>
      </c>
      <c r="H15" s="189">
        <f t="shared" si="2"/>
        <v>40.333045108908109</v>
      </c>
      <c r="J15" s="181">
        <v>354.30098939736695</v>
      </c>
      <c r="K15" s="182">
        <f t="shared" si="3"/>
        <v>389.7310883371037</v>
      </c>
      <c r="L15" s="181"/>
      <c r="N15" s="181">
        <v>101.53319599706782</v>
      </c>
      <c r="O15" s="182">
        <f t="shared" si="4"/>
        <v>111.68651559677461</v>
      </c>
      <c r="P15" s="181"/>
      <c r="R15" s="181">
        <v>72.480476052398203</v>
      </c>
      <c r="S15" s="182">
        <f t="shared" si="5"/>
        <v>79.728523657638036</v>
      </c>
      <c r="T15" s="181"/>
      <c r="V15" s="181">
        <v>105.42870622065465</v>
      </c>
      <c r="W15" s="182">
        <f t="shared" si="6"/>
        <v>115.97157684272013</v>
      </c>
      <c r="X15" s="181"/>
      <c r="Z15" s="181">
        <v>108.27279111504149</v>
      </c>
      <c r="AA15" s="182">
        <f t="shared" si="7"/>
        <v>119.10007022654564</v>
      </c>
      <c r="AB15" s="181"/>
      <c r="AD15" s="181">
        <v>676.70633164893002</v>
      </c>
      <c r="AE15" s="182">
        <f t="shared" si="8"/>
        <v>744.37696481382307</v>
      </c>
      <c r="AF15" s="181">
        <v>662.45241297558539</v>
      </c>
      <c r="AG15">
        <f t="shared" si="9"/>
        <v>728.69765427314394</v>
      </c>
      <c r="AH15" s="181">
        <v>23.894564315352696</v>
      </c>
      <c r="AI15" s="182">
        <f t="shared" si="10"/>
        <v>26.284020746887968</v>
      </c>
      <c r="AJ15" s="181"/>
    </row>
    <row r="16" spans="1:36" ht="15" thickBot="1">
      <c r="A16" s="152" t="s">
        <v>57</v>
      </c>
      <c r="B16" s="157">
        <v>36.650169110765198</v>
      </c>
      <c r="C16" s="157">
        <v>39.303678241917801</v>
      </c>
      <c r="D16" s="150">
        <f t="shared" si="0"/>
        <v>7.2401006476480179E-2</v>
      </c>
      <c r="E16" s="159"/>
      <c r="F16" s="157">
        <v>36.088244296062669</v>
      </c>
      <c r="G16" s="157">
        <f t="shared" si="1"/>
        <v>39.697068725668942</v>
      </c>
      <c r="H16" s="189">
        <f t="shared" si="2"/>
        <v>38.701069505066698</v>
      </c>
      <c r="J16" s="157">
        <v>368.26518991656758</v>
      </c>
      <c r="K16" s="157">
        <f t="shared" si="3"/>
        <v>405.09170890822435</v>
      </c>
      <c r="L16" s="157"/>
      <c r="N16" s="157">
        <v>105.08617521272431</v>
      </c>
      <c r="O16" s="157">
        <f t="shared" si="4"/>
        <v>115.59479273399675</v>
      </c>
      <c r="P16" s="157"/>
      <c r="R16" s="157">
        <v>80.303201155673818</v>
      </c>
      <c r="S16" s="157">
        <f t="shared" si="5"/>
        <v>88.33352127124121</v>
      </c>
      <c r="T16" s="157"/>
      <c r="V16" s="157">
        <v>82.936842917963588</v>
      </c>
      <c r="W16" s="157">
        <f t="shared" si="6"/>
        <v>91.230527209759956</v>
      </c>
      <c r="X16" s="157"/>
      <c r="Z16" s="157">
        <v>116.24238900451087</v>
      </c>
      <c r="AA16" s="157">
        <f t="shared" si="7"/>
        <v>127.86662790496197</v>
      </c>
      <c r="AB16" s="157"/>
      <c r="AD16" s="157">
        <v>732.13282107433838</v>
      </c>
      <c r="AE16" s="157">
        <f t="shared" si="8"/>
        <v>805.34610318177226</v>
      </c>
      <c r="AF16" s="157">
        <v>693.90641165004479</v>
      </c>
      <c r="AG16">
        <f t="shared" si="9"/>
        <v>763.29705281504937</v>
      </c>
      <c r="AH16" s="157">
        <v>22.522186330777451</v>
      </c>
      <c r="AI16" s="157">
        <f t="shared" si="10"/>
        <v>24.774404963855197</v>
      </c>
      <c r="AJ16" s="157"/>
    </row>
    <row r="18" spans="3:35">
      <c r="G18" s="188"/>
      <c r="J18"/>
      <c r="K18"/>
      <c r="AD18" s="138" t="s">
        <v>1421</v>
      </c>
      <c r="AE18" s="138" t="s">
        <v>1864</v>
      </c>
      <c r="AF18" t="s">
        <v>1885</v>
      </c>
      <c r="AI18" s="183"/>
    </row>
    <row r="19" spans="3:35">
      <c r="C19" s="65"/>
      <c r="D19" s="67"/>
      <c r="J19"/>
      <c r="K19"/>
      <c r="AD19" s="138" t="s">
        <v>1865</v>
      </c>
      <c r="AE19" s="66">
        <v>6020.25</v>
      </c>
      <c r="AF19">
        <v>3711037</v>
      </c>
      <c r="AG19">
        <v>616.42572982849549</v>
      </c>
    </row>
    <row r="20" spans="3:35">
      <c r="D20" s="67"/>
      <c r="H20" s="29"/>
      <c r="J20"/>
      <c r="K20"/>
      <c r="AD20" s="138" t="s">
        <v>1866</v>
      </c>
      <c r="AE20" s="138">
        <v>3229.416666666667</v>
      </c>
      <c r="AF20">
        <v>2331727</v>
      </c>
      <c r="AG20">
        <v>722.02730111217193</v>
      </c>
    </row>
    <row r="21" spans="3:35">
      <c r="D21" s="161"/>
      <c r="J21"/>
      <c r="K21"/>
      <c r="AD21" s="138" t="s">
        <v>1867</v>
      </c>
      <c r="AE21" s="138">
        <v>1817.5</v>
      </c>
      <c r="AF21">
        <v>1361332</v>
      </c>
      <c r="AG21">
        <v>749.01348005502064</v>
      </c>
    </row>
    <row r="22" spans="3:35">
      <c r="J22"/>
      <c r="K22"/>
      <c r="AD22" s="138" t="s">
        <v>1868</v>
      </c>
      <c r="AE22" s="138">
        <v>5326.7666666666673</v>
      </c>
      <c r="AF22">
        <v>3569337</v>
      </c>
      <c r="AG22">
        <v>670.07571822806824</v>
      </c>
    </row>
    <row r="23" spans="3:35">
      <c r="J23"/>
      <c r="K23"/>
      <c r="AD23" s="138" t="s">
        <v>1869</v>
      </c>
      <c r="AE23" s="138">
        <v>2574.9166666666665</v>
      </c>
      <c r="AF23">
        <v>1575800</v>
      </c>
      <c r="AG23">
        <v>611.9809702579372</v>
      </c>
    </row>
    <row r="24" spans="3:35">
      <c r="J24"/>
      <c r="K24"/>
      <c r="AA24" s="138">
        <f>43-27</f>
        <v>16</v>
      </c>
      <c r="AD24" s="138" t="s">
        <v>1870</v>
      </c>
      <c r="AE24" s="138">
        <v>4316.1666666666661</v>
      </c>
      <c r="AF24">
        <v>3309097</v>
      </c>
      <c r="AG24">
        <v>766.67498165810719</v>
      </c>
    </row>
    <row r="25" spans="3:35">
      <c r="J25"/>
      <c r="K25"/>
      <c r="AD25" s="138" t="s">
        <v>1871</v>
      </c>
      <c r="AE25" s="138">
        <v>5085.1666666666661</v>
      </c>
      <c r="AF25">
        <v>4239709</v>
      </c>
      <c r="AG25">
        <v>833.74042148733258</v>
      </c>
    </row>
    <row r="26" spans="3:35">
      <c r="J26"/>
      <c r="K26"/>
      <c r="AD26" s="138" t="s">
        <v>1872</v>
      </c>
      <c r="AE26" s="138">
        <v>2052</v>
      </c>
      <c r="AF26">
        <v>1484526</v>
      </c>
      <c r="AG26">
        <v>723.453216374269</v>
      </c>
    </row>
    <row r="27" spans="3:35">
      <c r="J27"/>
      <c r="K27"/>
      <c r="AD27" s="138" t="s">
        <v>1873</v>
      </c>
      <c r="AE27" s="138">
        <v>1660.9166666666667</v>
      </c>
      <c r="AF27">
        <v>990184</v>
      </c>
      <c r="AG27">
        <v>596.16717675982136</v>
      </c>
    </row>
    <row r="28" spans="3:35">
      <c r="J28"/>
      <c r="K28"/>
      <c r="AD28" s="138" t="s">
        <v>1874</v>
      </c>
      <c r="AE28" s="138">
        <v>2768.1666666666661</v>
      </c>
      <c r="AF28">
        <v>1934097</v>
      </c>
      <c r="AG28">
        <v>698.69239568908438</v>
      </c>
    </row>
    <row r="29" spans="3:35">
      <c r="J29"/>
      <c r="K29"/>
      <c r="AD29" s="138" t="s">
        <v>1875</v>
      </c>
      <c r="AE29" s="138">
        <v>2782.833333333333</v>
      </c>
      <c r="AF29">
        <v>1722680</v>
      </c>
      <c r="AG29">
        <v>619.03815056597</v>
      </c>
    </row>
    <row r="30" spans="3:35">
      <c r="J30"/>
      <c r="K30"/>
      <c r="AD30" s="138" t="s">
        <v>1876</v>
      </c>
      <c r="AE30" s="138">
        <v>3655.583333333333</v>
      </c>
      <c r="AF30">
        <v>2421650</v>
      </c>
      <c r="AG30">
        <v>662.45241297558539</v>
      </c>
    </row>
    <row r="31" spans="3:35">
      <c r="J31"/>
      <c r="K31"/>
      <c r="AD31" s="138" t="s">
        <v>1422</v>
      </c>
      <c r="AE31" s="138">
        <v>41289.683333333342</v>
      </c>
      <c r="AF31">
        <v>28651176</v>
      </c>
      <c r="AG31">
        <v>693.90641165004479</v>
      </c>
    </row>
    <row r="32" spans="3:35">
      <c r="J32"/>
      <c r="K32"/>
    </row>
    <row r="33" spans="10:11">
      <c r="J33"/>
      <c r="K33"/>
    </row>
  </sheetData>
  <phoneticPr fontId="6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5CAAB-D5E9-4007-9019-F1238171FCCA}">
  <dimension ref="A1:AA54"/>
  <sheetViews>
    <sheetView workbookViewId="0">
      <pane ySplit="1" topLeftCell="A29" activePane="bottomLeft" state="frozen"/>
      <selection pane="bottomLeft" activeCell="AB48" sqref="AB48"/>
    </sheetView>
  </sheetViews>
  <sheetFormatPr defaultRowHeight="14.4"/>
  <cols>
    <col min="1" max="1" width="8.5546875" bestFit="1" customWidth="1"/>
    <col min="2" max="2" width="5.33203125" style="2" bestFit="1" customWidth="1"/>
    <col min="3" max="3" width="5.33203125" bestFit="1" customWidth="1"/>
    <col min="4" max="4" width="8.5546875" bestFit="1" customWidth="1"/>
    <col min="5" max="6" width="5.33203125" bestFit="1" customWidth="1"/>
    <col min="7" max="7" width="8.5546875" bestFit="1" customWidth="1"/>
    <col min="8" max="8" width="5.33203125" bestFit="1" customWidth="1"/>
    <col min="9" max="9" width="5" bestFit="1" customWidth="1"/>
    <col min="10" max="10" width="8.5546875" bestFit="1" customWidth="1"/>
    <col min="11" max="12" width="5.33203125" bestFit="1" customWidth="1"/>
    <col min="13" max="13" width="8.5546875" bestFit="1" customWidth="1"/>
    <col min="14" max="15" width="5.33203125" bestFit="1" customWidth="1"/>
    <col min="16" max="16" width="8.5546875" bestFit="1" customWidth="1"/>
    <col min="17" max="18" width="5.33203125" bestFit="1" customWidth="1"/>
    <col min="19" max="19" width="8.5546875" bestFit="1" customWidth="1"/>
    <col min="20" max="21" width="5" bestFit="1" customWidth="1"/>
    <col min="22" max="22" width="8.5546875" bestFit="1" customWidth="1"/>
    <col min="23" max="23" width="5" bestFit="1" customWidth="1"/>
    <col min="24" max="24" width="5.44140625" bestFit="1" customWidth="1"/>
    <col min="25" max="25" width="8.5546875" bestFit="1" customWidth="1"/>
    <col min="26" max="27" width="5" bestFit="1" customWidth="1"/>
  </cols>
  <sheetData>
    <row r="1" spans="1:27" ht="15" thickBot="1">
      <c r="A1" s="215" t="s">
        <v>2240</v>
      </c>
      <c r="B1" s="215"/>
      <c r="C1" s="215"/>
      <c r="D1" s="215" t="s">
        <v>1523</v>
      </c>
      <c r="E1" s="215"/>
      <c r="F1" s="215"/>
      <c r="G1" s="215" t="s">
        <v>2241</v>
      </c>
      <c r="H1" s="215"/>
      <c r="I1" s="215"/>
      <c r="J1" s="215" t="s">
        <v>2242</v>
      </c>
      <c r="K1" s="215"/>
      <c r="L1" s="215"/>
      <c r="M1" s="215" t="s">
        <v>2243</v>
      </c>
      <c r="N1" s="215"/>
      <c r="O1" s="215"/>
      <c r="P1" s="215" t="s">
        <v>2244</v>
      </c>
      <c r="Q1" s="215"/>
      <c r="R1" s="215"/>
      <c r="S1" s="215" t="s">
        <v>2245</v>
      </c>
      <c r="T1" s="215"/>
      <c r="U1" s="215"/>
      <c r="V1" s="215" t="s">
        <v>2246</v>
      </c>
      <c r="W1" s="215"/>
      <c r="X1" s="215"/>
      <c r="Y1" s="215" t="s">
        <v>2247</v>
      </c>
      <c r="Z1" s="215"/>
      <c r="AA1" s="215"/>
    </row>
    <row r="2" spans="1:27" ht="15" thickBot="1">
      <c r="A2" s="215" t="s">
        <v>10</v>
      </c>
      <c r="B2" s="215">
        <v>2025</v>
      </c>
      <c r="C2" s="215">
        <v>2026</v>
      </c>
      <c r="D2" s="215" t="s">
        <v>10</v>
      </c>
      <c r="E2" s="215">
        <v>2025</v>
      </c>
      <c r="F2" s="215">
        <v>2026</v>
      </c>
      <c r="G2" s="215" t="s">
        <v>10</v>
      </c>
      <c r="H2" s="215">
        <v>2025</v>
      </c>
      <c r="I2" s="215">
        <v>2026</v>
      </c>
      <c r="J2" s="215" t="s">
        <v>10</v>
      </c>
      <c r="K2" s="215">
        <v>2025</v>
      </c>
      <c r="L2" s="215">
        <v>2026</v>
      </c>
      <c r="M2" s="215" t="s">
        <v>10</v>
      </c>
      <c r="N2" s="215">
        <v>2025</v>
      </c>
      <c r="O2" s="215">
        <v>2026</v>
      </c>
      <c r="P2" s="215" t="s">
        <v>10</v>
      </c>
      <c r="Q2" s="215">
        <v>2025</v>
      </c>
      <c r="R2" s="215">
        <v>2026</v>
      </c>
      <c r="S2" s="215" t="s">
        <v>10</v>
      </c>
      <c r="T2" s="215">
        <v>2025</v>
      </c>
      <c r="U2" s="215">
        <v>2026</v>
      </c>
      <c r="V2" s="215" t="s">
        <v>10</v>
      </c>
      <c r="W2" s="215">
        <v>2025</v>
      </c>
      <c r="X2" s="215">
        <v>2026</v>
      </c>
      <c r="Y2" s="215" t="s">
        <v>10</v>
      </c>
      <c r="Z2" s="215">
        <v>2025</v>
      </c>
      <c r="AA2" s="215">
        <v>2026</v>
      </c>
    </row>
    <row r="3" spans="1:27">
      <c r="A3" s="209" t="s">
        <v>54</v>
      </c>
      <c r="B3" s="7">
        <v>299.76049278338064</v>
      </c>
      <c r="C3" s="211">
        <v>356.29303458353633</v>
      </c>
      <c r="D3" s="209" t="s">
        <v>54</v>
      </c>
      <c r="E3" s="7">
        <v>117.94654844659004</v>
      </c>
      <c r="F3" s="211">
        <v>125.76457489878543</v>
      </c>
      <c r="G3" s="209" t="s">
        <v>54</v>
      </c>
      <c r="H3" s="7">
        <v>74.927313052581511</v>
      </c>
      <c r="I3" s="211">
        <v>78.470694280875861</v>
      </c>
      <c r="J3" s="209" t="s">
        <v>54</v>
      </c>
      <c r="K3" s="7">
        <v>96.464289203712752</v>
      </c>
      <c r="L3" s="211">
        <v>121.26574500768049</v>
      </c>
      <c r="M3" s="209" t="s">
        <v>54</v>
      </c>
      <c r="N3" s="7">
        <v>107.75626920849849</v>
      </c>
      <c r="O3" s="211">
        <v>114.77515837573993</v>
      </c>
      <c r="P3" s="209" t="s">
        <v>54</v>
      </c>
      <c r="Q3" s="7">
        <v>634.14450577019568</v>
      </c>
      <c r="R3" s="211">
        <v>700.59078913765211</v>
      </c>
      <c r="S3" s="209" t="s">
        <v>54</v>
      </c>
      <c r="T3" s="7">
        <v>18.117364910439928</v>
      </c>
      <c r="U3" s="211">
        <v>16.459504747719233</v>
      </c>
      <c r="V3" s="209" t="s">
        <v>54</v>
      </c>
      <c r="W3" s="7">
        <v>34.009338376056405</v>
      </c>
      <c r="X3" s="211">
        <v>40.546212375517513</v>
      </c>
      <c r="Y3" s="209" t="s">
        <v>54</v>
      </c>
      <c r="Z3" s="7">
        <v>28.993011068816983</v>
      </c>
      <c r="AA3" s="211">
        <v>37.49929568662921</v>
      </c>
    </row>
    <row r="4" spans="1:27">
      <c r="A4" s="209" t="s">
        <v>425</v>
      </c>
      <c r="B4" s="7">
        <v>182.66181216383944</v>
      </c>
      <c r="C4" s="211">
        <v>340.90501224489799</v>
      </c>
      <c r="D4" s="209" t="s">
        <v>425</v>
      </c>
      <c r="E4" s="7">
        <v>122.84445800633615</v>
      </c>
      <c r="F4" s="211">
        <v>111.2946182715238</v>
      </c>
      <c r="G4" s="209" t="s">
        <v>425</v>
      </c>
      <c r="H4" s="7">
        <v>73.782496222304559</v>
      </c>
      <c r="I4" s="211">
        <v>73.21110395555543</v>
      </c>
      <c r="J4" s="209" t="s">
        <v>425</v>
      </c>
      <c r="K4" s="7">
        <v>79.248086823431194</v>
      </c>
      <c r="L4" s="211">
        <v>81.042384468143283</v>
      </c>
      <c r="M4" s="209" t="s">
        <v>425</v>
      </c>
      <c r="N4" s="7">
        <v>89.948204761642941</v>
      </c>
      <c r="O4" s="211">
        <v>141.07037879208031</v>
      </c>
      <c r="P4" s="209" t="s">
        <v>425</v>
      </c>
      <c r="Q4" s="7">
        <v>708.49488175079421</v>
      </c>
      <c r="R4" s="211">
        <v>569.41945155849839</v>
      </c>
      <c r="S4" s="209" t="s">
        <v>425</v>
      </c>
      <c r="T4" s="7">
        <v>11.043071017274473</v>
      </c>
      <c r="U4" s="211">
        <v>20.234860695371864</v>
      </c>
      <c r="V4" s="209" t="s">
        <v>425</v>
      </c>
      <c r="W4" s="7">
        <v>29.69161844933047</v>
      </c>
      <c r="X4" s="211">
        <v>37.968524817771602</v>
      </c>
      <c r="Y4" s="209" t="s">
        <v>425</v>
      </c>
      <c r="Z4" s="7">
        <v>26.143243438761591</v>
      </c>
      <c r="AA4" s="211">
        <v>36.734042154841582</v>
      </c>
    </row>
    <row r="5" spans="1:27">
      <c r="A5" s="209" t="s">
        <v>2</v>
      </c>
      <c r="B5" s="7">
        <v>252.96991413697521</v>
      </c>
      <c r="C5" s="211">
        <v>291.31284253062256</v>
      </c>
      <c r="D5" s="209" t="s">
        <v>2</v>
      </c>
      <c r="E5" s="7">
        <v>138.88258991536512</v>
      </c>
      <c r="F5" s="211">
        <v>97.063400040412844</v>
      </c>
      <c r="G5" s="209" t="s">
        <v>2</v>
      </c>
      <c r="H5" s="7">
        <v>82.457814863314809</v>
      </c>
      <c r="I5" s="211">
        <v>74.636964260230343</v>
      </c>
      <c r="J5" s="209" t="s">
        <v>2</v>
      </c>
      <c r="K5" s="7">
        <v>51.537631887456037</v>
      </c>
      <c r="L5" s="211">
        <v>80.794765020820947</v>
      </c>
      <c r="M5" s="209" t="s">
        <v>2</v>
      </c>
      <c r="N5" s="7">
        <v>124.26149460899741</v>
      </c>
      <c r="O5" s="211">
        <v>148.76938320535052</v>
      </c>
      <c r="P5" s="209" t="s">
        <v>2</v>
      </c>
      <c r="Q5" s="7">
        <v>528.06905328390417</v>
      </c>
      <c r="R5" s="211">
        <v>497.84745269286753</v>
      </c>
      <c r="S5" s="209" t="s">
        <v>2</v>
      </c>
      <c r="T5" s="7">
        <v>12.918870967741933</v>
      </c>
      <c r="U5" s="211">
        <v>21.824467063568271</v>
      </c>
      <c r="V5" s="209" t="s">
        <v>2</v>
      </c>
      <c r="W5" s="7">
        <v>33.400132508658686</v>
      </c>
      <c r="X5" s="211">
        <v>34.622807258080826</v>
      </c>
      <c r="Y5" s="209" t="s">
        <v>2</v>
      </c>
      <c r="Z5" s="7">
        <v>31.765963775738442</v>
      </c>
      <c r="AA5" s="211">
        <v>32.396544180969499</v>
      </c>
    </row>
    <row r="6" spans="1:27">
      <c r="A6" s="209" t="s">
        <v>3</v>
      </c>
      <c r="B6" s="7">
        <v>243.24331390598618</v>
      </c>
      <c r="C6" s="211">
        <v>327.20281662844405</v>
      </c>
      <c r="D6" s="209" t="s">
        <v>3</v>
      </c>
      <c r="E6" s="7">
        <v>108.11228070235332</v>
      </c>
      <c r="F6" s="211">
        <v>111.41916382097043</v>
      </c>
      <c r="G6" s="209" t="s">
        <v>3</v>
      </c>
      <c r="H6" s="7">
        <v>78.483692473350885</v>
      </c>
      <c r="I6" s="211">
        <v>82.705391977185144</v>
      </c>
      <c r="J6" s="209" t="s">
        <v>3</v>
      </c>
      <c r="K6" s="7">
        <v>38.371875768253709</v>
      </c>
      <c r="L6" s="211">
        <v>82.592487997740747</v>
      </c>
      <c r="M6" s="209" t="s">
        <v>3</v>
      </c>
      <c r="N6" s="7">
        <v>111.75807398708162</v>
      </c>
      <c r="O6" s="211">
        <v>129.64474235441975</v>
      </c>
      <c r="P6" s="209" t="s">
        <v>3</v>
      </c>
      <c r="Q6" s="7">
        <v>628.8201236305772</v>
      </c>
      <c r="R6" s="211">
        <v>530.44415835210816</v>
      </c>
      <c r="S6" s="209" t="s">
        <v>3</v>
      </c>
      <c r="T6" s="7">
        <v>16.182729007633586</v>
      </c>
      <c r="U6" s="211">
        <v>18.736230588761032</v>
      </c>
      <c r="V6" s="209" t="s">
        <v>3</v>
      </c>
      <c r="W6" s="7">
        <v>30.104089280839197</v>
      </c>
      <c r="X6" s="211">
        <v>35.510257621811462</v>
      </c>
      <c r="Y6" s="209" t="s">
        <v>3</v>
      </c>
      <c r="Z6" s="7">
        <v>28.931447701291599</v>
      </c>
      <c r="AA6" s="211">
        <v>34.166518634006813</v>
      </c>
    </row>
    <row r="7" spans="1:27">
      <c r="A7" s="209" t="s">
        <v>4</v>
      </c>
      <c r="B7" s="7">
        <v>209.28638843828344</v>
      </c>
      <c r="C7" s="211">
        <v>277</v>
      </c>
      <c r="D7" s="209" t="s">
        <v>4</v>
      </c>
      <c r="E7" s="7">
        <v>122.43479551578015</v>
      </c>
      <c r="F7" s="211">
        <v>94</v>
      </c>
      <c r="G7" s="209" t="s">
        <v>4</v>
      </c>
      <c r="H7" s="7">
        <v>81.195171572580549</v>
      </c>
      <c r="I7" s="211">
        <v>69</v>
      </c>
      <c r="J7" s="209" t="s">
        <v>4</v>
      </c>
      <c r="K7" s="7">
        <v>49.320063694267517</v>
      </c>
      <c r="L7" s="211">
        <v>77</v>
      </c>
      <c r="M7" s="209" t="s">
        <v>4</v>
      </c>
      <c r="N7" s="7">
        <v>78.449505358615014</v>
      </c>
      <c r="O7" s="211">
        <v>143</v>
      </c>
      <c r="P7" s="209" t="s">
        <v>4</v>
      </c>
      <c r="Q7" s="7">
        <v>627.63514868025391</v>
      </c>
      <c r="R7" s="211">
        <v>637</v>
      </c>
      <c r="S7" s="209" t="s">
        <v>4</v>
      </c>
      <c r="T7" s="7">
        <v>14.832346241457859</v>
      </c>
      <c r="U7" s="211">
        <v>17.337258962081016</v>
      </c>
      <c r="V7" s="209" t="s">
        <v>4</v>
      </c>
      <c r="W7" s="7">
        <v>31.635602173256871</v>
      </c>
      <c r="X7" s="211">
        <v>34.889095880532437</v>
      </c>
      <c r="Y7" s="209" t="s">
        <v>4</v>
      </c>
      <c r="Z7" s="7">
        <v>30.320736161506119</v>
      </c>
      <c r="AA7" s="211">
        <v>32.507187544727849</v>
      </c>
    </row>
    <row r="8" spans="1:27">
      <c r="A8" s="209" t="s">
        <v>5</v>
      </c>
      <c r="B8" s="7">
        <v>273.31853755402409</v>
      </c>
      <c r="C8" s="211">
        <v>260.9949994443827</v>
      </c>
      <c r="D8" s="209" t="s">
        <v>5</v>
      </c>
      <c r="E8" s="7">
        <v>156.01796783026322</v>
      </c>
      <c r="F8" s="211">
        <v>96.330871175901819</v>
      </c>
      <c r="G8" s="209" t="s">
        <v>5</v>
      </c>
      <c r="H8" s="7">
        <v>86.861965980888797</v>
      </c>
      <c r="I8" s="211">
        <v>66.919752077837103</v>
      </c>
      <c r="J8" s="209" t="s">
        <v>5</v>
      </c>
      <c r="K8" s="7">
        <v>63.514738696418085</v>
      </c>
      <c r="L8" s="211">
        <v>71.17976544722562</v>
      </c>
      <c r="M8" s="209" t="s">
        <v>5</v>
      </c>
      <c r="N8" s="7">
        <v>95.704083266613296</v>
      </c>
      <c r="O8" s="211">
        <v>116.51314708299095</v>
      </c>
      <c r="P8" s="209" t="s">
        <v>5</v>
      </c>
      <c r="Q8" s="7">
        <v>548.15288999378492</v>
      </c>
      <c r="R8" s="211">
        <v>638.34687994048181</v>
      </c>
      <c r="S8" s="209" t="s">
        <v>5</v>
      </c>
      <c r="T8" s="7">
        <v>15.328034265475061</v>
      </c>
      <c r="U8" s="211">
        <v>17.638605828519502</v>
      </c>
      <c r="V8" s="209" t="s">
        <v>5</v>
      </c>
      <c r="W8" s="7">
        <v>38.272267234466156</v>
      </c>
      <c r="X8" s="211">
        <v>31.143019472134704</v>
      </c>
      <c r="Y8" s="209" t="s">
        <v>5</v>
      </c>
      <c r="Z8" s="7">
        <v>36.878864001968495</v>
      </c>
      <c r="AA8" s="211">
        <v>28.668587940893438</v>
      </c>
    </row>
    <row r="9" spans="1:27">
      <c r="A9" s="209" t="s">
        <v>6</v>
      </c>
      <c r="B9" s="7">
        <v>378.23260822743913</v>
      </c>
      <c r="C9" s="211">
        <v>295</v>
      </c>
      <c r="D9" s="209" t="s">
        <v>6</v>
      </c>
      <c r="E9" s="7">
        <v>139.29209696428163</v>
      </c>
      <c r="F9" s="211">
        <v>94</v>
      </c>
      <c r="G9" s="209" t="s">
        <v>6</v>
      </c>
      <c r="H9" s="7">
        <v>83.650181487266352</v>
      </c>
      <c r="I9" s="211">
        <v>68</v>
      </c>
      <c r="J9" s="209" t="s">
        <v>6</v>
      </c>
      <c r="K9" s="7">
        <v>69.194823529411764</v>
      </c>
      <c r="L9" s="211">
        <v>76</v>
      </c>
      <c r="M9" s="209" t="s">
        <v>6</v>
      </c>
      <c r="N9" s="7">
        <v>119.93927569808561</v>
      </c>
      <c r="O9" s="211">
        <v>124</v>
      </c>
      <c r="P9" s="209" t="s">
        <v>6</v>
      </c>
      <c r="Q9" s="7">
        <v>733.76285260715588</v>
      </c>
      <c r="R9" s="211">
        <v>682</v>
      </c>
      <c r="S9" s="209" t="s">
        <v>6</v>
      </c>
      <c r="T9" s="7">
        <v>17.661772417409544</v>
      </c>
      <c r="U9" s="211">
        <v>17</v>
      </c>
      <c r="V9" s="209" t="s">
        <v>6</v>
      </c>
      <c r="W9" s="7">
        <v>39.314554984422962</v>
      </c>
      <c r="X9" s="211">
        <v>30</v>
      </c>
      <c r="Y9" s="209" t="s">
        <v>6</v>
      </c>
      <c r="Z9" s="7">
        <v>38.739869991016718</v>
      </c>
      <c r="AA9" s="211">
        <v>28.660185858043942</v>
      </c>
    </row>
    <row r="10" spans="1:27">
      <c r="A10" s="209" t="s">
        <v>7</v>
      </c>
      <c r="B10" s="7">
        <v>351.32777235669994</v>
      </c>
      <c r="C10" s="211">
        <v>344</v>
      </c>
      <c r="D10" s="209" t="s">
        <v>7</v>
      </c>
      <c r="E10" s="7">
        <v>148.06776041523466</v>
      </c>
      <c r="F10" s="211">
        <v>101</v>
      </c>
      <c r="G10" s="209" t="s">
        <v>7</v>
      </c>
      <c r="H10" s="7">
        <v>87.171021450782177</v>
      </c>
      <c r="I10" s="211">
        <v>72</v>
      </c>
      <c r="J10" s="209" t="s">
        <v>7</v>
      </c>
      <c r="K10" s="7">
        <v>72.685468861846829</v>
      </c>
      <c r="L10" s="211">
        <v>84</v>
      </c>
      <c r="M10" s="209" t="s">
        <v>7</v>
      </c>
      <c r="N10" s="7">
        <v>111.32741757885871</v>
      </c>
      <c r="O10" s="211">
        <v>122</v>
      </c>
      <c r="P10" s="209" t="s">
        <v>7</v>
      </c>
      <c r="Q10" s="7">
        <v>806.83894631543853</v>
      </c>
      <c r="R10" s="211">
        <v>688</v>
      </c>
      <c r="S10" s="209" t="s">
        <v>7</v>
      </c>
      <c r="T10" s="7">
        <v>20.283620689655173</v>
      </c>
      <c r="U10" s="211">
        <v>15</v>
      </c>
      <c r="V10" s="209" t="s">
        <v>7</v>
      </c>
      <c r="W10" s="7">
        <v>37.820536540240518</v>
      </c>
      <c r="X10" s="211">
        <v>33</v>
      </c>
      <c r="Y10" s="209" t="s">
        <v>7</v>
      </c>
      <c r="Z10" s="7">
        <v>36.446232429710683</v>
      </c>
      <c r="AA10" s="211">
        <v>31.921753133101252</v>
      </c>
    </row>
    <row r="11" spans="1:27">
      <c r="A11" s="209" t="s">
        <v>8</v>
      </c>
      <c r="B11" s="7">
        <v>329.41632155907428</v>
      </c>
      <c r="C11" s="211">
        <v>326</v>
      </c>
      <c r="D11" s="209" t="s">
        <v>8</v>
      </c>
      <c r="E11" s="7">
        <v>137.375508193077</v>
      </c>
      <c r="F11" s="211">
        <v>116</v>
      </c>
      <c r="G11" s="209" t="s">
        <v>8</v>
      </c>
      <c r="H11" s="7">
        <v>89.634664293609177</v>
      </c>
      <c r="I11" s="211">
        <v>81</v>
      </c>
      <c r="J11" s="209" t="s">
        <v>8</v>
      </c>
      <c r="K11" s="7">
        <v>77.345897361554066</v>
      </c>
      <c r="L11" s="211">
        <v>80</v>
      </c>
      <c r="M11" s="209" t="s">
        <v>8</v>
      </c>
      <c r="N11" s="7">
        <v>99.561170212765944</v>
      </c>
      <c r="O11" s="211">
        <v>133</v>
      </c>
      <c r="P11" s="209" t="s">
        <v>8</v>
      </c>
      <c r="Q11" s="7">
        <v>819.50220571163231</v>
      </c>
      <c r="R11" s="211">
        <v>677</v>
      </c>
      <c r="S11" s="209" t="s">
        <v>8</v>
      </c>
      <c r="T11" s="7">
        <v>17.13665532538008</v>
      </c>
      <c r="U11" s="211">
        <v>20</v>
      </c>
      <c r="V11" s="209" t="s">
        <v>8</v>
      </c>
      <c r="W11" s="7">
        <v>40.027574065740602</v>
      </c>
      <c r="X11" s="211">
        <v>38</v>
      </c>
      <c r="Y11" s="209" t="s">
        <v>8</v>
      </c>
      <c r="Z11" s="7">
        <v>39.204935191163415</v>
      </c>
      <c r="AA11" s="211">
        <v>36.99653220709375</v>
      </c>
    </row>
    <row r="12" spans="1:27">
      <c r="A12" s="209" t="s">
        <v>11</v>
      </c>
      <c r="B12" s="7">
        <v>263.58706661411117</v>
      </c>
      <c r="C12" s="211">
        <v>344</v>
      </c>
      <c r="D12" s="209" t="s">
        <v>11</v>
      </c>
      <c r="E12" s="7">
        <v>150.77092531390954</v>
      </c>
      <c r="F12" s="211">
        <v>116</v>
      </c>
      <c r="G12" s="209" t="s">
        <v>11</v>
      </c>
      <c r="H12" s="7">
        <v>90.465991140980321</v>
      </c>
      <c r="I12" s="211">
        <v>72</v>
      </c>
      <c r="J12" s="209" t="s">
        <v>11</v>
      </c>
      <c r="K12" s="7">
        <v>75.510773446257318</v>
      </c>
      <c r="L12" s="211">
        <v>97</v>
      </c>
      <c r="M12" s="209" t="s">
        <v>11</v>
      </c>
      <c r="N12" s="7">
        <v>119.87275149900067</v>
      </c>
      <c r="O12" s="211">
        <v>133</v>
      </c>
      <c r="P12" s="209" t="s">
        <v>11</v>
      </c>
      <c r="Q12" s="7">
        <v>623.58212229229503</v>
      </c>
      <c r="R12" s="211">
        <v>633</v>
      </c>
      <c r="S12" s="209" t="s">
        <v>11</v>
      </c>
      <c r="T12" s="7">
        <v>19.548313370296697</v>
      </c>
      <c r="U12" s="211">
        <v>23</v>
      </c>
      <c r="V12" s="209" t="s">
        <v>11</v>
      </c>
      <c r="W12" s="7">
        <v>44.061970670781079</v>
      </c>
      <c r="X12" s="211">
        <v>35</v>
      </c>
      <c r="Y12" s="209" t="s">
        <v>11</v>
      </c>
      <c r="Z12" s="7">
        <v>43.121963107434844</v>
      </c>
      <c r="AA12" s="211">
        <v>35.448354475868626</v>
      </c>
    </row>
    <row r="13" spans="1:27">
      <c r="A13" s="209" t="s">
        <v>12</v>
      </c>
      <c r="B13" s="7">
        <v>421.11723313860853</v>
      </c>
      <c r="C13" s="211">
        <v>371</v>
      </c>
      <c r="D13" s="209" t="s">
        <v>12</v>
      </c>
      <c r="E13" s="7">
        <v>125.34725420463998</v>
      </c>
      <c r="F13" s="211">
        <v>112</v>
      </c>
      <c r="G13" s="209" t="s">
        <v>12</v>
      </c>
      <c r="H13" s="7">
        <v>85.592458741375978</v>
      </c>
      <c r="I13" s="211">
        <v>79</v>
      </c>
      <c r="J13" s="209" t="s">
        <v>12</v>
      </c>
      <c r="K13" s="7">
        <v>85.266433788504287</v>
      </c>
      <c r="L13" s="211">
        <v>79</v>
      </c>
      <c r="M13" s="209" t="s">
        <v>12</v>
      </c>
      <c r="N13" s="7">
        <v>125.32919780064853</v>
      </c>
      <c r="O13" s="211">
        <v>167</v>
      </c>
      <c r="P13" s="209" t="s">
        <v>12</v>
      </c>
      <c r="Q13" s="7">
        <v>796.1302325581396</v>
      </c>
      <c r="R13" s="211">
        <v>572</v>
      </c>
      <c r="S13" s="209" t="s">
        <v>12</v>
      </c>
      <c r="T13" s="7">
        <v>41.469047067006741</v>
      </c>
      <c r="U13" s="211">
        <v>28</v>
      </c>
      <c r="V13" s="209" t="s">
        <v>12</v>
      </c>
      <c r="W13" s="7">
        <v>42.388798382698774</v>
      </c>
      <c r="X13" s="211">
        <v>39</v>
      </c>
      <c r="Y13" s="209" t="s">
        <v>12</v>
      </c>
      <c r="Z13" s="7">
        <v>41.909480862921441</v>
      </c>
      <c r="AA13" s="211">
        <v>38.525968117856266</v>
      </c>
    </row>
    <row r="14" spans="1:27">
      <c r="A14" s="209" t="s">
        <v>13</v>
      </c>
      <c r="B14" s="7">
        <v>547.20282129090469</v>
      </c>
      <c r="C14" s="211">
        <v>343</v>
      </c>
      <c r="D14" s="209" t="s">
        <v>13</v>
      </c>
      <c r="E14" s="7">
        <v>110.25926946563069</v>
      </c>
      <c r="F14" s="211">
        <v>97</v>
      </c>
      <c r="G14" s="209" t="s">
        <v>13</v>
      </c>
      <c r="H14" s="7">
        <v>84.46418656674112</v>
      </c>
      <c r="I14" s="211">
        <v>73</v>
      </c>
      <c r="J14" s="209" t="s">
        <v>13</v>
      </c>
      <c r="K14" s="7">
        <v>64.034735928001894</v>
      </c>
      <c r="L14" s="211">
        <v>84</v>
      </c>
      <c r="M14" s="209" t="s">
        <v>13</v>
      </c>
      <c r="N14" s="7">
        <v>127.2263340830096</v>
      </c>
      <c r="O14" s="211">
        <v>153</v>
      </c>
      <c r="P14" s="209" t="s">
        <v>13</v>
      </c>
      <c r="Q14" s="7">
        <v>644.76994219653182</v>
      </c>
      <c r="R14" s="211">
        <v>610</v>
      </c>
      <c r="S14" s="209" t="s">
        <v>13</v>
      </c>
      <c r="T14" s="7">
        <v>26.150266911003104</v>
      </c>
      <c r="U14" s="211">
        <v>29</v>
      </c>
      <c r="V14" s="209" t="s">
        <v>13</v>
      </c>
      <c r="W14" s="7">
        <v>40.271948170702053</v>
      </c>
      <c r="X14" s="211">
        <v>35</v>
      </c>
      <c r="Y14" s="209" t="s">
        <v>13</v>
      </c>
      <c r="Z14" s="7">
        <v>39.894814542277011</v>
      </c>
      <c r="AA14" s="211">
        <v>35.484983961840818</v>
      </c>
    </row>
    <row r="15" spans="1:27">
      <c r="A15" s="209" t="s">
        <v>14</v>
      </c>
      <c r="B15" s="7">
        <v>475.44991343062082</v>
      </c>
      <c r="C15" s="211">
        <v>368</v>
      </c>
      <c r="D15" s="209" t="s">
        <v>14</v>
      </c>
      <c r="E15" s="7">
        <v>112.29520216070708</v>
      </c>
      <c r="F15" s="211">
        <v>115</v>
      </c>
      <c r="G15" s="209" t="s">
        <v>14</v>
      </c>
      <c r="H15" s="7">
        <v>79.387395281362345</v>
      </c>
      <c r="I15" s="211">
        <v>75</v>
      </c>
      <c r="J15" s="209" t="s">
        <v>14</v>
      </c>
      <c r="K15" s="7">
        <v>84.161212935418874</v>
      </c>
      <c r="L15" s="211">
        <v>79</v>
      </c>
      <c r="M15" s="209" t="s">
        <v>14</v>
      </c>
      <c r="N15" s="7">
        <v>130.55304979567126</v>
      </c>
      <c r="O15" s="211">
        <v>149</v>
      </c>
      <c r="P15" s="209" t="s">
        <v>14</v>
      </c>
      <c r="Q15" s="7">
        <v>824.38572806171646</v>
      </c>
      <c r="R15" s="211">
        <v>607</v>
      </c>
      <c r="S15" s="209" t="s">
        <v>14</v>
      </c>
      <c r="T15" s="7">
        <v>29.975059952038375</v>
      </c>
      <c r="U15" s="211">
        <v>34</v>
      </c>
      <c r="V15" s="209" t="s">
        <v>14</v>
      </c>
      <c r="W15" s="7">
        <v>40.743800464089816</v>
      </c>
      <c r="X15" s="211">
        <v>39</v>
      </c>
      <c r="Y15" s="209" t="s">
        <v>14</v>
      </c>
      <c r="Z15" s="7">
        <v>40.403991377128136</v>
      </c>
      <c r="AA15" s="211">
        <v>37.678956591405225</v>
      </c>
    </row>
    <row r="16" spans="1:27">
      <c r="A16" s="209" t="s">
        <v>15</v>
      </c>
      <c r="B16" s="7">
        <v>135.935535375711</v>
      </c>
      <c r="C16" s="211">
        <v>365</v>
      </c>
      <c r="D16" s="209" t="s">
        <v>15</v>
      </c>
      <c r="E16" s="7">
        <v>151.09552668484181</v>
      </c>
      <c r="F16" s="211">
        <v>124</v>
      </c>
      <c r="G16" s="209" t="s">
        <v>15</v>
      </c>
      <c r="H16" s="7">
        <v>107.00543970190544</v>
      </c>
      <c r="I16" s="211">
        <v>80</v>
      </c>
      <c r="J16" s="209" t="s">
        <v>15</v>
      </c>
      <c r="K16" s="7">
        <v>80.26850623507562</v>
      </c>
      <c r="L16" s="211">
        <v>103</v>
      </c>
      <c r="M16" s="209" t="s">
        <v>15</v>
      </c>
      <c r="N16" s="7">
        <v>121.9551100457616</v>
      </c>
      <c r="O16" s="211">
        <v>123</v>
      </c>
      <c r="P16" s="209" t="s">
        <v>15</v>
      </c>
      <c r="Q16" s="7">
        <v>398.53999812435529</v>
      </c>
      <c r="R16" s="211">
        <v>672</v>
      </c>
      <c r="S16" s="209" t="s">
        <v>15</v>
      </c>
      <c r="T16" s="7">
        <v>25.14867495134002</v>
      </c>
      <c r="U16" s="211">
        <v>27</v>
      </c>
      <c r="V16" s="209" t="s">
        <v>15</v>
      </c>
      <c r="W16" s="7">
        <v>46.610584253784076</v>
      </c>
      <c r="X16" s="211">
        <v>37</v>
      </c>
      <c r="Y16" s="209" t="s">
        <v>15</v>
      </c>
      <c r="Z16" s="7">
        <v>45.80203077884125</v>
      </c>
      <c r="AA16" s="211">
        <v>37.008269979420305</v>
      </c>
    </row>
    <row r="17" spans="1:27">
      <c r="A17" s="209" t="s">
        <v>16</v>
      </c>
      <c r="B17" s="7">
        <v>300.68415841584158</v>
      </c>
      <c r="C17" s="211">
        <v>377</v>
      </c>
      <c r="D17" s="209" t="s">
        <v>16</v>
      </c>
      <c r="E17" s="7">
        <v>152.98399677648379</v>
      </c>
      <c r="F17" s="211">
        <v>117</v>
      </c>
      <c r="G17" s="209" t="s">
        <v>16</v>
      </c>
      <c r="H17" s="7">
        <v>90.875870142338542</v>
      </c>
      <c r="I17" s="211">
        <v>76</v>
      </c>
      <c r="J17" s="209" t="s">
        <v>16</v>
      </c>
      <c r="K17" s="7">
        <v>66.25375170532061</v>
      </c>
      <c r="L17" s="211">
        <v>70</v>
      </c>
      <c r="M17" s="209" t="s">
        <v>16</v>
      </c>
      <c r="N17" s="7">
        <v>103.61171902576774</v>
      </c>
      <c r="O17" s="211">
        <v>130</v>
      </c>
      <c r="P17" s="209" t="s">
        <v>16</v>
      </c>
      <c r="Q17" s="7">
        <v>620.35499527261265</v>
      </c>
      <c r="R17" s="211">
        <v>637</v>
      </c>
      <c r="S17" s="209" t="s">
        <v>16</v>
      </c>
      <c r="T17" s="7">
        <v>23.794653949424919</v>
      </c>
      <c r="U17" s="211">
        <v>26</v>
      </c>
      <c r="V17" s="209" t="s">
        <v>16</v>
      </c>
      <c r="W17" s="7">
        <v>39.277510443657128</v>
      </c>
      <c r="X17" s="211">
        <v>37</v>
      </c>
      <c r="Y17" s="209" t="s">
        <v>16</v>
      </c>
      <c r="Z17" s="7">
        <v>38.621856034026024</v>
      </c>
      <c r="AA17" s="211">
        <v>36.633440021925566</v>
      </c>
    </row>
    <row r="18" spans="1:27">
      <c r="A18" s="209" t="s">
        <v>17</v>
      </c>
      <c r="B18" s="7">
        <v>431.76772912760561</v>
      </c>
      <c r="C18" s="211">
        <v>368</v>
      </c>
      <c r="D18" s="209" t="s">
        <v>17</v>
      </c>
      <c r="E18" s="7">
        <v>138.1115585369657</v>
      </c>
      <c r="F18" s="211">
        <v>115</v>
      </c>
      <c r="G18" s="209" t="s">
        <v>17</v>
      </c>
      <c r="H18" s="7">
        <v>87.830683431737583</v>
      </c>
      <c r="I18" s="211">
        <v>84</v>
      </c>
      <c r="J18" s="209" t="s">
        <v>17</v>
      </c>
      <c r="K18" s="7">
        <v>89.892763731473408</v>
      </c>
      <c r="L18" s="211">
        <v>72</v>
      </c>
      <c r="M18" s="209" t="s">
        <v>17</v>
      </c>
      <c r="N18" s="7">
        <v>126.48148340518358</v>
      </c>
      <c r="O18" s="211">
        <v>142</v>
      </c>
      <c r="P18" s="209" t="s">
        <v>17</v>
      </c>
      <c r="Q18" s="7">
        <v>809.22419756082752</v>
      </c>
      <c r="R18" s="211">
        <v>600</v>
      </c>
      <c r="S18" s="209" t="s">
        <v>17</v>
      </c>
      <c r="T18" s="7">
        <v>20.410984848484848</v>
      </c>
      <c r="U18" s="211">
        <v>28</v>
      </c>
      <c r="V18" s="209" t="s">
        <v>17</v>
      </c>
      <c r="W18" s="7">
        <v>42.621307032242825</v>
      </c>
      <c r="X18" s="211">
        <v>38</v>
      </c>
      <c r="Y18" s="209" t="s">
        <v>17</v>
      </c>
      <c r="Z18" s="7">
        <v>40.636919386454458</v>
      </c>
      <c r="AA18" s="211">
        <v>38.089846784319938</v>
      </c>
    </row>
    <row r="19" spans="1:27">
      <c r="A19" s="209" t="s">
        <v>18</v>
      </c>
      <c r="B19" s="7">
        <v>394.12331802215618</v>
      </c>
      <c r="C19" s="211">
        <v>348</v>
      </c>
      <c r="D19" s="209" t="s">
        <v>18</v>
      </c>
      <c r="E19" s="7">
        <v>116.15128268244349</v>
      </c>
      <c r="F19" s="211">
        <v>114</v>
      </c>
      <c r="G19" s="209" t="s">
        <v>18</v>
      </c>
      <c r="H19" s="7">
        <v>76.60913822315166</v>
      </c>
      <c r="I19" s="211">
        <v>82</v>
      </c>
      <c r="J19" s="209" t="s">
        <v>18</v>
      </c>
      <c r="K19" s="7">
        <v>77.508977840063068</v>
      </c>
      <c r="L19" s="211">
        <v>65</v>
      </c>
      <c r="M19" s="209" t="s">
        <v>18</v>
      </c>
      <c r="N19" s="7">
        <v>125.67289965762446</v>
      </c>
      <c r="O19" s="211">
        <v>127</v>
      </c>
      <c r="P19" s="209" t="s">
        <v>18</v>
      </c>
      <c r="Q19" s="7">
        <v>732.04024971513854</v>
      </c>
      <c r="R19" s="211">
        <v>507</v>
      </c>
      <c r="S19" s="209" t="s">
        <v>18</v>
      </c>
      <c r="T19" s="7">
        <v>30.2183552246298</v>
      </c>
      <c r="U19" s="211">
        <v>28</v>
      </c>
      <c r="V19" s="209" t="s">
        <v>18</v>
      </c>
      <c r="W19" s="7">
        <v>36.75532147116914</v>
      </c>
      <c r="X19" s="211">
        <v>39</v>
      </c>
      <c r="Y19" s="209" t="s">
        <v>18</v>
      </c>
      <c r="Z19" s="7">
        <v>36.926556270700679</v>
      </c>
      <c r="AA19" s="211">
        <v>37.434679961679926</v>
      </c>
    </row>
    <row r="20" spans="1:27">
      <c r="A20" s="209" t="s">
        <v>19</v>
      </c>
      <c r="B20" s="7">
        <v>390.44385026737967</v>
      </c>
      <c r="C20" s="211">
        <v>352</v>
      </c>
      <c r="D20" s="209" t="s">
        <v>19</v>
      </c>
      <c r="E20" s="7">
        <v>138.21227545398111</v>
      </c>
      <c r="F20" s="211">
        <v>118</v>
      </c>
      <c r="G20" s="209" t="s">
        <v>19</v>
      </c>
      <c r="H20" s="7">
        <v>82.278127034348813</v>
      </c>
      <c r="I20" s="211">
        <v>88</v>
      </c>
      <c r="J20" s="209" t="s">
        <v>19</v>
      </c>
      <c r="K20" s="7">
        <v>71.327600554785022</v>
      </c>
      <c r="L20" s="211">
        <v>80</v>
      </c>
      <c r="M20" s="209" t="s">
        <v>19</v>
      </c>
      <c r="N20" s="7">
        <v>107.77438219203924</v>
      </c>
      <c r="O20" s="211">
        <v>131</v>
      </c>
      <c r="P20" s="209" t="s">
        <v>19</v>
      </c>
      <c r="Q20" s="7">
        <v>639.07642585551332</v>
      </c>
      <c r="R20" s="211">
        <v>563</v>
      </c>
      <c r="S20" s="209" t="s">
        <v>19</v>
      </c>
      <c r="T20" s="7">
        <v>23.911452542201555</v>
      </c>
      <c r="U20" s="211">
        <v>31</v>
      </c>
      <c r="V20" s="209" t="s">
        <v>19</v>
      </c>
      <c r="W20" s="7">
        <v>39.480867974633007</v>
      </c>
      <c r="X20" s="211">
        <v>41</v>
      </c>
      <c r="Y20" s="209" t="s">
        <v>19</v>
      </c>
      <c r="Z20" s="7">
        <v>37.921867005216178</v>
      </c>
      <c r="AA20" s="211">
        <v>40.711869454107791</v>
      </c>
    </row>
    <row r="21" spans="1:27">
      <c r="A21" s="209" t="s">
        <v>20</v>
      </c>
      <c r="B21" s="7">
        <v>579.60721726482961</v>
      </c>
      <c r="C21" s="210">
        <v>396</v>
      </c>
      <c r="D21" s="209" t="s">
        <v>20</v>
      </c>
      <c r="E21" s="7">
        <v>113.26219194974468</v>
      </c>
      <c r="F21" s="210">
        <v>130</v>
      </c>
      <c r="G21" s="209" t="s">
        <v>20</v>
      </c>
      <c r="H21" s="7">
        <v>84.616964661231989</v>
      </c>
      <c r="I21" s="210">
        <v>82</v>
      </c>
      <c r="J21" s="209" t="s">
        <v>20</v>
      </c>
      <c r="K21" s="7">
        <v>109.70568561872911</v>
      </c>
      <c r="L21" s="210">
        <v>62</v>
      </c>
      <c r="M21" s="209" t="s">
        <v>20</v>
      </c>
      <c r="N21" s="7">
        <v>120.61520297883933</v>
      </c>
      <c r="O21" s="210">
        <v>139</v>
      </c>
      <c r="P21" s="209" t="s">
        <v>20</v>
      </c>
      <c r="Q21" s="7">
        <v>509.37521079258022</v>
      </c>
      <c r="R21" s="210">
        <v>556</v>
      </c>
      <c r="S21" s="209" t="s">
        <v>20</v>
      </c>
      <c r="T21" s="7">
        <v>23.483591777857917</v>
      </c>
      <c r="U21" s="210">
        <v>27</v>
      </c>
      <c r="V21" s="209" t="s">
        <v>20</v>
      </c>
      <c r="W21" s="7">
        <v>41.829013306552852</v>
      </c>
      <c r="X21" s="210">
        <v>41</v>
      </c>
      <c r="Y21" s="209" t="s">
        <v>20</v>
      </c>
      <c r="Z21" s="7">
        <v>41.502363000957139</v>
      </c>
      <c r="AA21" s="210">
        <v>41</v>
      </c>
    </row>
    <row r="22" spans="1:27">
      <c r="A22" s="209" t="s">
        <v>21</v>
      </c>
      <c r="B22" s="7">
        <v>571.4918205955405</v>
      </c>
      <c r="C22" s="210">
        <v>387</v>
      </c>
      <c r="D22" s="209" t="s">
        <v>21</v>
      </c>
      <c r="E22" s="7">
        <v>101.25490071666297</v>
      </c>
      <c r="F22" s="210">
        <v>104</v>
      </c>
      <c r="G22" s="209" t="s">
        <v>21</v>
      </c>
      <c r="H22" s="7">
        <v>83.990431921404564</v>
      </c>
      <c r="I22" s="210">
        <v>84</v>
      </c>
      <c r="J22" s="209" t="s">
        <v>21</v>
      </c>
      <c r="K22" s="7">
        <v>103.44945240101094</v>
      </c>
      <c r="L22" s="210">
        <v>54</v>
      </c>
      <c r="M22" s="209" t="s">
        <v>21</v>
      </c>
      <c r="N22" s="7">
        <v>122.96433007985803</v>
      </c>
      <c r="O22" s="210">
        <v>141</v>
      </c>
      <c r="P22" s="209" t="s">
        <v>21</v>
      </c>
      <c r="Q22" s="7">
        <v>591.9567567567567</v>
      </c>
      <c r="R22" s="210">
        <v>547</v>
      </c>
      <c r="S22" s="209" t="s">
        <v>21</v>
      </c>
      <c r="T22" s="7">
        <v>27.184037257106148</v>
      </c>
      <c r="U22" s="210">
        <v>26</v>
      </c>
      <c r="V22" s="209" t="s">
        <v>21</v>
      </c>
      <c r="W22" s="7">
        <v>38.87837045993583</v>
      </c>
      <c r="X22" s="210">
        <v>40</v>
      </c>
      <c r="Y22" s="209" t="s">
        <v>21</v>
      </c>
      <c r="Z22" s="7">
        <v>38.339017420455662</v>
      </c>
      <c r="AA22" s="210">
        <v>40</v>
      </c>
    </row>
    <row r="23" spans="1:27">
      <c r="A23" s="209" t="s">
        <v>22</v>
      </c>
      <c r="B23" s="7">
        <v>567.30998077487038</v>
      </c>
      <c r="C23" s="210">
        <v>421</v>
      </c>
      <c r="D23" s="209" t="s">
        <v>22</v>
      </c>
      <c r="E23" s="7">
        <v>90.880172045544938</v>
      </c>
      <c r="F23" s="210">
        <v>106</v>
      </c>
      <c r="G23" s="209" t="s">
        <v>22</v>
      </c>
      <c r="H23" s="7">
        <v>86.552252400883646</v>
      </c>
      <c r="I23" s="210">
        <v>85</v>
      </c>
      <c r="J23" s="209" t="s">
        <v>22</v>
      </c>
      <c r="K23" s="7">
        <v>86.459243473628135</v>
      </c>
      <c r="L23" s="210">
        <v>46</v>
      </c>
      <c r="M23" s="209" t="s">
        <v>22</v>
      </c>
      <c r="N23" s="7">
        <v>115.85564456189611</v>
      </c>
      <c r="O23" s="210">
        <v>138</v>
      </c>
      <c r="P23" s="209" t="s">
        <v>22</v>
      </c>
      <c r="Q23" s="7">
        <v>714.32407536636435</v>
      </c>
      <c r="R23" s="210">
        <v>530</v>
      </c>
      <c r="S23" s="209" t="s">
        <v>22</v>
      </c>
      <c r="T23" s="7">
        <v>25.675269066080315</v>
      </c>
      <c r="U23" s="210">
        <v>35</v>
      </c>
      <c r="V23" s="209" t="s">
        <v>22</v>
      </c>
      <c r="W23" s="7">
        <v>36.912226018280244</v>
      </c>
      <c r="X23" s="210">
        <v>42</v>
      </c>
      <c r="Y23" s="209" t="s">
        <v>22</v>
      </c>
      <c r="Z23" s="7">
        <v>36.639134663262062</v>
      </c>
      <c r="AA23" s="210">
        <v>42</v>
      </c>
    </row>
    <row r="24" spans="1:27">
      <c r="A24" s="209" t="s">
        <v>23</v>
      </c>
      <c r="B24" s="7">
        <v>577.51851107448647</v>
      </c>
      <c r="C24" s="210">
        <v>347</v>
      </c>
      <c r="D24" s="209" t="s">
        <v>23</v>
      </c>
      <c r="E24" s="7">
        <v>90.667717621557728</v>
      </c>
      <c r="F24" s="210">
        <v>99</v>
      </c>
      <c r="G24" s="209" t="s">
        <v>23</v>
      </c>
      <c r="H24" s="7">
        <v>91.411369890973589</v>
      </c>
      <c r="I24" s="210">
        <v>80</v>
      </c>
      <c r="J24" s="209" t="s">
        <v>23</v>
      </c>
      <c r="K24" s="7">
        <v>92.814741490900772</v>
      </c>
      <c r="L24" s="210">
        <v>48</v>
      </c>
      <c r="M24" s="209" t="s">
        <v>23</v>
      </c>
      <c r="N24" s="7">
        <v>139.61635497176727</v>
      </c>
      <c r="O24" s="210">
        <v>141</v>
      </c>
      <c r="P24" s="209" t="s">
        <v>23</v>
      </c>
      <c r="Q24" s="7">
        <v>622.68245067497401</v>
      </c>
      <c r="R24" s="210">
        <v>557</v>
      </c>
      <c r="S24" s="209" t="s">
        <v>23</v>
      </c>
      <c r="T24" s="7">
        <v>18.926601266338757</v>
      </c>
      <c r="U24" s="210">
        <v>38</v>
      </c>
      <c r="V24" s="209" t="s">
        <v>23</v>
      </c>
      <c r="W24" s="7">
        <v>38.961174697113513</v>
      </c>
      <c r="X24" s="210">
        <v>37</v>
      </c>
      <c r="Y24" s="209" t="s">
        <v>23</v>
      </c>
      <c r="Z24" s="7">
        <v>38.79639626711473</v>
      </c>
      <c r="AA24" s="210">
        <v>37</v>
      </c>
    </row>
    <row r="25" spans="1:27">
      <c r="A25" s="209" t="s">
        <v>24</v>
      </c>
      <c r="B25" s="7">
        <v>603.43655497762177</v>
      </c>
      <c r="C25" s="210">
        <v>411</v>
      </c>
      <c r="D25" s="209" t="s">
        <v>24</v>
      </c>
      <c r="E25" s="7">
        <v>88.782257530619006</v>
      </c>
      <c r="F25" s="210">
        <v>109</v>
      </c>
      <c r="G25" s="209" t="s">
        <v>24</v>
      </c>
      <c r="H25" s="7">
        <v>83.38828104803018</v>
      </c>
      <c r="I25" s="210">
        <v>84</v>
      </c>
      <c r="J25" s="209" t="s">
        <v>24</v>
      </c>
      <c r="K25" s="7">
        <v>87.796724322669533</v>
      </c>
      <c r="L25" s="210">
        <v>58</v>
      </c>
      <c r="M25" s="209" t="s">
        <v>24</v>
      </c>
      <c r="N25" s="7">
        <v>107.28831936914736</v>
      </c>
      <c r="O25" s="210">
        <v>149</v>
      </c>
      <c r="P25" s="209" t="s">
        <v>24</v>
      </c>
      <c r="Q25" s="7">
        <v>758.63563636363631</v>
      </c>
      <c r="R25" s="210">
        <v>523</v>
      </c>
      <c r="S25" s="209" t="s">
        <v>24</v>
      </c>
      <c r="T25" s="7">
        <v>27.348920009494424</v>
      </c>
      <c r="U25" s="210">
        <v>37</v>
      </c>
      <c r="V25" s="209" t="s">
        <v>24</v>
      </c>
      <c r="W25" s="7">
        <v>37.500732963301722</v>
      </c>
      <c r="X25" s="210">
        <v>40</v>
      </c>
      <c r="Y25" s="209" t="s">
        <v>24</v>
      </c>
      <c r="Z25" s="7">
        <v>37.296118446020806</v>
      </c>
      <c r="AA25" s="210">
        <v>40</v>
      </c>
    </row>
    <row r="26" spans="1:27">
      <c r="A26" s="209" t="s">
        <v>25</v>
      </c>
      <c r="B26" s="7">
        <v>477.77525437067857</v>
      </c>
      <c r="C26" s="210">
        <v>380</v>
      </c>
      <c r="D26" s="209" t="s">
        <v>25</v>
      </c>
      <c r="E26" s="7">
        <v>82.774031963107277</v>
      </c>
      <c r="F26" s="210">
        <v>92</v>
      </c>
      <c r="G26" s="209" t="s">
        <v>25</v>
      </c>
      <c r="H26" s="7">
        <v>84.778228177147298</v>
      </c>
      <c r="I26" s="210">
        <v>91</v>
      </c>
      <c r="J26" s="209" t="s">
        <v>25</v>
      </c>
      <c r="K26" s="7">
        <v>96.480771807584077</v>
      </c>
      <c r="L26" s="210">
        <v>64</v>
      </c>
      <c r="M26" s="209" t="s">
        <v>25</v>
      </c>
      <c r="N26" s="7">
        <v>118.88539240385985</v>
      </c>
      <c r="O26" s="210">
        <v>144</v>
      </c>
      <c r="P26" s="209" t="s">
        <v>25</v>
      </c>
      <c r="Q26" s="7">
        <v>744.57835744854299</v>
      </c>
      <c r="R26" s="210">
        <v>499</v>
      </c>
      <c r="S26" s="209" t="s">
        <v>25</v>
      </c>
      <c r="T26" s="7">
        <v>33.822148159369796</v>
      </c>
      <c r="U26" s="210">
        <v>32</v>
      </c>
      <c r="V26" s="209" t="s">
        <v>25</v>
      </c>
      <c r="W26" s="7">
        <v>36.108085546855435</v>
      </c>
      <c r="X26" s="210">
        <v>40</v>
      </c>
      <c r="Y26" s="209" t="s">
        <v>25</v>
      </c>
      <c r="Z26" s="7">
        <v>35.861142166097345</v>
      </c>
      <c r="AA26" s="210">
        <v>40</v>
      </c>
    </row>
    <row r="27" spans="1:27">
      <c r="A27" s="209" t="s">
        <v>26</v>
      </c>
      <c r="B27" s="7">
        <v>598.58403071773159</v>
      </c>
      <c r="C27" s="210">
        <v>393</v>
      </c>
      <c r="D27" s="209" t="s">
        <v>26</v>
      </c>
      <c r="E27" s="7">
        <v>98.52477901827406</v>
      </c>
      <c r="F27" s="210">
        <v>102</v>
      </c>
      <c r="G27" s="209" t="s">
        <v>26</v>
      </c>
      <c r="H27" s="7">
        <v>86.217787332147623</v>
      </c>
      <c r="I27" s="210">
        <v>94</v>
      </c>
      <c r="J27" s="209" t="s">
        <v>26</v>
      </c>
      <c r="K27" s="7">
        <v>92.171261758027896</v>
      </c>
      <c r="L27" s="210">
        <v>67</v>
      </c>
      <c r="M27" s="209" t="s">
        <v>26</v>
      </c>
      <c r="N27" s="7">
        <v>124.41787428358417</v>
      </c>
      <c r="O27" s="210">
        <v>140</v>
      </c>
      <c r="P27" s="209" t="s">
        <v>26</v>
      </c>
      <c r="Q27" s="7">
        <v>813.64762320104671</v>
      </c>
      <c r="R27" s="210">
        <v>431</v>
      </c>
      <c r="S27" s="209" t="s">
        <v>26</v>
      </c>
      <c r="T27" s="7">
        <v>24.620775623268699</v>
      </c>
      <c r="U27" s="210">
        <v>34</v>
      </c>
      <c r="V27" s="209" t="s">
        <v>26</v>
      </c>
      <c r="W27" s="7">
        <v>39.15169976849031</v>
      </c>
      <c r="X27" s="221">
        <v>40</v>
      </c>
      <c r="Y27" s="209" t="s">
        <v>26</v>
      </c>
      <c r="Z27" s="7">
        <v>38.498161449398921</v>
      </c>
      <c r="AA27" s="210">
        <v>40</v>
      </c>
    </row>
    <row r="28" spans="1:27">
      <c r="A28" s="209" t="s">
        <v>27</v>
      </c>
      <c r="B28" s="7">
        <v>557.33253387696368</v>
      </c>
      <c r="C28" s="210">
        <v>344</v>
      </c>
      <c r="D28" s="209" t="s">
        <v>27</v>
      </c>
      <c r="E28" s="7">
        <v>92.542765769942662</v>
      </c>
      <c r="F28" s="210">
        <v>97</v>
      </c>
      <c r="G28" s="209" t="s">
        <v>27</v>
      </c>
      <c r="H28" s="7">
        <v>83.594664940074225</v>
      </c>
      <c r="I28" s="210">
        <v>95</v>
      </c>
      <c r="J28" s="209" t="s">
        <v>27</v>
      </c>
      <c r="K28" s="7">
        <v>85.564866681604315</v>
      </c>
      <c r="L28" s="210">
        <v>72</v>
      </c>
      <c r="M28" s="209" t="s">
        <v>27</v>
      </c>
      <c r="N28" s="7">
        <v>121.73143029450195</v>
      </c>
      <c r="O28" s="210">
        <v>138</v>
      </c>
      <c r="P28" s="209" t="s">
        <v>27</v>
      </c>
      <c r="Q28" s="7">
        <v>800.99959111353417</v>
      </c>
      <c r="R28" s="210">
        <v>452</v>
      </c>
      <c r="S28" s="209" t="s">
        <v>27</v>
      </c>
      <c r="T28" s="7">
        <v>24.80210304942166</v>
      </c>
      <c r="U28" s="210">
        <v>29</v>
      </c>
      <c r="V28" s="209" t="s">
        <v>27</v>
      </c>
      <c r="W28" s="7">
        <v>35.2568424197162</v>
      </c>
      <c r="X28" s="210">
        <v>39</v>
      </c>
      <c r="Y28" s="209" t="s">
        <v>27</v>
      </c>
      <c r="Z28" s="7">
        <v>34.679641017358485</v>
      </c>
      <c r="AA28" s="210">
        <v>39</v>
      </c>
    </row>
    <row r="29" spans="1:27">
      <c r="A29" s="209" t="s">
        <v>28</v>
      </c>
      <c r="B29" s="7">
        <v>491.13978954115703</v>
      </c>
      <c r="C29" s="210">
        <v>315.57278471353129</v>
      </c>
      <c r="D29" s="209" t="s">
        <v>28</v>
      </c>
      <c r="E29" s="7">
        <v>101.28627030619111</v>
      </c>
      <c r="F29" s="221">
        <v>95.111699010446131</v>
      </c>
      <c r="G29" s="209" t="s">
        <v>28</v>
      </c>
      <c r="H29" s="7">
        <v>84.817354657887819</v>
      </c>
      <c r="I29" s="210">
        <v>84.968682000874423</v>
      </c>
      <c r="J29" s="209" t="s">
        <v>28</v>
      </c>
      <c r="K29" s="7">
        <v>70.761433014629645</v>
      </c>
      <c r="L29" s="210">
        <v>42.972089402868903</v>
      </c>
      <c r="M29" s="209" t="s">
        <v>28</v>
      </c>
      <c r="N29" s="7">
        <v>107.06052788251637</v>
      </c>
      <c r="O29" s="210">
        <v>133.83390729972336</v>
      </c>
      <c r="P29" s="209" t="s">
        <v>28</v>
      </c>
      <c r="Q29" s="7">
        <v>835.55481383437882</v>
      </c>
      <c r="R29" s="210">
        <v>436.264800861141</v>
      </c>
      <c r="S29" s="209" t="s">
        <v>28</v>
      </c>
      <c r="T29" s="7">
        <v>21.577136911922487</v>
      </c>
      <c r="U29" s="221">
        <v>28.377116355897201</v>
      </c>
      <c r="V29" s="209" t="s">
        <v>28</v>
      </c>
      <c r="W29" s="7">
        <v>36.559598876642639</v>
      </c>
      <c r="X29" s="221">
        <v>37.237702782254551</v>
      </c>
      <c r="Y29" s="209" t="s">
        <v>28</v>
      </c>
      <c r="Z29" s="7">
        <v>35.436875249447823</v>
      </c>
      <c r="AA29" s="221">
        <v>36.246684815169168</v>
      </c>
    </row>
    <row r="30" spans="1:27">
      <c r="A30" s="209" t="s">
        <v>29</v>
      </c>
      <c r="B30" s="7">
        <v>414.33429651033572</v>
      </c>
      <c r="C30" s="210">
        <v>330.00856804302254</v>
      </c>
      <c r="D30" s="209" t="s">
        <v>29</v>
      </c>
      <c r="E30" s="7">
        <v>86.810580104548052</v>
      </c>
      <c r="F30" s="221">
        <v>81.929788934347528</v>
      </c>
      <c r="G30" s="209" t="s">
        <v>29</v>
      </c>
      <c r="H30" s="7">
        <v>84.524966114735264</v>
      </c>
      <c r="I30" s="210">
        <v>79.015391335683219</v>
      </c>
      <c r="J30" s="209" t="s">
        <v>29</v>
      </c>
      <c r="K30" s="7">
        <v>86.318463810930567</v>
      </c>
      <c r="L30" s="221">
        <v>56.837106792226002</v>
      </c>
      <c r="M30" s="209" t="s">
        <v>29</v>
      </c>
      <c r="N30" s="7">
        <v>121.47036135999527</v>
      </c>
      <c r="O30" s="210">
        <v>129.60719826248837</v>
      </c>
      <c r="P30" s="209" t="s">
        <v>29</v>
      </c>
      <c r="Q30" s="7">
        <v>910.12346000912578</v>
      </c>
      <c r="R30" s="210">
        <v>500.55560218212338</v>
      </c>
      <c r="S30" s="209" t="s">
        <v>29</v>
      </c>
      <c r="T30" s="7">
        <v>20.271988767425533</v>
      </c>
      <c r="U30" s="221">
        <v>28.682012772826166</v>
      </c>
      <c r="V30" s="209" t="s">
        <v>29</v>
      </c>
      <c r="W30" s="7">
        <v>35.079841700337639</v>
      </c>
      <c r="X30" s="210">
        <v>34</v>
      </c>
      <c r="Y30" s="209" t="s">
        <v>29</v>
      </c>
      <c r="Z30" s="7">
        <v>34.889850930824025</v>
      </c>
      <c r="AA30" s="221">
        <v>32.775259394824374</v>
      </c>
    </row>
    <row r="31" spans="1:27">
      <c r="A31" s="209" t="s">
        <v>30</v>
      </c>
      <c r="B31" s="7">
        <v>396.48229493500673</v>
      </c>
      <c r="C31" s="210">
        <v>333.76698014629045</v>
      </c>
      <c r="D31" s="209" t="s">
        <v>30</v>
      </c>
      <c r="E31" s="7">
        <v>104.49409381180764</v>
      </c>
      <c r="F31" s="210">
        <v>101.04244581720845</v>
      </c>
      <c r="G31" s="209" t="s">
        <v>30</v>
      </c>
      <c r="H31" s="7">
        <v>90.162911452064193</v>
      </c>
      <c r="I31" s="210">
        <v>81.000975227608706</v>
      </c>
      <c r="J31" s="209" t="s">
        <v>30</v>
      </c>
      <c r="K31" s="7">
        <v>81.195652173913047</v>
      </c>
      <c r="L31" s="221">
        <v>67.80879723447373</v>
      </c>
      <c r="M31" s="209" t="s">
        <v>30</v>
      </c>
      <c r="N31" s="7">
        <v>122.04229758478289</v>
      </c>
      <c r="O31" s="210">
        <v>116</v>
      </c>
      <c r="P31" s="209" t="s">
        <v>30</v>
      </c>
      <c r="Q31" s="7">
        <v>745.38175543179852</v>
      </c>
      <c r="R31" s="210">
        <v>491.60145500553529</v>
      </c>
      <c r="S31" s="209" t="s">
        <v>30</v>
      </c>
      <c r="T31" s="7">
        <v>22.612023798952137</v>
      </c>
      <c r="U31" s="221">
        <v>33.49978525411597</v>
      </c>
      <c r="V31" s="209" t="s">
        <v>30</v>
      </c>
      <c r="W31" s="7">
        <v>38.135557205222334</v>
      </c>
      <c r="X31" s="221">
        <v>36.754240236583456</v>
      </c>
      <c r="Y31" s="209" t="s">
        <v>30</v>
      </c>
      <c r="Z31" s="7">
        <v>34.845882361643326</v>
      </c>
      <c r="AA31" s="221">
        <v>35.510458123908016</v>
      </c>
    </row>
    <row r="32" spans="1:27">
      <c r="A32" s="209" t="s">
        <v>31</v>
      </c>
      <c r="B32" s="7">
        <v>435.05695871799338</v>
      </c>
      <c r="C32" s="210">
        <v>437.55713830126501</v>
      </c>
      <c r="D32" s="209" t="s">
        <v>31</v>
      </c>
      <c r="E32" s="7">
        <v>110.57793348825888</v>
      </c>
      <c r="F32" s="221">
        <v>96.47941766638192</v>
      </c>
      <c r="G32" s="209" t="s">
        <v>31</v>
      </c>
      <c r="H32" s="7">
        <v>93.28373069504201</v>
      </c>
      <c r="I32" s="221">
        <v>79.581505517120391</v>
      </c>
      <c r="J32" s="209" t="s">
        <v>31</v>
      </c>
      <c r="K32" s="7">
        <v>87.789247311827964</v>
      </c>
      <c r="L32" s="221">
        <v>51.682145192936559</v>
      </c>
      <c r="M32" s="209" t="s">
        <v>31</v>
      </c>
      <c r="N32" s="7">
        <v>119.08009538504699</v>
      </c>
      <c r="O32" s="210">
        <v>115.30762687836688</v>
      </c>
      <c r="P32" s="209" t="s">
        <v>31</v>
      </c>
      <c r="Q32" s="7">
        <v>840.97790655559584</v>
      </c>
      <c r="R32" s="210">
        <v>558.81739566361694</v>
      </c>
      <c r="S32" s="209" t="s">
        <v>31</v>
      </c>
      <c r="T32" s="7">
        <v>16.637306894166475</v>
      </c>
      <c r="U32" s="221">
        <v>25.377364037236649</v>
      </c>
      <c r="V32" s="209" t="s">
        <v>31</v>
      </c>
      <c r="W32" s="7">
        <v>38.675318555037975</v>
      </c>
      <c r="X32" s="221">
        <v>35.202278755254085</v>
      </c>
      <c r="Y32" s="209" t="s">
        <v>31</v>
      </c>
      <c r="Z32" s="7">
        <v>37.835577855996853</v>
      </c>
      <c r="AA32" s="221">
        <v>34.736173849188454</v>
      </c>
    </row>
    <row r="33" spans="1:27">
      <c r="A33" s="209" t="s">
        <v>32</v>
      </c>
      <c r="B33" s="7">
        <v>506.06184556977536</v>
      </c>
      <c r="C33" s="210">
        <v>432.77864880273665</v>
      </c>
      <c r="D33" s="209" t="s">
        <v>32</v>
      </c>
      <c r="E33" s="7">
        <v>114.03877495418321</v>
      </c>
      <c r="F33" s="210">
        <v>100.90138171078999</v>
      </c>
      <c r="G33" s="209" t="s">
        <v>32</v>
      </c>
      <c r="H33" s="7">
        <v>90.630432672845629</v>
      </c>
      <c r="I33" s="221">
        <v>72.450799168713388</v>
      </c>
      <c r="J33" s="209" t="s">
        <v>32</v>
      </c>
      <c r="K33" s="7">
        <v>54.457452041318241</v>
      </c>
      <c r="L33" s="221">
        <v>33.770074283692963</v>
      </c>
      <c r="M33" s="209" t="s">
        <v>32</v>
      </c>
      <c r="N33" s="7">
        <v>128.33128745757818</v>
      </c>
      <c r="O33" s="210">
        <v>123.49198988195614</v>
      </c>
      <c r="P33" s="209" t="s">
        <v>32</v>
      </c>
      <c r="Q33" s="7">
        <v>810.08236208236212</v>
      </c>
      <c r="R33" s="210">
        <v>622.72162333544713</v>
      </c>
      <c r="S33" s="209" t="s">
        <v>32</v>
      </c>
      <c r="T33" s="7">
        <v>22.41268743788082</v>
      </c>
      <c r="U33" s="210">
        <v>27.006839211479143</v>
      </c>
      <c r="V33" s="209" t="s">
        <v>32</v>
      </c>
      <c r="W33" s="7">
        <v>38.3251422219316</v>
      </c>
      <c r="X33" s="221">
        <v>32.378857933214782</v>
      </c>
      <c r="Y33" s="209" t="s">
        <v>32</v>
      </c>
      <c r="Z33" s="7">
        <v>37.747422403862004</v>
      </c>
      <c r="AA33" s="221">
        <v>32.378857933214782</v>
      </c>
    </row>
    <row r="34" spans="1:27">
      <c r="A34" s="209" t="s">
        <v>33</v>
      </c>
      <c r="B34" s="7">
        <v>448.19576719576719</v>
      </c>
      <c r="C34" s="210">
        <v>434.62338963641571</v>
      </c>
      <c r="D34" s="209" t="s">
        <v>33</v>
      </c>
      <c r="E34" s="7">
        <v>120.66995493693757</v>
      </c>
      <c r="F34" s="221">
        <v>93.668569513640051</v>
      </c>
      <c r="G34" s="209" t="s">
        <v>33</v>
      </c>
      <c r="H34" s="7">
        <v>85.496925339697682</v>
      </c>
      <c r="I34" s="221">
        <v>75.556905350933036</v>
      </c>
      <c r="J34" s="209" t="s">
        <v>33</v>
      </c>
      <c r="K34" s="7">
        <v>54.783333333333331</v>
      </c>
      <c r="L34" s="221">
        <v>31.732723112128149</v>
      </c>
      <c r="M34" s="209" t="s">
        <v>33</v>
      </c>
      <c r="N34" s="7">
        <v>124.38624543972681</v>
      </c>
      <c r="O34" s="210">
        <v>121.01768419023756</v>
      </c>
      <c r="P34" s="209" t="s">
        <v>33</v>
      </c>
      <c r="Q34" s="7">
        <v>763.68158640226625</v>
      </c>
      <c r="R34" s="210">
        <v>632.19877983770664</v>
      </c>
      <c r="S34" s="209" t="s">
        <v>33</v>
      </c>
      <c r="T34" s="7">
        <v>20.453011634396599</v>
      </c>
      <c r="U34" s="221">
        <v>28.822292946488044</v>
      </c>
      <c r="V34" s="209" t="s">
        <v>33</v>
      </c>
      <c r="W34" s="7">
        <v>38.505019231682418</v>
      </c>
      <c r="X34" s="221">
        <v>34.691707506944326</v>
      </c>
      <c r="Y34" s="209" t="s">
        <v>33</v>
      </c>
      <c r="Z34" s="7">
        <v>36.708317542450757</v>
      </c>
      <c r="AA34" s="221">
        <v>34.416134255004927</v>
      </c>
    </row>
    <row r="35" spans="1:27">
      <c r="A35" s="209" t="s">
        <v>34</v>
      </c>
      <c r="B35" s="7">
        <v>411.9782011357392</v>
      </c>
      <c r="C35" s="210">
        <v>315</v>
      </c>
      <c r="D35" s="209" t="s">
        <v>34</v>
      </c>
      <c r="E35" s="7">
        <v>117.24004973304739</v>
      </c>
      <c r="F35" s="221">
        <v>86</v>
      </c>
      <c r="G35" s="209" t="s">
        <v>34</v>
      </c>
      <c r="H35" s="7">
        <v>90.880133356490958</v>
      </c>
      <c r="I35" s="221">
        <v>72.643699704259063</v>
      </c>
      <c r="J35" s="209" t="s">
        <v>34</v>
      </c>
      <c r="K35" s="7">
        <v>75.421754385964917</v>
      </c>
      <c r="L35" s="221">
        <v>54.341712824882826</v>
      </c>
      <c r="M35" s="209" t="s">
        <v>34</v>
      </c>
      <c r="N35" s="7">
        <v>131.03180161509326</v>
      </c>
      <c r="O35" s="210">
        <v>104.84800205576256</v>
      </c>
      <c r="P35" s="209" t="s">
        <v>34</v>
      </c>
      <c r="Q35" s="7">
        <v>585.7883597883598</v>
      </c>
      <c r="R35" s="210">
        <v>596.56507317073169</v>
      </c>
      <c r="S35" s="209" t="s">
        <v>34</v>
      </c>
      <c r="T35" s="7">
        <v>22.984310018903589</v>
      </c>
      <c r="U35" s="221">
        <v>26.504642712959228</v>
      </c>
      <c r="V35" s="209" t="s">
        <v>34</v>
      </c>
      <c r="W35" s="7">
        <v>39.850123002698901</v>
      </c>
      <c r="X35" s="221">
        <v>31.569402707904246</v>
      </c>
      <c r="Y35" s="209" t="s">
        <v>34</v>
      </c>
      <c r="Z35" s="7">
        <v>38.831031310537995</v>
      </c>
      <c r="AA35" s="221">
        <v>31.458365595953399</v>
      </c>
    </row>
    <row r="36" spans="1:27">
      <c r="A36" s="209" t="s">
        <v>35</v>
      </c>
      <c r="B36" s="7">
        <v>388.26756391032444</v>
      </c>
      <c r="C36" s="210">
        <v>354.03966256396075</v>
      </c>
      <c r="D36" s="209" t="s">
        <v>35</v>
      </c>
      <c r="E36" s="7">
        <v>117.23926155791359</v>
      </c>
      <c r="F36" s="221">
        <v>92.363983983387897</v>
      </c>
      <c r="G36" s="209" t="s">
        <v>35</v>
      </c>
      <c r="H36" s="7">
        <v>86.030254999455551</v>
      </c>
      <c r="I36" s="221">
        <v>75.644751534048822</v>
      </c>
      <c r="J36" s="209" t="s">
        <v>35</v>
      </c>
      <c r="K36" s="7">
        <v>62.43217665615142</v>
      </c>
      <c r="L36" s="221">
        <v>13.729008511617208</v>
      </c>
      <c r="M36" s="209" t="s">
        <v>35</v>
      </c>
      <c r="N36" s="7">
        <v>113.37381404174572</v>
      </c>
      <c r="O36" s="210">
        <v>126</v>
      </c>
      <c r="P36" s="209" t="s">
        <v>35</v>
      </c>
      <c r="Q36" s="7">
        <v>575.50196078431372</v>
      </c>
      <c r="R36" s="210">
        <v>599</v>
      </c>
      <c r="S36" s="209" t="s">
        <v>35</v>
      </c>
      <c r="T36" s="7">
        <v>21.414796121662906</v>
      </c>
      <c r="U36" s="210">
        <v>29</v>
      </c>
      <c r="V36" s="209" t="s">
        <v>35</v>
      </c>
      <c r="W36" s="7">
        <v>38.784236279701624</v>
      </c>
      <c r="X36" s="210">
        <v>35</v>
      </c>
      <c r="Y36" s="209" t="s">
        <v>35</v>
      </c>
      <c r="Z36" s="7">
        <v>38.425377571288799</v>
      </c>
      <c r="AA36" s="210">
        <v>33</v>
      </c>
    </row>
    <row r="37" spans="1:27">
      <c r="A37" s="209" t="s">
        <v>36</v>
      </c>
      <c r="B37" s="7">
        <v>376.07862156987881</v>
      </c>
      <c r="C37" s="210">
        <v>328.96351219512201</v>
      </c>
      <c r="D37" s="209" t="s">
        <v>36</v>
      </c>
      <c r="E37" s="7">
        <v>112.53006477417162</v>
      </c>
      <c r="F37" s="221">
        <v>75.435261391197727</v>
      </c>
      <c r="G37" s="209" t="s">
        <v>36</v>
      </c>
      <c r="H37" s="7">
        <v>80.329911693823519</v>
      </c>
      <c r="I37" s="210">
        <v>69.005443192513752</v>
      </c>
      <c r="J37" s="209" t="s">
        <v>36</v>
      </c>
      <c r="K37" s="7">
        <v>65.119520419632821</v>
      </c>
      <c r="L37" s="221">
        <v>0.59739167017248629</v>
      </c>
      <c r="M37" s="209" t="s">
        <v>36</v>
      </c>
      <c r="N37" s="7">
        <v>121.80601484181746</v>
      </c>
      <c r="O37" s="210">
        <v>123.45785009520512</v>
      </c>
      <c r="P37" s="209" t="s">
        <v>36</v>
      </c>
      <c r="Q37" s="7">
        <v>672.98913043478262</v>
      </c>
      <c r="R37" s="210">
        <v>436.15513126491646</v>
      </c>
      <c r="S37" s="209" t="s">
        <v>36</v>
      </c>
      <c r="T37" s="7">
        <v>23.180708127270343</v>
      </c>
      <c r="U37" s="221">
        <v>29.896041390927685</v>
      </c>
      <c r="V37" s="209" t="s">
        <v>36</v>
      </c>
      <c r="W37" s="7">
        <v>39.150789924774266</v>
      </c>
      <c r="X37" s="221">
        <v>31.603937365599542</v>
      </c>
      <c r="Y37" s="209" t="s">
        <v>36</v>
      </c>
      <c r="Z37" s="7">
        <v>38.200471087925735</v>
      </c>
      <c r="AA37" s="221">
        <v>31.294091055677246</v>
      </c>
    </row>
    <row r="38" spans="1:27">
      <c r="A38" s="209" t="s">
        <v>37</v>
      </c>
      <c r="B38" s="7">
        <v>370.87630995755546</v>
      </c>
      <c r="C38" s="210">
        <v>314.38405899074047</v>
      </c>
      <c r="D38" s="209" t="s">
        <v>37</v>
      </c>
      <c r="E38" s="7">
        <v>121.19701209864621</v>
      </c>
      <c r="F38" s="221">
        <v>85.564877428578541</v>
      </c>
      <c r="G38" s="209" t="s">
        <v>37</v>
      </c>
      <c r="H38" s="7">
        <v>93.069984528928572</v>
      </c>
      <c r="I38" s="221">
        <v>64.314737685129501</v>
      </c>
      <c r="J38" s="209" t="s">
        <v>37</v>
      </c>
      <c r="K38" s="7">
        <v>67.493898522800251</v>
      </c>
      <c r="L38" s="210"/>
      <c r="M38" s="209" t="s">
        <v>37</v>
      </c>
      <c r="N38" s="7">
        <v>114.49062679700978</v>
      </c>
      <c r="O38" s="210">
        <v>122.6014834794336</v>
      </c>
      <c r="P38" s="209" t="s">
        <v>37</v>
      </c>
      <c r="Q38" s="7">
        <v>607.29693741677761</v>
      </c>
      <c r="R38" s="210">
        <v>549.86602371953609</v>
      </c>
      <c r="S38" s="209" t="s">
        <v>37</v>
      </c>
      <c r="T38" s="7">
        <v>23.628300609343263</v>
      </c>
      <c r="U38" s="221">
        <v>26.157517358650981</v>
      </c>
      <c r="V38" s="209" t="s">
        <v>37</v>
      </c>
      <c r="W38" s="7">
        <v>40.430311770844327</v>
      </c>
      <c r="X38" s="221">
        <v>28.798265488319053</v>
      </c>
      <c r="Y38" s="209" t="s">
        <v>37</v>
      </c>
      <c r="Z38" s="7">
        <v>38.596018361735496</v>
      </c>
      <c r="AA38" s="221">
        <v>28.714515223672656</v>
      </c>
    </row>
    <row r="39" spans="1:27">
      <c r="A39" s="209" t="s">
        <v>38</v>
      </c>
      <c r="B39" s="7">
        <v>384.63000138766824</v>
      </c>
      <c r="C39" s="210">
        <v>361.54598227925453</v>
      </c>
      <c r="D39" s="209" t="s">
        <v>38</v>
      </c>
      <c r="E39" s="7">
        <v>99.128459383044117</v>
      </c>
      <c r="F39" s="221">
        <v>105.14449685197032</v>
      </c>
      <c r="G39" s="209" t="s">
        <v>38</v>
      </c>
      <c r="H39" s="7">
        <v>73.425508545983618</v>
      </c>
      <c r="I39" s="221">
        <v>65.225849834016785</v>
      </c>
      <c r="J39" s="209" t="s">
        <v>38</v>
      </c>
      <c r="K39" s="7">
        <v>92.110948905109495</v>
      </c>
      <c r="L39" s="210"/>
      <c r="M39" s="209" t="s">
        <v>38</v>
      </c>
      <c r="N39" s="7">
        <v>119.92099694333412</v>
      </c>
      <c r="O39" s="210">
        <v>102.40113340480933</v>
      </c>
      <c r="P39" s="209" t="s">
        <v>38</v>
      </c>
      <c r="Q39" s="7">
        <v>735.3054413542925</v>
      </c>
      <c r="R39" s="210">
        <v>544.76226734348563</v>
      </c>
      <c r="S39" s="209" t="s">
        <v>38</v>
      </c>
      <c r="T39" s="7">
        <v>22.821047641621238</v>
      </c>
      <c r="U39" s="221">
        <v>24.631401711800194</v>
      </c>
      <c r="V39" s="209" t="s">
        <v>38</v>
      </c>
      <c r="W39" s="7">
        <v>35.942543787853992</v>
      </c>
      <c r="X39" s="221">
        <v>32.163754219006435</v>
      </c>
      <c r="Y39" s="209" t="s">
        <v>38</v>
      </c>
      <c r="Z39" s="7">
        <v>35.769384859937958</v>
      </c>
      <c r="AA39" s="221">
        <v>32.408478118949844</v>
      </c>
    </row>
    <row r="40" spans="1:27">
      <c r="A40" s="209" t="s">
        <v>39</v>
      </c>
      <c r="B40" s="7">
        <v>390.68053148469085</v>
      </c>
      <c r="C40" s="210">
        <v>325.94090909090903</v>
      </c>
      <c r="D40" s="209" t="s">
        <v>39</v>
      </c>
      <c r="E40" s="7">
        <v>107.31026529651045</v>
      </c>
      <c r="F40" s="221">
        <v>97.614342686377952</v>
      </c>
      <c r="G40" s="209" t="s">
        <v>39</v>
      </c>
      <c r="H40" s="7">
        <v>81.699856051031404</v>
      </c>
      <c r="I40" s="221">
        <v>66.92144568191776</v>
      </c>
      <c r="J40" s="209" t="s">
        <v>39</v>
      </c>
      <c r="K40" s="7">
        <v>86.36515679442509</v>
      </c>
      <c r="L40" s="210"/>
      <c r="M40" s="209" t="s">
        <v>39</v>
      </c>
      <c r="N40" s="7">
        <v>111.41793280547827</v>
      </c>
      <c r="O40" s="210">
        <v>108.00085766358144</v>
      </c>
      <c r="P40" s="209" t="s">
        <v>39</v>
      </c>
      <c r="Q40" s="7">
        <v>480.56878891343649</v>
      </c>
      <c r="R40" s="210">
        <v>546.36960506582238</v>
      </c>
      <c r="S40" s="209" t="s">
        <v>39</v>
      </c>
      <c r="T40" s="7">
        <v>21.867793824116472</v>
      </c>
      <c r="U40" s="221">
        <v>27.603798855473027</v>
      </c>
      <c r="V40" s="209" t="s">
        <v>39</v>
      </c>
      <c r="W40" s="7">
        <v>39.413136388044997</v>
      </c>
      <c r="X40" s="221">
        <v>32.528689515842188</v>
      </c>
      <c r="Y40" s="209" t="s">
        <v>39</v>
      </c>
      <c r="Z40" s="7">
        <v>38.315720152614645</v>
      </c>
      <c r="AA40" s="221">
        <v>30.667368063364613</v>
      </c>
    </row>
    <row r="41" spans="1:27">
      <c r="A41" s="209" t="s">
        <v>40</v>
      </c>
      <c r="B41" s="7">
        <v>424.3765972720746</v>
      </c>
      <c r="C41" s="210">
        <v>321.65522454424183</v>
      </c>
      <c r="D41" s="209" t="s">
        <v>40</v>
      </c>
      <c r="E41" s="7">
        <v>96.805890714003269</v>
      </c>
      <c r="F41" s="221">
        <v>96.76720761187633</v>
      </c>
      <c r="G41" s="209" t="s">
        <v>40</v>
      </c>
      <c r="H41" s="7">
        <v>85.44841128651619</v>
      </c>
      <c r="I41" s="221">
        <v>65.801726401211965</v>
      </c>
      <c r="J41" s="209" t="s">
        <v>40</v>
      </c>
      <c r="K41" s="7">
        <v>94.762915129151295</v>
      </c>
      <c r="L41" s="210"/>
      <c r="M41" s="209" t="s">
        <v>40</v>
      </c>
      <c r="N41" s="7">
        <v>119.22686230248307</v>
      </c>
      <c r="O41" s="210">
        <v>134.53555465258026</v>
      </c>
      <c r="P41" s="209" t="s">
        <v>40</v>
      </c>
      <c r="Q41" s="7">
        <v>634.77028683500851</v>
      </c>
      <c r="R41" s="210">
        <v>570.85644216358605</v>
      </c>
      <c r="S41" s="209" t="s">
        <v>40</v>
      </c>
      <c r="T41" s="7">
        <v>24.164460980549148</v>
      </c>
      <c r="U41" s="221">
        <v>28.47743658210948</v>
      </c>
      <c r="V41" s="209" t="s">
        <v>40</v>
      </c>
      <c r="W41" s="7">
        <v>40.374145151703551</v>
      </c>
      <c r="X41" s="221">
        <v>32.170976096265889</v>
      </c>
      <c r="Y41" s="209" t="s">
        <v>40</v>
      </c>
      <c r="Z41" s="7">
        <v>40.373022871471569</v>
      </c>
      <c r="AA41" s="221">
        <v>29.906634085766989</v>
      </c>
    </row>
    <row r="42" spans="1:27">
      <c r="A42" s="209" t="s">
        <v>41</v>
      </c>
      <c r="B42" s="7">
        <v>409.74351786965661</v>
      </c>
      <c r="C42" s="210">
        <v>315.77528983106987</v>
      </c>
      <c r="D42" s="209" t="s">
        <v>41</v>
      </c>
      <c r="E42" s="7">
        <v>96.838528545687126</v>
      </c>
      <c r="F42" s="221">
        <v>97.594337790097597</v>
      </c>
      <c r="G42" s="209" t="s">
        <v>41</v>
      </c>
      <c r="H42" s="7">
        <v>79.268524753980842</v>
      </c>
      <c r="I42" s="221">
        <v>63.75160654273148</v>
      </c>
      <c r="J42" s="209" t="s">
        <v>41</v>
      </c>
      <c r="K42" s="7">
        <v>90.785971000123936</v>
      </c>
      <c r="L42" s="210"/>
      <c r="M42" s="209" t="s">
        <v>41</v>
      </c>
      <c r="N42" s="7">
        <v>126.67004767217773</v>
      </c>
      <c r="O42" s="210">
        <v>142.93176815847394</v>
      </c>
      <c r="P42" s="209" t="s">
        <v>41</v>
      </c>
      <c r="Q42" s="7">
        <v>608.90476190476193</v>
      </c>
      <c r="R42" s="210">
        <v>482.48328697159019</v>
      </c>
      <c r="S42" s="209" t="s">
        <v>41</v>
      </c>
      <c r="T42" s="7">
        <v>27.512652986104722</v>
      </c>
      <c r="U42" s="221">
        <v>23.672401206594952</v>
      </c>
      <c r="V42" s="209" t="s">
        <v>41</v>
      </c>
      <c r="W42" s="7">
        <v>37.767192441415077</v>
      </c>
      <c r="X42" s="221">
        <v>31.107469674398807</v>
      </c>
      <c r="Y42" s="209" t="s">
        <v>41</v>
      </c>
      <c r="Z42" s="7">
        <v>38.094298521317569</v>
      </c>
      <c r="AA42" s="221">
        <v>29.613395329690839</v>
      </c>
    </row>
    <row r="43" spans="1:27">
      <c r="A43" s="209" t="s">
        <v>42</v>
      </c>
      <c r="B43" s="7">
        <v>329.83949298582922</v>
      </c>
      <c r="C43" s="210">
        <v>319.26420111191686</v>
      </c>
      <c r="D43" s="209" t="s">
        <v>42</v>
      </c>
      <c r="E43" s="7">
        <v>94.680800331132104</v>
      </c>
      <c r="F43" s="221">
        <v>85.523569874845137</v>
      </c>
      <c r="G43" s="209" t="s">
        <v>42</v>
      </c>
      <c r="H43" s="7">
        <v>84.376960452448941</v>
      </c>
      <c r="I43" s="221">
        <v>61.940007852154757</v>
      </c>
      <c r="J43" s="209" t="s">
        <v>42</v>
      </c>
      <c r="K43" s="7">
        <v>96.985804049336735</v>
      </c>
      <c r="L43" s="210"/>
      <c r="M43" s="209" t="s">
        <v>42</v>
      </c>
      <c r="N43" s="7">
        <v>125.1719978066167</v>
      </c>
      <c r="O43" s="210">
        <v>138.73299678751721</v>
      </c>
      <c r="P43" s="209" t="s">
        <v>42</v>
      </c>
      <c r="Q43" s="7">
        <v>657.14978065594323</v>
      </c>
      <c r="R43" s="210">
        <v>487.82276189757897</v>
      </c>
      <c r="S43" s="209" t="s">
        <v>42</v>
      </c>
      <c r="T43" s="7">
        <v>25.296507777399896</v>
      </c>
      <c r="U43" s="221">
        <v>23.377637947725074</v>
      </c>
      <c r="V43" s="209" t="s">
        <v>42</v>
      </c>
      <c r="W43" s="7">
        <v>37.30964439535304</v>
      </c>
      <c r="X43" s="221">
        <v>28.82938185223238</v>
      </c>
      <c r="Y43" s="209" t="s">
        <v>42</v>
      </c>
      <c r="Z43" s="7">
        <v>37.296638633406758</v>
      </c>
      <c r="AA43" s="221">
        <v>27.563674642733787</v>
      </c>
    </row>
    <row r="44" spans="1:27">
      <c r="A44" s="209" t="s">
        <v>43</v>
      </c>
      <c r="B44" s="7">
        <v>333.8847361809045</v>
      </c>
      <c r="C44" s="210"/>
      <c r="D44" s="209" t="s">
        <v>43</v>
      </c>
      <c r="E44" s="7">
        <v>76.996455223372678</v>
      </c>
      <c r="F44" s="210"/>
      <c r="G44" s="209" t="s">
        <v>43</v>
      </c>
      <c r="H44" s="7">
        <v>77.717477956274919</v>
      </c>
      <c r="I44" s="210"/>
      <c r="J44" s="209" t="s">
        <v>43</v>
      </c>
      <c r="K44" s="7">
        <v>103.25831775700935</v>
      </c>
      <c r="L44" s="210"/>
      <c r="M44" s="209" t="s">
        <v>43</v>
      </c>
      <c r="N44" s="7">
        <v>117.64860859542235</v>
      </c>
      <c r="O44" s="210"/>
      <c r="P44" s="209" t="s">
        <v>43</v>
      </c>
      <c r="Q44" s="7">
        <v>696.9129698611581</v>
      </c>
      <c r="R44" s="210"/>
      <c r="S44" s="209" t="s">
        <v>43</v>
      </c>
      <c r="T44" s="7">
        <v>23.152957647882396</v>
      </c>
      <c r="U44" s="210"/>
      <c r="V44" s="209" t="s">
        <v>43</v>
      </c>
      <c r="W44" s="7">
        <v>35.276655197400103</v>
      </c>
      <c r="X44" s="210"/>
      <c r="Y44" s="209" t="s">
        <v>43</v>
      </c>
      <c r="Z44" s="7">
        <v>35.31613044261195</v>
      </c>
      <c r="AA44" s="210"/>
    </row>
    <row r="45" spans="1:27">
      <c r="A45" s="209" t="s">
        <v>44</v>
      </c>
      <c r="B45" s="7">
        <v>452.45297816239599</v>
      </c>
      <c r="C45" s="210"/>
      <c r="D45" s="209" t="s">
        <v>44</v>
      </c>
      <c r="E45" s="7">
        <v>80.98869663195515</v>
      </c>
      <c r="F45" s="210"/>
      <c r="G45" s="209" t="s">
        <v>44</v>
      </c>
      <c r="H45" s="7">
        <v>70.011449835408612</v>
      </c>
      <c r="I45" s="210"/>
      <c r="J45" s="209" t="s">
        <v>44</v>
      </c>
      <c r="K45" s="7">
        <v>110.15342141589429</v>
      </c>
      <c r="L45" s="210"/>
      <c r="M45" s="209" t="s">
        <v>44</v>
      </c>
      <c r="N45" s="7">
        <v>130.32926332926334</v>
      </c>
      <c r="O45" s="210"/>
      <c r="P45" s="209" t="s">
        <v>44</v>
      </c>
      <c r="Q45" s="7">
        <v>761.84422253922969</v>
      </c>
      <c r="R45" s="210"/>
      <c r="S45" s="209" t="s">
        <v>44</v>
      </c>
      <c r="T45" s="7">
        <v>20.589952743581257</v>
      </c>
      <c r="U45" s="210"/>
      <c r="V45" s="209" t="s">
        <v>44</v>
      </c>
      <c r="W45" s="7">
        <v>35.980857723047116</v>
      </c>
      <c r="X45" s="210"/>
      <c r="Y45" s="209" t="s">
        <v>44</v>
      </c>
      <c r="Z45" s="7">
        <v>35.980857723047116</v>
      </c>
      <c r="AA45" s="210"/>
    </row>
    <row r="46" spans="1:27">
      <c r="A46" s="209" t="s">
        <v>45</v>
      </c>
      <c r="B46" s="7">
        <v>332.35355962751578</v>
      </c>
      <c r="C46" s="210"/>
      <c r="D46" s="209" t="s">
        <v>45</v>
      </c>
      <c r="E46" s="7">
        <v>100.72526516494629</v>
      </c>
      <c r="F46" s="210"/>
      <c r="G46" s="209" t="s">
        <v>45</v>
      </c>
      <c r="H46" s="7">
        <v>65.911916192904371</v>
      </c>
      <c r="I46" s="210"/>
      <c r="J46" s="209" t="s">
        <v>45</v>
      </c>
      <c r="K46" s="7">
        <v>95.283018867924525</v>
      </c>
      <c r="L46" s="210"/>
      <c r="M46" s="209" t="s">
        <v>45</v>
      </c>
      <c r="N46" s="7">
        <v>126.35915492957747</v>
      </c>
      <c r="O46" s="210"/>
      <c r="P46" s="209" t="s">
        <v>45</v>
      </c>
      <c r="Q46" s="7">
        <v>665.45017694170235</v>
      </c>
      <c r="R46" s="210"/>
      <c r="S46" s="209" t="s">
        <v>45</v>
      </c>
      <c r="T46" s="7">
        <v>24.413214848788879</v>
      </c>
      <c r="U46" s="210"/>
      <c r="V46" s="209" t="s">
        <v>45</v>
      </c>
      <c r="W46" s="7">
        <v>30.796837479561521</v>
      </c>
      <c r="X46" s="210"/>
      <c r="Y46" s="209" t="s">
        <v>45</v>
      </c>
      <c r="Z46" s="7">
        <v>32.653173443839172</v>
      </c>
      <c r="AA46" s="210"/>
    </row>
    <row r="47" spans="1:27">
      <c r="A47" s="209" t="s">
        <v>46</v>
      </c>
      <c r="B47" s="7">
        <v>247.75443084231682</v>
      </c>
      <c r="C47" s="210"/>
      <c r="D47" s="209" t="s">
        <v>46</v>
      </c>
      <c r="E47" s="7">
        <v>87.057246271979295</v>
      </c>
      <c r="F47" s="210"/>
      <c r="G47" s="209" t="s">
        <v>46</v>
      </c>
      <c r="H47" s="7">
        <v>62.342275598469257</v>
      </c>
      <c r="I47" s="210"/>
      <c r="J47" s="209" t="s">
        <v>46</v>
      </c>
      <c r="K47" s="7">
        <v>104.01025438769474</v>
      </c>
      <c r="L47" s="210"/>
      <c r="M47" s="209" t="s">
        <v>46</v>
      </c>
      <c r="N47" s="7">
        <v>118.2586367091815</v>
      </c>
      <c r="O47" s="210"/>
      <c r="P47" s="209" t="s">
        <v>46</v>
      </c>
      <c r="Q47" s="7">
        <v>684.12594962015203</v>
      </c>
      <c r="R47" s="210"/>
      <c r="S47" s="209" t="s">
        <v>46</v>
      </c>
      <c r="T47" s="7">
        <v>25.017681179677126</v>
      </c>
      <c r="U47" s="210"/>
      <c r="V47" s="209" t="s">
        <v>46</v>
      </c>
      <c r="W47" s="7">
        <v>29.534659828307504</v>
      </c>
      <c r="X47" s="210"/>
      <c r="Y47" s="209" t="s">
        <v>46</v>
      </c>
      <c r="Z47" s="7">
        <v>30.125250411126864</v>
      </c>
      <c r="AA47" s="210"/>
    </row>
    <row r="48" spans="1:27">
      <c r="A48" s="209" t="s">
        <v>47</v>
      </c>
      <c r="B48" s="7">
        <v>192.3036235172101</v>
      </c>
      <c r="C48" s="210"/>
      <c r="D48" s="209" t="s">
        <v>47</v>
      </c>
      <c r="E48" s="7">
        <v>89.65130280020287</v>
      </c>
      <c r="F48" s="210"/>
      <c r="G48" s="209" t="s">
        <v>47</v>
      </c>
      <c r="H48" s="7">
        <v>63.787514427376564</v>
      </c>
      <c r="I48" s="210"/>
      <c r="J48" s="209" t="s">
        <v>47</v>
      </c>
      <c r="K48" s="7">
        <v>79.906976744186053</v>
      </c>
      <c r="L48" s="210"/>
      <c r="M48" s="209" t="s">
        <v>47</v>
      </c>
      <c r="N48" s="7">
        <v>103.17298965329461</v>
      </c>
      <c r="O48" s="210"/>
      <c r="P48" s="209" t="s">
        <v>47</v>
      </c>
      <c r="Q48" s="7">
        <v>573.79172257198888</v>
      </c>
      <c r="R48" s="210"/>
      <c r="S48" s="209" t="s">
        <v>47</v>
      </c>
      <c r="T48" s="7">
        <v>29.883515086312293</v>
      </c>
      <c r="U48" s="210"/>
      <c r="V48" s="209" t="s">
        <v>47</v>
      </c>
      <c r="W48" s="7">
        <v>28.86209155083327</v>
      </c>
      <c r="X48" s="210"/>
      <c r="Y48" s="209" t="s">
        <v>47</v>
      </c>
      <c r="Z48" s="7">
        <v>28.64715192483278</v>
      </c>
      <c r="AA48" s="210"/>
    </row>
    <row r="49" spans="1:27">
      <c r="A49" s="209" t="s">
        <v>48</v>
      </c>
      <c r="B49" s="7">
        <v>237.43398385613571</v>
      </c>
      <c r="C49" s="210"/>
      <c r="D49" s="209" t="s">
        <v>48</v>
      </c>
      <c r="E49" s="7">
        <v>93.744663604667707</v>
      </c>
      <c r="F49" s="210"/>
      <c r="G49" s="209" t="s">
        <v>48</v>
      </c>
      <c r="H49" s="7">
        <v>65.916841175055694</v>
      </c>
      <c r="I49" s="210"/>
      <c r="J49" s="209" t="s">
        <v>48</v>
      </c>
      <c r="K49" s="7">
        <v>94.411799410029502</v>
      </c>
      <c r="L49" s="210"/>
      <c r="M49" s="209" t="s">
        <v>48</v>
      </c>
      <c r="N49" s="7">
        <v>107.01621850518738</v>
      </c>
      <c r="O49" s="210"/>
      <c r="P49" s="209" t="s">
        <v>48</v>
      </c>
      <c r="Q49" s="7">
        <v>628.1522198731501</v>
      </c>
      <c r="R49" s="210"/>
      <c r="S49" s="209" t="s">
        <v>48</v>
      </c>
      <c r="T49" s="7">
        <v>26.248517591250494</v>
      </c>
      <c r="U49" s="210"/>
      <c r="V49" s="209" t="s">
        <v>48</v>
      </c>
      <c r="W49" s="7">
        <v>31.45097996468203</v>
      </c>
      <c r="X49" s="210"/>
      <c r="Y49" s="209" t="s">
        <v>48</v>
      </c>
      <c r="Z49" s="7">
        <v>30.388872974027386</v>
      </c>
      <c r="AA49" s="210"/>
    </row>
    <row r="50" spans="1:27">
      <c r="A50" s="209" t="s">
        <v>49</v>
      </c>
      <c r="B50" s="7">
        <v>216.74822040601106</v>
      </c>
      <c r="C50" s="210"/>
      <c r="D50" s="209" t="s">
        <v>49</v>
      </c>
      <c r="E50" s="7">
        <v>96.369960726581581</v>
      </c>
      <c r="F50" s="210"/>
      <c r="G50" s="209" t="s">
        <v>49</v>
      </c>
      <c r="H50" s="7">
        <v>66.832225164115485</v>
      </c>
      <c r="I50" s="210"/>
      <c r="J50" s="209" t="s">
        <v>49</v>
      </c>
      <c r="K50" s="7">
        <v>95.446339017051145</v>
      </c>
      <c r="L50" s="210"/>
      <c r="M50" s="209" t="s">
        <v>49</v>
      </c>
      <c r="N50" s="7">
        <v>105.79405992411358</v>
      </c>
      <c r="O50" s="210"/>
      <c r="P50" s="209" t="s">
        <v>49</v>
      </c>
      <c r="Q50" s="7">
        <v>588.80763723150358</v>
      </c>
      <c r="R50" s="210"/>
      <c r="S50" s="209" t="s">
        <v>49</v>
      </c>
      <c r="T50" s="7">
        <v>27.412631683070384</v>
      </c>
      <c r="U50" s="210"/>
      <c r="V50" s="209" t="s">
        <v>49</v>
      </c>
      <c r="W50" s="7">
        <v>30.584288202401687</v>
      </c>
      <c r="X50" s="210"/>
      <c r="Y50" s="209" t="s">
        <v>49</v>
      </c>
      <c r="Z50" s="7">
        <v>30.42890787814844</v>
      </c>
      <c r="AA50" s="210"/>
    </row>
    <row r="51" spans="1:27">
      <c r="A51" s="209" t="s">
        <v>50</v>
      </c>
      <c r="B51" s="7">
        <v>244.52229677572586</v>
      </c>
      <c r="C51" s="210"/>
      <c r="D51" s="209" t="s">
        <v>50</v>
      </c>
      <c r="E51" s="7">
        <v>93.649551715584366</v>
      </c>
      <c r="F51" s="210"/>
      <c r="G51" s="209" t="s">
        <v>50</v>
      </c>
      <c r="H51" s="7">
        <v>72.450767948366902</v>
      </c>
      <c r="I51" s="210"/>
      <c r="J51" s="209" t="s">
        <v>50</v>
      </c>
      <c r="K51" s="7">
        <v>111.11504793664027</v>
      </c>
      <c r="L51" s="210"/>
      <c r="M51" s="209" t="s">
        <v>50</v>
      </c>
      <c r="N51" s="7">
        <v>100.26909671797851</v>
      </c>
      <c r="O51" s="210"/>
      <c r="P51" s="209" t="s">
        <v>50</v>
      </c>
      <c r="Q51" s="7">
        <v>586.31830726770932</v>
      </c>
      <c r="R51" s="210"/>
      <c r="S51" s="209" t="s">
        <v>50</v>
      </c>
      <c r="T51" s="7">
        <v>24.825309491059148</v>
      </c>
      <c r="U51" s="210"/>
      <c r="V51" s="209" t="s">
        <v>50</v>
      </c>
      <c r="W51" s="7">
        <v>32.468174282430063</v>
      </c>
      <c r="X51" s="210"/>
      <c r="Y51" s="209" t="s">
        <v>50</v>
      </c>
      <c r="Z51" s="7">
        <v>31.791193591057866</v>
      </c>
      <c r="AA51" s="210"/>
    </row>
    <row r="52" spans="1:27">
      <c r="A52" s="209" t="s">
        <v>51</v>
      </c>
      <c r="B52" s="7">
        <v>453.41949447321628</v>
      </c>
      <c r="C52" s="210"/>
      <c r="D52" s="209" t="s">
        <v>51</v>
      </c>
      <c r="E52" s="7">
        <v>95.678231622546335</v>
      </c>
      <c r="F52" s="210"/>
      <c r="G52" s="209" t="s">
        <v>51</v>
      </c>
      <c r="H52" s="7">
        <v>71.026271312340782</v>
      </c>
      <c r="I52" s="210"/>
      <c r="J52" s="209" t="s">
        <v>51</v>
      </c>
      <c r="K52" s="7">
        <v>117.4016722771202</v>
      </c>
      <c r="L52" s="210"/>
      <c r="M52" s="209" t="s">
        <v>51</v>
      </c>
      <c r="N52" s="7">
        <v>100.79676414882346</v>
      </c>
      <c r="O52" s="210"/>
      <c r="P52" s="209" t="s">
        <v>51</v>
      </c>
      <c r="Q52" s="7">
        <v>494.63802293652066</v>
      </c>
      <c r="R52" s="210"/>
      <c r="S52" s="209" t="s">
        <v>51</v>
      </c>
      <c r="T52" s="7">
        <v>27.488279045909209</v>
      </c>
      <c r="U52" s="210"/>
      <c r="V52" s="209" t="s">
        <v>51</v>
      </c>
      <c r="W52" s="7">
        <v>35.833198999325198</v>
      </c>
      <c r="X52" s="210"/>
      <c r="Y52" s="209" t="s">
        <v>51</v>
      </c>
      <c r="Z52" s="7">
        <v>35.539683070995601</v>
      </c>
      <c r="AA52" s="210"/>
    </row>
    <row r="53" spans="1:27">
      <c r="A53" s="209" t="s">
        <v>52</v>
      </c>
      <c r="B53" s="7">
        <v>428.67906520673313</v>
      </c>
      <c r="C53" s="210"/>
      <c r="D53" s="209" t="s">
        <v>52</v>
      </c>
      <c r="E53" s="7">
        <v>106.29268302692918</v>
      </c>
      <c r="F53" s="210"/>
      <c r="G53" s="209" t="s">
        <v>52</v>
      </c>
      <c r="H53" s="7">
        <v>69.571755177773142</v>
      </c>
      <c r="I53" s="210"/>
      <c r="J53" s="209" t="s">
        <v>52</v>
      </c>
      <c r="K53" s="7">
        <v>119.98651409889662</v>
      </c>
      <c r="L53" s="210"/>
      <c r="M53" s="209" t="s">
        <v>52</v>
      </c>
      <c r="N53" s="7">
        <v>106.04666304937602</v>
      </c>
      <c r="O53" s="210"/>
      <c r="P53" s="209" t="s">
        <v>52</v>
      </c>
      <c r="Q53" s="7">
        <v>745.35389244076725</v>
      </c>
      <c r="R53" s="210"/>
      <c r="S53" s="209" t="s">
        <v>52</v>
      </c>
      <c r="T53" s="7">
        <v>28.633882970961622</v>
      </c>
      <c r="U53" s="210"/>
      <c r="V53" s="209" t="s">
        <v>52</v>
      </c>
      <c r="W53" s="7">
        <v>33.747109316242934</v>
      </c>
      <c r="X53" s="210"/>
      <c r="Y53" s="209" t="s">
        <v>52</v>
      </c>
      <c r="Z53" s="7">
        <v>33.192101431823914</v>
      </c>
      <c r="AA53" s="210"/>
    </row>
    <row r="54" spans="1:27" ht="15" thickBot="1">
      <c r="A54" s="212" t="s">
        <v>53</v>
      </c>
      <c r="B54" s="213">
        <v>380.84842830486576</v>
      </c>
      <c r="C54" s="214"/>
      <c r="D54" s="212" t="s">
        <v>53</v>
      </c>
      <c r="E54" s="213">
        <v>107.64542024926605</v>
      </c>
      <c r="F54" s="214"/>
      <c r="G54" s="212" t="s">
        <v>53</v>
      </c>
      <c r="H54" s="213">
        <v>76.595407476526589</v>
      </c>
      <c r="I54" s="214"/>
      <c r="J54" s="212" t="s">
        <v>53</v>
      </c>
      <c r="K54" s="213">
        <v>71.187217783952761</v>
      </c>
      <c r="L54" s="214"/>
      <c r="M54" s="212" t="s">
        <v>53</v>
      </c>
      <c r="N54" s="213">
        <v>133.97562208616526</v>
      </c>
      <c r="O54" s="214"/>
      <c r="P54" s="212" t="s">
        <v>53</v>
      </c>
      <c r="Q54" s="213">
        <v>707.23280849505682</v>
      </c>
      <c r="R54" s="214"/>
      <c r="S54" s="212" t="s">
        <v>53</v>
      </c>
      <c r="T54" s="213">
        <v>20.845897914468882</v>
      </c>
      <c r="U54" s="214"/>
      <c r="V54" s="212" t="s">
        <v>53</v>
      </c>
      <c r="W54" s="213">
        <v>36.59536200904725</v>
      </c>
      <c r="X54" s="214"/>
      <c r="Y54" s="212" t="s">
        <v>53</v>
      </c>
      <c r="Z54" s="213">
        <v>35.720151486018224</v>
      </c>
      <c r="AA54" s="214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4143B-8060-498A-9007-A7BB30DDBAC4}">
  <dimension ref="A1:AJ7"/>
  <sheetViews>
    <sheetView zoomScale="70" zoomScaleNormal="70" workbookViewId="0">
      <selection activeCell="A3" sqref="A3"/>
    </sheetView>
  </sheetViews>
  <sheetFormatPr defaultRowHeight="14.4"/>
  <cols>
    <col min="1" max="1" width="8.5546875" customWidth="1"/>
    <col min="5" max="5" width="2.33203125" customWidth="1"/>
    <col min="9" max="9" width="2.33203125" customWidth="1"/>
    <col min="13" max="13" width="2.33203125" customWidth="1"/>
    <col min="17" max="17" width="2.33203125" customWidth="1"/>
    <col min="21" max="21" width="2.33203125" customWidth="1"/>
    <col min="25" max="25" width="2.33203125" customWidth="1"/>
    <col min="29" max="29" width="2.33203125" customWidth="1"/>
    <col min="33" max="33" width="2.33203125" customWidth="1"/>
  </cols>
  <sheetData>
    <row r="1" spans="1:36">
      <c r="B1" s="239" t="s">
        <v>59</v>
      </c>
      <c r="C1" s="239"/>
      <c r="D1" s="239"/>
      <c r="F1" s="239" t="s">
        <v>67</v>
      </c>
      <c r="G1" s="239"/>
      <c r="H1" s="239"/>
      <c r="J1" s="239" t="s">
        <v>65</v>
      </c>
      <c r="K1" s="239"/>
      <c r="L1" s="239"/>
      <c r="N1" s="239" t="s">
        <v>454</v>
      </c>
      <c r="O1" s="239"/>
      <c r="P1" s="239"/>
      <c r="R1" s="239" t="s">
        <v>62</v>
      </c>
      <c r="S1" s="239"/>
      <c r="T1" s="239"/>
      <c r="V1" s="239" t="s">
        <v>58</v>
      </c>
      <c r="W1" s="239"/>
      <c r="X1" s="239"/>
      <c r="Z1" s="239" t="s">
        <v>2248</v>
      </c>
      <c r="AA1" s="239"/>
      <c r="AB1" s="239"/>
      <c r="AD1" s="239" t="s">
        <v>428</v>
      </c>
      <c r="AE1" s="239"/>
      <c r="AF1" s="239"/>
      <c r="AH1" s="239" t="s">
        <v>2249</v>
      </c>
      <c r="AI1" s="239"/>
      <c r="AJ1" s="239"/>
    </row>
    <row r="2" spans="1:36">
      <c r="A2" t="s">
        <v>42</v>
      </c>
      <c r="B2" t="s">
        <v>10</v>
      </c>
      <c r="C2">
        <v>2025</v>
      </c>
      <c r="D2">
        <v>2026</v>
      </c>
      <c r="F2" t="s">
        <v>10</v>
      </c>
      <c r="G2">
        <v>2025</v>
      </c>
      <c r="H2">
        <v>2026</v>
      </c>
      <c r="J2" t="s">
        <v>10</v>
      </c>
      <c r="K2">
        <v>2025</v>
      </c>
      <c r="L2">
        <v>2026</v>
      </c>
      <c r="N2" t="s">
        <v>10</v>
      </c>
      <c r="O2">
        <v>2025</v>
      </c>
      <c r="P2">
        <v>2026</v>
      </c>
      <c r="R2" t="s">
        <v>10</v>
      </c>
      <c r="S2">
        <v>2025</v>
      </c>
      <c r="T2">
        <v>2026</v>
      </c>
      <c r="V2" t="s">
        <v>10</v>
      </c>
      <c r="W2">
        <v>2025</v>
      </c>
      <c r="X2">
        <v>2026</v>
      </c>
      <c r="Z2" t="s">
        <v>10</v>
      </c>
      <c r="AA2">
        <v>2025</v>
      </c>
      <c r="AB2">
        <v>2026</v>
      </c>
      <c r="AD2" t="s">
        <v>10</v>
      </c>
      <c r="AE2">
        <v>2025</v>
      </c>
      <c r="AF2">
        <v>2026</v>
      </c>
      <c r="AH2" t="s">
        <v>10</v>
      </c>
      <c r="AI2">
        <v>2025</v>
      </c>
      <c r="AJ2">
        <v>2026</v>
      </c>
    </row>
    <row r="3" spans="1:36">
      <c r="B3" t="str">
        <f t="shared" ref="B3:B4" si="0">+LEFT(B4,2)-1&amp;". Hafta"</f>
        <v>38. Hafta</v>
      </c>
      <c r="C3" s="2">
        <f>+VLOOKUP(B3,'Haftalık Genel'!A:AA,2,0)</f>
        <v>390.68053148469085</v>
      </c>
      <c r="D3" s="2">
        <f>+VLOOKUP(B3,'Haftalık Genel'!A:C,3,0)</f>
        <v>325.94090909090903</v>
      </c>
      <c r="F3" t="str">
        <f t="shared" ref="F3:F4" si="1">+LEFT(F4,2)-1&amp;". Hafta"</f>
        <v>38. Hafta</v>
      </c>
      <c r="G3" s="2">
        <f>+VLOOKUP(F3,'Haftalık Genel'!D:F,2,0)</f>
        <v>107.31026529651045</v>
      </c>
      <c r="H3" s="2">
        <f>+VLOOKUP(F3,'Haftalık Genel'!D:F,3,0)</f>
        <v>97.614342686377952</v>
      </c>
      <c r="J3" t="str">
        <f t="shared" ref="J3:J4" si="2">+LEFT(J4,2)-1&amp;". Hafta"</f>
        <v>38. Hafta</v>
      </c>
      <c r="K3" s="2">
        <f>+VLOOKUP(J3,'Haftalık Genel'!G:I,2,0)</f>
        <v>81.699856051031404</v>
      </c>
      <c r="L3" s="2">
        <f>+VLOOKUP(J3,'Haftalık Genel'!G:I,3,0)</f>
        <v>66.92144568191776</v>
      </c>
      <c r="N3" t="str">
        <f t="shared" ref="N3:N4" si="3">+LEFT(N4,2)-1&amp;". Hafta"</f>
        <v>38. Hafta</v>
      </c>
      <c r="O3" s="2">
        <f>+VLOOKUP(N3,'Haftalık Genel'!J:L,2,0)</f>
        <v>86.36515679442509</v>
      </c>
      <c r="P3" s="2">
        <f>+VLOOKUP(N3,'Haftalık Genel'!J:L,3,0)</f>
        <v>0</v>
      </c>
      <c r="R3" t="str">
        <f t="shared" ref="R3:R4" si="4">+LEFT(R4,2)-1&amp;". Hafta"</f>
        <v>38. Hafta</v>
      </c>
      <c r="S3" s="2">
        <f>+VLOOKUP(R3,'Haftalık Genel'!M:O,2,0)</f>
        <v>111.41793280547827</v>
      </c>
      <c r="T3" s="2">
        <f>+VLOOKUP(R3,'Haftalık Genel'!M:O,3,0)</f>
        <v>108.00085766358144</v>
      </c>
      <c r="V3" t="str">
        <f t="shared" ref="V3:V4" si="5">+LEFT(V4,2)-1&amp;". Hafta"</f>
        <v>38. Hafta</v>
      </c>
      <c r="W3" s="2">
        <f>+VLOOKUP(V3,'Haftalık Genel'!P:R,2,0)</f>
        <v>480.56878891343649</v>
      </c>
      <c r="X3" s="2">
        <f>+VLOOKUP(V3,'Haftalık Genel'!P:R,3,0)</f>
        <v>546.36960506582238</v>
      </c>
      <c r="Z3" t="str">
        <f t="shared" ref="Z3:Z4" si="6">+LEFT(Z4,2)-1&amp;". Hafta"</f>
        <v>38. Hafta</v>
      </c>
      <c r="AA3" s="2">
        <f>+VLOOKUP(Z3,'Haftalık Genel'!S:U,2,0)</f>
        <v>21.867793824116472</v>
      </c>
      <c r="AB3" s="2">
        <f>+VLOOKUP(Z3,'Haftalık Genel'!S:U,3,0)</f>
        <v>27.603798855473027</v>
      </c>
      <c r="AD3" t="str">
        <f t="shared" ref="AD3:AD4" si="7">+LEFT(AD4,2)-1&amp;". Hafta"</f>
        <v>38. Hafta</v>
      </c>
      <c r="AE3" s="2">
        <f>+VLOOKUP(AD3,'Haftalık Genel'!V:X,2,0)</f>
        <v>39.413136388044997</v>
      </c>
      <c r="AF3" s="2">
        <f>+VLOOKUP(AD3,'Haftalık Genel'!V:X,3,0)</f>
        <v>32.528689515842188</v>
      </c>
      <c r="AH3" t="str">
        <f t="shared" ref="AH3:AH4" si="8">+LEFT(AH4,2)-1&amp;". Hafta"</f>
        <v>38. Hafta</v>
      </c>
      <c r="AI3" s="2">
        <f>+VLOOKUP(AH3,'Haftalık Genel'!Y:AA,2,0)</f>
        <v>38.315720152614645</v>
      </c>
      <c r="AJ3" s="2">
        <f>+VLOOKUP(AH3,'Haftalık Genel'!Y:AA,3,0)</f>
        <v>30.667368063364613</v>
      </c>
    </row>
    <row r="4" spans="1:36">
      <c r="B4" t="str">
        <f t="shared" si="0"/>
        <v>39. Hafta</v>
      </c>
      <c r="C4" s="2">
        <f>+VLOOKUP(B4,'Haftalık Genel'!A:AA,2,0)</f>
        <v>424.3765972720746</v>
      </c>
      <c r="D4" s="2">
        <f>+VLOOKUP(B4,'Haftalık Genel'!A:C,3,0)</f>
        <v>321.65522454424183</v>
      </c>
      <c r="F4" t="str">
        <f t="shared" si="1"/>
        <v>39. Hafta</v>
      </c>
      <c r="G4" s="2">
        <f>+VLOOKUP(F4,'Haftalık Genel'!D:F,2,0)</f>
        <v>96.805890714003269</v>
      </c>
      <c r="H4" s="2">
        <f>+VLOOKUP(F4,'Haftalık Genel'!D:F,3,0)</f>
        <v>96.76720761187633</v>
      </c>
      <c r="J4" t="str">
        <f t="shared" si="2"/>
        <v>39. Hafta</v>
      </c>
      <c r="K4" s="2">
        <f>+VLOOKUP(J4,'Haftalık Genel'!G:I,2,0)</f>
        <v>85.44841128651619</v>
      </c>
      <c r="L4" s="2">
        <f>+VLOOKUP(J4,'Haftalık Genel'!G:I,3,0)</f>
        <v>65.801726401211965</v>
      </c>
      <c r="N4" t="str">
        <f t="shared" si="3"/>
        <v>39. Hafta</v>
      </c>
      <c r="O4" s="2">
        <f>+VLOOKUP(N4,'Haftalık Genel'!J:L,2,0)</f>
        <v>94.762915129151295</v>
      </c>
      <c r="P4" s="2">
        <f>+VLOOKUP(N4,'Haftalık Genel'!J:L,3,0)</f>
        <v>0</v>
      </c>
      <c r="R4" t="str">
        <f t="shared" si="4"/>
        <v>39. Hafta</v>
      </c>
      <c r="S4" s="2">
        <f>+VLOOKUP(R4,'Haftalık Genel'!M:O,2,0)</f>
        <v>119.22686230248307</v>
      </c>
      <c r="T4" s="2">
        <f>+VLOOKUP(R4,'Haftalık Genel'!M:O,3,0)</f>
        <v>134.53555465258026</v>
      </c>
      <c r="V4" t="str">
        <f t="shared" si="5"/>
        <v>39. Hafta</v>
      </c>
      <c r="W4" s="2">
        <f>+VLOOKUP(V4,'Haftalık Genel'!P:R,2,0)</f>
        <v>634.77028683500851</v>
      </c>
      <c r="X4" s="2">
        <f>+VLOOKUP(V4,'Haftalık Genel'!P:R,3,0)</f>
        <v>570.85644216358605</v>
      </c>
      <c r="Z4" t="str">
        <f t="shared" si="6"/>
        <v>39. Hafta</v>
      </c>
      <c r="AA4" s="2">
        <f>+VLOOKUP(Z4,'Haftalık Genel'!S:U,2,0)</f>
        <v>24.164460980549148</v>
      </c>
      <c r="AB4" s="2">
        <f>+VLOOKUP(Z4,'Haftalık Genel'!S:U,3,0)</f>
        <v>28.47743658210948</v>
      </c>
      <c r="AD4" t="str">
        <f t="shared" si="7"/>
        <v>39. Hafta</v>
      </c>
      <c r="AE4" s="2">
        <f>+VLOOKUP(AD4,'Haftalık Genel'!V:X,2,0)</f>
        <v>40.374145151703551</v>
      </c>
      <c r="AF4" s="2">
        <f>+VLOOKUP(AD4,'Haftalık Genel'!V:X,3,0)</f>
        <v>32.170976096265889</v>
      </c>
      <c r="AH4" t="str">
        <f t="shared" si="8"/>
        <v>39. Hafta</v>
      </c>
      <c r="AI4" s="2">
        <f>+VLOOKUP(AH4,'Haftalık Genel'!Y:AA,2,0)</f>
        <v>40.373022871471569</v>
      </c>
      <c r="AJ4" s="2">
        <f>+VLOOKUP(AH4,'Haftalık Genel'!Y:AA,3,0)</f>
        <v>29.906634085766989</v>
      </c>
    </row>
    <row r="5" spans="1:36">
      <c r="B5" t="str">
        <f>+LEFT(B6,2)-1&amp;". Hafta"</f>
        <v>40. Hafta</v>
      </c>
      <c r="C5" s="2">
        <f>+VLOOKUP(B5,'Haftalık Genel'!A:AA,2,0)</f>
        <v>409.74351786965661</v>
      </c>
      <c r="D5" s="2">
        <f>+VLOOKUP(B5,'Haftalık Genel'!A:C,3,0)</f>
        <v>315.77528983106987</v>
      </c>
      <c r="F5" t="str">
        <f>+LEFT(F6,2)-1&amp;". Hafta"</f>
        <v>40. Hafta</v>
      </c>
      <c r="G5" s="2">
        <f>+VLOOKUP(F5,'Haftalık Genel'!D:F,2,0)</f>
        <v>96.838528545687126</v>
      </c>
      <c r="H5" s="2">
        <f>+VLOOKUP(F5,'Haftalık Genel'!D:F,3,0)</f>
        <v>97.594337790097597</v>
      </c>
      <c r="J5" t="str">
        <f>+LEFT(J6,2)-1&amp;". Hafta"</f>
        <v>40. Hafta</v>
      </c>
      <c r="K5" s="2">
        <f>+VLOOKUP(J5,'Haftalık Genel'!G:I,2,0)</f>
        <v>79.268524753980842</v>
      </c>
      <c r="L5" s="2">
        <f>+VLOOKUP(J5,'Haftalık Genel'!G:I,3,0)</f>
        <v>63.75160654273148</v>
      </c>
      <c r="N5" t="str">
        <f>+LEFT(N6,2)-1&amp;". Hafta"</f>
        <v>40. Hafta</v>
      </c>
      <c r="O5" s="2">
        <f>+VLOOKUP(N5,'Haftalık Genel'!J:L,2,0)</f>
        <v>90.785971000123936</v>
      </c>
      <c r="P5" s="2">
        <f>+VLOOKUP(N5,'Haftalık Genel'!J:L,3,0)</f>
        <v>0</v>
      </c>
      <c r="R5" t="str">
        <f>+LEFT(R6,2)-1&amp;". Hafta"</f>
        <v>40. Hafta</v>
      </c>
      <c r="S5" s="2">
        <f>+VLOOKUP(R5,'Haftalık Genel'!M:O,2,0)</f>
        <v>126.67004767217773</v>
      </c>
      <c r="T5" s="2">
        <f>+VLOOKUP(R5,'Haftalık Genel'!M:O,3,0)</f>
        <v>142.93176815847394</v>
      </c>
      <c r="V5" t="str">
        <f>+LEFT(V6,2)-1&amp;". Hafta"</f>
        <v>40. Hafta</v>
      </c>
      <c r="W5" s="2">
        <f>+VLOOKUP(V5,'Haftalık Genel'!P:R,2,0)</f>
        <v>608.90476190476193</v>
      </c>
      <c r="X5" s="2">
        <f>+VLOOKUP(V5,'Haftalık Genel'!P:R,3,0)</f>
        <v>482.48328697159019</v>
      </c>
      <c r="Z5" t="str">
        <f>+LEFT(Z6,2)-1&amp;". Hafta"</f>
        <v>40. Hafta</v>
      </c>
      <c r="AA5" s="2">
        <f>+VLOOKUP(Z5,'Haftalık Genel'!S:U,2,0)</f>
        <v>27.512652986104722</v>
      </c>
      <c r="AB5" s="2">
        <f>+VLOOKUP(Z5,'Haftalık Genel'!S:U,3,0)</f>
        <v>23.672401206594952</v>
      </c>
      <c r="AD5" t="str">
        <f>+LEFT(AD6,2)-1&amp;". Hafta"</f>
        <v>40. Hafta</v>
      </c>
      <c r="AE5" s="2">
        <f>+VLOOKUP(AD5,'Haftalık Genel'!V:X,2,0)</f>
        <v>37.767192441415077</v>
      </c>
      <c r="AF5" s="2">
        <f>+VLOOKUP(AD5,'Haftalık Genel'!V:X,3,0)</f>
        <v>31.107469674398807</v>
      </c>
      <c r="AH5" t="str">
        <f>+LEFT(AH6,2)-1&amp;". Hafta"</f>
        <v>40. Hafta</v>
      </c>
      <c r="AI5" s="2">
        <f>+VLOOKUP(AH5,'Haftalık Genel'!Y:AA,2,0)</f>
        <v>38.094298521317569</v>
      </c>
      <c r="AJ5" s="2">
        <f>+VLOOKUP(AH5,'Haftalık Genel'!Y:AA,3,0)</f>
        <v>29.613395329690839</v>
      </c>
    </row>
    <row r="6" spans="1:36">
      <c r="B6" t="str">
        <f>+$A$2</f>
        <v>41. Hafta</v>
      </c>
      <c r="C6" s="2">
        <f>+VLOOKUP(B6,'Haftalık Genel'!A:AA,2,0)</f>
        <v>329.83949298582922</v>
      </c>
      <c r="D6" s="2">
        <f>+VLOOKUP(B6,'Haftalık Genel'!A:C,3,0)</f>
        <v>319.26420111191686</v>
      </c>
      <c r="F6" t="str">
        <f>+$A$2</f>
        <v>41. Hafta</v>
      </c>
      <c r="G6" s="2">
        <f>+VLOOKUP(F6,'Haftalık Genel'!D:F,2,0)</f>
        <v>94.680800331132104</v>
      </c>
      <c r="H6" s="2">
        <f>+VLOOKUP(F6,'Haftalık Genel'!D:F,3,0)</f>
        <v>85.523569874845137</v>
      </c>
      <c r="J6" t="str">
        <f>+$A$2</f>
        <v>41. Hafta</v>
      </c>
      <c r="K6" s="2">
        <f>+VLOOKUP(J6,'Haftalık Genel'!G:I,2,0)</f>
        <v>84.376960452448941</v>
      </c>
      <c r="L6" s="2">
        <f>+VLOOKUP(J6,'Haftalık Genel'!G:I,3,0)</f>
        <v>61.940007852154757</v>
      </c>
      <c r="N6" t="str">
        <f>+$A$2</f>
        <v>41. Hafta</v>
      </c>
      <c r="O6" s="2">
        <f>+VLOOKUP(N6,'Haftalık Genel'!J:L,2,0)</f>
        <v>96.985804049336735</v>
      </c>
      <c r="P6" s="2">
        <f>+VLOOKUP(N6,'Haftalık Genel'!J:L,3,0)</f>
        <v>0</v>
      </c>
      <c r="R6" t="str">
        <f>+$A$2</f>
        <v>41. Hafta</v>
      </c>
      <c r="S6" s="2">
        <f>+VLOOKUP(R6,'Haftalık Genel'!M:O,2,0)</f>
        <v>125.1719978066167</v>
      </c>
      <c r="T6" s="2">
        <f>+VLOOKUP(R6,'Haftalık Genel'!M:O,3,0)</f>
        <v>138.73299678751721</v>
      </c>
      <c r="V6" t="str">
        <f>+$A$2</f>
        <v>41. Hafta</v>
      </c>
      <c r="W6" s="2">
        <f>+VLOOKUP(V6,'Haftalık Genel'!P:R,2,0)</f>
        <v>657.14978065594323</v>
      </c>
      <c r="X6" s="2">
        <f>+VLOOKUP(V6,'Haftalık Genel'!P:R,3,0)</f>
        <v>487.82276189757897</v>
      </c>
      <c r="Z6" t="str">
        <f>+$A$2</f>
        <v>41. Hafta</v>
      </c>
      <c r="AA6" s="2">
        <f>+VLOOKUP(Z6,'Haftalık Genel'!S:U,2,0)</f>
        <v>25.296507777399896</v>
      </c>
      <c r="AB6" s="2">
        <f>+VLOOKUP(Z6,'Haftalık Genel'!S:U,3,0)</f>
        <v>23.377637947725074</v>
      </c>
      <c r="AD6" t="str">
        <f>+$A$2</f>
        <v>41. Hafta</v>
      </c>
      <c r="AE6" s="2">
        <f>+VLOOKUP(AD6,'Haftalık Genel'!V:X,2,0)</f>
        <v>37.30964439535304</v>
      </c>
      <c r="AF6" s="2">
        <f>+VLOOKUP(AD6,'Haftalık Genel'!V:X,3,0)</f>
        <v>28.82938185223238</v>
      </c>
      <c r="AH6" t="str">
        <f>+$A$2</f>
        <v>41. Hafta</v>
      </c>
      <c r="AI6" s="2">
        <f>+VLOOKUP(AH6,'Haftalık Genel'!Y:AA,2,0)</f>
        <v>37.296638633406758</v>
      </c>
      <c r="AJ6" s="2">
        <f>+VLOOKUP(AH6,'Haftalık Genel'!Y:AA,3,0)</f>
        <v>27.563674642733787</v>
      </c>
    </row>
    <row r="7" spans="1:36">
      <c r="W7" s="2"/>
      <c r="X7" s="2"/>
      <c r="AA7" s="2"/>
      <c r="AB7" s="2"/>
      <c r="AE7" s="2"/>
      <c r="AF7" s="2"/>
      <c r="AI7" s="2"/>
      <c r="AJ7" s="2"/>
    </row>
  </sheetData>
  <mergeCells count="9">
    <mergeCell ref="Z1:AB1"/>
    <mergeCell ref="AD1:AF1"/>
    <mergeCell ref="AH1:AJ1"/>
    <mergeCell ref="B1:D1"/>
    <mergeCell ref="F1:H1"/>
    <mergeCell ref="J1:L1"/>
    <mergeCell ref="N1:P1"/>
    <mergeCell ref="R1:T1"/>
    <mergeCell ref="V1:X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C366"/>
  <sheetViews>
    <sheetView showGridLines="0" topLeftCell="GK1" zoomScale="95" zoomScaleNormal="95" workbookViewId="0">
      <selection activeCell="GN8" sqref="GN8:GT8"/>
    </sheetView>
  </sheetViews>
  <sheetFormatPr defaultColWidth="8.88671875" defaultRowHeight="14.4"/>
  <cols>
    <col min="1" max="1" width="11.77734375" style="8" bestFit="1" customWidth="1"/>
    <col min="2" max="2" width="22.44140625" style="8" bestFit="1" customWidth="1"/>
    <col min="3" max="14" width="11.21875" style="8" customWidth="1"/>
    <col min="15" max="15" width="11.109375" style="8" customWidth="1"/>
    <col min="16" max="16" width="11" style="8" customWidth="1"/>
    <col min="17" max="17" width="11.44140625" style="8" customWidth="1"/>
    <col min="18" max="18" width="11.33203125" style="8" customWidth="1"/>
    <col min="19" max="19" width="12.33203125" style="8" customWidth="1"/>
    <col min="20" max="20" width="12" style="8" customWidth="1"/>
    <col min="21" max="21" width="11.44140625" style="8" customWidth="1"/>
    <col min="22" max="22" width="11.109375" style="8" customWidth="1"/>
    <col min="23" max="23" width="11" style="8" customWidth="1"/>
    <col min="24" max="24" width="11.44140625" style="8" customWidth="1"/>
    <col min="25" max="25" width="11.33203125" style="8" customWidth="1"/>
    <col min="26" max="26" width="12.33203125" style="8" customWidth="1"/>
    <col min="27" max="27" width="12" style="8" customWidth="1"/>
    <col min="28" max="28" width="11.44140625" style="8" customWidth="1"/>
    <col min="29" max="29" width="11.109375" style="8" customWidth="1"/>
    <col min="30" max="30" width="11" style="8" customWidth="1"/>
    <col min="31" max="31" width="11.44140625" style="8" customWidth="1"/>
    <col min="32" max="32" width="11.33203125" style="8" customWidth="1"/>
    <col min="33" max="33" width="12.33203125" style="8" customWidth="1"/>
    <col min="34" max="34" width="12" style="8" customWidth="1"/>
    <col min="35" max="35" width="11.44140625" style="8" customWidth="1"/>
    <col min="36" max="36" width="11.109375" style="8" customWidth="1"/>
    <col min="37" max="37" width="11" style="8" customWidth="1"/>
    <col min="38" max="38" width="11.44140625" style="8" customWidth="1"/>
    <col min="39" max="39" width="11.33203125" style="8" customWidth="1"/>
    <col min="40" max="40" width="12.33203125" style="8" customWidth="1"/>
    <col min="41" max="41" width="12" style="8" customWidth="1"/>
    <col min="42" max="42" width="11.44140625" style="8" customWidth="1"/>
    <col min="43" max="43" width="11.109375" style="8" customWidth="1"/>
    <col min="44" max="44" width="11" style="8" customWidth="1"/>
    <col min="45" max="45" width="11.44140625" style="8" customWidth="1"/>
    <col min="46" max="46" width="11.33203125" style="8" customWidth="1"/>
    <col min="47" max="47" width="12.33203125" style="8" customWidth="1"/>
    <col min="48" max="48" width="12" style="8" customWidth="1"/>
    <col min="49" max="49" width="11.44140625" style="8" customWidth="1"/>
    <col min="50" max="50" width="11.109375" style="8" customWidth="1"/>
    <col min="51" max="51" width="11" style="8" customWidth="1"/>
    <col min="52" max="52" width="11.44140625" style="8" customWidth="1"/>
    <col min="53" max="53" width="11.33203125" style="8" customWidth="1"/>
    <col min="54" max="54" width="12.33203125" style="8" customWidth="1"/>
    <col min="55" max="55" width="12" style="8" customWidth="1"/>
    <col min="56" max="56" width="11.44140625" style="8" customWidth="1"/>
    <col min="57" max="57" width="11.109375" style="8" customWidth="1"/>
    <col min="58" max="58" width="11" style="8" customWidth="1"/>
    <col min="59" max="59" width="11.44140625" style="8" customWidth="1"/>
    <col min="60" max="60" width="11.33203125" style="8" customWidth="1"/>
    <col min="61" max="61" width="12.33203125" style="8" customWidth="1"/>
    <col min="62" max="62" width="12" style="8" customWidth="1"/>
    <col min="63" max="63" width="11.44140625" style="8" customWidth="1"/>
    <col min="64" max="64" width="12.109375" style="8" customWidth="1"/>
    <col min="65" max="65" width="12" style="8" customWidth="1"/>
    <col min="66" max="66" width="12.44140625" style="8" customWidth="1"/>
    <col min="67" max="67" width="12.33203125" style="8" customWidth="1"/>
    <col min="68" max="68" width="13.44140625" style="8" customWidth="1"/>
    <col min="69" max="69" width="13.109375" style="8" customWidth="1"/>
    <col min="70" max="70" width="12.44140625" style="8" customWidth="1"/>
    <col min="71" max="71" width="12.109375" style="8" customWidth="1"/>
    <col min="72" max="72" width="12" style="8" customWidth="1"/>
    <col min="73" max="73" width="12.44140625" style="8" customWidth="1"/>
    <col min="74" max="74" width="12.33203125" style="8" customWidth="1"/>
    <col min="75" max="75" width="13.44140625" style="8" customWidth="1"/>
    <col min="76" max="76" width="13.109375" style="8" customWidth="1"/>
    <col min="77" max="77" width="12.44140625" style="8" customWidth="1"/>
    <col min="78" max="78" width="12.109375" style="8" customWidth="1"/>
    <col min="79" max="79" width="12" style="8" customWidth="1"/>
    <col min="80" max="80" width="12.44140625" style="8" customWidth="1"/>
    <col min="81" max="81" width="12.33203125" style="8" customWidth="1"/>
    <col min="82" max="82" width="13.44140625" style="8" customWidth="1"/>
    <col min="83" max="83" width="13.109375" style="8" customWidth="1"/>
    <col min="84" max="84" width="12.44140625" style="8" customWidth="1"/>
    <col min="85" max="85" width="12.109375" style="8" customWidth="1"/>
    <col min="86" max="86" width="12" style="8" customWidth="1"/>
    <col min="87" max="87" width="12.44140625" style="8" customWidth="1"/>
    <col min="88" max="88" width="12.33203125" style="8" customWidth="1"/>
    <col min="89" max="89" width="13.44140625" style="8" customWidth="1"/>
    <col min="90" max="90" width="13.109375" style="8" customWidth="1"/>
    <col min="91" max="91" width="12.44140625" style="8" customWidth="1"/>
    <col min="92" max="92" width="12.109375" style="8" customWidth="1"/>
    <col min="93" max="93" width="12" style="8" customWidth="1"/>
    <col min="94" max="94" width="12.44140625" style="8" customWidth="1"/>
    <col min="95" max="95" width="12.33203125" style="8" customWidth="1"/>
    <col min="96" max="96" width="13.44140625" style="8" customWidth="1"/>
    <col min="97" max="97" width="13.109375" style="8" customWidth="1"/>
    <col min="98" max="98" width="12.44140625" style="8" customWidth="1"/>
    <col min="99" max="99" width="12.109375" style="8" customWidth="1"/>
    <col min="100" max="100" width="12" style="8" customWidth="1"/>
    <col min="101" max="101" width="12.44140625" style="8" customWidth="1"/>
    <col min="102" max="102" width="12.33203125" style="8" customWidth="1"/>
    <col min="103" max="103" width="13.44140625" style="8" customWidth="1"/>
    <col min="104" max="104" width="13.109375" style="8" customWidth="1"/>
    <col min="105" max="105" width="12.44140625" style="8" customWidth="1"/>
    <col min="106" max="106" width="12.109375" style="8" customWidth="1"/>
    <col min="107" max="107" width="12" style="8" customWidth="1"/>
    <col min="108" max="108" width="12.44140625" style="8" customWidth="1"/>
    <col min="109" max="109" width="12.33203125" style="8" customWidth="1"/>
    <col min="110" max="110" width="13.44140625" style="8" customWidth="1"/>
    <col min="111" max="111" width="13.109375" style="8" customWidth="1"/>
    <col min="112" max="112" width="12.44140625" style="8" customWidth="1"/>
    <col min="113" max="113" width="12.109375" style="8" customWidth="1"/>
    <col min="114" max="114" width="12" style="8" customWidth="1"/>
    <col min="115" max="115" width="12.44140625" style="8" customWidth="1"/>
    <col min="116" max="116" width="12.33203125" style="8" customWidth="1"/>
    <col min="117" max="117" width="13.44140625" style="8" customWidth="1"/>
    <col min="118" max="118" width="13.109375" style="8" customWidth="1"/>
    <col min="119" max="119" width="12.44140625" style="8" customWidth="1"/>
    <col min="120" max="120" width="12.109375" style="8" customWidth="1"/>
    <col min="121" max="121" width="12" style="8" customWidth="1"/>
    <col min="122" max="122" width="12.44140625" style="8" customWidth="1"/>
    <col min="123" max="123" width="12.33203125" style="8" customWidth="1"/>
    <col min="124" max="124" width="13.44140625" style="8" customWidth="1"/>
    <col min="125" max="125" width="13.109375" style="8" customWidth="1"/>
    <col min="126" max="126" width="12.44140625" style="8" customWidth="1"/>
    <col min="127" max="127" width="12.109375" style="8" customWidth="1"/>
    <col min="128" max="128" width="12" style="8" customWidth="1"/>
    <col min="129" max="129" width="12.44140625" style="8" customWidth="1"/>
    <col min="130" max="130" width="12.33203125" style="8" customWidth="1"/>
    <col min="131" max="131" width="13.44140625" style="8" customWidth="1"/>
    <col min="132" max="132" width="13.109375" style="8" customWidth="1"/>
    <col min="133" max="133" width="12.44140625" style="8" customWidth="1"/>
    <col min="134" max="134" width="12.109375" style="8" customWidth="1"/>
    <col min="135" max="135" width="12" style="8" customWidth="1"/>
    <col min="136" max="136" width="12.44140625" style="8" customWidth="1"/>
    <col min="137" max="137" width="12.33203125" style="8" customWidth="1"/>
    <col min="138" max="138" width="13.44140625" style="8" customWidth="1"/>
    <col min="139" max="139" width="13.109375" style="8" customWidth="1"/>
    <col min="140" max="140" width="12.44140625" style="8" customWidth="1"/>
    <col min="141" max="141" width="12.109375" style="8" customWidth="1"/>
    <col min="142" max="142" width="12" style="8" customWidth="1"/>
    <col min="143" max="143" width="12.44140625" style="8" customWidth="1"/>
    <col min="144" max="144" width="12.33203125" style="8" customWidth="1"/>
    <col min="145" max="145" width="13.44140625" style="8" customWidth="1"/>
    <col min="146" max="146" width="13.109375" style="8" customWidth="1"/>
    <col min="147" max="147" width="12.44140625" style="8" customWidth="1"/>
    <col min="148" max="148" width="12.109375" style="8" customWidth="1"/>
    <col min="149" max="149" width="12" style="8" customWidth="1"/>
    <col min="150" max="150" width="12.44140625" style="8" customWidth="1"/>
    <col min="151" max="151" width="12.33203125" style="8" customWidth="1"/>
    <col min="152" max="152" width="13.44140625" style="8" customWidth="1"/>
    <col min="153" max="153" width="13.109375" style="8" customWidth="1"/>
    <col min="154" max="154" width="12.44140625" style="8" customWidth="1"/>
    <col min="155" max="155" width="12.109375" style="8" customWidth="1"/>
    <col min="156" max="156" width="12" style="8" customWidth="1"/>
    <col min="157" max="157" width="12.44140625" style="8" customWidth="1"/>
    <col min="158" max="158" width="12.33203125" style="8" customWidth="1"/>
    <col min="159" max="159" width="13.44140625" style="8" customWidth="1"/>
    <col min="160" max="160" width="13.109375" style="8" customWidth="1"/>
    <col min="161" max="161" width="12.44140625" style="8" customWidth="1"/>
    <col min="162" max="162" width="12.109375" style="8" customWidth="1"/>
    <col min="163" max="163" width="12" style="8" customWidth="1"/>
    <col min="164" max="164" width="12.44140625" style="8" customWidth="1"/>
    <col min="165" max="165" width="12.33203125" style="8" customWidth="1"/>
    <col min="166" max="166" width="13.44140625" style="8" customWidth="1"/>
    <col min="167" max="167" width="13.109375" style="8" customWidth="1"/>
    <col min="168" max="168" width="12.44140625" style="8" customWidth="1"/>
    <col min="169" max="169" width="12.109375" style="8" customWidth="1"/>
    <col min="170" max="170" width="12" style="8" customWidth="1"/>
    <col min="171" max="171" width="12.44140625" style="8" customWidth="1"/>
    <col min="172" max="172" width="12.33203125" style="8" customWidth="1"/>
    <col min="173" max="173" width="13.44140625" style="8" customWidth="1"/>
    <col min="174" max="174" width="13.109375" style="8" customWidth="1"/>
    <col min="175" max="175" width="12.44140625" style="8" customWidth="1"/>
    <col min="176" max="176" width="12.109375" style="8" customWidth="1"/>
    <col min="177" max="177" width="12" style="8" customWidth="1"/>
    <col min="178" max="178" width="12.44140625" style="8" customWidth="1"/>
    <col min="179" max="179" width="12.33203125" style="8" customWidth="1"/>
    <col min="180" max="180" width="13.44140625" style="8" customWidth="1"/>
    <col min="181" max="181" width="13.109375" style="8" customWidth="1"/>
    <col min="182" max="182" width="12.44140625" style="8" customWidth="1"/>
    <col min="183" max="183" width="12.109375" style="8" customWidth="1"/>
    <col min="184" max="184" width="12" style="8" customWidth="1"/>
    <col min="185" max="185" width="12.44140625" style="8" customWidth="1"/>
    <col min="186" max="186" width="12.33203125" style="8" customWidth="1"/>
    <col min="187" max="187" width="13.44140625" style="8" customWidth="1"/>
    <col min="188" max="188" width="13.109375" style="8" customWidth="1"/>
    <col min="189" max="189" width="12.44140625" style="8" customWidth="1"/>
    <col min="190" max="190" width="12.109375" style="8" customWidth="1"/>
    <col min="191" max="191" width="12" style="8" customWidth="1"/>
    <col min="192" max="192" width="12.44140625" style="8" customWidth="1"/>
    <col min="193" max="193" width="12.33203125" style="8" customWidth="1"/>
    <col min="194" max="194" width="13.44140625" style="8" customWidth="1"/>
    <col min="195" max="195" width="13.109375" style="8" customWidth="1"/>
    <col min="196" max="196" width="12.44140625" style="8" customWidth="1"/>
    <col min="197" max="197" width="12.109375" style="8" customWidth="1"/>
    <col min="198" max="198" width="12" style="8" customWidth="1"/>
    <col min="199" max="199" width="12.44140625" style="8" customWidth="1"/>
    <col min="200" max="200" width="12.33203125" style="8" customWidth="1"/>
    <col min="201" max="201" width="13.44140625" style="8" customWidth="1"/>
    <col min="202" max="202" width="13.109375" style="8" customWidth="1"/>
    <col min="203" max="203" width="12.44140625" style="8" customWidth="1"/>
    <col min="204" max="204" width="12.109375" style="8" customWidth="1"/>
    <col min="205" max="205" width="12" style="8" customWidth="1"/>
    <col min="206" max="206" width="12.44140625" style="8" customWidth="1"/>
    <col min="207" max="207" width="12.33203125" style="8" customWidth="1"/>
    <col min="208" max="208" width="13.44140625" style="8" customWidth="1"/>
    <col min="209" max="209" width="13.109375" style="8" customWidth="1"/>
    <col min="210" max="210" width="12.44140625" style="8" customWidth="1"/>
    <col min="211" max="211" width="12.109375" style="8" customWidth="1"/>
    <col min="212" max="212" width="12" style="8" customWidth="1"/>
    <col min="213" max="213" width="12.44140625" style="8" customWidth="1"/>
    <col min="214" max="214" width="12.33203125" style="8" customWidth="1"/>
    <col min="215" max="215" width="13.44140625" style="8" customWidth="1"/>
    <col min="216" max="216" width="13.109375" style="8" customWidth="1"/>
    <col min="217" max="217" width="12.44140625" style="8" customWidth="1"/>
    <col min="218" max="218" width="12.109375" style="8" customWidth="1"/>
    <col min="219" max="219" width="12" style="8" customWidth="1"/>
    <col min="220" max="220" width="12.44140625" style="8" customWidth="1"/>
    <col min="221" max="221" width="12.33203125" style="8" customWidth="1"/>
    <col min="222" max="222" width="13.44140625" style="8" customWidth="1"/>
    <col min="223" max="223" width="13.109375" style="8" customWidth="1"/>
    <col min="224" max="224" width="12.44140625" style="8" customWidth="1"/>
    <col min="225" max="225" width="12.109375" style="8" customWidth="1"/>
    <col min="226" max="226" width="12" style="8" customWidth="1"/>
    <col min="227" max="227" width="12.44140625" style="8" customWidth="1"/>
    <col min="228" max="228" width="12.33203125" style="8" customWidth="1"/>
    <col min="229" max="229" width="13.44140625" style="8" customWidth="1"/>
    <col min="230" max="230" width="13.109375" style="8" customWidth="1"/>
    <col min="231" max="231" width="12.44140625" style="8" customWidth="1"/>
    <col min="232" max="232" width="12.109375" style="8" customWidth="1"/>
    <col min="233" max="233" width="12" style="8" customWidth="1"/>
    <col min="234" max="234" width="12.44140625" style="8" customWidth="1"/>
    <col min="235" max="235" width="12.33203125" style="8" customWidth="1"/>
    <col min="236" max="236" width="13.44140625" style="8" customWidth="1"/>
    <col min="237" max="237" width="13.109375" style="8" customWidth="1"/>
    <col min="238" max="238" width="12.44140625" style="8" customWidth="1"/>
    <col min="239" max="239" width="12.109375" style="8" customWidth="1"/>
    <col min="240" max="240" width="12" style="8" customWidth="1"/>
    <col min="241" max="241" width="12.44140625" style="8" customWidth="1"/>
    <col min="242" max="242" width="12.33203125" style="8" customWidth="1"/>
    <col min="243" max="243" width="13.44140625" style="8" customWidth="1"/>
    <col min="244" max="244" width="13.109375" style="8" customWidth="1"/>
    <col min="245" max="245" width="12.44140625" style="8" customWidth="1"/>
    <col min="246" max="246" width="12.109375" style="8" customWidth="1"/>
    <col min="247" max="247" width="12" style="8" customWidth="1"/>
    <col min="248" max="248" width="12.44140625" style="8" customWidth="1"/>
    <col min="249" max="249" width="12.33203125" style="8" customWidth="1"/>
    <col min="250" max="250" width="13.44140625" style="8" customWidth="1"/>
    <col min="251" max="251" width="13.109375" style="8" customWidth="1"/>
    <col min="252" max="252" width="12.44140625" style="8" customWidth="1"/>
    <col min="253" max="253" width="12.109375" style="8" customWidth="1"/>
    <col min="254" max="254" width="12" style="8" customWidth="1"/>
    <col min="255" max="255" width="12.44140625" style="8" customWidth="1"/>
    <col min="256" max="256" width="12.33203125" style="8" customWidth="1"/>
    <col min="257" max="257" width="13.44140625" style="8" customWidth="1"/>
    <col min="258" max="258" width="13.109375" style="8" customWidth="1"/>
    <col min="259" max="259" width="12.44140625" style="8" customWidth="1"/>
    <col min="260" max="260" width="12.109375" style="8" customWidth="1"/>
    <col min="261" max="261" width="12" style="8" customWidth="1"/>
    <col min="262" max="262" width="12.44140625" style="8" customWidth="1"/>
    <col min="263" max="263" width="12.33203125" style="8" customWidth="1"/>
    <col min="264" max="264" width="13.44140625" style="8" customWidth="1"/>
    <col min="265" max="265" width="13.109375" style="8" customWidth="1"/>
    <col min="266" max="266" width="12.44140625" style="8" customWidth="1"/>
    <col min="267" max="267" width="12.109375" style="8" customWidth="1"/>
    <col min="268" max="268" width="12" style="8" customWidth="1"/>
    <col min="269" max="269" width="12.44140625" style="8" customWidth="1"/>
    <col min="270" max="270" width="12.33203125" style="8" customWidth="1"/>
    <col min="271" max="271" width="13.44140625" style="8" customWidth="1"/>
    <col min="272" max="272" width="13.109375" style="8" customWidth="1"/>
    <col min="273" max="273" width="12.44140625" style="8" customWidth="1"/>
    <col min="274" max="274" width="12.109375" style="8" customWidth="1"/>
    <col min="275" max="275" width="12" style="8" customWidth="1"/>
    <col min="276" max="276" width="12.44140625" style="8" customWidth="1"/>
    <col min="277" max="277" width="12.33203125" style="8" customWidth="1"/>
    <col min="278" max="278" width="13.44140625" style="8" customWidth="1"/>
    <col min="279" max="279" width="13.109375" style="8" customWidth="1"/>
    <col min="280" max="280" width="12.44140625" style="8" customWidth="1"/>
    <col min="281" max="281" width="12.109375" style="8" customWidth="1"/>
    <col min="282" max="282" width="12" style="8" customWidth="1"/>
    <col min="283" max="283" width="12.44140625" style="8" customWidth="1"/>
    <col min="284" max="284" width="12.33203125" style="8" customWidth="1"/>
    <col min="285" max="285" width="13.44140625" style="8" customWidth="1"/>
    <col min="286" max="286" width="13.109375" style="8" customWidth="1"/>
    <col min="287" max="287" width="12.44140625" style="8" customWidth="1"/>
    <col min="288" max="288" width="12.109375" style="8" customWidth="1"/>
    <col min="289" max="289" width="12" style="8" customWidth="1"/>
    <col min="290" max="290" width="12.44140625" style="8" customWidth="1"/>
    <col min="291" max="291" width="12.33203125" style="8" customWidth="1"/>
    <col min="292" max="292" width="13.44140625" style="8" customWidth="1"/>
    <col min="293" max="293" width="13.109375" style="8" customWidth="1"/>
    <col min="294" max="294" width="12.44140625" style="8" customWidth="1"/>
    <col min="295" max="295" width="12.109375" style="8" customWidth="1"/>
    <col min="296" max="296" width="12" style="8" customWidth="1"/>
    <col min="297" max="297" width="12.44140625" style="8" customWidth="1"/>
    <col min="298" max="298" width="12.33203125" style="8" customWidth="1"/>
    <col min="299" max="299" width="13.44140625" style="8" customWidth="1"/>
    <col min="300" max="300" width="13.109375" style="8" customWidth="1"/>
    <col min="301" max="301" width="12.44140625" style="8" customWidth="1"/>
    <col min="302" max="302" width="12.109375" style="8" customWidth="1"/>
    <col min="303" max="303" width="12" style="8" customWidth="1"/>
    <col min="304" max="304" width="12.44140625" style="8" customWidth="1"/>
    <col min="305" max="305" width="12.33203125" style="8" customWidth="1"/>
    <col min="306" max="306" width="13.44140625" style="8" customWidth="1"/>
    <col min="307" max="307" width="13.109375" style="8" customWidth="1"/>
    <col min="308" max="308" width="12.44140625" style="8" customWidth="1"/>
    <col min="309" max="309" width="12.109375" style="8" customWidth="1"/>
    <col min="310" max="310" width="12" style="8" customWidth="1"/>
    <col min="311" max="311" width="12.44140625" style="8" customWidth="1"/>
    <col min="312" max="312" width="12.33203125" style="8" customWidth="1"/>
    <col min="313" max="313" width="13.44140625" style="8" customWidth="1"/>
    <col min="314" max="314" width="13.109375" style="8" customWidth="1"/>
    <col min="315" max="315" width="12.44140625" style="8" customWidth="1"/>
    <col min="316" max="316" width="12.109375" style="8" customWidth="1"/>
    <col min="317" max="317" width="12" style="8" customWidth="1"/>
    <col min="318" max="318" width="12.44140625" style="8" customWidth="1"/>
    <col min="319" max="319" width="12.33203125" style="8" customWidth="1"/>
    <col min="320" max="320" width="13.44140625" style="8" customWidth="1"/>
    <col min="321" max="321" width="13.109375" style="8" customWidth="1"/>
    <col min="322" max="322" width="12.44140625" style="8" customWidth="1"/>
    <col min="323" max="323" width="12.109375" style="8" customWidth="1"/>
    <col min="324" max="324" width="12" style="8" customWidth="1"/>
    <col min="325" max="325" width="12.44140625" style="8" customWidth="1"/>
    <col min="326" max="326" width="12.33203125" style="8" customWidth="1"/>
    <col min="327" max="327" width="13.44140625" style="8" customWidth="1"/>
    <col min="328" max="328" width="13.109375" style="8" customWidth="1"/>
    <col min="329" max="329" width="12.44140625" style="8" customWidth="1"/>
    <col min="330" max="330" width="12.109375" style="8" customWidth="1"/>
    <col min="331" max="331" width="12" style="8" customWidth="1"/>
    <col min="332" max="332" width="12.44140625" style="8" customWidth="1"/>
    <col min="333" max="333" width="12.33203125" style="8" customWidth="1"/>
    <col min="334" max="334" width="13.44140625" style="8" customWidth="1"/>
    <col min="335" max="335" width="13.109375" style="8" customWidth="1"/>
    <col min="336" max="336" width="12.44140625" style="8" customWidth="1"/>
    <col min="337" max="337" width="12.109375" style="8" customWidth="1"/>
    <col min="338" max="338" width="12" style="8" customWidth="1"/>
    <col min="339" max="339" width="12.44140625" style="8" customWidth="1"/>
    <col min="340" max="340" width="12.33203125" style="8" customWidth="1"/>
    <col min="341" max="341" width="13.44140625" style="8" customWidth="1"/>
    <col min="342" max="342" width="13.109375" style="8" customWidth="1"/>
    <col min="343" max="343" width="12.44140625" style="8" customWidth="1"/>
    <col min="344" max="344" width="12.109375" style="8" bestFit="1" customWidth="1"/>
    <col min="345" max="345" width="12" style="8" bestFit="1" customWidth="1"/>
    <col min="346" max="346" width="12.44140625" style="8" bestFit="1" customWidth="1"/>
    <col min="347" max="347" width="12.33203125" style="8" bestFit="1" customWidth="1"/>
    <col min="348" max="348" width="13.44140625" style="8" bestFit="1" customWidth="1"/>
    <col min="349" max="349" width="13.109375" style="8" bestFit="1" customWidth="1"/>
    <col min="350" max="350" width="12.44140625" style="8" bestFit="1" customWidth="1"/>
    <col min="351" max="351" width="12.109375" style="8" bestFit="1" customWidth="1"/>
    <col min="352" max="352" width="12" style="8" bestFit="1" customWidth="1"/>
    <col min="353" max="353" width="12.44140625" style="8" bestFit="1" customWidth="1"/>
    <col min="354" max="354" width="12.33203125" style="8" bestFit="1" customWidth="1"/>
    <col min="355" max="355" width="13.44140625" style="8" bestFit="1" customWidth="1"/>
    <col min="356" max="356" width="13.109375" style="8" bestFit="1" customWidth="1"/>
    <col min="357" max="357" width="12.44140625" style="8" bestFit="1" customWidth="1"/>
    <col min="358" max="358" width="12.109375" style="8" bestFit="1" customWidth="1"/>
    <col min="359" max="359" width="12" style="8" bestFit="1" customWidth="1"/>
    <col min="360" max="360" width="12.44140625" style="8" bestFit="1" customWidth="1"/>
    <col min="361" max="361" width="12.33203125" style="8" bestFit="1" customWidth="1"/>
    <col min="362" max="362" width="13.44140625" style="8" bestFit="1" customWidth="1"/>
    <col min="363" max="363" width="13.109375" style="8" bestFit="1" customWidth="1"/>
    <col min="364" max="364" width="12.44140625" style="8" bestFit="1" customWidth="1"/>
    <col min="365" max="365" width="11.21875" style="8" bestFit="1" customWidth="1"/>
    <col min="366" max="367" width="11.5546875" style="8" bestFit="1" customWidth="1"/>
    <col min="368" max="368" width="8.88671875" style="8"/>
    <col min="369" max="370" width="11.5546875" style="8" bestFit="1" customWidth="1"/>
    <col min="371" max="16384" width="8.88671875" style="8"/>
  </cols>
  <sheetData>
    <row r="1" spans="1:367">
      <c r="A1" s="10" t="s">
        <v>57</v>
      </c>
      <c r="B1" s="10" t="s">
        <v>56</v>
      </c>
      <c r="C1" s="11">
        <v>45658</v>
      </c>
      <c r="D1" s="11">
        <v>45659</v>
      </c>
      <c r="E1" s="11">
        <v>45660</v>
      </c>
      <c r="F1" s="11">
        <v>45661</v>
      </c>
      <c r="G1" s="11">
        <v>45662</v>
      </c>
      <c r="H1" s="11">
        <v>45663</v>
      </c>
      <c r="I1" s="11">
        <v>45664</v>
      </c>
      <c r="J1" s="11">
        <v>45665</v>
      </c>
      <c r="K1" s="11">
        <v>45666</v>
      </c>
      <c r="L1" s="11">
        <v>45667</v>
      </c>
      <c r="M1" s="11">
        <v>45668</v>
      </c>
      <c r="N1" s="11">
        <v>45669</v>
      </c>
      <c r="O1" s="11">
        <v>45670</v>
      </c>
      <c r="P1" s="11">
        <v>45671</v>
      </c>
      <c r="Q1" s="11">
        <v>45672</v>
      </c>
      <c r="R1" s="11">
        <v>45673</v>
      </c>
      <c r="S1" s="11">
        <v>45674</v>
      </c>
      <c r="T1" s="11">
        <v>45675</v>
      </c>
      <c r="U1" s="11">
        <v>45676</v>
      </c>
      <c r="V1" s="11">
        <v>45677</v>
      </c>
      <c r="W1" s="11">
        <v>45678</v>
      </c>
      <c r="X1" s="11">
        <v>45679</v>
      </c>
      <c r="Y1" s="11">
        <v>45680</v>
      </c>
      <c r="Z1" s="11">
        <v>45681</v>
      </c>
      <c r="AA1" s="11">
        <v>45682</v>
      </c>
      <c r="AB1" s="11">
        <v>45683</v>
      </c>
      <c r="AC1" s="11">
        <v>45684</v>
      </c>
      <c r="AD1" s="11">
        <v>45685</v>
      </c>
      <c r="AE1" s="11">
        <v>45686</v>
      </c>
      <c r="AF1" s="11">
        <v>45687</v>
      </c>
      <c r="AG1" s="11">
        <v>45688</v>
      </c>
      <c r="AH1" s="11">
        <v>45689</v>
      </c>
      <c r="AI1" s="11">
        <v>45690</v>
      </c>
      <c r="AJ1" s="11">
        <v>45691</v>
      </c>
      <c r="AK1" s="11">
        <v>45692</v>
      </c>
      <c r="AL1" s="11">
        <v>45693</v>
      </c>
      <c r="AM1" s="11">
        <v>45694</v>
      </c>
      <c r="AN1" s="11">
        <v>45695</v>
      </c>
      <c r="AO1" s="11">
        <v>45696</v>
      </c>
      <c r="AP1" s="11">
        <v>45697</v>
      </c>
      <c r="AQ1" s="11">
        <v>45698</v>
      </c>
      <c r="AR1" s="11">
        <v>45699</v>
      </c>
      <c r="AS1" s="11">
        <v>45700</v>
      </c>
      <c r="AT1" s="11">
        <v>45701</v>
      </c>
      <c r="AU1" s="11">
        <v>45702</v>
      </c>
      <c r="AV1" s="11">
        <v>45703</v>
      </c>
      <c r="AW1" s="11">
        <v>45704</v>
      </c>
      <c r="AX1" s="11">
        <v>45705</v>
      </c>
      <c r="AY1" s="11">
        <v>45706</v>
      </c>
      <c r="AZ1" s="11">
        <v>45707</v>
      </c>
      <c r="BA1" s="11">
        <v>45708</v>
      </c>
      <c r="BB1" s="11">
        <v>45709</v>
      </c>
      <c r="BC1" s="11">
        <v>45710</v>
      </c>
      <c r="BD1" s="11">
        <v>45711</v>
      </c>
      <c r="BE1" s="11">
        <v>45712</v>
      </c>
      <c r="BF1" s="11">
        <v>45713</v>
      </c>
      <c r="BG1" s="11">
        <v>45714</v>
      </c>
      <c r="BH1" s="11">
        <v>45715</v>
      </c>
      <c r="BI1" s="11">
        <v>45716</v>
      </c>
      <c r="BJ1" s="11">
        <v>45717</v>
      </c>
      <c r="BK1" s="11">
        <v>45718</v>
      </c>
      <c r="BL1" s="11">
        <v>45719</v>
      </c>
      <c r="BM1" s="11">
        <v>45720</v>
      </c>
      <c r="BN1" s="11">
        <v>45721</v>
      </c>
      <c r="BO1" s="11">
        <v>45722</v>
      </c>
      <c r="BP1" s="11">
        <v>45723</v>
      </c>
      <c r="BQ1" s="11">
        <v>45724</v>
      </c>
      <c r="BR1" s="11">
        <v>45725</v>
      </c>
      <c r="BS1" s="11">
        <v>45726</v>
      </c>
      <c r="BT1" s="11">
        <v>45727</v>
      </c>
      <c r="BU1" s="11">
        <v>45728</v>
      </c>
      <c r="BV1" s="11">
        <v>45729</v>
      </c>
      <c r="BW1" s="11">
        <v>45730</v>
      </c>
      <c r="BX1" s="11">
        <v>45731</v>
      </c>
      <c r="BY1" s="11">
        <v>45732</v>
      </c>
      <c r="BZ1" s="11">
        <v>45733</v>
      </c>
      <c r="CA1" s="11">
        <v>45734</v>
      </c>
      <c r="CB1" s="11">
        <v>45735</v>
      </c>
      <c r="CC1" s="11">
        <v>45736</v>
      </c>
      <c r="CD1" s="11">
        <v>45737</v>
      </c>
      <c r="CE1" s="11">
        <v>45738</v>
      </c>
      <c r="CF1" s="11">
        <v>45739</v>
      </c>
      <c r="CG1" s="11">
        <v>45740</v>
      </c>
      <c r="CH1" s="11">
        <v>45741</v>
      </c>
      <c r="CI1" s="11">
        <v>45742</v>
      </c>
      <c r="CJ1" s="11">
        <v>45743</v>
      </c>
      <c r="CK1" s="11">
        <v>45744</v>
      </c>
      <c r="CL1" s="11">
        <v>45745</v>
      </c>
      <c r="CM1" s="11">
        <v>45746</v>
      </c>
      <c r="CN1" s="11">
        <v>45747</v>
      </c>
      <c r="CO1" s="11">
        <v>45748</v>
      </c>
      <c r="CP1" s="11">
        <v>45749</v>
      </c>
      <c r="CQ1" s="11">
        <v>45750</v>
      </c>
      <c r="CR1" s="11">
        <v>45751</v>
      </c>
      <c r="CS1" s="11">
        <v>45752</v>
      </c>
      <c r="CT1" s="11">
        <v>45753</v>
      </c>
      <c r="CU1" s="11">
        <v>45754</v>
      </c>
      <c r="CV1" s="11">
        <v>45755</v>
      </c>
      <c r="CW1" s="11">
        <v>45756</v>
      </c>
      <c r="CX1" s="11">
        <v>45757</v>
      </c>
      <c r="CY1" s="11">
        <v>45758</v>
      </c>
      <c r="CZ1" s="11">
        <v>45759</v>
      </c>
      <c r="DA1" s="11">
        <v>45760</v>
      </c>
      <c r="DB1" s="11">
        <v>45761</v>
      </c>
      <c r="DC1" s="11">
        <v>45762</v>
      </c>
      <c r="DD1" s="11">
        <v>45763</v>
      </c>
      <c r="DE1" s="11">
        <v>45764</v>
      </c>
      <c r="DF1" s="11">
        <v>45765</v>
      </c>
      <c r="DG1" s="11">
        <v>45766</v>
      </c>
      <c r="DH1" s="11">
        <v>45767</v>
      </c>
      <c r="DI1" s="11">
        <v>45768</v>
      </c>
      <c r="DJ1" s="11">
        <v>45769</v>
      </c>
      <c r="DK1" s="11">
        <v>45770</v>
      </c>
      <c r="DL1" s="11">
        <v>45771</v>
      </c>
      <c r="DM1" s="11">
        <v>45772</v>
      </c>
      <c r="DN1" s="11">
        <v>45773</v>
      </c>
      <c r="DO1" s="11">
        <v>45774</v>
      </c>
      <c r="DP1" s="11">
        <v>45775</v>
      </c>
      <c r="DQ1" s="11">
        <v>45776</v>
      </c>
      <c r="DR1" s="11">
        <v>45777</v>
      </c>
      <c r="DS1" s="11">
        <v>45778</v>
      </c>
      <c r="DT1" s="11">
        <v>45779</v>
      </c>
      <c r="DU1" s="11">
        <v>45780</v>
      </c>
      <c r="DV1" s="11">
        <v>45781</v>
      </c>
      <c r="DW1" s="11">
        <v>45782</v>
      </c>
      <c r="DX1" s="11">
        <v>45783</v>
      </c>
      <c r="DY1" s="11">
        <v>45784</v>
      </c>
      <c r="DZ1" s="11">
        <v>45785</v>
      </c>
      <c r="EA1" s="11">
        <v>45786</v>
      </c>
      <c r="EB1" s="11">
        <v>45787</v>
      </c>
      <c r="EC1" s="11">
        <v>45788</v>
      </c>
      <c r="ED1" s="11">
        <v>45789</v>
      </c>
      <c r="EE1" s="11">
        <v>45790</v>
      </c>
      <c r="EF1" s="11">
        <v>45791</v>
      </c>
      <c r="EG1" s="11">
        <v>45792</v>
      </c>
      <c r="EH1" s="11">
        <v>45793</v>
      </c>
      <c r="EI1" s="11">
        <v>45794</v>
      </c>
      <c r="EJ1" s="11">
        <v>45795</v>
      </c>
      <c r="EK1" s="11">
        <v>45796</v>
      </c>
      <c r="EL1" s="11">
        <v>45797</v>
      </c>
      <c r="EM1" s="11">
        <v>45798</v>
      </c>
      <c r="EN1" s="11">
        <v>45799</v>
      </c>
      <c r="EO1" s="11">
        <v>45800</v>
      </c>
      <c r="EP1" s="11">
        <v>45801</v>
      </c>
      <c r="EQ1" s="11">
        <v>45802</v>
      </c>
      <c r="ER1" s="11">
        <v>45803</v>
      </c>
      <c r="ES1" s="11">
        <v>45804</v>
      </c>
      <c r="ET1" s="11">
        <v>45805</v>
      </c>
      <c r="EU1" s="11">
        <v>45806</v>
      </c>
      <c r="EV1" s="11">
        <v>45807</v>
      </c>
      <c r="EW1" s="11">
        <v>45808</v>
      </c>
      <c r="EX1" s="11">
        <v>45809</v>
      </c>
      <c r="EY1" s="11">
        <v>45810</v>
      </c>
      <c r="EZ1" s="11">
        <v>45811</v>
      </c>
      <c r="FA1" s="11">
        <v>45812</v>
      </c>
      <c r="FB1" s="11">
        <v>45813</v>
      </c>
      <c r="FC1" s="11">
        <v>45814</v>
      </c>
      <c r="FD1" s="11">
        <v>45815</v>
      </c>
      <c r="FE1" s="11">
        <v>45816</v>
      </c>
      <c r="FF1" s="11">
        <v>45817</v>
      </c>
      <c r="FG1" s="11">
        <v>45818</v>
      </c>
      <c r="FH1" s="11">
        <v>45819</v>
      </c>
      <c r="FI1" s="11">
        <v>45820</v>
      </c>
      <c r="FJ1" s="11">
        <v>45821</v>
      </c>
      <c r="FK1" s="11">
        <v>45822</v>
      </c>
      <c r="FL1" s="11">
        <v>45823</v>
      </c>
      <c r="FM1" s="11">
        <v>45824</v>
      </c>
      <c r="FN1" s="11">
        <v>45825</v>
      </c>
      <c r="FO1" s="11">
        <v>45826</v>
      </c>
      <c r="FP1" s="11">
        <v>45827</v>
      </c>
      <c r="FQ1" s="11">
        <v>45828</v>
      </c>
      <c r="FR1" s="11">
        <v>45829</v>
      </c>
      <c r="FS1" s="11">
        <v>45830</v>
      </c>
      <c r="FT1" s="11">
        <v>45831</v>
      </c>
      <c r="FU1" s="11">
        <v>45832</v>
      </c>
      <c r="FV1" s="11">
        <v>45833</v>
      </c>
      <c r="FW1" s="11">
        <v>45834</v>
      </c>
      <c r="FX1" s="11">
        <v>45835</v>
      </c>
      <c r="FY1" s="11">
        <v>45836</v>
      </c>
      <c r="FZ1" s="11">
        <v>45837</v>
      </c>
      <c r="GA1" s="11">
        <v>45838</v>
      </c>
      <c r="GB1" s="11">
        <v>45839</v>
      </c>
      <c r="GC1" s="11">
        <v>45840</v>
      </c>
      <c r="GD1" s="11">
        <v>45841</v>
      </c>
      <c r="GE1" s="11">
        <v>45842</v>
      </c>
      <c r="GF1" s="11">
        <v>45843</v>
      </c>
      <c r="GG1" s="11">
        <v>45844</v>
      </c>
      <c r="GH1" s="11">
        <v>45845</v>
      </c>
      <c r="GI1" s="11">
        <v>45846</v>
      </c>
      <c r="GJ1" s="11">
        <v>45847</v>
      </c>
      <c r="GK1" s="11">
        <v>45848</v>
      </c>
      <c r="GL1" s="11">
        <v>45849</v>
      </c>
      <c r="GM1" s="11">
        <v>45850</v>
      </c>
      <c r="GN1" s="11">
        <v>45851</v>
      </c>
      <c r="GO1" s="11">
        <v>45852</v>
      </c>
      <c r="GP1" s="11">
        <v>45853</v>
      </c>
      <c r="GQ1" s="11">
        <v>45854</v>
      </c>
      <c r="GR1" s="11">
        <v>45855</v>
      </c>
      <c r="GS1" s="11">
        <v>45856</v>
      </c>
      <c r="GT1" s="11">
        <v>45857</v>
      </c>
      <c r="GU1" s="11">
        <v>45858</v>
      </c>
      <c r="GV1" s="11">
        <v>45859</v>
      </c>
      <c r="GW1" s="11">
        <v>45860</v>
      </c>
      <c r="GX1" s="11">
        <v>45861</v>
      </c>
      <c r="GY1" s="11">
        <v>45862</v>
      </c>
      <c r="GZ1" s="11">
        <v>45863</v>
      </c>
      <c r="HA1" s="11">
        <v>45864</v>
      </c>
      <c r="HB1" s="11">
        <v>45865</v>
      </c>
      <c r="HC1" s="11">
        <v>45866</v>
      </c>
      <c r="HD1" s="11">
        <v>45867</v>
      </c>
      <c r="HE1" s="11">
        <v>45868</v>
      </c>
      <c r="HF1" s="11">
        <v>45869</v>
      </c>
      <c r="HG1" s="11">
        <v>45870</v>
      </c>
      <c r="HH1" s="11">
        <v>45871</v>
      </c>
      <c r="HI1" s="11">
        <v>45872</v>
      </c>
      <c r="HJ1" s="11">
        <v>45873</v>
      </c>
      <c r="HK1" s="11">
        <v>45874</v>
      </c>
      <c r="HL1" s="11">
        <v>45875</v>
      </c>
      <c r="HM1" s="11">
        <v>45876</v>
      </c>
      <c r="HN1" s="11">
        <v>45877</v>
      </c>
      <c r="HO1" s="11">
        <v>45878</v>
      </c>
      <c r="HP1" s="11">
        <v>45879</v>
      </c>
      <c r="HQ1" s="11">
        <v>45880</v>
      </c>
      <c r="HR1" s="11">
        <v>45881</v>
      </c>
      <c r="HS1" s="11">
        <v>45882</v>
      </c>
      <c r="HT1" s="11">
        <v>45883</v>
      </c>
      <c r="HU1" s="11">
        <v>45884</v>
      </c>
      <c r="HV1" s="11">
        <v>45885</v>
      </c>
      <c r="HW1" s="11">
        <v>45886</v>
      </c>
      <c r="HX1" s="11">
        <v>45887</v>
      </c>
      <c r="HY1" s="11">
        <v>45888</v>
      </c>
      <c r="HZ1" s="11">
        <v>45889</v>
      </c>
      <c r="IA1" s="11">
        <v>45890</v>
      </c>
      <c r="IB1" s="11">
        <v>45891</v>
      </c>
      <c r="IC1" s="11">
        <v>45892</v>
      </c>
      <c r="ID1" s="11">
        <v>45893</v>
      </c>
      <c r="IE1" s="11">
        <v>45894</v>
      </c>
      <c r="IF1" s="11">
        <v>45895</v>
      </c>
      <c r="IG1" s="11">
        <v>45896</v>
      </c>
      <c r="IH1" s="11">
        <v>45897</v>
      </c>
      <c r="II1" s="11">
        <v>45898</v>
      </c>
      <c r="IJ1" s="11">
        <v>45899</v>
      </c>
      <c r="IK1" s="11">
        <v>45900</v>
      </c>
      <c r="IL1" s="11">
        <v>45901</v>
      </c>
      <c r="IM1" s="11">
        <v>45902</v>
      </c>
      <c r="IN1" s="11">
        <v>45903</v>
      </c>
      <c r="IO1" s="11">
        <v>45904</v>
      </c>
      <c r="IP1" s="11">
        <v>45905</v>
      </c>
      <c r="IQ1" s="11">
        <v>45906</v>
      </c>
      <c r="IR1" s="11">
        <v>45907</v>
      </c>
      <c r="IS1" s="11">
        <v>45908</v>
      </c>
      <c r="IT1" s="11">
        <v>45909</v>
      </c>
      <c r="IU1" s="11">
        <v>45910</v>
      </c>
      <c r="IV1" s="11">
        <v>45911</v>
      </c>
      <c r="IW1" s="11">
        <v>45912</v>
      </c>
      <c r="IX1" s="11">
        <v>45913</v>
      </c>
      <c r="IY1" s="11">
        <v>45914</v>
      </c>
      <c r="IZ1" s="11">
        <v>45915</v>
      </c>
      <c r="JA1" s="11">
        <v>45916</v>
      </c>
      <c r="JB1" s="11">
        <v>45917</v>
      </c>
      <c r="JC1" s="11">
        <v>45918</v>
      </c>
      <c r="JD1" s="11">
        <v>45919</v>
      </c>
      <c r="JE1" s="11">
        <v>45920</v>
      </c>
      <c r="JF1" s="11">
        <v>45921</v>
      </c>
      <c r="JG1" s="11">
        <v>45922</v>
      </c>
      <c r="JH1" s="11">
        <v>45923</v>
      </c>
      <c r="JI1" s="11">
        <v>45924</v>
      </c>
      <c r="JJ1" s="11">
        <v>45925</v>
      </c>
      <c r="JK1" s="11">
        <v>45926</v>
      </c>
      <c r="JL1" s="11">
        <v>45927</v>
      </c>
      <c r="JM1" s="11">
        <v>45928</v>
      </c>
      <c r="JN1" s="11">
        <v>45929</v>
      </c>
      <c r="JO1" s="11">
        <v>45930</v>
      </c>
      <c r="JP1" s="11">
        <v>45931</v>
      </c>
      <c r="JQ1" s="11">
        <v>45932</v>
      </c>
      <c r="JR1" s="11">
        <v>45933</v>
      </c>
      <c r="JS1" s="11">
        <v>45934</v>
      </c>
      <c r="JT1" s="11">
        <v>45935</v>
      </c>
      <c r="JU1" s="11">
        <v>45936</v>
      </c>
      <c r="JV1" s="11">
        <v>45937</v>
      </c>
      <c r="JW1" s="11">
        <v>45938</v>
      </c>
      <c r="JX1" s="11">
        <v>45939</v>
      </c>
      <c r="JY1" s="11">
        <v>45940</v>
      </c>
      <c r="JZ1" s="11">
        <v>45941</v>
      </c>
      <c r="KA1" s="11">
        <v>45942</v>
      </c>
      <c r="KB1" s="11">
        <v>45943</v>
      </c>
      <c r="KC1" s="11">
        <v>45944</v>
      </c>
      <c r="KD1" s="11">
        <v>45945</v>
      </c>
      <c r="KE1" s="11">
        <v>45946</v>
      </c>
      <c r="KF1" s="11">
        <v>45947</v>
      </c>
      <c r="KG1" s="11">
        <v>45948</v>
      </c>
      <c r="KH1" s="11">
        <v>45949</v>
      </c>
      <c r="KI1" s="11">
        <v>45950</v>
      </c>
      <c r="KJ1" s="11">
        <v>45951</v>
      </c>
      <c r="KK1" s="11">
        <v>45952</v>
      </c>
      <c r="KL1" s="11">
        <v>45953</v>
      </c>
      <c r="KM1" s="11">
        <v>45954</v>
      </c>
      <c r="KN1" s="11">
        <v>45955</v>
      </c>
      <c r="KO1" s="11">
        <v>45956</v>
      </c>
      <c r="KP1" s="11">
        <v>45957</v>
      </c>
      <c r="KQ1" s="11">
        <v>45958</v>
      </c>
      <c r="KR1" s="11">
        <v>45959</v>
      </c>
      <c r="KS1" s="11">
        <v>45960</v>
      </c>
      <c r="KT1" s="11">
        <v>45961</v>
      </c>
      <c r="KU1" s="11">
        <v>45962</v>
      </c>
      <c r="KV1" s="11">
        <v>45963</v>
      </c>
      <c r="KW1" s="11">
        <v>45964</v>
      </c>
      <c r="KX1" s="11">
        <v>45965</v>
      </c>
      <c r="KY1" s="11">
        <v>45966</v>
      </c>
      <c r="KZ1" s="11">
        <v>45967</v>
      </c>
      <c r="LA1" s="11">
        <v>45968</v>
      </c>
      <c r="LB1" s="11">
        <v>45969</v>
      </c>
      <c r="LC1" s="11">
        <v>45970</v>
      </c>
      <c r="LD1" s="11">
        <v>45971</v>
      </c>
      <c r="LE1" s="11">
        <v>45972</v>
      </c>
      <c r="LF1" s="11">
        <v>45973</v>
      </c>
      <c r="LG1" s="11">
        <v>45974</v>
      </c>
      <c r="LH1" s="11">
        <v>45975</v>
      </c>
      <c r="LI1" s="11">
        <v>45976</v>
      </c>
      <c r="LJ1" s="11">
        <v>45977</v>
      </c>
      <c r="LK1" s="11">
        <v>45978</v>
      </c>
      <c r="LL1" s="11">
        <v>45979</v>
      </c>
      <c r="LM1" s="11">
        <v>45980</v>
      </c>
      <c r="LN1" s="11">
        <v>45981</v>
      </c>
      <c r="LO1" s="11">
        <v>45982</v>
      </c>
      <c r="LP1" s="11">
        <v>45983</v>
      </c>
      <c r="LQ1" s="11">
        <v>45984</v>
      </c>
      <c r="LR1" s="11">
        <v>45985</v>
      </c>
      <c r="LS1" s="11">
        <v>45986</v>
      </c>
      <c r="LT1" s="11">
        <v>45987</v>
      </c>
      <c r="LU1" s="11">
        <v>45988</v>
      </c>
      <c r="LV1" s="11">
        <v>45989</v>
      </c>
      <c r="LW1" s="11">
        <v>45990</v>
      </c>
      <c r="LX1" s="11">
        <v>45991</v>
      </c>
      <c r="LY1" s="11">
        <v>45992</v>
      </c>
      <c r="LZ1" s="11">
        <v>45993</v>
      </c>
      <c r="MA1" s="11">
        <v>45994</v>
      </c>
      <c r="MB1" s="11">
        <v>45995</v>
      </c>
      <c r="MC1" s="11">
        <v>45996</v>
      </c>
      <c r="MD1" s="11">
        <v>45997</v>
      </c>
      <c r="ME1" s="11">
        <v>45998</v>
      </c>
      <c r="MF1" s="11">
        <v>45999</v>
      </c>
      <c r="MG1" s="11">
        <v>46000</v>
      </c>
      <c r="MH1" s="11">
        <v>46001</v>
      </c>
      <c r="MI1" s="11">
        <v>46002</v>
      </c>
      <c r="MJ1" s="11">
        <v>46003</v>
      </c>
      <c r="MK1" s="11">
        <v>46004</v>
      </c>
      <c r="ML1" s="11">
        <v>46005</v>
      </c>
      <c r="MM1" s="11">
        <v>46006</v>
      </c>
      <c r="MN1" s="11">
        <v>46007</v>
      </c>
      <c r="MO1" s="11">
        <v>46008</v>
      </c>
      <c r="MP1" s="11">
        <v>46009</v>
      </c>
      <c r="MQ1" s="11">
        <v>46010</v>
      </c>
      <c r="MR1" s="11">
        <v>46011</v>
      </c>
      <c r="MS1" s="11">
        <v>46012</v>
      </c>
      <c r="MT1" s="11">
        <v>46013</v>
      </c>
      <c r="MU1" s="11">
        <v>46014</v>
      </c>
      <c r="MV1" s="11">
        <v>46015</v>
      </c>
      <c r="MW1" s="11">
        <v>46016</v>
      </c>
      <c r="MX1" s="11">
        <v>46017</v>
      </c>
      <c r="MY1" s="11">
        <v>46018</v>
      </c>
      <c r="MZ1" s="11">
        <v>46019</v>
      </c>
      <c r="NA1" s="11">
        <v>46020</v>
      </c>
      <c r="NB1" s="11">
        <v>46021</v>
      </c>
      <c r="NC1" s="11">
        <v>46022</v>
      </c>
    </row>
    <row r="2" spans="1:367">
      <c r="B2" s="12" t="s">
        <v>10</v>
      </c>
      <c r="C2" s="8" t="s">
        <v>54</v>
      </c>
      <c r="D2" s="8" t="s">
        <v>54</v>
      </c>
      <c r="E2" s="8" t="s">
        <v>54</v>
      </c>
      <c r="F2" s="8" t="s">
        <v>54</v>
      </c>
      <c r="G2" s="8" t="s">
        <v>54</v>
      </c>
      <c r="H2" s="8" t="s">
        <v>425</v>
      </c>
      <c r="I2" s="8" t="s">
        <v>425</v>
      </c>
      <c r="J2" s="8" t="s">
        <v>425</v>
      </c>
      <c r="K2" s="8" t="s">
        <v>425</v>
      </c>
      <c r="L2" s="8" t="s">
        <v>425</v>
      </c>
      <c r="M2" s="8" t="s">
        <v>425</v>
      </c>
      <c r="N2" s="8" t="s">
        <v>425</v>
      </c>
      <c r="O2" s="8" t="s">
        <v>2</v>
      </c>
      <c r="P2" s="8" t="s">
        <v>2</v>
      </c>
      <c r="Q2" s="8" t="s">
        <v>2</v>
      </c>
      <c r="R2" s="8" t="s">
        <v>2</v>
      </c>
      <c r="S2" s="8" t="s">
        <v>2</v>
      </c>
      <c r="T2" s="8" t="s">
        <v>2</v>
      </c>
      <c r="U2" s="8" t="s">
        <v>2</v>
      </c>
      <c r="V2" s="8" t="s">
        <v>3</v>
      </c>
      <c r="W2" s="8" t="s">
        <v>3</v>
      </c>
      <c r="X2" s="8" t="s">
        <v>3</v>
      </c>
      <c r="Y2" s="8" t="s">
        <v>3</v>
      </c>
      <c r="Z2" s="8" t="s">
        <v>3</v>
      </c>
      <c r="AA2" s="8" t="s">
        <v>3</v>
      </c>
      <c r="AB2" s="8" t="s">
        <v>3</v>
      </c>
      <c r="AC2" s="8" t="s">
        <v>4</v>
      </c>
      <c r="AD2" s="8" t="s">
        <v>4</v>
      </c>
      <c r="AE2" s="8" t="s">
        <v>4</v>
      </c>
      <c r="AF2" s="8" t="s">
        <v>4</v>
      </c>
      <c r="AG2" s="8" t="s">
        <v>4</v>
      </c>
      <c r="AH2" s="8" t="s">
        <v>4</v>
      </c>
      <c r="AI2" s="8" t="s">
        <v>4</v>
      </c>
      <c r="AJ2" s="8" t="s">
        <v>5</v>
      </c>
      <c r="AK2" s="8" t="s">
        <v>5</v>
      </c>
      <c r="AL2" s="8" t="s">
        <v>5</v>
      </c>
      <c r="AM2" s="8" t="s">
        <v>5</v>
      </c>
      <c r="AN2" s="8" t="s">
        <v>5</v>
      </c>
      <c r="AO2" s="8" t="s">
        <v>5</v>
      </c>
      <c r="AP2" s="8" t="s">
        <v>5</v>
      </c>
      <c r="AQ2" s="8" t="s">
        <v>6</v>
      </c>
      <c r="AR2" s="8" t="s">
        <v>6</v>
      </c>
      <c r="AS2" s="8" t="s">
        <v>6</v>
      </c>
      <c r="AT2" s="8" t="s">
        <v>6</v>
      </c>
      <c r="AU2" s="8" t="s">
        <v>6</v>
      </c>
      <c r="AV2" s="8" t="s">
        <v>6</v>
      </c>
      <c r="AW2" s="8" t="s">
        <v>6</v>
      </c>
      <c r="AX2" s="8" t="s">
        <v>7</v>
      </c>
      <c r="AY2" s="8" t="s">
        <v>7</v>
      </c>
      <c r="AZ2" s="8" t="s">
        <v>7</v>
      </c>
      <c r="BA2" s="8" t="s">
        <v>7</v>
      </c>
      <c r="BB2" s="8" t="s">
        <v>7</v>
      </c>
      <c r="BC2" s="8" t="s">
        <v>7</v>
      </c>
      <c r="BD2" s="8" t="s">
        <v>7</v>
      </c>
      <c r="BE2" s="8" t="s">
        <v>8</v>
      </c>
      <c r="BF2" s="8" t="s">
        <v>8</v>
      </c>
      <c r="BG2" s="8" t="s">
        <v>8</v>
      </c>
      <c r="BH2" s="8" t="s">
        <v>8</v>
      </c>
      <c r="BI2" s="8" t="s">
        <v>8</v>
      </c>
      <c r="BJ2" s="8" t="s">
        <v>8</v>
      </c>
      <c r="BK2" s="8" t="s">
        <v>8</v>
      </c>
      <c r="BL2" s="8" t="s">
        <v>11</v>
      </c>
      <c r="BM2" s="8" t="s">
        <v>11</v>
      </c>
      <c r="BN2" s="8" t="s">
        <v>11</v>
      </c>
      <c r="BO2" s="8" t="s">
        <v>11</v>
      </c>
      <c r="BP2" s="8" t="s">
        <v>11</v>
      </c>
      <c r="BQ2" s="8" t="s">
        <v>11</v>
      </c>
      <c r="BR2" s="8" t="s">
        <v>11</v>
      </c>
      <c r="BS2" s="8" t="s">
        <v>12</v>
      </c>
      <c r="BT2" s="8" t="s">
        <v>12</v>
      </c>
      <c r="BU2" s="8" t="s">
        <v>12</v>
      </c>
      <c r="BV2" s="8" t="s">
        <v>12</v>
      </c>
      <c r="BW2" s="8" t="s">
        <v>12</v>
      </c>
      <c r="BX2" s="8" t="s">
        <v>12</v>
      </c>
      <c r="BY2" s="8" t="s">
        <v>12</v>
      </c>
      <c r="BZ2" s="8" t="s">
        <v>13</v>
      </c>
      <c r="CA2" s="8" t="s">
        <v>13</v>
      </c>
      <c r="CB2" s="8" t="s">
        <v>13</v>
      </c>
      <c r="CC2" s="8" t="s">
        <v>13</v>
      </c>
      <c r="CD2" s="8" t="s">
        <v>13</v>
      </c>
      <c r="CE2" s="8" t="s">
        <v>13</v>
      </c>
      <c r="CF2" s="8" t="s">
        <v>13</v>
      </c>
      <c r="CG2" s="8" t="s">
        <v>14</v>
      </c>
      <c r="CH2" s="8" t="s">
        <v>14</v>
      </c>
      <c r="CI2" s="8" t="s">
        <v>14</v>
      </c>
      <c r="CJ2" s="8" t="s">
        <v>14</v>
      </c>
      <c r="CK2" s="8" t="s">
        <v>14</v>
      </c>
      <c r="CL2" s="8" t="s">
        <v>14</v>
      </c>
      <c r="CM2" s="8" t="s">
        <v>14</v>
      </c>
      <c r="CN2" s="8" t="s">
        <v>15</v>
      </c>
      <c r="CO2" s="8" t="s">
        <v>15</v>
      </c>
      <c r="CP2" s="8" t="s">
        <v>15</v>
      </c>
      <c r="CQ2" s="8" t="s">
        <v>15</v>
      </c>
      <c r="CR2" s="8" t="s">
        <v>15</v>
      </c>
      <c r="CS2" s="8" t="s">
        <v>15</v>
      </c>
      <c r="CT2" s="8" t="s">
        <v>15</v>
      </c>
      <c r="CU2" s="8" t="s">
        <v>16</v>
      </c>
      <c r="CV2" s="8" t="s">
        <v>16</v>
      </c>
      <c r="CW2" s="8" t="s">
        <v>16</v>
      </c>
      <c r="CX2" s="8" t="s">
        <v>16</v>
      </c>
      <c r="CY2" s="8" t="s">
        <v>16</v>
      </c>
      <c r="CZ2" s="8" t="s">
        <v>16</v>
      </c>
      <c r="DA2" s="8" t="s">
        <v>16</v>
      </c>
      <c r="DB2" s="8" t="s">
        <v>17</v>
      </c>
      <c r="DC2" s="8" t="s">
        <v>17</v>
      </c>
      <c r="DD2" s="8" t="s">
        <v>17</v>
      </c>
      <c r="DE2" s="8" t="s">
        <v>17</v>
      </c>
      <c r="DF2" s="8" t="s">
        <v>17</v>
      </c>
      <c r="DG2" s="8" t="s">
        <v>17</v>
      </c>
      <c r="DH2" s="8" t="s">
        <v>17</v>
      </c>
      <c r="DI2" s="8" t="s">
        <v>18</v>
      </c>
      <c r="DJ2" s="8" t="s">
        <v>18</v>
      </c>
      <c r="DK2" s="8" t="s">
        <v>18</v>
      </c>
      <c r="DL2" s="8" t="s">
        <v>18</v>
      </c>
      <c r="DM2" s="8" t="s">
        <v>18</v>
      </c>
      <c r="DN2" s="8" t="s">
        <v>18</v>
      </c>
      <c r="DO2" s="8" t="s">
        <v>18</v>
      </c>
      <c r="DP2" s="8" t="s">
        <v>19</v>
      </c>
      <c r="DQ2" s="8" t="s">
        <v>19</v>
      </c>
      <c r="DR2" s="8" t="s">
        <v>19</v>
      </c>
      <c r="DS2" s="8" t="s">
        <v>19</v>
      </c>
      <c r="DT2" s="8" t="s">
        <v>19</v>
      </c>
      <c r="DU2" s="8" t="s">
        <v>19</v>
      </c>
      <c r="DV2" s="8" t="s">
        <v>19</v>
      </c>
      <c r="DW2" s="8" t="s">
        <v>20</v>
      </c>
      <c r="DX2" s="8" t="s">
        <v>20</v>
      </c>
      <c r="DY2" s="8" t="s">
        <v>20</v>
      </c>
      <c r="DZ2" s="8" t="s">
        <v>20</v>
      </c>
      <c r="EA2" s="8" t="s">
        <v>20</v>
      </c>
      <c r="EB2" s="8" t="s">
        <v>20</v>
      </c>
      <c r="EC2" s="8" t="s">
        <v>20</v>
      </c>
      <c r="ED2" s="8" t="s">
        <v>21</v>
      </c>
      <c r="EE2" s="8" t="s">
        <v>21</v>
      </c>
      <c r="EF2" s="8" t="s">
        <v>21</v>
      </c>
      <c r="EG2" s="8" t="s">
        <v>21</v>
      </c>
      <c r="EH2" s="8" t="s">
        <v>21</v>
      </c>
      <c r="EI2" s="8" t="s">
        <v>21</v>
      </c>
      <c r="EJ2" s="8" t="s">
        <v>21</v>
      </c>
      <c r="EK2" s="8" t="s">
        <v>22</v>
      </c>
      <c r="EL2" s="8" t="s">
        <v>22</v>
      </c>
      <c r="EM2" s="8" t="s">
        <v>22</v>
      </c>
      <c r="EN2" s="8" t="s">
        <v>22</v>
      </c>
      <c r="EO2" s="8" t="s">
        <v>22</v>
      </c>
      <c r="EP2" s="8" t="s">
        <v>22</v>
      </c>
      <c r="EQ2" s="8" t="s">
        <v>22</v>
      </c>
      <c r="ER2" s="8" t="s">
        <v>23</v>
      </c>
      <c r="ES2" s="8" t="s">
        <v>23</v>
      </c>
      <c r="ET2" s="8" t="s">
        <v>23</v>
      </c>
      <c r="EU2" s="8" t="s">
        <v>23</v>
      </c>
      <c r="EV2" s="8" t="s">
        <v>23</v>
      </c>
      <c r="EW2" s="8" t="s">
        <v>23</v>
      </c>
      <c r="EX2" s="8" t="s">
        <v>23</v>
      </c>
      <c r="EY2" s="8" t="s">
        <v>24</v>
      </c>
      <c r="EZ2" s="8" t="s">
        <v>24</v>
      </c>
      <c r="FA2" s="8" t="s">
        <v>24</v>
      </c>
      <c r="FB2" s="8" t="s">
        <v>24</v>
      </c>
      <c r="FC2" s="8" t="s">
        <v>24</v>
      </c>
      <c r="FD2" s="8" t="s">
        <v>24</v>
      </c>
      <c r="FE2" s="8" t="s">
        <v>24</v>
      </c>
      <c r="FF2" s="8" t="s">
        <v>25</v>
      </c>
      <c r="FG2" s="8" t="s">
        <v>25</v>
      </c>
      <c r="FH2" s="8" t="s">
        <v>25</v>
      </c>
      <c r="FI2" s="8" t="s">
        <v>25</v>
      </c>
      <c r="FJ2" s="8" t="s">
        <v>25</v>
      </c>
      <c r="FK2" s="8" t="s">
        <v>25</v>
      </c>
      <c r="FL2" s="8" t="s">
        <v>25</v>
      </c>
      <c r="FM2" s="8" t="s">
        <v>26</v>
      </c>
      <c r="FN2" s="8" t="s">
        <v>26</v>
      </c>
      <c r="FO2" s="8" t="s">
        <v>26</v>
      </c>
      <c r="FP2" s="8" t="s">
        <v>26</v>
      </c>
      <c r="FQ2" s="8" t="s">
        <v>26</v>
      </c>
      <c r="FR2" s="8" t="s">
        <v>26</v>
      </c>
      <c r="FS2" s="8" t="s">
        <v>26</v>
      </c>
      <c r="FT2" s="8" t="s">
        <v>27</v>
      </c>
      <c r="FU2" s="8" t="s">
        <v>27</v>
      </c>
      <c r="FV2" s="8" t="s">
        <v>27</v>
      </c>
      <c r="FW2" s="8" t="s">
        <v>27</v>
      </c>
      <c r="FX2" s="8" t="s">
        <v>27</v>
      </c>
      <c r="FY2" s="8" t="s">
        <v>27</v>
      </c>
      <c r="FZ2" s="8" t="s">
        <v>27</v>
      </c>
      <c r="GA2" s="8" t="s">
        <v>28</v>
      </c>
      <c r="GB2" s="8" t="s">
        <v>28</v>
      </c>
      <c r="GC2" s="8" t="s">
        <v>28</v>
      </c>
      <c r="GD2" s="8" t="s">
        <v>28</v>
      </c>
      <c r="GE2" s="8" t="s">
        <v>28</v>
      </c>
      <c r="GF2" s="8" t="s">
        <v>28</v>
      </c>
      <c r="GG2" s="8" t="s">
        <v>28</v>
      </c>
      <c r="GH2" s="8" t="s">
        <v>29</v>
      </c>
      <c r="GI2" s="8" t="s">
        <v>29</v>
      </c>
      <c r="GJ2" s="8" t="s">
        <v>29</v>
      </c>
      <c r="GK2" s="8" t="s">
        <v>29</v>
      </c>
      <c r="GL2" s="8" t="s">
        <v>29</v>
      </c>
      <c r="GM2" s="8" t="s">
        <v>29</v>
      </c>
      <c r="GN2" s="8" t="s">
        <v>29</v>
      </c>
      <c r="GO2" s="8" t="s">
        <v>30</v>
      </c>
      <c r="GP2" s="8" t="s">
        <v>30</v>
      </c>
      <c r="GQ2" s="8" t="s">
        <v>30</v>
      </c>
      <c r="GR2" s="8" t="s">
        <v>30</v>
      </c>
      <c r="GS2" s="8" t="s">
        <v>30</v>
      </c>
      <c r="GT2" s="8" t="s">
        <v>30</v>
      </c>
      <c r="GU2" s="8" t="s">
        <v>30</v>
      </c>
      <c r="GV2" s="8" t="s">
        <v>31</v>
      </c>
      <c r="GW2" s="8" t="s">
        <v>31</v>
      </c>
      <c r="GX2" s="8" t="s">
        <v>31</v>
      </c>
      <c r="GY2" s="8" t="s">
        <v>31</v>
      </c>
      <c r="GZ2" s="8" t="s">
        <v>31</v>
      </c>
      <c r="HA2" s="8" t="s">
        <v>31</v>
      </c>
      <c r="HB2" s="8" t="s">
        <v>31</v>
      </c>
      <c r="HC2" s="8" t="s">
        <v>32</v>
      </c>
      <c r="HD2" s="8" t="s">
        <v>32</v>
      </c>
      <c r="HE2" s="8" t="s">
        <v>32</v>
      </c>
      <c r="HF2" s="8" t="s">
        <v>32</v>
      </c>
      <c r="HG2" s="8" t="s">
        <v>32</v>
      </c>
      <c r="HH2" s="8" t="s">
        <v>32</v>
      </c>
      <c r="HI2" s="8" t="s">
        <v>32</v>
      </c>
      <c r="HJ2" s="8" t="s">
        <v>33</v>
      </c>
      <c r="HK2" s="8" t="s">
        <v>33</v>
      </c>
      <c r="HL2" s="8" t="s">
        <v>33</v>
      </c>
      <c r="HM2" s="8" t="s">
        <v>33</v>
      </c>
      <c r="HN2" s="8" t="s">
        <v>33</v>
      </c>
      <c r="HO2" s="8" t="s">
        <v>33</v>
      </c>
      <c r="HP2" s="8" t="s">
        <v>33</v>
      </c>
      <c r="HQ2" s="8" t="s">
        <v>34</v>
      </c>
      <c r="HR2" s="8" t="s">
        <v>34</v>
      </c>
      <c r="HS2" s="8" t="s">
        <v>34</v>
      </c>
      <c r="HT2" s="8" t="s">
        <v>34</v>
      </c>
      <c r="HU2" s="8" t="s">
        <v>34</v>
      </c>
      <c r="HV2" s="8" t="s">
        <v>34</v>
      </c>
      <c r="HW2" s="8" t="s">
        <v>34</v>
      </c>
      <c r="HX2" s="8" t="s">
        <v>35</v>
      </c>
      <c r="HY2" s="8" t="s">
        <v>35</v>
      </c>
      <c r="HZ2" s="8" t="s">
        <v>35</v>
      </c>
      <c r="IA2" s="8" t="s">
        <v>35</v>
      </c>
      <c r="IB2" s="8" t="s">
        <v>35</v>
      </c>
      <c r="IC2" s="8" t="s">
        <v>35</v>
      </c>
      <c r="ID2" s="8" t="s">
        <v>35</v>
      </c>
      <c r="IE2" s="8" t="s">
        <v>36</v>
      </c>
      <c r="IF2" s="8" t="s">
        <v>36</v>
      </c>
      <c r="IG2" s="8" t="s">
        <v>36</v>
      </c>
      <c r="IH2" s="8" t="s">
        <v>36</v>
      </c>
      <c r="II2" s="8" t="s">
        <v>36</v>
      </c>
      <c r="IJ2" s="8" t="s">
        <v>36</v>
      </c>
      <c r="IK2" s="8" t="s">
        <v>36</v>
      </c>
      <c r="IL2" s="8" t="s">
        <v>37</v>
      </c>
      <c r="IM2" s="8" t="s">
        <v>37</v>
      </c>
      <c r="IN2" s="8" t="s">
        <v>37</v>
      </c>
      <c r="IO2" s="8" t="s">
        <v>37</v>
      </c>
      <c r="IP2" s="8" t="s">
        <v>37</v>
      </c>
      <c r="IQ2" s="8" t="s">
        <v>37</v>
      </c>
      <c r="IR2" s="8" t="s">
        <v>37</v>
      </c>
      <c r="IS2" s="8" t="s">
        <v>38</v>
      </c>
      <c r="IT2" s="8" t="s">
        <v>38</v>
      </c>
      <c r="IU2" s="8" t="s">
        <v>38</v>
      </c>
      <c r="IV2" s="8" t="s">
        <v>38</v>
      </c>
      <c r="IW2" s="8" t="s">
        <v>38</v>
      </c>
      <c r="IX2" s="8" t="s">
        <v>38</v>
      </c>
      <c r="IY2" s="8" t="s">
        <v>38</v>
      </c>
      <c r="IZ2" s="8" t="s">
        <v>39</v>
      </c>
      <c r="JA2" s="8" t="s">
        <v>39</v>
      </c>
      <c r="JB2" s="8" t="s">
        <v>39</v>
      </c>
      <c r="JC2" s="8" t="s">
        <v>39</v>
      </c>
      <c r="JD2" s="8" t="s">
        <v>39</v>
      </c>
      <c r="JE2" s="8" t="s">
        <v>39</v>
      </c>
      <c r="JF2" s="8" t="s">
        <v>39</v>
      </c>
      <c r="JG2" s="8" t="s">
        <v>40</v>
      </c>
      <c r="JH2" s="8" t="s">
        <v>40</v>
      </c>
      <c r="JI2" s="8" t="s">
        <v>40</v>
      </c>
      <c r="JJ2" s="8" t="s">
        <v>40</v>
      </c>
      <c r="JK2" s="8" t="s">
        <v>40</v>
      </c>
      <c r="JL2" s="8" t="s">
        <v>40</v>
      </c>
      <c r="JM2" s="8" t="s">
        <v>40</v>
      </c>
      <c r="JN2" s="8" t="s">
        <v>41</v>
      </c>
      <c r="JO2" s="8" t="s">
        <v>41</v>
      </c>
      <c r="JP2" s="8" t="s">
        <v>41</v>
      </c>
      <c r="JQ2" s="8" t="s">
        <v>41</v>
      </c>
      <c r="JR2" s="8" t="s">
        <v>41</v>
      </c>
      <c r="JS2" s="8" t="s">
        <v>41</v>
      </c>
      <c r="JT2" s="8" t="s">
        <v>41</v>
      </c>
      <c r="JU2" s="8" t="s">
        <v>42</v>
      </c>
      <c r="JV2" s="8" t="s">
        <v>42</v>
      </c>
      <c r="JW2" s="8" t="s">
        <v>42</v>
      </c>
      <c r="JX2" s="8" t="s">
        <v>42</v>
      </c>
      <c r="JY2" s="8" t="s">
        <v>42</v>
      </c>
      <c r="JZ2" s="8" t="s">
        <v>42</v>
      </c>
      <c r="KA2" s="8" t="s">
        <v>42</v>
      </c>
      <c r="KB2" s="8" t="s">
        <v>43</v>
      </c>
      <c r="KC2" s="8" t="s">
        <v>43</v>
      </c>
      <c r="KD2" s="8" t="s">
        <v>43</v>
      </c>
      <c r="KE2" s="8" t="s">
        <v>43</v>
      </c>
      <c r="KF2" s="8" t="s">
        <v>43</v>
      </c>
      <c r="KG2" s="8" t="s">
        <v>43</v>
      </c>
      <c r="KH2" s="8" t="s">
        <v>43</v>
      </c>
      <c r="KI2" s="8" t="s">
        <v>44</v>
      </c>
      <c r="KJ2" s="8" t="s">
        <v>44</v>
      </c>
      <c r="KK2" s="8" t="s">
        <v>44</v>
      </c>
      <c r="KL2" s="8" t="s">
        <v>44</v>
      </c>
      <c r="KM2" s="8" t="s">
        <v>44</v>
      </c>
      <c r="KN2" s="8" t="s">
        <v>44</v>
      </c>
      <c r="KO2" s="8" t="s">
        <v>44</v>
      </c>
      <c r="KP2" s="8" t="s">
        <v>45</v>
      </c>
      <c r="KQ2" s="8" t="s">
        <v>45</v>
      </c>
      <c r="KR2" s="8" t="s">
        <v>45</v>
      </c>
      <c r="KS2" s="8" t="s">
        <v>45</v>
      </c>
      <c r="KT2" s="8" t="s">
        <v>45</v>
      </c>
      <c r="KU2" s="8" t="s">
        <v>45</v>
      </c>
      <c r="KV2" s="8" t="s">
        <v>45</v>
      </c>
      <c r="KW2" s="8" t="s">
        <v>46</v>
      </c>
      <c r="KX2" s="8" t="s">
        <v>46</v>
      </c>
      <c r="KY2" s="8" t="s">
        <v>46</v>
      </c>
      <c r="KZ2" s="8" t="s">
        <v>46</v>
      </c>
      <c r="LA2" s="8" t="s">
        <v>46</v>
      </c>
      <c r="LB2" s="8" t="s">
        <v>46</v>
      </c>
      <c r="LC2" s="8" t="s">
        <v>46</v>
      </c>
      <c r="LD2" s="8" t="s">
        <v>47</v>
      </c>
      <c r="LE2" s="8" t="s">
        <v>47</v>
      </c>
      <c r="LF2" s="8" t="s">
        <v>47</v>
      </c>
      <c r="LG2" s="8" t="s">
        <v>47</v>
      </c>
      <c r="LH2" s="8" t="s">
        <v>47</v>
      </c>
      <c r="LI2" s="8" t="s">
        <v>47</v>
      </c>
      <c r="LJ2" s="8" t="s">
        <v>47</v>
      </c>
      <c r="LK2" s="8" t="s">
        <v>48</v>
      </c>
      <c r="LL2" s="8" t="s">
        <v>48</v>
      </c>
      <c r="LM2" s="8" t="s">
        <v>48</v>
      </c>
      <c r="LN2" s="8" t="s">
        <v>48</v>
      </c>
      <c r="LO2" s="8" t="s">
        <v>48</v>
      </c>
      <c r="LP2" s="8" t="s">
        <v>48</v>
      </c>
      <c r="LQ2" s="8" t="s">
        <v>48</v>
      </c>
      <c r="LR2" s="8" t="s">
        <v>49</v>
      </c>
      <c r="LS2" s="8" t="s">
        <v>49</v>
      </c>
      <c r="LT2" s="8" t="s">
        <v>49</v>
      </c>
      <c r="LU2" s="8" t="s">
        <v>49</v>
      </c>
      <c r="LV2" s="8" t="s">
        <v>49</v>
      </c>
      <c r="LW2" s="8" t="s">
        <v>49</v>
      </c>
      <c r="LX2" s="8" t="s">
        <v>49</v>
      </c>
      <c r="LY2" s="8" t="s">
        <v>50</v>
      </c>
      <c r="LZ2" s="8" t="s">
        <v>50</v>
      </c>
      <c r="MA2" s="8" t="s">
        <v>50</v>
      </c>
      <c r="MB2" s="8" t="s">
        <v>50</v>
      </c>
      <c r="MC2" s="8" t="s">
        <v>50</v>
      </c>
      <c r="MD2" s="8" t="s">
        <v>50</v>
      </c>
      <c r="ME2" s="8" t="s">
        <v>50</v>
      </c>
      <c r="MF2" s="8" t="s">
        <v>51</v>
      </c>
      <c r="MG2" s="8" t="s">
        <v>51</v>
      </c>
      <c r="MH2" s="8" t="s">
        <v>51</v>
      </c>
      <c r="MI2" s="8" t="s">
        <v>51</v>
      </c>
      <c r="MJ2" s="8" t="s">
        <v>51</v>
      </c>
      <c r="MK2" s="8" t="s">
        <v>51</v>
      </c>
      <c r="ML2" s="8" t="s">
        <v>51</v>
      </c>
      <c r="MM2" s="8" t="s">
        <v>52</v>
      </c>
      <c r="MN2" s="8" t="s">
        <v>52</v>
      </c>
      <c r="MO2" s="8" t="s">
        <v>52</v>
      </c>
      <c r="MP2" s="8" t="s">
        <v>52</v>
      </c>
      <c r="MQ2" s="8" t="s">
        <v>52</v>
      </c>
      <c r="MR2" s="8" t="s">
        <v>52</v>
      </c>
      <c r="MS2" s="8" t="s">
        <v>52</v>
      </c>
      <c r="MT2" s="8" t="s">
        <v>53</v>
      </c>
      <c r="MU2" s="8" t="s">
        <v>53</v>
      </c>
      <c r="MV2" s="8" t="s">
        <v>53</v>
      </c>
      <c r="MW2" s="8" t="s">
        <v>53</v>
      </c>
      <c r="MX2" s="8" t="s">
        <v>53</v>
      </c>
      <c r="MY2" s="8" t="s">
        <v>53</v>
      </c>
      <c r="MZ2" s="8" t="s">
        <v>53</v>
      </c>
      <c r="NA2" s="8" t="s">
        <v>54</v>
      </c>
      <c r="NB2" s="8" t="s">
        <v>54</v>
      </c>
      <c r="NC2" s="8" t="s">
        <v>54</v>
      </c>
    </row>
    <row r="3" spans="1:367">
      <c r="A3" s="13">
        <f>SUM(807,O3:NC3)</f>
        <v>26796.25</v>
      </c>
      <c r="B3" s="14" t="s">
        <v>427</v>
      </c>
      <c r="C3" s="103"/>
      <c r="D3" s="2">
        <v>96.583333333333329</v>
      </c>
      <c r="E3" s="2">
        <v>97.5</v>
      </c>
      <c r="F3" s="2">
        <v>52.5</v>
      </c>
      <c r="G3" s="2">
        <v>36.75</v>
      </c>
      <c r="H3" s="2">
        <v>82.5</v>
      </c>
      <c r="I3" s="2">
        <v>82.5</v>
      </c>
      <c r="J3" s="2">
        <v>82.5</v>
      </c>
      <c r="K3" s="2">
        <v>88.583333333333343</v>
      </c>
      <c r="L3" s="2">
        <v>90</v>
      </c>
      <c r="M3" s="2">
        <v>60</v>
      </c>
      <c r="N3" s="2">
        <v>37.5</v>
      </c>
      <c r="O3" s="7">
        <v>97.5</v>
      </c>
      <c r="P3" s="7">
        <v>95.583333333333329</v>
      </c>
      <c r="Q3" s="7">
        <v>97.5</v>
      </c>
      <c r="R3" s="7">
        <v>97</v>
      </c>
      <c r="S3" s="7">
        <v>97.5</v>
      </c>
      <c r="T3" s="7">
        <v>60</v>
      </c>
      <c r="U3" s="7">
        <v>30</v>
      </c>
      <c r="V3" s="7">
        <v>90</v>
      </c>
      <c r="W3" s="7">
        <v>94.583333333333329</v>
      </c>
      <c r="X3" s="7">
        <v>92.166666666666657</v>
      </c>
      <c r="Y3" s="7">
        <v>97.5</v>
      </c>
      <c r="Z3" s="7">
        <v>90</v>
      </c>
      <c r="AA3" s="7">
        <v>60</v>
      </c>
      <c r="AB3" s="7">
        <v>31.5</v>
      </c>
      <c r="AC3" s="7">
        <v>88.583333333333343</v>
      </c>
      <c r="AD3" s="7">
        <v>90</v>
      </c>
      <c r="AE3" s="7">
        <v>97.5</v>
      </c>
      <c r="AF3" s="7">
        <v>97.5</v>
      </c>
      <c r="AG3" s="7">
        <v>89.416666666666671</v>
      </c>
      <c r="AH3" s="7">
        <v>57.5</v>
      </c>
      <c r="AI3" s="7">
        <v>37.5</v>
      </c>
      <c r="AJ3" s="7">
        <v>94</v>
      </c>
      <c r="AK3" s="7">
        <v>83.666666666666671</v>
      </c>
      <c r="AL3" s="7">
        <v>94.333333333333329</v>
      </c>
      <c r="AM3" s="7">
        <v>97.5</v>
      </c>
      <c r="AN3" s="7">
        <v>97.5</v>
      </c>
      <c r="AO3" s="7">
        <v>52.5</v>
      </c>
      <c r="AP3" s="7">
        <v>37.5</v>
      </c>
      <c r="AQ3" s="7">
        <v>95.750000000000014</v>
      </c>
      <c r="AR3" s="7">
        <v>92.166666666666657</v>
      </c>
      <c r="AS3" s="7">
        <v>97.5</v>
      </c>
      <c r="AT3" s="7">
        <v>97.5</v>
      </c>
      <c r="AU3" s="7">
        <v>97.5</v>
      </c>
      <c r="AV3" s="7">
        <v>46.666666666666671</v>
      </c>
      <c r="AW3" s="7">
        <v>37.583333333333329</v>
      </c>
      <c r="AX3" s="7">
        <v>97.166666666666657</v>
      </c>
      <c r="AY3" s="7">
        <v>92.833333333333329</v>
      </c>
      <c r="AZ3" s="7">
        <v>90</v>
      </c>
      <c r="BA3" s="7">
        <v>81.333333333333329</v>
      </c>
      <c r="BB3" s="7">
        <v>82.5</v>
      </c>
      <c r="BC3" s="7">
        <v>15</v>
      </c>
      <c r="BD3" s="7">
        <v>27.500000000000004</v>
      </c>
      <c r="BE3" s="7">
        <v>80.5</v>
      </c>
      <c r="BF3" s="7">
        <v>80.083333333333329</v>
      </c>
      <c r="BG3" s="7">
        <v>97.5</v>
      </c>
      <c r="BH3" s="7">
        <v>97.5</v>
      </c>
      <c r="BI3" s="7">
        <v>97.5</v>
      </c>
      <c r="BJ3" s="7">
        <v>47</v>
      </c>
      <c r="BK3" s="7">
        <v>22.5</v>
      </c>
      <c r="BL3" s="6">
        <v>90</v>
      </c>
      <c r="BM3" s="6">
        <v>97.5</v>
      </c>
      <c r="BN3" s="6">
        <v>68.666666666666657</v>
      </c>
      <c r="BO3" s="6">
        <v>82.5</v>
      </c>
      <c r="BP3" s="6">
        <v>90</v>
      </c>
      <c r="BQ3" s="6">
        <v>52.5</v>
      </c>
      <c r="BR3" s="6">
        <v>37.5</v>
      </c>
      <c r="BS3" s="6">
        <v>97.5</v>
      </c>
      <c r="BT3" s="6">
        <v>86.833333333333343</v>
      </c>
      <c r="BU3" s="6">
        <v>88.75</v>
      </c>
      <c r="BV3" s="6">
        <v>90</v>
      </c>
      <c r="BW3" s="6">
        <v>89.25</v>
      </c>
      <c r="BX3" s="6">
        <v>52.5</v>
      </c>
      <c r="BY3" s="6">
        <v>34.916666666666671</v>
      </c>
      <c r="BZ3" s="6">
        <v>97.5</v>
      </c>
      <c r="CA3" s="6">
        <v>97.5</v>
      </c>
      <c r="CB3" s="6">
        <v>97.5</v>
      </c>
      <c r="CC3" s="6">
        <v>97.5</v>
      </c>
      <c r="CD3" s="6">
        <v>81.166666666666671</v>
      </c>
      <c r="CE3" s="6">
        <v>82.5</v>
      </c>
      <c r="CF3" s="6">
        <v>82.5</v>
      </c>
      <c r="CG3" s="6">
        <v>82.5</v>
      </c>
      <c r="CH3" s="6">
        <v>82.5</v>
      </c>
      <c r="CI3" s="6">
        <v>82.5</v>
      </c>
      <c r="CJ3" s="6">
        <v>82.5</v>
      </c>
      <c r="CK3" s="6">
        <v>82.5</v>
      </c>
      <c r="CL3" s="6">
        <v>23</v>
      </c>
      <c r="CP3" s="6">
        <v>79.5</v>
      </c>
      <c r="CQ3" s="6">
        <v>71.916666666666657</v>
      </c>
      <c r="CR3" s="6">
        <v>82.25</v>
      </c>
      <c r="CS3" s="6">
        <v>27</v>
      </c>
      <c r="CT3" s="6">
        <v>52</v>
      </c>
      <c r="CU3" s="6">
        <v>90</v>
      </c>
      <c r="CV3" s="6">
        <v>79.583333333333329</v>
      </c>
      <c r="CW3" s="6">
        <v>80</v>
      </c>
      <c r="CX3" s="6">
        <v>87.416666666666671</v>
      </c>
      <c r="CY3" s="6">
        <v>94.916666666666671</v>
      </c>
      <c r="CZ3" s="6">
        <v>37.5</v>
      </c>
      <c r="DA3" s="6">
        <v>47.750000000000007</v>
      </c>
      <c r="DB3" s="6">
        <v>96.916666666666671</v>
      </c>
      <c r="DC3" s="6">
        <v>97.5</v>
      </c>
      <c r="DD3" s="6">
        <v>97.5</v>
      </c>
      <c r="DE3" s="6">
        <v>84.333333333333329</v>
      </c>
      <c r="DF3" s="6">
        <v>82.5</v>
      </c>
      <c r="DG3" s="6">
        <v>37.5</v>
      </c>
      <c r="DH3" s="6">
        <v>47.75</v>
      </c>
      <c r="DI3" s="20">
        <v>84.333333333333343</v>
      </c>
      <c r="DJ3" s="20">
        <v>90</v>
      </c>
      <c r="DK3" s="8">
        <v>21</v>
      </c>
      <c r="DL3" s="20"/>
      <c r="DM3" s="20">
        <v>82.5</v>
      </c>
      <c r="DN3" s="20">
        <v>82.5</v>
      </c>
      <c r="DO3" s="20">
        <v>58.75</v>
      </c>
      <c r="DP3" s="7">
        <v>94.833333333333329</v>
      </c>
      <c r="DQ3" s="7">
        <v>97.5</v>
      </c>
      <c r="DR3" s="7">
        <v>94.166666666666671</v>
      </c>
      <c r="DS3" s="7"/>
      <c r="DT3" s="7">
        <v>79.916666666666671</v>
      </c>
      <c r="DU3" s="7">
        <v>34.5</v>
      </c>
      <c r="DV3" s="7">
        <v>45</v>
      </c>
      <c r="DW3" s="7">
        <v>97.5</v>
      </c>
      <c r="DX3" s="7">
        <v>97.5</v>
      </c>
      <c r="DY3" s="7">
        <v>97.5</v>
      </c>
      <c r="DZ3" s="7">
        <v>97.5</v>
      </c>
      <c r="EA3" s="7">
        <v>90</v>
      </c>
      <c r="EB3" s="7">
        <v>37.75</v>
      </c>
      <c r="EC3" s="7">
        <v>57</v>
      </c>
      <c r="ED3" s="6">
        <v>106.66666666666667</v>
      </c>
      <c r="EE3" s="6">
        <v>102.91666666666666</v>
      </c>
      <c r="EF3" s="6">
        <v>90</v>
      </c>
      <c r="EG3" s="6">
        <v>90</v>
      </c>
      <c r="EH3" s="6">
        <v>97.5</v>
      </c>
      <c r="EI3" s="6">
        <v>37.5</v>
      </c>
      <c r="EJ3" s="6">
        <v>60</v>
      </c>
      <c r="EK3" s="6">
        <v>89.75</v>
      </c>
      <c r="EL3" s="6">
        <v>97.5</v>
      </c>
      <c r="EM3" s="6">
        <v>97.5</v>
      </c>
      <c r="EN3" s="6">
        <v>90</v>
      </c>
      <c r="EO3" s="6">
        <v>92.75</v>
      </c>
      <c r="EP3" s="6">
        <v>37.25</v>
      </c>
      <c r="EQ3" s="6">
        <v>57</v>
      </c>
      <c r="ER3" s="7">
        <v>97.5</v>
      </c>
      <c r="ES3" s="7">
        <v>97.083333333333343</v>
      </c>
      <c r="ET3" s="7">
        <v>91.583333333333329</v>
      </c>
      <c r="EU3" s="7">
        <v>97.5</v>
      </c>
      <c r="EV3" s="7">
        <v>97.5</v>
      </c>
      <c r="EW3" s="7">
        <v>97.5</v>
      </c>
      <c r="EX3" s="7">
        <v>97.5</v>
      </c>
      <c r="EY3" s="6">
        <v>97.5</v>
      </c>
      <c r="EZ3" s="6">
        <v>97.5</v>
      </c>
      <c r="FA3" s="6">
        <v>97.5</v>
      </c>
      <c r="FB3" s="6">
        <v>47.666666666666664</v>
      </c>
      <c r="FC3" s="6"/>
      <c r="FD3" s="6"/>
      <c r="FE3" s="6"/>
      <c r="FG3" s="6">
        <v>75</v>
      </c>
      <c r="FH3" s="6">
        <v>75</v>
      </c>
      <c r="FI3" s="6">
        <v>85.5</v>
      </c>
      <c r="FJ3" s="6">
        <v>78</v>
      </c>
      <c r="FK3" s="6">
        <v>65.25</v>
      </c>
      <c r="FL3" s="6">
        <v>64.666666666666671</v>
      </c>
      <c r="FM3" s="6">
        <v>74.5</v>
      </c>
      <c r="FN3" s="6">
        <v>82.5</v>
      </c>
      <c r="FO3" s="6">
        <v>82.5</v>
      </c>
      <c r="FP3" s="6">
        <v>81</v>
      </c>
      <c r="FQ3" s="6">
        <v>90</v>
      </c>
      <c r="FR3" s="6">
        <v>57</v>
      </c>
      <c r="FS3" s="6">
        <v>37.5</v>
      </c>
      <c r="FT3" s="6">
        <v>82.166666666666657</v>
      </c>
      <c r="FU3" s="6">
        <v>79.416666666666671</v>
      </c>
      <c r="FV3" s="6">
        <v>79.083333333333343</v>
      </c>
      <c r="FW3" s="6">
        <v>75</v>
      </c>
      <c r="FX3" s="6">
        <v>73.916666666666671</v>
      </c>
      <c r="FY3" s="6">
        <v>36.083333333333329</v>
      </c>
      <c r="FZ3" s="6">
        <v>37.5</v>
      </c>
      <c r="GA3" s="6">
        <v>82.083333333333343</v>
      </c>
      <c r="GB3" s="6">
        <v>82</v>
      </c>
      <c r="GC3" s="6">
        <v>82.5</v>
      </c>
      <c r="GD3" s="6">
        <v>82.5</v>
      </c>
      <c r="GE3" s="6">
        <v>76</v>
      </c>
      <c r="GF3" s="6">
        <v>45</v>
      </c>
      <c r="GG3" s="6">
        <v>26.333333333333336</v>
      </c>
      <c r="GH3" s="20">
        <v>83.583333333333343</v>
      </c>
      <c r="GI3" s="20">
        <v>90</v>
      </c>
      <c r="GJ3" s="20">
        <v>90</v>
      </c>
      <c r="GK3" s="20">
        <v>87</v>
      </c>
      <c r="GL3" s="20">
        <v>90</v>
      </c>
      <c r="GM3" s="20">
        <v>52</v>
      </c>
      <c r="GN3" s="20">
        <v>30</v>
      </c>
      <c r="GO3" s="20">
        <v>79.333333333333329</v>
      </c>
      <c r="GP3" s="20"/>
      <c r="GQ3" s="20">
        <v>82.5</v>
      </c>
      <c r="GR3" s="20">
        <v>82.5</v>
      </c>
      <c r="GS3" s="20">
        <v>82.5</v>
      </c>
      <c r="GT3" s="20">
        <v>81.916666666666671</v>
      </c>
      <c r="GU3" s="20">
        <v>69.583333333333329</v>
      </c>
      <c r="GV3" s="20">
        <v>87</v>
      </c>
      <c r="GW3" s="20">
        <v>75</v>
      </c>
      <c r="GX3" s="20">
        <v>82.5</v>
      </c>
      <c r="GY3" s="20">
        <v>97.5</v>
      </c>
      <c r="GZ3" s="20">
        <v>88.583333333333314</v>
      </c>
      <c r="HA3" s="20">
        <v>34.916666666666671</v>
      </c>
      <c r="HB3" s="20">
        <v>50.083333333333336</v>
      </c>
      <c r="HC3" s="20">
        <v>76.333333333333329</v>
      </c>
      <c r="HD3" s="20">
        <v>88.666666666666671</v>
      </c>
      <c r="HE3" s="20">
        <v>72.5</v>
      </c>
      <c r="HF3" s="20">
        <v>71.5</v>
      </c>
      <c r="HG3" s="20">
        <v>90</v>
      </c>
      <c r="HH3" s="20">
        <v>37.5</v>
      </c>
      <c r="HI3" s="20">
        <v>52.5</v>
      </c>
      <c r="HJ3" s="20">
        <v>87</v>
      </c>
      <c r="HK3" s="20">
        <v>90</v>
      </c>
      <c r="HL3" s="20">
        <v>79.416666666666671</v>
      </c>
      <c r="HM3" s="20">
        <v>90</v>
      </c>
      <c r="HN3" s="20">
        <v>82.5</v>
      </c>
      <c r="HO3" s="20">
        <v>37.166666666666664</v>
      </c>
      <c r="HP3" s="20">
        <v>42.166666666666664</v>
      </c>
      <c r="HQ3" s="20">
        <v>90</v>
      </c>
      <c r="HR3" s="20">
        <v>85.25</v>
      </c>
      <c r="HS3" s="20">
        <v>90</v>
      </c>
      <c r="HT3" s="20">
        <v>87.083333333333329</v>
      </c>
      <c r="HU3" s="20">
        <v>71.833333333333329</v>
      </c>
      <c r="HV3" s="20">
        <v>30</v>
      </c>
      <c r="HW3" s="20">
        <v>22.5</v>
      </c>
      <c r="HX3" s="20">
        <v>67.166666666666657</v>
      </c>
      <c r="HY3" s="20">
        <v>56.75</v>
      </c>
      <c r="HZ3" s="20">
        <v>67.5</v>
      </c>
      <c r="IA3" s="20">
        <v>70.5</v>
      </c>
      <c r="IB3" s="20">
        <v>74.5</v>
      </c>
      <c r="IC3" s="20">
        <v>75</v>
      </c>
      <c r="ID3" s="20">
        <v>62.833333333333329</v>
      </c>
      <c r="IE3" s="20">
        <v>75</v>
      </c>
      <c r="IF3" s="20">
        <v>78</v>
      </c>
      <c r="IG3" s="20">
        <v>71.833333333333329</v>
      </c>
      <c r="IH3" s="20">
        <v>78</v>
      </c>
      <c r="II3" s="20">
        <v>75</v>
      </c>
      <c r="IJ3" s="20">
        <v>49.5</v>
      </c>
      <c r="IK3" s="20">
        <v>22.5</v>
      </c>
      <c r="IL3" s="20">
        <v>82.25</v>
      </c>
      <c r="IM3" s="20">
        <v>79.25</v>
      </c>
      <c r="IN3" s="20">
        <v>80.166666666666671</v>
      </c>
      <c r="IO3" s="20">
        <v>89.583333333333329</v>
      </c>
      <c r="IP3" s="20">
        <v>86.75</v>
      </c>
      <c r="IQ3" s="20">
        <v>74.083333333333329</v>
      </c>
      <c r="IR3" s="20">
        <v>78.75</v>
      </c>
      <c r="IS3" s="20">
        <v>90</v>
      </c>
      <c r="IT3" s="20">
        <v>90</v>
      </c>
      <c r="IU3" s="20">
        <v>90</v>
      </c>
      <c r="IV3" s="20">
        <v>76</v>
      </c>
      <c r="IW3" s="20">
        <v>82.25</v>
      </c>
      <c r="IX3" s="20">
        <v>42.583333333333329</v>
      </c>
      <c r="IY3" s="20">
        <v>37.5</v>
      </c>
      <c r="IZ3" s="20">
        <v>82.5</v>
      </c>
      <c r="JA3" s="20">
        <v>81</v>
      </c>
      <c r="JB3" s="20">
        <v>82.5</v>
      </c>
      <c r="JC3" s="20">
        <v>74.666666666666657</v>
      </c>
      <c r="JD3" s="20">
        <v>75</v>
      </c>
      <c r="JE3" s="20">
        <v>52.5</v>
      </c>
      <c r="JF3" s="20">
        <v>30</v>
      </c>
      <c r="JG3" s="3">
        <v>81.666666666666671</v>
      </c>
      <c r="JH3" s="3">
        <v>84.583333333333329</v>
      </c>
      <c r="JI3" s="3">
        <v>82.5</v>
      </c>
      <c r="JJ3" s="3">
        <v>85.5</v>
      </c>
      <c r="JK3" s="3">
        <v>85.5</v>
      </c>
      <c r="JL3" s="3">
        <v>52.5</v>
      </c>
      <c r="JM3" s="3">
        <v>26.833333333333332</v>
      </c>
      <c r="JN3" s="3">
        <v>67.083333333333343</v>
      </c>
      <c r="JO3" s="3">
        <v>82.5</v>
      </c>
      <c r="JP3" s="3">
        <v>82.5</v>
      </c>
      <c r="JQ3" s="3">
        <v>79.666666666666671</v>
      </c>
      <c r="JR3" s="3">
        <v>75</v>
      </c>
      <c r="JS3" s="3">
        <v>52.5</v>
      </c>
      <c r="JT3" s="3">
        <v>36.5</v>
      </c>
      <c r="JU3" s="7">
        <v>95.5</v>
      </c>
      <c r="JV3" s="7">
        <v>95.166666666666657</v>
      </c>
      <c r="JW3" s="7">
        <v>85.5</v>
      </c>
      <c r="JX3" s="7">
        <v>94.916666666666671</v>
      </c>
      <c r="JY3" s="7">
        <v>82.583333333333329</v>
      </c>
      <c r="JZ3" s="7">
        <v>52.5</v>
      </c>
      <c r="KA3" s="7">
        <v>30</v>
      </c>
      <c r="KB3" s="7">
        <v>85.5</v>
      </c>
      <c r="KC3" s="7">
        <v>85.5</v>
      </c>
      <c r="KD3" s="7">
        <v>93</v>
      </c>
      <c r="KE3" s="7">
        <v>93.333333333333343</v>
      </c>
      <c r="KF3" s="7">
        <v>93</v>
      </c>
      <c r="KG3" s="7">
        <v>90.166666666666671</v>
      </c>
      <c r="KH3" s="7">
        <v>71.916666666666657</v>
      </c>
      <c r="KI3" s="7">
        <v>93</v>
      </c>
      <c r="KJ3" s="7">
        <v>93</v>
      </c>
      <c r="KK3" s="7">
        <v>92.416666666666671</v>
      </c>
      <c r="KL3" s="7">
        <v>86.583333333333329</v>
      </c>
      <c r="KM3" s="7">
        <v>74.583333333333343</v>
      </c>
      <c r="KN3" s="7">
        <v>44.25</v>
      </c>
      <c r="KO3" s="7">
        <v>29.416666666666664</v>
      </c>
      <c r="KP3" s="2">
        <v>85.5</v>
      </c>
      <c r="KQ3" s="2">
        <v>82.5</v>
      </c>
      <c r="KR3" s="2">
        <v>82.5</v>
      </c>
      <c r="KS3" s="2">
        <v>78</v>
      </c>
      <c r="KT3" s="2">
        <v>78</v>
      </c>
      <c r="KU3" s="2">
        <v>34.916666666666671</v>
      </c>
      <c r="KV3" s="2">
        <v>52.5</v>
      </c>
      <c r="KW3" s="3">
        <v>96</v>
      </c>
      <c r="KX3" s="3">
        <v>90.916666666666671</v>
      </c>
      <c r="KY3" s="3">
        <v>105.08333333333333</v>
      </c>
      <c r="KZ3" s="3">
        <v>100</v>
      </c>
      <c r="LA3" s="3">
        <v>103.08333333333334</v>
      </c>
      <c r="LB3" s="3">
        <v>37.5</v>
      </c>
      <c r="LC3" s="3">
        <v>59.25</v>
      </c>
      <c r="LD3" s="3">
        <v>96.25</v>
      </c>
      <c r="LE3" s="3">
        <v>95.833333333333343</v>
      </c>
      <c r="LF3" s="3">
        <v>97.5</v>
      </c>
      <c r="LG3" s="3">
        <v>90</v>
      </c>
      <c r="LH3" s="3">
        <v>90</v>
      </c>
      <c r="LI3" s="3">
        <v>37.5</v>
      </c>
      <c r="LJ3" s="3">
        <v>52.5</v>
      </c>
      <c r="LK3" s="3">
        <v>90</v>
      </c>
      <c r="LL3" s="3">
        <v>90</v>
      </c>
      <c r="LM3" s="3">
        <v>86.75</v>
      </c>
      <c r="LN3" s="3">
        <v>87.333333333333343</v>
      </c>
      <c r="LO3" s="3">
        <v>89.666666666666657</v>
      </c>
      <c r="LP3" s="3">
        <v>37.166666666666664</v>
      </c>
      <c r="LQ3" s="3">
        <v>58.916666666666664</v>
      </c>
      <c r="LR3" s="3">
        <v>97.25</v>
      </c>
      <c r="LS3" s="3">
        <v>82.5</v>
      </c>
      <c r="LT3" s="3">
        <v>78.416666666666657</v>
      </c>
      <c r="LU3" s="3">
        <v>81.333333333333343</v>
      </c>
      <c r="LV3" s="3">
        <v>81.083333333333343</v>
      </c>
      <c r="LW3" s="3">
        <v>32.916666666666664</v>
      </c>
      <c r="LX3" s="3">
        <v>41.75</v>
      </c>
      <c r="LY3" s="7">
        <v>90</v>
      </c>
      <c r="LZ3" s="7">
        <v>83.916666666666657</v>
      </c>
      <c r="MA3" s="7">
        <v>75.916666666666657</v>
      </c>
      <c r="MB3" s="7">
        <v>86.833333333333329</v>
      </c>
      <c r="MC3" s="7">
        <v>75</v>
      </c>
      <c r="MD3" s="7">
        <v>30</v>
      </c>
      <c r="ME3" s="7">
        <v>42</v>
      </c>
      <c r="MF3" s="3">
        <v>87.25</v>
      </c>
      <c r="MG3" s="3">
        <v>67</v>
      </c>
      <c r="MH3" s="3">
        <v>75</v>
      </c>
      <c r="MI3" s="3">
        <v>75</v>
      </c>
      <c r="MJ3" s="3">
        <v>82.5</v>
      </c>
      <c r="MK3" s="3">
        <v>34.833333333333336</v>
      </c>
      <c r="ML3" s="3">
        <v>52.5</v>
      </c>
      <c r="MM3" s="3">
        <v>97.5</v>
      </c>
      <c r="MN3" s="3">
        <v>90</v>
      </c>
      <c r="MO3" s="3">
        <v>90</v>
      </c>
      <c r="MP3" s="3">
        <v>90</v>
      </c>
      <c r="MQ3" s="3">
        <v>90</v>
      </c>
      <c r="MR3" s="3">
        <v>90</v>
      </c>
      <c r="MS3" s="3">
        <v>94.5</v>
      </c>
      <c r="MT3" s="2">
        <v>96.833333333333329</v>
      </c>
      <c r="MU3" s="2">
        <v>90</v>
      </c>
      <c r="MV3" s="2">
        <v>90</v>
      </c>
      <c r="MW3" s="2">
        <v>90</v>
      </c>
      <c r="MX3" s="2">
        <v>80.25</v>
      </c>
      <c r="MY3" s="2">
        <v>37.5</v>
      </c>
      <c r="MZ3" s="2">
        <v>59.666666666666664</v>
      </c>
      <c r="NA3" s="3">
        <v>86.666666666666657</v>
      </c>
      <c r="NB3" s="3">
        <v>88.416666666666657</v>
      </c>
      <c r="NC3" s="3">
        <v>67.5</v>
      </c>
    </row>
    <row r="4" spans="1:367">
      <c r="A4" s="15">
        <f>SUM(19008,O4:NC4)</f>
        <v>1565866.13</v>
      </c>
      <c r="B4" s="16" t="s">
        <v>423</v>
      </c>
      <c r="C4" s="7"/>
      <c r="D4" s="2">
        <v>5909</v>
      </c>
      <c r="E4" s="2">
        <v>6811</v>
      </c>
      <c r="F4" s="2">
        <v>3958</v>
      </c>
      <c r="G4" s="2">
        <v>510</v>
      </c>
      <c r="H4" s="2">
        <v>2362</v>
      </c>
      <c r="I4" s="2">
        <v>4261</v>
      </c>
      <c r="J4" s="2">
        <v>3985</v>
      </c>
      <c r="K4" s="2">
        <v>2712</v>
      </c>
      <c r="L4" s="2">
        <v>4116</v>
      </c>
      <c r="M4" s="2">
        <v>2270</v>
      </c>
      <c r="N4" s="2">
        <v>199</v>
      </c>
      <c r="O4" s="7">
        <v>3108</v>
      </c>
      <c r="P4" s="7">
        <v>2506</v>
      </c>
      <c r="Q4" s="7">
        <v>4218</v>
      </c>
      <c r="R4" s="7">
        <v>4630</v>
      </c>
      <c r="S4" s="7">
        <v>4531</v>
      </c>
      <c r="T4" s="7">
        <v>3547</v>
      </c>
      <c r="U4" s="7">
        <v>216</v>
      </c>
      <c r="V4" s="7">
        <v>3837</v>
      </c>
      <c r="W4" s="7">
        <v>4681</v>
      </c>
      <c r="X4" s="7">
        <v>4171</v>
      </c>
      <c r="Y4" s="7">
        <v>2649</v>
      </c>
      <c r="Z4" s="7">
        <v>3437</v>
      </c>
      <c r="AA4" s="7">
        <v>1593</v>
      </c>
      <c r="AB4" s="7">
        <v>81</v>
      </c>
      <c r="AC4" s="7">
        <v>2455</v>
      </c>
      <c r="AD4" s="7">
        <v>2738</v>
      </c>
      <c r="AE4" s="7">
        <v>2725</v>
      </c>
      <c r="AF4" s="7">
        <v>1885</v>
      </c>
      <c r="AG4" s="7">
        <v>2197</v>
      </c>
      <c r="AH4" s="7">
        <v>767</v>
      </c>
      <c r="AI4" s="7">
        <v>63</v>
      </c>
      <c r="AJ4" s="7">
        <v>2784</v>
      </c>
      <c r="AK4" s="7">
        <v>4666</v>
      </c>
      <c r="AL4" s="7">
        <v>2527</v>
      </c>
      <c r="AM4" s="7">
        <v>3936</v>
      </c>
      <c r="AN4" s="7">
        <v>3635</v>
      </c>
      <c r="AO4" s="7">
        <v>2308</v>
      </c>
      <c r="AP4" s="7">
        <v>558</v>
      </c>
      <c r="AQ4" s="7">
        <v>4603</v>
      </c>
      <c r="AR4" s="7">
        <v>5968</v>
      </c>
      <c r="AS4" s="7">
        <v>5503</v>
      </c>
      <c r="AT4" s="7">
        <v>5276</v>
      </c>
      <c r="AU4" s="7">
        <v>5412</v>
      </c>
      <c r="AV4" s="7">
        <v>2802</v>
      </c>
      <c r="AW4" s="7">
        <v>293</v>
      </c>
      <c r="AX4" s="7">
        <v>3716</v>
      </c>
      <c r="AY4" s="7">
        <v>4663</v>
      </c>
      <c r="AZ4" s="7">
        <v>3312</v>
      </c>
      <c r="BA4" s="7">
        <v>4076</v>
      </c>
      <c r="BB4" s="7">
        <v>3519</v>
      </c>
      <c r="BC4" s="7">
        <v>1618</v>
      </c>
      <c r="BD4" s="7">
        <v>348</v>
      </c>
      <c r="BE4" s="7">
        <v>3349</v>
      </c>
      <c r="BF4" s="7">
        <v>3512</v>
      </c>
      <c r="BG4" s="7">
        <v>3694</v>
      </c>
      <c r="BH4" s="7">
        <v>3282</v>
      </c>
      <c r="BI4" s="7">
        <v>4255</v>
      </c>
      <c r="BJ4" s="7">
        <v>3621</v>
      </c>
      <c r="BK4" s="7">
        <v>260</v>
      </c>
      <c r="BL4" s="7">
        <v>5083</v>
      </c>
      <c r="BM4" s="7">
        <v>11041</v>
      </c>
      <c r="BN4" s="7">
        <v>6805</v>
      </c>
      <c r="BO4" s="7">
        <v>7669</v>
      </c>
      <c r="BP4" s="7">
        <v>7402</v>
      </c>
      <c r="BQ4" s="7">
        <v>5167</v>
      </c>
      <c r="BR4" s="7">
        <v>323</v>
      </c>
      <c r="BS4" s="7">
        <v>10965</v>
      </c>
      <c r="BT4" s="7">
        <v>15221</v>
      </c>
      <c r="BU4" s="7">
        <v>12718</v>
      </c>
      <c r="BV4" s="7">
        <v>15721</v>
      </c>
      <c r="BW4" s="7">
        <v>9297</v>
      </c>
      <c r="BX4" s="7">
        <v>9257</v>
      </c>
      <c r="BY4" s="7">
        <v>349</v>
      </c>
      <c r="BZ4" s="7">
        <v>7105</v>
      </c>
      <c r="CA4" s="7">
        <v>8361</v>
      </c>
      <c r="CB4" s="7">
        <v>12774</v>
      </c>
      <c r="CC4" s="7">
        <v>13664</v>
      </c>
      <c r="CD4" s="7">
        <v>9403</v>
      </c>
      <c r="CE4" s="7">
        <v>7583</v>
      </c>
      <c r="CF4" s="7">
        <v>804</v>
      </c>
      <c r="CG4" s="7">
        <v>7089</v>
      </c>
      <c r="CH4" s="7">
        <v>11395</v>
      </c>
      <c r="CI4" s="7">
        <v>10662</v>
      </c>
      <c r="CJ4" s="7">
        <v>6134</v>
      </c>
      <c r="CK4" s="7">
        <v>6186</v>
      </c>
      <c r="CL4" s="7">
        <v>3149</v>
      </c>
      <c r="CM4" s="7"/>
      <c r="CN4" s="7"/>
      <c r="CO4" s="7"/>
      <c r="CP4" s="7">
        <v>2766</v>
      </c>
      <c r="CQ4" s="7">
        <v>4253</v>
      </c>
      <c r="CR4" s="7">
        <v>1774</v>
      </c>
      <c r="CS4" s="7">
        <v>844</v>
      </c>
      <c r="CT4" s="7">
        <v>167</v>
      </c>
      <c r="CU4" s="7">
        <v>3441</v>
      </c>
      <c r="CV4" s="7">
        <v>4181</v>
      </c>
      <c r="CW4" s="7">
        <v>6289</v>
      </c>
      <c r="CX4" s="7">
        <v>4356</v>
      </c>
      <c r="CY4" s="7">
        <v>7395</v>
      </c>
      <c r="CZ4" s="7">
        <v>10263</v>
      </c>
      <c r="DA4" s="7">
        <v>573</v>
      </c>
      <c r="DB4" s="7">
        <v>5320</v>
      </c>
      <c r="DC4" s="7">
        <v>7011</v>
      </c>
      <c r="DD4" s="7">
        <v>3323</v>
      </c>
      <c r="DE4" s="7">
        <v>9431</v>
      </c>
      <c r="DF4" s="7">
        <v>6644</v>
      </c>
      <c r="DG4" s="7">
        <v>4488</v>
      </c>
      <c r="DH4" s="7">
        <v>293</v>
      </c>
      <c r="DI4" s="7">
        <v>8273</v>
      </c>
      <c r="DJ4" s="7">
        <v>6800</v>
      </c>
      <c r="DK4" s="7">
        <v>231</v>
      </c>
      <c r="DL4" s="7"/>
      <c r="DM4" s="7">
        <v>6353</v>
      </c>
      <c r="DN4" s="7">
        <v>8503</v>
      </c>
      <c r="DO4" s="7">
        <v>795</v>
      </c>
      <c r="DP4" s="7">
        <v>10482</v>
      </c>
      <c r="DQ4" s="7">
        <v>9005</v>
      </c>
      <c r="DR4" s="7">
        <v>4782</v>
      </c>
      <c r="DS4" s="7"/>
      <c r="DT4" s="7">
        <v>12125</v>
      </c>
      <c r="DU4" s="7">
        <v>8740</v>
      </c>
      <c r="DV4" s="7">
        <v>1065</v>
      </c>
      <c r="DW4" s="7">
        <v>11157</v>
      </c>
      <c r="DX4" s="7">
        <v>7661</v>
      </c>
      <c r="DY4" s="7">
        <v>13788</v>
      </c>
      <c r="DZ4" s="7">
        <v>13120</v>
      </c>
      <c r="EA4" s="7">
        <v>17944</v>
      </c>
      <c r="EB4" s="7">
        <v>12625</v>
      </c>
      <c r="EC4" s="7">
        <v>1468</v>
      </c>
      <c r="ED4" s="7">
        <v>3708</v>
      </c>
      <c r="EE4" s="7">
        <v>4563</v>
      </c>
      <c r="EF4" s="7">
        <v>4919</v>
      </c>
      <c r="EG4" s="7">
        <v>4050</v>
      </c>
      <c r="EH4" s="7">
        <v>4377</v>
      </c>
      <c r="EI4" s="7">
        <v>5610</v>
      </c>
      <c r="EJ4" s="7">
        <v>604</v>
      </c>
      <c r="EK4" s="7">
        <v>1555</v>
      </c>
      <c r="EL4" s="7">
        <v>3810</v>
      </c>
      <c r="EM4" s="7">
        <v>5344</v>
      </c>
      <c r="EN4" s="7">
        <v>5519</v>
      </c>
      <c r="EO4" s="7">
        <v>3949</v>
      </c>
      <c r="EP4" s="7">
        <v>6904</v>
      </c>
      <c r="EQ4" s="7">
        <v>1238</v>
      </c>
      <c r="ER4" s="27">
        <v>3640.4</v>
      </c>
      <c r="ES4" s="27">
        <v>5103.6000000000004</v>
      </c>
      <c r="ET4" s="27">
        <v>4173.8999999999996</v>
      </c>
      <c r="EU4" s="27">
        <v>2695.4</v>
      </c>
      <c r="EV4" s="27">
        <v>2177.6999999999998</v>
      </c>
      <c r="EW4" s="27">
        <v>2949.85</v>
      </c>
      <c r="EX4" s="27">
        <v>1220.2</v>
      </c>
      <c r="EY4" s="7">
        <v>2895</v>
      </c>
      <c r="EZ4" s="7">
        <v>7177</v>
      </c>
      <c r="FA4" s="7">
        <v>10319</v>
      </c>
      <c r="FB4" s="7">
        <v>2697</v>
      </c>
      <c r="FG4" s="7">
        <v>1449</v>
      </c>
      <c r="FH4" s="7">
        <v>1448</v>
      </c>
      <c r="FI4" s="7">
        <v>1358</v>
      </c>
      <c r="FJ4" s="7">
        <v>1885</v>
      </c>
      <c r="FK4" s="7">
        <v>2538</v>
      </c>
      <c r="FL4" s="7">
        <v>85</v>
      </c>
      <c r="FM4" s="7">
        <v>2249</v>
      </c>
      <c r="FN4" s="7">
        <v>4318</v>
      </c>
      <c r="FO4" s="7">
        <v>3796</v>
      </c>
      <c r="FP4" s="7">
        <v>6018</v>
      </c>
      <c r="FQ4" s="7">
        <v>8888</v>
      </c>
      <c r="FR4" s="7">
        <v>6488</v>
      </c>
      <c r="FS4" s="7">
        <v>9</v>
      </c>
      <c r="FT4" s="7">
        <v>1642.36</v>
      </c>
      <c r="FU4" s="7">
        <v>4268.6000000000004</v>
      </c>
      <c r="FV4" s="7">
        <v>2677.24</v>
      </c>
      <c r="FW4" s="7">
        <v>4115.4799999999996</v>
      </c>
      <c r="FX4" s="7">
        <v>2339.4</v>
      </c>
      <c r="FY4" s="7">
        <v>3665</v>
      </c>
      <c r="FZ4" s="7">
        <v>17</v>
      </c>
      <c r="GA4" s="7">
        <v>2342</v>
      </c>
      <c r="GB4" s="7">
        <v>4299</v>
      </c>
      <c r="GC4" s="7">
        <v>2449</v>
      </c>
      <c r="GD4" s="7">
        <v>6073</v>
      </c>
      <c r="GE4" s="7">
        <v>5450</v>
      </c>
      <c r="GF4" s="7">
        <v>3664</v>
      </c>
      <c r="GG4" s="7">
        <v>27</v>
      </c>
      <c r="GH4" s="7">
        <v>3547</v>
      </c>
      <c r="GI4" s="7">
        <v>3040</v>
      </c>
      <c r="GJ4" s="7">
        <v>2371</v>
      </c>
      <c r="GK4" s="7">
        <v>1950</v>
      </c>
      <c r="GL4" s="7">
        <v>1915</v>
      </c>
      <c r="GM4" s="7">
        <v>2888</v>
      </c>
      <c r="GN4" s="7">
        <v>122</v>
      </c>
      <c r="GO4" s="7">
        <v>2151</v>
      </c>
      <c r="GP4" s="7"/>
      <c r="GQ4" s="7">
        <v>3169</v>
      </c>
      <c r="GR4" s="7">
        <v>2248</v>
      </c>
      <c r="GS4" s="7">
        <v>2394</v>
      </c>
      <c r="GT4" s="7">
        <v>2780</v>
      </c>
      <c r="GU4" s="7">
        <v>135</v>
      </c>
      <c r="GV4" s="7">
        <v>3335</v>
      </c>
      <c r="GW4" s="7">
        <v>3198</v>
      </c>
      <c r="GX4" s="7">
        <v>1865</v>
      </c>
      <c r="GY4" s="7">
        <v>470</v>
      </c>
      <c r="GZ4" s="7">
        <v>1007</v>
      </c>
      <c r="HA4" s="7">
        <v>134</v>
      </c>
      <c r="HB4" s="7">
        <v>384</v>
      </c>
      <c r="HC4" s="7">
        <v>3516</v>
      </c>
      <c r="HD4" s="7">
        <v>4239</v>
      </c>
      <c r="HE4" s="7">
        <v>2577</v>
      </c>
      <c r="HF4" s="7">
        <v>2272</v>
      </c>
      <c r="HG4" s="7">
        <v>2746</v>
      </c>
      <c r="HH4" s="7">
        <v>3389</v>
      </c>
      <c r="HI4" s="7">
        <v>469</v>
      </c>
      <c r="HJ4" s="7">
        <v>2571</v>
      </c>
      <c r="HK4" s="7">
        <v>2548</v>
      </c>
      <c r="HL4" s="7">
        <v>2356</v>
      </c>
      <c r="HM4" s="7">
        <v>2157</v>
      </c>
      <c r="HN4" s="7">
        <v>2406</v>
      </c>
      <c r="HO4" s="7">
        <v>4167</v>
      </c>
      <c r="HP4" s="7">
        <v>295</v>
      </c>
      <c r="HQ4" s="7">
        <v>4255</v>
      </c>
      <c r="HR4" s="7">
        <v>3998</v>
      </c>
      <c r="HS4" s="7">
        <v>3984</v>
      </c>
      <c r="HT4" s="7">
        <v>5218</v>
      </c>
      <c r="HU4" s="7">
        <v>4933</v>
      </c>
      <c r="HV4" s="7">
        <v>3653</v>
      </c>
      <c r="HW4" s="7">
        <v>328</v>
      </c>
      <c r="HX4" s="7">
        <v>2835</v>
      </c>
      <c r="HY4" s="7">
        <v>3853</v>
      </c>
      <c r="HZ4" s="7">
        <v>3725</v>
      </c>
      <c r="IA4" s="7">
        <v>5333</v>
      </c>
      <c r="IB4" s="7">
        <v>4406</v>
      </c>
      <c r="IC4" s="7">
        <v>5555</v>
      </c>
      <c r="ID4" s="7">
        <v>1191</v>
      </c>
      <c r="IE4" s="7">
        <v>3284</v>
      </c>
      <c r="IF4" s="7">
        <v>5599</v>
      </c>
      <c r="IG4" s="7">
        <v>5865</v>
      </c>
      <c r="IH4" s="7">
        <v>6175</v>
      </c>
      <c r="II4" s="7">
        <v>7193</v>
      </c>
      <c r="IJ4" s="7">
        <v>2042</v>
      </c>
      <c r="IK4" s="7">
        <v>1004</v>
      </c>
      <c r="IL4" s="7">
        <v>4668</v>
      </c>
      <c r="IM4" s="7">
        <v>5951</v>
      </c>
      <c r="IN4" s="7">
        <v>5611</v>
      </c>
      <c r="IO4" s="7">
        <v>5902</v>
      </c>
      <c r="IP4" s="7">
        <v>2998</v>
      </c>
      <c r="IQ4" s="7">
        <v>3949</v>
      </c>
      <c r="IR4" s="7">
        <v>4</v>
      </c>
      <c r="IS4" s="7">
        <v>2753</v>
      </c>
      <c r="IT4" s="7">
        <v>4272</v>
      </c>
      <c r="IU4" s="7">
        <v>3116</v>
      </c>
      <c r="IV4" s="7">
        <v>3238</v>
      </c>
      <c r="IW4" s="7">
        <v>4472</v>
      </c>
      <c r="IX4" s="7">
        <v>3288</v>
      </c>
      <c r="IY4" s="7">
        <v>2481</v>
      </c>
      <c r="IZ4" s="7">
        <v>3294</v>
      </c>
      <c r="JA4" s="7">
        <v>4220</v>
      </c>
      <c r="JB4" s="7">
        <v>5300</v>
      </c>
      <c r="JC4" s="7">
        <v>5728</v>
      </c>
      <c r="JD4" s="7">
        <v>3794</v>
      </c>
      <c r="JE4" s="7">
        <v>1564</v>
      </c>
      <c r="JF4" s="7">
        <v>578</v>
      </c>
      <c r="JG4" s="7">
        <v>1601</v>
      </c>
      <c r="JH4" s="7">
        <v>4728</v>
      </c>
      <c r="JI4" s="7">
        <v>4910</v>
      </c>
      <c r="JJ4" s="7">
        <v>6926</v>
      </c>
      <c r="JK4" s="7">
        <v>4578</v>
      </c>
      <c r="JL4" s="7">
        <v>4435</v>
      </c>
      <c r="JM4" s="7">
        <v>135</v>
      </c>
      <c r="JN4" s="2">
        <v>3033</v>
      </c>
      <c r="JO4" s="2">
        <v>5142</v>
      </c>
      <c r="JP4" s="2">
        <v>4256</v>
      </c>
      <c r="JQ4" s="2">
        <v>6559</v>
      </c>
      <c r="JR4" s="2">
        <v>3985</v>
      </c>
      <c r="JS4" s="2">
        <v>8854</v>
      </c>
      <c r="JT4" s="2">
        <v>1113</v>
      </c>
      <c r="JU4" s="2">
        <v>2044</v>
      </c>
      <c r="JV4" s="2">
        <v>6331</v>
      </c>
      <c r="JW4" s="2">
        <v>7563</v>
      </c>
      <c r="JX4" s="2">
        <v>8685</v>
      </c>
      <c r="JY4" s="2">
        <v>8896</v>
      </c>
      <c r="JZ4" s="2">
        <v>6606</v>
      </c>
      <c r="KA4" s="2">
        <v>2994</v>
      </c>
      <c r="KB4" s="2">
        <v>4548</v>
      </c>
      <c r="KC4" s="2">
        <v>4207</v>
      </c>
      <c r="KD4" s="2">
        <v>2758</v>
      </c>
      <c r="KE4" s="2">
        <v>3193</v>
      </c>
      <c r="KF4" s="2">
        <v>4061</v>
      </c>
      <c r="KG4" s="2">
        <v>6999</v>
      </c>
      <c r="KH4" s="2">
        <v>1947</v>
      </c>
      <c r="KI4" s="2">
        <v>5740</v>
      </c>
      <c r="KJ4" s="2">
        <v>5972</v>
      </c>
      <c r="KK4" s="2">
        <v>5824</v>
      </c>
      <c r="KL4" s="2">
        <v>7129</v>
      </c>
      <c r="KM4" s="2">
        <v>6400</v>
      </c>
      <c r="KN4" s="2">
        <v>4441</v>
      </c>
      <c r="KO4" s="2">
        <v>18</v>
      </c>
      <c r="KP4" s="2">
        <v>3023</v>
      </c>
      <c r="KQ4" s="2">
        <v>6216</v>
      </c>
      <c r="KR4" s="2">
        <v>511</v>
      </c>
      <c r="KS4" s="2">
        <v>11348</v>
      </c>
      <c r="KT4" s="2">
        <v>10800</v>
      </c>
      <c r="KU4" s="2">
        <v>9226</v>
      </c>
      <c r="KV4" s="2">
        <v>2464</v>
      </c>
      <c r="KW4" s="2">
        <v>9698</v>
      </c>
      <c r="KX4" s="2">
        <v>6494</v>
      </c>
      <c r="KY4" s="2">
        <v>4825</v>
      </c>
      <c r="KZ4" s="2">
        <v>2700</v>
      </c>
      <c r="LA4" s="2">
        <v>6012</v>
      </c>
      <c r="LB4" s="2">
        <v>3040</v>
      </c>
      <c r="LC4" s="2">
        <v>184</v>
      </c>
      <c r="LD4" s="2">
        <v>1909</v>
      </c>
      <c r="LE4" s="2">
        <v>5216</v>
      </c>
      <c r="LF4" s="2">
        <v>5506</v>
      </c>
      <c r="LG4" s="2">
        <v>5508</v>
      </c>
      <c r="LH4" s="2">
        <v>5082</v>
      </c>
      <c r="LI4" s="2">
        <v>2482</v>
      </c>
      <c r="LJ4" s="2">
        <v>10</v>
      </c>
      <c r="LK4" s="2">
        <v>4191</v>
      </c>
      <c r="LL4" s="2">
        <v>4205</v>
      </c>
      <c r="LM4" s="2">
        <v>9546</v>
      </c>
      <c r="LN4" s="2">
        <v>7173</v>
      </c>
      <c r="LO4" s="2">
        <v>6454</v>
      </c>
      <c r="LP4" s="2">
        <v>6394</v>
      </c>
      <c r="LQ4" s="2">
        <v>1544</v>
      </c>
      <c r="LR4" s="2">
        <v>5847</v>
      </c>
      <c r="LS4" s="2">
        <v>8154</v>
      </c>
      <c r="LT4" s="2">
        <v>7115</v>
      </c>
      <c r="LU4" s="2">
        <v>8709</v>
      </c>
      <c r="LV4" s="2">
        <v>4369</v>
      </c>
      <c r="LW4" s="2">
        <v>6379</v>
      </c>
      <c r="LX4" s="2">
        <v>1172</v>
      </c>
      <c r="LY4" s="2">
        <v>6188</v>
      </c>
      <c r="LZ4" s="2">
        <v>6447</v>
      </c>
      <c r="MA4" s="2">
        <v>5858</v>
      </c>
      <c r="MB4" s="2">
        <v>8911</v>
      </c>
      <c r="MC4" s="2">
        <v>8353</v>
      </c>
      <c r="MD4" s="2">
        <v>5736</v>
      </c>
      <c r="ME4" s="2">
        <v>955</v>
      </c>
      <c r="MF4" s="2">
        <v>5665</v>
      </c>
      <c r="MG4" s="2">
        <v>6596</v>
      </c>
      <c r="MH4" s="2">
        <v>6072</v>
      </c>
      <c r="MI4" s="2">
        <v>8439</v>
      </c>
      <c r="MJ4" s="2">
        <v>7856</v>
      </c>
      <c r="MK4" s="2">
        <v>5724</v>
      </c>
      <c r="ML4" s="2">
        <v>1014</v>
      </c>
      <c r="MM4" s="2">
        <v>5803</v>
      </c>
      <c r="MN4" s="2">
        <v>6008</v>
      </c>
      <c r="MO4" s="2">
        <v>6783</v>
      </c>
      <c r="MP4" s="2">
        <v>5848</v>
      </c>
      <c r="MQ4" s="2">
        <v>5148</v>
      </c>
      <c r="MR4" s="2">
        <v>6407</v>
      </c>
      <c r="MS4" s="2">
        <v>1386</v>
      </c>
      <c r="MT4" s="2">
        <v>5520</v>
      </c>
      <c r="MU4" s="2">
        <v>7718</v>
      </c>
      <c r="MV4" s="2">
        <v>5043</v>
      </c>
      <c r="MW4" s="2">
        <v>4962</v>
      </c>
      <c r="MX4" s="2">
        <v>3722</v>
      </c>
      <c r="MY4" s="2">
        <v>5710</v>
      </c>
      <c r="MZ4" s="2">
        <v>1374</v>
      </c>
      <c r="NA4" s="7">
        <v>5212</v>
      </c>
      <c r="NB4" s="7">
        <v>3937</v>
      </c>
      <c r="NC4" s="7">
        <v>2581</v>
      </c>
    </row>
    <row r="5" spans="1:367">
      <c r="A5" s="17">
        <f>A4/A3</f>
        <v>58.436017353174414</v>
      </c>
      <c r="B5" s="18" t="s">
        <v>424</v>
      </c>
      <c r="C5" s="7"/>
      <c r="D5" s="7">
        <f t="shared" ref="D5:N5" si="0">+D4/D3</f>
        <v>61.180327868852459</v>
      </c>
      <c r="E5" s="7">
        <f t="shared" si="0"/>
        <v>69.856410256410257</v>
      </c>
      <c r="F5" s="7">
        <f t="shared" si="0"/>
        <v>75.390476190476193</v>
      </c>
      <c r="G5" s="7">
        <f t="shared" si="0"/>
        <v>13.877551020408163</v>
      </c>
      <c r="H5" s="7">
        <f t="shared" si="0"/>
        <v>28.630303030303029</v>
      </c>
      <c r="I5" s="7">
        <f t="shared" si="0"/>
        <v>51.648484848484848</v>
      </c>
      <c r="J5" s="7">
        <f t="shared" si="0"/>
        <v>48.303030303030305</v>
      </c>
      <c r="K5" s="7">
        <f t="shared" si="0"/>
        <v>30.615239887111944</v>
      </c>
      <c r="L5" s="7">
        <f t="shared" si="0"/>
        <v>45.733333333333334</v>
      </c>
      <c r="M5" s="7">
        <f t="shared" si="0"/>
        <v>37.833333333333336</v>
      </c>
      <c r="N5" s="7">
        <f t="shared" si="0"/>
        <v>5.3066666666666666</v>
      </c>
      <c r="O5" s="7">
        <f>+O4/O3</f>
        <v>31.876923076923077</v>
      </c>
      <c r="P5" s="7">
        <f t="shared" ref="P5:BY5" si="1">+P4/P3</f>
        <v>26.217959895379252</v>
      </c>
      <c r="Q5" s="7">
        <f t="shared" si="1"/>
        <v>43.261538461538464</v>
      </c>
      <c r="R5" s="7">
        <f t="shared" si="1"/>
        <v>47.731958762886599</v>
      </c>
      <c r="S5" s="7">
        <f t="shared" si="1"/>
        <v>46.47179487179487</v>
      </c>
      <c r="T5" s="7">
        <f t="shared" si="1"/>
        <v>59.116666666666667</v>
      </c>
      <c r="U5" s="7">
        <f t="shared" si="1"/>
        <v>7.2</v>
      </c>
      <c r="V5" s="7">
        <f t="shared" si="1"/>
        <v>42.633333333333333</v>
      </c>
      <c r="W5" s="7">
        <f t="shared" si="1"/>
        <v>49.490748898678419</v>
      </c>
      <c r="X5" s="7">
        <f t="shared" si="1"/>
        <v>45.254972875226045</v>
      </c>
      <c r="Y5" s="7">
        <f t="shared" si="1"/>
        <v>27.169230769230769</v>
      </c>
      <c r="Z5" s="7">
        <f t="shared" si="1"/>
        <v>38.18888888888889</v>
      </c>
      <c r="AA5" s="7">
        <f t="shared" si="1"/>
        <v>26.55</v>
      </c>
      <c r="AB5" s="7">
        <f t="shared" si="1"/>
        <v>2.5714285714285716</v>
      </c>
      <c r="AC5" s="7">
        <f t="shared" si="1"/>
        <v>27.714016933207898</v>
      </c>
      <c r="AD5" s="7">
        <f t="shared" si="1"/>
        <v>30.422222222222221</v>
      </c>
      <c r="AE5" s="7">
        <f t="shared" si="1"/>
        <v>27.948717948717949</v>
      </c>
      <c r="AF5" s="7">
        <f t="shared" si="1"/>
        <v>19.333333333333332</v>
      </c>
      <c r="AG5" s="7">
        <f t="shared" si="1"/>
        <v>24.57036346691519</v>
      </c>
      <c r="AH5" s="7">
        <f t="shared" si="1"/>
        <v>13.339130434782609</v>
      </c>
      <c r="AI5" s="7">
        <f t="shared" si="1"/>
        <v>1.68</v>
      </c>
      <c r="AJ5" s="7">
        <f t="shared" si="1"/>
        <v>29.617021276595743</v>
      </c>
      <c r="AK5" s="7">
        <f t="shared" si="1"/>
        <v>55.768924302788839</v>
      </c>
      <c r="AL5" s="7">
        <f t="shared" si="1"/>
        <v>26.787985865724384</v>
      </c>
      <c r="AM5" s="7">
        <f t="shared" si="1"/>
        <v>40.369230769230768</v>
      </c>
      <c r="AN5" s="7">
        <f t="shared" si="1"/>
        <v>37.282051282051285</v>
      </c>
      <c r="AO5" s="7">
        <f t="shared" si="1"/>
        <v>43.961904761904762</v>
      </c>
      <c r="AP5" s="7">
        <f t="shared" si="1"/>
        <v>14.88</v>
      </c>
      <c r="AQ5" s="7">
        <f t="shared" si="1"/>
        <v>48.073107049608346</v>
      </c>
      <c r="AR5" s="7">
        <f t="shared" si="1"/>
        <v>64.752260397830028</v>
      </c>
      <c r="AS5" s="7">
        <f t="shared" si="1"/>
        <v>56.441025641025639</v>
      </c>
      <c r="AT5" s="7">
        <f t="shared" si="1"/>
        <v>54.112820512820512</v>
      </c>
      <c r="AU5" s="7">
        <f t="shared" si="1"/>
        <v>55.507692307692309</v>
      </c>
      <c r="AV5" s="7">
        <f t="shared" si="1"/>
        <v>60.042857142857137</v>
      </c>
      <c r="AW5" s="7">
        <f t="shared" si="1"/>
        <v>7.7960088691796017</v>
      </c>
      <c r="AX5" s="7">
        <f t="shared" si="1"/>
        <v>38.24356775300172</v>
      </c>
      <c r="AY5" s="7">
        <f t="shared" si="1"/>
        <v>50.229802513464996</v>
      </c>
      <c r="AZ5" s="7">
        <f t="shared" si="1"/>
        <v>36.799999999999997</v>
      </c>
      <c r="BA5" s="7">
        <f t="shared" si="1"/>
        <v>50.114754098360656</v>
      </c>
      <c r="BB5" s="7">
        <f t="shared" si="1"/>
        <v>42.654545454545456</v>
      </c>
      <c r="BC5" s="7">
        <f t="shared" si="1"/>
        <v>107.86666666666666</v>
      </c>
      <c r="BD5" s="7">
        <f t="shared" si="1"/>
        <v>12.654545454545453</v>
      </c>
      <c r="BE5" s="7">
        <f t="shared" si="1"/>
        <v>41.602484472049689</v>
      </c>
      <c r="BF5" s="7">
        <f t="shared" si="1"/>
        <v>43.854318418314257</v>
      </c>
      <c r="BG5" s="7">
        <f t="shared" si="1"/>
        <v>37.887179487179488</v>
      </c>
      <c r="BH5" s="7">
        <f t="shared" si="1"/>
        <v>33.661538461538463</v>
      </c>
      <c r="BI5" s="7">
        <f t="shared" si="1"/>
        <v>43.641025641025642</v>
      </c>
      <c r="BJ5" s="7">
        <f t="shared" si="1"/>
        <v>77.042553191489361</v>
      </c>
      <c r="BK5" s="7">
        <f t="shared" si="1"/>
        <v>11.555555555555555</v>
      </c>
      <c r="BL5" s="7">
        <f t="shared" si="1"/>
        <v>56.477777777777774</v>
      </c>
      <c r="BM5" s="7">
        <f t="shared" si="1"/>
        <v>113.24102564102564</v>
      </c>
      <c r="BN5" s="7">
        <f t="shared" si="1"/>
        <v>99.101941747572823</v>
      </c>
      <c r="BO5" s="7">
        <f t="shared" si="1"/>
        <v>92.957575757575754</v>
      </c>
      <c r="BP5" s="7">
        <f t="shared" si="1"/>
        <v>82.24444444444444</v>
      </c>
      <c r="BQ5" s="7">
        <f t="shared" si="1"/>
        <v>98.419047619047618</v>
      </c>
      <c r="BR5" s="7">
        <f t="shared" si="1"/>
        <v>8.6133333333333333</v>
      </c>
      <c r="BS5" s="7">
        <f t="shared" si="1"/>
        <v>112.46153846153847</v>
      </c>
      <c r="BT5" s="7">
        <f t="shared" si="1"/>
        <v>175.28982725527828</v>
      </c>
      <c r="BU5" s="7">
        <f t="shared" si="1"/>
        <v>143.30140845070423</v>
      </c>
      <c r="BV5" s="7">
        <f t="shared" si="1"/>
        <v>174.67777777777778</v>
      </c>
      <c r="BW5" s="7">
        <f t="shared" si="1"/>
        <v>104.16806722689076</v>
      </c>
      <c r="BX5" s="7">
        <f t="shared" si="1"/>
        <v>176.32380952380953</v>
      </c>
      <c r="BY5" s="7">
        <f t="shared" si="1"/>
        <v>9.9952267303102609</v>
      </c>
      <c r="BZ5" s="47">
        <f>+BZ4/BZ3</f>
        <v>72.871794871794876</v>
      </c>
      <c r="CA5" s="47">
        <f t="shared" ref="CA5:CL5" si="2">+CA4/CA3</f>
        <v>85.753846153846155</v>
      </c>
      <c r="CB5" s="47">
        <f t="shared" si="2"/>
        <v>131.01538461538462</v>
      </c>
      <c r="CC5" s="47">
        <f t="shared" si="2"/>
        <v>140.14358974358976</v>
      </c>
      <c r="CD5" s="47">
        <f t="shared" si="2"/>
        <v>115.84804928131416</v>
      </c>
      <c r="CE5" s="47">
        <f t="shared" si="2"/>
        <v>91.915151515151521</v>
      </c>
      <c r="CF5" s="47">
        <f t="shared" si="2"/>
        <v>9.745454545454546</v>
      </c>
      <c r="CG5" s="47">
        <f t="shared" si="2"/>
        <v>85.927272727272722</v>
      </c>
      <c r="CH5" s="47">
        <f t="shared" si="2"/>
        <v>138.12121212121212</v>
      </c>
      <c r="CI5" s="47">
        <f t="shared" si="2"/>
        <v>129.23636363636365</v>
      </c>
      <c r="CJ5" s="47">
        <f t="shared" si="2"/>
        <v>74.351515151515144</v>
      </c>
      <c r="CK5" s="47">
        <f t="shared" si="2"/>
        <v>74.981818181818184</v>
      </c>
      <c r="CL5" s="47">
        <f t="shared" si="2"/>
        <v>136.91304347826087</v>
      </c>
      <c r="CP5" s="47">
        <f t="shared" ref="CP5:CT5" si="3">+CP4/CP3</f>
        <v>34.79245283018868</v>
      </c>
      <c r="CQ5" s="47">
        <f t="shared" si="3"/>
        <v>59.137891077636162</v>
      </c>
      <c r="CR5" s="47">
        <f t="shared" si="3"/>
        <v>21.56838905775076</v>
      </c>
      <c r="CS5" s="47">
        <f t="shared" si="3"/>
        <v>31.25925925925926</v>
      </c>
      <c r="CT5" s="47">
        <f t="shared" si="3"/>
        <v>3.2115384615384617</v>
      </c>
      <c r="CU5" s="47">
        <f>+CU4/CU3</f>
        <v>38.233333333333334</v>
      </c>
      <c r="CV5" s="47">
        <f t="shared" ref="CV5:DO5" si="4">+CV4/CV3</f>
        <v>52.536125654450267</v>
      </c>
      <c r="CW5" s="47">
        <f t="shared" si="4"/>
        <v>78.612499999999997</v>
      </c>
      <c r="CX5" s="47">
        <f t="shared" si="4"/>
        <v>49.83031458531935</v>
      </c>
      <c r="CY5" s="47">
        <f t="shared" si="4"/>
        <v>77.910447761194021</v>
      </c>
      <c r="CZ5" s="47">
        <f t="shared" si="4"/>
        <v>273.68</v>
      </c>
      <c r="DA5" s="47">
        <f t="shared" si="4"/>
        <v>11.999999999999998</v>
      </c>
      <c r="DB5" s="47">
        <f t="shared" si="4"/>
        <v>54.892519346517624</v>
      </c>
      <c r="DC5" s="47">
        <f t="shared" si="4"/>
        <v>71.907692307692301</v>
      </c>
      <c r="DD5" s="47">
        <f t="shared" si="4"/>
        <v>34.082051282051282</v>
      </c>
      <c r="DE5" s="47">
        <f t="shared" si="4"/>
        <v>111.8300395256917</v>
      </c>
      <c r="DF5" s="47">
        <f t="shared" si="4"/>
        <v>80.533333333333331</v>
      </c>
      <c r="DG5" s="47">
        <f t="shared" si="4"/>
        <v>119.68</v>
      </c>
      <c r="DH5" s="47">
        <f t="shared" si="4"/>
        <v>6.1361256544502618</v>
      </c>
      <c r="DI5" s="47">
        <f t="shared" si="4"/>
        <v>98.098814229249001</v>
      </c>
      <c r="DJ5" s="47">
        <f t="shared" si="4"/>
        <v>75.555555555555557</v>
      </c>
      <c r="DK5" s="47">
        <f t="shared" si="4"/>
        <v>11</v>
      </c>
      <c r="DL5" s="47"/>
      <c r="DM5" s="47">
        <f t="shared" si="4"/>
        <v>77.006060606060601</v>
      </c>
      <c r="DN5" s="47">
        <f t="shared" si="4"/>
        <v>103.06666666666666</v>
      </c>
      <c r="DO5" s="47">
        <f t="shared" si="4"/>
        <v>13.531914893617021</v>
      </c>
      <c r="DP5" s="47">
        <f>+DP4/DP3</f>
        <v>110.53075571177504</v>
      </c>
      <c r="DQ5" s="47">
        <f t="shared" ref="DQ5:FB5" si="5">+DQ4/DQ3</f>
        <v>92.358974358974365</v>
      </c>
      <c r="DR5" s="47">
        <f t="shared" si="5"/>
        <v>50.782300884955752</v>
      </c>
      <c r="DS5" s="47"/>
      <c r="DT5" s="47">
        <f t="shared" si="5"/>
        <v>151.72054223149112</v>
      </c>
      <c r="DU5" s="47">
        <f t="shared" si="5"/>
        <v>253.33333333333334</v>
      </c>
      <c r="DV5" s="47">
        <f t="shared" si="5"/>
        <v>23.666666666666668</v>
      </c>
      <c r="DW5" s="47">
        <f t="shared" si="5"/>
        <v>114.43076923076923</v>
      </c>
      <c r="DX5" s="47">
        <f t="shared" si="5"/>
        <v>78.574358974358972</v>
      </c>
      <c r="DY5" s="47">
        <f t="shared" si="5"/>
        <v>141.41538461538462</v>
      </c>
      <c r="DZ5" s="47">
        <f t="shared" si="5"/>
        <v>134.56410256410257</v>
      </c>
      <c r="EA5" s="47">
        <f t="shared" si="5"/>
        <v>199.37777777777777</v>
      </c>
      <c r="EB5" s="47">
        <f t="shared" si="5"/>
        <v>334.43708609271522</v>
      </c>
      <c r="EC5" s="47">
        <f t="shared" si="5"/>
        <v>25.754385964912281</v>
      </c>
      <c r="ED5" s="47">
        <f t="shared" si="5"/>
        <v>34.762499999999996</v>
      </c>
      <c r="EE5" s="47">
        <f t="shared" si="5"/>
        <v>44.336842105263159</v>
      </c>
      <c r="EF5" s="47">
        <f t="shared" si="5"/>
        <v>54.655555555555559</v>
      </c>
      <c r="EG5" s="47">
        <f t="shared" si="5"/>
        <v>45</v>
      </c>
      <c r="EH5" s="47">
        <f t="shared" si="5"/>
        <v>44.892307692307689</v>
      </c>
      <c r="EI5" s="47">
        <f t="shared" si="5"/>
        <v>149.6</v>
      </c>
      <c r="EJ5" s="47">
        <f t="shared" si="5"/>
        <v>10.066666666666666</v>
      </c>
      <c r="EK5" s="47">
        <f t="shared" si="5"/>
        <v>17.32590529247911</v>
      </c>
      <c r="EL5" s="47">
        <f t="shared" si="5"/>
        <v>39.07692307692308</v>
      </c>
      <c r="EM5" s="47">
        <f t="shared" si="5"/>
        <v>54.810256410256407</v>
      </c>
      <c r="EN5" s="47">
        <f t="shared" si="5"/>
        <v>61.322222222222223</v>
      </c>
      <c r="EO5" s="47">
        <f t="shared" si="5"/>
        <v>42.576819407008088</v>
      </c>
      <c r="EP5" s="47">
        <f t="shared" si="5"/>
        <v>185.34228187919464</v>
      </c>
      <c r="EQ5" s="47">
        <f t="shared" si="5"/>
        <v>21.719298245614034</v>
      </c>
      <c r="ER5" s="47">
        <f t="shared" si="5"/>
        <v>37.337435897435896</v>
      </c>
      <c r="ES5" s="47">
        <f t="shared" si="5"/>
        <v>52.569270386266091</v>
      </c>
      <c r="ET5" s="47">
        <f t="shared" si="5"/>
        <v>45.574886260236575</v>
      </c>
      <c r="EU5" s="47">
        <f t="shared" si="5"/>
        <v>27.645128205128206</v>
      </c>
      <c r="EV5" s="47">
        <f t="shared" si="5"/>
        <v>22.335384615384612</v>
      </c>
      <c r="EW5" s="47">
        <f t="shared" si="5"/>
        <v>30.254871794871793</v>
      </c>
      <c r="EX5" s="47">
        <f t="shared" si="5"/>
        <v>12.514871794871794</v>
      </c>
      <c r="EY5" s="47">
        <f t="shared" si="5"/>
        <v>29.692307692307693</v>
      </c>
      <c r="EZ5" s="47">
        <f t="shared" si="5"/>
        <v>73.610256410256412</v>
      </c>
      <c r="FA5" s="47">
        <f t="shared" si="5"/>
        <v>105.83589743589744</v>
      </c>
      <c r="FB5" s="47">
        <f t="shared" si="5"/>
        <v>56.58041958041958</v>
      </c>
      <c r="FG5" s="7">
        <f>+FG4/FG3</f>
        <v>19.32</v>
      </c>
      <c r="FH5" s="7">
        <f t="shared" ref="FH5:GU5" si="6">+FH4/FH3</f>
        <v>19.306666666666668</v>
      </c>
      <c r="FI5" s="7">
        <f t="shared" si="6"/>
        <v>15.883040935672515</v>
      </c>
      <c r="FJ5" s="7">
        <f t="shared" si="6"/>
        <v>24.166666666666668</v>
      </c>
      <c r="FK5" s="7">
        <f t="shared" si="6"/>
        <v>38.896551724137929</v>
      </c>
      <c r="FL5" s="7">
        <f t="shared" si="6"/>
        <v>1.3144329896907216</v>
      </c>
      <c r="FM5" s="7">
        <f t="shared" si="6"/>
        <v>30.187919463087248</v>
      </c>
      <c r="FN5" s="7">
        <f t="shared" si="6"/>
        <v>52.339393939393936</v>
      </c>
      <c r="FO5" s="7">
        <f t="shared" si="6"/>
        <v>46.012121212121215</v>
      </c>
      <c r="FP5" s="7">
        <f t="shared" si="6"/>
        <v>74.296296296296291</v>
      </c>
      <c r="FQ5" s="7">
        <f t="shared" si="6"/>
        <v>98.75555555555556</v>
      </c>
      <c r="FR5" s="7">
        <f t="shared" si="6"/>
        <v>113.82456140350877</v>
      </c>
      <c r="FS5" s="7">
        <f t="shared" si="6"/>
        <v>0.24</v>
      </c>
      <c r="FT5" s="7">
        <f t="shared" si="6"/>
        <v>19.988154158215011</v>
      </c>
      <c r="FU5" s="7">
        <f t="shared" si="6"/>
        <v>53.749422875131167</v>
      </c>
      <c r="FV5" s="7">
        <f t="shared" si="6"/>
        <v>33.853403582718641</v>
      </c>
      <c r="FW5" s="7">
        <f t="shared" si="6"/>
        <v>54.873066666666659</v>
      </c>
      <c r="FX5" s="7">
        <f t="shared" si="6"/>
        <v>31.649154453213075</v>
      </c>
      <c r="FY5" s="7">
        <f t="shared" si="6"/>
        <v>101.57043879907623</v>
      </c>
      <c r="FZ5" s="7">
        <f t="shared" si="6"/>
        <v>0.45333333333333331</v>
      </c>
      <c r="GA5" s="7">
        <f t="shared" si="6"/>
        <v>28.53197969543147</v>
      </c>
      <c r="GB5" s="7">
        <f t="shared" si="6"/>
        <v>52.426829268292686</v>
      </c>
      <c r="GC5" s="7">
        <f t="shared" si="6"/>
        <v>29.684848484848484</v>
      </c>
      <c r="GD5" s="7">
        <f t="shared" si="6"/>
        <v>73.61212121212121</v>
      </c>
      <c r="GE5" s="7">
        <f t="shared" si="6"/>
        <v>71.71052631578948</v>
      </c>
      <c r="GF5" s="7">
        <f t="shared" si="6"/>
        <v>81.422222222222217</v>
      </c>
      <c r="GG5" s="7">
        <f t="shared" si="6"/>
        <v>1.0253164556962024</v>
      </c>
      <c r="GH5" s="7">
        <f t="shared" si="6"/>
        <v>42.436689930209369</v>
      </c>
      <c r="GI5" s="7">
        <f t="shared" si="6"/>
        <v>33.777777777777779</v>
      </c>
      <c r="GJ5" s="7">
        <f t="shared" si="6"/>
        <v>26.344444444444445</v>
      </c>
      <c r="GK5" s="7">
        <f t="shared" si="6"/>
        <v>22.413793103448278</v>
      </c>
      <c r="GL5" s="7">
        <f t="shared" si="6"/>
        <v>21.277777777777779</v>
      </c>
      <c r="GM5" s="7">
        <f t="shared" si="6"/>
        <v>55.53846153846154</v>
      </c>
      <c r="GN5" s="7">
        <f t="shared" si="6"/>
        <v>4.0666666666666664</v>
      </c>
      <c r="GO5" s="7">
        <f t="shared" si="6"/>
        <v>27.113445378151262</v>
      </c>
      <c r="GP5" s="7"/>
      <c r="GQ5" s="7">
        <f t="shared" si="6"/>
        <v>38.412121212121214</v>
      </c>
      <c r="GR5" s="7">
        <f t="shared" si="6"/>
        <v>27.24848484848485</v>
      </c>
      <c r="GS5" s="7">
        <f t="shared" si="6"/>
        <v>29.018181818181819</v>
      </c>
      <c r="GT5" s="7">
        <f t="shared" si="6"/>
        <v>33.93692777212614</v>
      </c>
      <c r="GU5" s="7">
        <f t="shared" si="6"/>
        <v>1.9401197604790421</v>
      </c>
      <c r="GV5" s="47">
        <f>+GV4/GV3</f>
        <v>38.333333333333336</v>
      </c>
      <c r="GW5" s="47">
        <f t="shared" ref="GW5:IR5" si="7">+GW4/GW3</f>
        <v>42.64</v>
      </c>
      <c r="GX5" s="47">
        <f t="shared" si="7"/>
        <v>22.606060606060606</v>
      </c>
      <c r="GY5" s="47">
        <f t="shared" si="7"/>
        <v>4.8205128205128203</v>
      </c>
      <c r="GZ5" s="47">
        <f t="shared" si="7"/>
        <v>11.367826904985892</v>
      </c>
      <c r="HA5" s="47">
        <f t="shared" si="7"/>
        <v>3.8377088305489253</v>
      </c>
      <c r="HB5" s="47">
        <f t="shared" si="7"/>
        <v>7.6672212978369378</v>
      </c>
      <c r="HC5" s="47">
        <f t="shared" si="7"/>
        <v>46.061135371179041</v>
      </c>
      <c r="HD5" s="47">
        <f t="shared" si="7"/>
        <v>47.808270676691727</v>
      </c>
      <c r="HE5" s="47">
        <f t="shared" si="7"/>
        <v>35.5448275862069</v>
      </c>
      <c r="HF5" s="47">
        <f t="shared" si="7"/>
        <v>31.776223776223777</v>
      </c>
      <c r="HG5" s="47">
        <f t="shared" si="7"/>
        <v>30.511111111111113</v>
      </c>
      <c r="HH5" s="47">
        <f t="shared" si="7"/>
        <v>90.373333333333335</v>
      </c>
      <c r="HI5" s="47">
        <f t="shared" si="7"/>
        <v>8.9333333333333336</v>
      </c>
      <c r="HJ5" s="47">
        <f t="shared" si="7"/>
        <v>29.551724137931036</v>
      </c>
      <c r="HK5" s="47">
        <f t="shared" si="7"/>
        <v>28.31111111111111</v>
      </c>
      <c r="HL5" s="47">
        <f t="shared" si="7"/>
        <v>29.666316894018887</v>
      </c>
      <c r="HM5" s="47">
        <f t="shared" si="7"/>
        <v>23.966666666666665</v>
      </c>
      <c r="HN5" s="47">
        <f t="shared" si="7"/>
        <v>29.163636363636364</v>
      </c>
      <c r="HO5" s="47">
        <f t="shared" si="7"/>
        <v>112.11659192825113</v>
      </c>
      <c r="HP5" s="47">
        <f t="shared" si="7"/>
        <v>6.99604743083004</v>
      </c>
      <c r="HQ5" s="47">
        <f t="shared" si="7"/>
        <v>47.277777777777779</v>
      </c>
      <c r="HR5" s="47">
        <f t="shared" si="7"/>
        <v>46.897360703812318</v>
      </c>
      <c r="HS5" s="47">
        <f t="shared" si="7"/>
        <v>44.266666666666666</v>
      </c>
      <c r="HT5" s="47">
        <f t="shared" si="7"/>
        <v>59.919617224880383</v>
      </c>
      <c r="HU5" s="47">
        <f t="shared" si="7"/>
        <v>68.672853828306273</v>
      </c>
      <c r="HV5" s="47">
        <f t="shared" si="7"/>
        <v>121.76666666666667</v>
      </c>
      <c r="HW5" s="47">
        <f t="shared" si="7"/>
        <v>14.577777777777778</v>
      </c>
      <c r="HX5" s="47">
        <f t="shared" si="7"/>
        <v>42.208436724565765</v>
      </c>
      <c r="HY5" s="47">
        <f t="shared" si="7"/>
        <v>67.894273127753308</v>
      </c>
      <c r="HZ5" s="47">
        <f t="shared" si="7"/>
        <v>55.185185185185183</v>
      </c>
      <c r="IA5" s="47">
        <f t="shared" si="7"/>
        <v>75.645390070921991</v>
      </c>
      <c r="IB5" s="47">
        <f t="shared" si="7"/>
        <v>59.140939597315437</v>
      </c>
      <c r="IC5" s="47">
        <f t="shared" si="7"/>
        <v>74.066666666666663</v>
      </c>
      <c r="ID5" s="47">
        <f t="shared" si="7"/>
        <v>18.954907161803714</v>
      </c>
      <c r="IE5" s="47">
        <f t="shared" si="7"/>
        <v>43.786666666666669</v>
      </c>
      <c r="IF5" s="47">
        <f t="shared" si="7"/>
        <v>71.782051282051285</v>
      </c>
      <c r="IG5" s="47">
        <f t="shared" si="7"/>
        <v>81.647331786542935</v>
      </c>
      <c r="IH5" s="47">
        <f t="shared" si="7"/>
        <v>79.166666666666671</v>
      </c>
      <c r="II5" s="47">
        <f t="shared" si="7"/>
        <v>95.906666666666666</v>
      </c>
      <c r="IJ5" s="47">
        <f t="shared" si="7"/>
        <v>41.252525252525253</v>
      </c>
      <c r="IK5" s="47">
        <f t="shared" si="7"/>
        <v>44.62222222222222</v>
      </c>
      <c r="IL5" s="47">
        <f t="shared" si="7"/>
        <v>56.753799392097264</v>
      </c>
      <c r="IM5" s="47">
        <f t="shared" si="7"/>
        <v>75.091482649842277</v>
      </c>
      <c r="IN5" s="47">
        <f t="shared" si="7"/>
        <v>69.991683991683985</v>
      </c>
      <c r="IO5" s="47">
        <f t="shared" si="7"/>
        <v>65.882790697674423</v>
      </c>
      <c r="IP5" s="47">
        <f t="shared" si="7"/>
        <v>34.559077809798268</v>
      </c>
      <c r="IQ5" s="47">
        <f t="shared" si="7"/>
        <v>53.304836895388078</v>
      </c>
      <c r="IR5" s="47">
        <f t="shared" si="7"/>
        <v>5.0793650793650794E-2</v>
      </c>
      <c r="IS5" s="47">
        <f>+IS4/IS3</f>
        <v>30.588888888888889</v>
      </c>
      <c r="IT5" s="47">
        <f t="shared" ref="IT5:JM5" si="8">+IT4/IT3</f>
        <v>47.466666666666669</v>
      </c>
      <c r="IU5" s="47">
        <f t="shared" si="8"/>
        <v>34.62222222222222</v>
      </c>
      <c r="IV5" s="47">
        <f t="shared" si="8"/>
        <v>42.60526315789474</v>
      </c>
      <c r="IW5" s="47">
        <f t="shared" si="8"/>
        <v>54.370820668693007</v>
      </c>
      <c r="IX5" s="47">
        <f t="shared" si="8"/>
        <v>77.213307240704509</v>
      </c>
      <c r="IY5" s="47">
        <f t="shared" si="8"/>
        <v>66.16</v>
      </c>
      <c r="IZ5" s="47">
        <f t="shared" si="8"/>
        <v>39.927272727272729</v>
      </c>
      <c r="JA5" s="47">
        <f t="shared" si="8"/>
        <v>52.098765432098766</v>
      </c>
      <c r="JB5" s="47">
        <f t="shared" si="8"/>
        <v>64.242424242424249</v>
      </c>
      <c r="JC5" s="47">
        <f t="shared" si="8"/>
        <v>76.714285714285722</v>
      </c>
      <c r="JD5" s="47">
        <f t="shared" si="8"/>
        <v>50.586666666666666</v>
      </c>
      <c r="JE5" s="47">
        <f t="shared" si="8"/>
        <v>29.790476190476191</v>
      </c>
      <c r="JF5" s="47">
        <f t="shared" si="8"/>
        <v>19.266666666666666</v>
      </c>
      <c r="JG5" s="47">
        <f t="shared" si="8"/>
        <v>19.60408163265306</v>
      </c>
      <c r="JH5" s="47">
        <f t="shared" si="8"/>
        <v>55.89753694581281</v>
      </c>
      <c r="JI5" s="47">
        <f t="shared" si="8"/>
        <v>59.515151515151516</v>
      </c>
      <c r="JJ5" s="47">
        <f t="shared" si="8"/>
        <v>81.005847953216374</v>
      </c>
      <c r="JK5" s="47">
        <f t="shared" si="8"/>
        <v>53.543859649122808</v>
      </c>
      <c r="JL5" s="47">
        <f t="shared" si="8"/>
        <v>84.476190476190482</v>
      </c>
      <c r="JM5" s="47">
        <f t="shared" si="8"/>
        <v>5.0310559006211184</v>
      </c>
      <c r="JN5" s="47">
        <f>+JN4/JN3</f>
        <v>45.212422360248439</v>
      </c>
      <c r="JO5" s="47">
        <f t="shared" ref="JO5:LZ5" si="9">+JO4/JO3</f>
        <v>62.327272727272728</v>
      </c>
      <c r="JP5" s="47">
        <f t="shared" si="9"/>
        <v>51.587878787878786</v>
      </c>
      <c r="JQ5" s="47">
        <f t="shared" si="9"/>
        <v>82.330543933054386</v>
      </c>
      <c r="JR5" s="47">
        <f t="shared" si="9"/>
        <v>53.133333333333333</v>
      </c>
      <c r="JS5" s="47">
        <f t="shared" si="9"/>
        <v>168.64761904761906</v>
      </c>
      <c r="JT5" s="47">
        <f t="shared" si="9"/>
        <v>30.493150684931507</v>
      </c>
      <c r="JU5" s="47">
        <f t="shared" si="9"/>
        <v>21.403141361256544</v>
      </c>
      <c r="JV5" s="47">
        <f t="shared" si="9"/>
        <v>66.525394045534156</v>
      </c>
      <c r="JW5" s="47">
        <f t="shared" si="9"/>
        <v>88.456140350877192</v>
      </c>
      <c r="JX5" s="47">
        <f t="shared" si="9"/>
        <v>91.501316944688313</v>
      </c>
      <c r="JY5" s="47">
        <f t="shared" si="9"/>
        <v>107.72149344096873</v>
      </c>
      <c r="JZ5" s="47">
        <f t="shared" si="9"/>
        <v>125.82857142857142</v>
      </c>
      <c r="KA5" s="47">
        <f t="shared" si="9"/>
        <v>99.8</v>
      </c>
      <c r="KB5" s="47">
        <f t="shared" si="9"/>
        <v>53.192982456140349</v>
      </c>
      <c r="KC5" s="47">
        <f t="shared" si="9"/>
        <v>49.204678362573098</v>
      </c>
      <c r="KD5" s="47">
        <f t="shared" si="9"/>
        <v>29.655913978494624</v>
      </c>
      <c r="KE5" s="47">
        <f t="shared" si="9"/>
        <v>34.210714285714282</v>
      </c>
      <c r="KF5" s="47">
        <f t="shared" si="9"/>
        <v>43.666666666666664</v>
      </c>
      <c r="KG5" s="47">
        <f t="shared" si="9"/>
        <v>77.622920517560075</v>
      </c>
      <c r="KH5" s="47">
        <f t="shared" si="9"/>
        <v>27.073001158748554</v>
      </c>
      <c r="KI5" s="47">
        <f t="shared" si="9"/>
        <v>61.72043010752688</v>
      </c>
      <c r="KJ5" s="47">
        <f t="shared" si="9"/>
        <v>64.215053763440864</v>
      </c>
      <c r="KK5" s="47">
        <f t="shared" si="9"/>
        <v>63.018935978358876</v>
      </c>
      <c r="KL5" s="47">
        <f t="shared" si="9"/>
        <v>82.336862367661212</v>
      </c>
      <c r="KM5" s="47">
        <f t="shared" si="9"/>
        <v>85.810055865921782</v>
      </c>
      <c r="KN5" s="47">
        <f t="shared" si="9"/>
        <v>100.36158192090396</v>
      </c>
      <c r="KO5" s="47">
        <f t="shared" si="9"/>
        <v>0.61189801699716717</v>
      </c>
      <c r="KP5" s="47">
        <f t="shared" si="9"/>
        <v>35.356725146198833</v>
      </c>
      <c r="KQ5" s="47">
        <f t="shared" si="9"/>
        <v>75.345454545454544</v>
      </c>
      <c r="KR5" s="47">
        <f t="shared" si="9"/>
        <v>6.1939393939393943</v>
      </c>
      <c r="KS5" s="47">
        <f t="shared" si="9"/>
        <v>145.48717948717947</v>
      </c>
      <c r="KT5" s="47">
        <f t="shared" si="9"/>
        <v>138.46153846153845</v>
      </c>
      <c r="KU5" s="47">
        <f t="shared" si="9"/>
        <v>264.22911694510736</v>
      </c>
      <c r="KV5" s="47">
        <f t="shared" si="9"/>
        <v>46.93333333333333</v>
      </c>
      <c r="KW5" s="47">
        <f t="shared" si="9"/>
        <v>101.02083333333333</v>
      </c>
      <c r="KX5" s="47">
        <f t="shared" si="9"/>
        <v>71.428047662694766</v>
      </c>
      <c r="KY5" s="47">
        <f t="shared" si="9"/>
        <v>45.91593973037272</v>
      </c>
      <c r="KZ5" s="47">
        <f t="shared" si="9"/>
        <v>27</v>
      </c>
      <c r="LA5" s="47">
        <f t="shared" si="9"/>
        <v>58.32174616006467</v>
      </c>
      <c r="LB5" s="47">
        <f t="shared" si="9"/>
        <v>81.066666666666663</v>
      </c>
      <c r="LC5" s="47">
        <f t="shared" si="9"/>
        <v>3.1054852320675104</v>
      </c>
      <c r="LD5" s="47">
        <f t="shared" si="9"/>
        <v>19.833766233766234</v>
      </c>
      <c r="LE5" s="47">
        <f t="shared" si="9"/>
        <v>54.427826086956514</v>
      </c>
      <c r="LF5" s="47">
        <f t="shared" si="9"/>
        <v>56.47179487179487</v>
      </c>
      <c r="LG5" s="47">
        <f t="shared" si="9"/>
        <v>61.2</v>
      </c>
      <c r="LH5" s="47">
        <f t="shared" si="9"/>
        <v>56.466666666666669</v>
      </c>
      <c r="LI5" s="47">
        <f t="shared" si="9"/>
        <v>66.186666666666667</v>
      </c>
      <c r="LJ5" s="47">
        <f t="shared" si="9"/>
        <v>0.19047619047619047</v>
      </c>
      <c r="LK5" s="47">
        <f t="shared" si="9"/>
        <v>46.56666666666667</v>
      </c>
      <c r="LL5" s="47">
        <f t="shared" si="9"/>
        <v>46.722222222222221</v>
      </c>
      <c r="LM5" s="47">
        <f t="shared" si="9"/>
        <v>110.04034582132564</v>
      </c>
      <c r="LN5" s="47">
        <f t="shared" si="9"/>
        <v>82.13358778625954</v>
      </c>
      <c r="LO5" s="47">
        <f t="shared" si="9"/>
        <v>71.977695167286257</v>
      </c>
      <c r="LP5" s="47">
        <f t="shared" si="9"/>
        <v>172.03587443946191</v>
      </c>
      <c r="LQ5" s="47">
        <f t="shared" si="9"/>
        <v>26.206506364922209</v>
      </c>
      <c r="LR5" s="47">
        <f t="shared" si="9"/>
        <v>60.123393316195376</v>
      </c>
      <c r="LS5" s="47">
        <f t="shared" si="9"/>
        <v>98.836363636363643</v>
      </c>
      <c r="LT5" s="47">
        <f t="shared" si="9"/>
        <v>90.733262486716271</v>
      </c>
      <c r="LU5" s="47">
        <f t="shared" si="9"/>
        <v>107.07786885245901</v>
      </c>
      <c r="LV5" s="47">
        <f t="shared" si="9"/>
        <v>53.882836587872553</v>
      </c>
      <c r="LW5" s="47">
        <f t="shared" si="9"/>
        <v>193.79240506329114</v>
      </c>
      <c r="LX5" s="47">
        <f t="shared" si="9"/>
        <v>28.071856287425149</v>
      </c>
      <c r="LY5" s="47">
        <f t="shared" si="9"/>
        <v>68.75555555555556</v>
      </c>
      <c r="LZ5" s="47">
        <f t="shared" si="9"/>
        <v>76.826216484607755</v>
      </c>
      <c r="MA5" s="47">
        <f t="shared" ref="MA5:NC5" si="10">+MA4/MA3</f>
        <v>77.163556531284314</v>
      </c>
      <c r="MB5" s="47">
        <f t="shared" si="10"/>
        <v>102.62188099808061</v>
      </c>
      <c r="MC5" s="47">
        <f t="shared" si="10"/>
        <v>111.37333333333333</v>
      </c>
      <c r="MD5" s="47">
        <f t="shared" si="10"/>
        <v>191.2</v>
      </c>
      <c r="ME5" s="47">
        <f t="shared" si="10"/>
        <v>22.738095238095237</v>
      </c>
      <c r="MF5" s="47">
        <f t="shared" si="10"/>
        <v>64.928366762177646</v>
      </c>
      <c r="MG5" s="47">
        <f t="shared" si="10"/>
        <v>98.447761194029852</v>
      </c>
      <c r="MH5" s="47">
        <f t="shared" si="10"/>
        <v>80.959999999999994</v>
      </c>
      <c r="MI5" s="47">
        <f t="shared" si="10"/>
        <v>112.52</v>
      </c>
      <c r="MJ5" s="47">
        <f t="shared" si="10"/>
        <v>95.224242424242419</v>
      </c>
      <c r="MK5" s="47">
        <f t="shared" si="10"/>
        <v>164.32535885167462</v>
      </c>
      <c r="ML5" s="47">
        <f t="shared" si="10"/>
        <v>19.314285714285713</v>
      </c>
      <c r="MM5" s="47">
        <f t="shared" si="10"/>
        <v>59.51794871794872</v>
      </c>
      <c r="MN5" s="47">
        <f t="shared" si="10"/>
        <v>66.75555555555556</v>
      </c>
      <c r="MO5" s="47">
        <f t="shared" si="10"/>
        <v>75.36666666666666</v>
      </c>
      <c r="MP5" s="47">
        <f t="shared" si="10"/>
        <v>64.977777777777774</v>
      </c>
      <c r="MQ5" s="47">
        <f t="shared" si="10"/>
        <v>57.2</v>
      </c>
      <c r="MR5" s="47">
        <f t="shared" si="10"/>
        <v>71.188888888888883</v>
      </c>
      <c r="MS5" s="47">
        <f t="shared" si="10"/>
        <v>14.666666666666666</v>
      </c>
      <c r="MT5" s="47">
        <f t="shared" si="10"/>
        <v>57.005163511187611</v>
      </c>
      <c r="MU5" s="47">
        <f t="shared" si="10"/>
        <v>85.75555555555556</v>
      </c>
      <c r="MV5" s="47">
        <f t="shared" si="10"/>
        <v>56.033333333333331</v>
      </c>
      <c r="MW5" s="47">
        <f t="shared" si="10"/>
        <v>55.133333333333333</v>
      </c>
      <c r="MX5" s="47">
        <f t="shared" si="10"/>
        <v>46.380062305295951</v>
      </c>
      <c r="MY5" s="47">
        <f t="shared" si="10"/>
        <v>152.26666666666668</v>
      </c>
      <c r="MZ5" s="47">
        <f t="shared" si="10"/>
        <v>23.027932960893857</v>
      </c>
      <c r="NA5" s="47">
        <f t="shared" si="10"/>
        <v>60.138461538461542</v>
      </c>
      <c r="NB5" s="47">
        <f t="shared" si="10"/>
        <v>44.527803958529695</v>
      </c>
      <c r="NC5" s="47">
        <f t="shared" si="10"/>
        <v>38.237037037037034</v>
      </c>
    </row>
    <row r="7" spans="1:367">
      <c r="A7" s="10" t="s">
        <v>57</v>
      </c>
      <c r="B7" s="10" t="s">
        <v>56</v>
      </c>
      <c r="C7" s="11">
        <v>46023</v>
      </c>
      <c r="D7" s="11">
        <f>+C7+1</f>
        <v>46024</v>
      </c>
      <c r="E7" s="11">
        <f t="shared" ref="E7:BP7" si="11">+D7+1</f>
        <v>46025</v>
      </c>
      <c r="F7" s="11">
        <f t="shared" si="11"/>
        <v>46026</v>
      </c>
      <c r="G7" s="11">
        <f t="shared" si="11"/>
        <v>46027</v>
      </c>
      <c r="H7" s="11">
        <f t="shared" si="11"/>
        <v>46028</v>
      </c>
      <c r="I7" s="11">
        <f t="shared" si="11"/>
        <v>46029</v>
      </c>
      <c r="J7" s="11">
        <f t="shared" si="11"/>
        <v>46030</v>
      </c>
      <c r="K7" s="11">
        <f t="shared" si="11"/>
        <v>46031</v>
      </c>
      <c r="L7" s="11">
        <f t="shared" si="11"/>
        <v>46032</v>
      </c>
      <c r="M7" s="11">
        <f t="shared" si="11"/>
        <v>46033</v>
      </c>
      <c r="N7" s="11">
        <f t="shared" si="11"/>
        <v>46034</v>
      </c>
      <c r="O7" s="11">
        <f t="shared" si="11"/>
        <v>46035</v>
      </c>
      <c r="P7" s="11">
        <f t="shared" si="11"/>
        <v>46036</v>
      </c>
      <c r="Q7" s="11">
        <f t="shared" si="11"/>
        <v>46037</v>
      </c>
      <c r="R7" s="11">
        <f t="shared" si="11"/>
        <v>46038</v>
      </c>
      <c r="S7" s="11">
        <f t="shared" si="11"/>
        <v>46039</v>
      </c>
      <c r="T7" s="11">
        <f t="shared" si="11"/>
        <v>46040</v>
      </c>
      <c r="U7" s="11">
        <f t="shared" si="11"/>
        <v>46041</v>
      </c>
      <c r="V7" s="11">
        <f t="shared" si="11"/>
        <v>46042</v>
      </c>
      <c r="W7" s="11">
        <f t="shared" si="11"/>
        <v>46043</v>
      </c>
      <c r="X7" s="11">
        <f t="shared" si="11"/>
        <v>46044</v>
      </c>
      <c r="Y7" s="11">
        <f t="shared" si="11"/>
        <v>46045</v>
      </c>
      <c r="Z7" s="11">
        <f t="shared" si="11"/>
        <v>46046</v>
      </c>
      <c r="AA7" s="11">
        <f t="shared" si="11"/>
        <v>46047</v>
      </c>
      <c r="AB7" s="11">
        <f t="shared" si="11"/>
        <v>46048</v>
      </c>
      <c r="AC7" s="11">
        <f t="shared" si="11"/>
        <v>46049</v>
      </c>
      <c r="AD7" s="11">
        <f t="shared" si="11"/>
        <v>46050</v>
      </c>
      <c r="AE7" s="11">
        <f t="shared" si="11"/>
        <v>46051</v>
      </c>
      <c r="AF7" s="11">
        <f t="shared" si="11"/>
        <v>46052</v>
      </c>
      <c r="AG7" s="11">
        <f t="shared" si="11"/>
        <v>46053</v>
      </c>
      <c r="AH7" s="11">
        <f t="shared" si="11"/>
        <v>46054</v>
      </c>
      <c r="AI7" s="11">
        <f t="shared" si="11"/>
        <v>46055</v>
      </c>
      <c r="AJ7" s="11">
        <f t="shared" si="11"/>
        <v>46056</v>
      </c>
      <c r="AK7" s="11">
        <f t="shared" si="11"/>
        <v>46057</v>
      </c>
      <c r="AL7" s="11">
        <f t="shared" si="11"/>
        <v>46058</v>
      </c>
      <c r="AM7" s="11">
        <f t="shared" si="11"/>
        <v>46059</v>
      </c>
      <c r="AN7" s="11">
        <f t="shared" si="11"/>
        <v>46060</v>
      </c>
      <c r="AO7" s="11">
        <f t="shared" si="11"/>
        <v>46061</v>
      </c>
      <c r="AP7" s="11">
        <f t="shared" si="11"/>
        <v>46062</v>
      </c>
      <c r="AQ7" s="11">
        <f t="shared" si="11"/>
        <v>46063</v>
      </c>
      <c r="AR7" s="11">
        <f t="shared" si="11"/>
        <v>46064</v>
      </c>
      <c r="AS7" s="11">
        <f t="shared" si="11"/>
        <v>46065</v>
      </c>
      <c r="AT7" s="11">
        <f t="shared" si="11"/>
        <v>46066</v>
      </c>
      <c r="AU7" s="11">
        <f t="shared" si="11"/>
        <v>46067</v>
      </c>
      <c r="AV7" s="11">
        <f t="shared" si="11"/>
        <v>46068</v>
      </c>
      <c r="AW7" s="11">
        <f t="shared" si="11"/>
        <v>46069</v>
      </c>
      <c r="AX7" s="11">
        <f t="shared" si="11"/>
        <v>46070</v>
      </c>
      <c r="AY7" s="11">
        <f t="shared" si="11"/>
        <v>46071</v>
      </c>
      <c r="AZ7" s="11">
        <f t="shared" si="11"/>
        <v>46072</v>
      </c>
      <c r="BA7" s="11">
        <f t="shared" si="11"/>
        <v>46073</v>
      </c>
      <c r="BB7" s="11">
        <f t="shared" si="11"/>
        <v>46074</v>
      </c>
      <c r="BC7" s="11">
        <f t="shared" si="11"/>
        <v>46075</v>
      </c>
      <c r="BD7" s="11">
        <f t="shared" si="11"/>
        <v>46076</v>
      </c>
      <c r="BE7" s="11">
        <f t="shared" si="11"/>
        <v>46077</v>
      </c>
      <c r="BF7" s="11">
        <f t="shared" si="11"/>
        <v>46078</v>
      </c>
      <c r="BG7" s="11">
        <f t="shared" si="11"/>
        <v>46079</v>
      </c>
      <c r="BH7" s="11">
        <f t="shared" si="11"/>
        <v>46080</v>
      </c>
      <c r="BI7" s="11">
        <f t="shared" si="11"/>
        <v>46081</v>
      </c>
      <c r="BJ7" s="11">
        <f t="shared" si="11"/>
        <v>46082</v>
      </c>
      <c r="BK7" s="11">
        <f t="shared" si="11"/>
        <v>46083</v>
      </c>
      <c r="BL7" s="11">
        <f t="shared" si="11"/>
        <v>46084</v>
      </c>
      <c r="BM7" s="11">
        <f t="shared" si="11"/>
        <v>46085</v>
      </c>
      <c r="BN7" s="11">
        <f t="shared" si="11"/>
        <v>46086</v>
      </c>
      <c r="BO7" s="11">
        <f t="shared" si="11"/>
        <v>46087</v>
      </c>
      <c r="BP7" s="11">
        <f t="shared" si="11"/>
        <v>46088</v>
      </c>
      <c r="BQ7" s="11">
        <f t="shared" ref="BQ7:EB7" si="12">+BP7+1</f>
        <v>46089</v>
      </c>
      <c r="BR7" s="11">
        <f t="shared" si="12"/>
        <v>46090</v>
      </c>
      <c r="BS7" s="11">
        <f t="shared" si="12"/>
        <v>46091</v>
      </c>
      <c r="BT7" s="11">
        <f t="shared" si="12"/>
        <v>46092</v>
      </c>
      <c r="BU7" s="11">
        <f t="shared" si="12"/>
        <v>46093</v>
      </c>
      <c r="BV7" s="11">
        <f t="shared" si="12"/>
        <v>46094</v>
      </c>
      <c r="BW7" s="11">
        <f t="shared" si="12"/>
        <v>46095</v>
      </c>
      <c r="BX7" s="11">
        <f t="shared" si="12"/>
        <v>46096</v>
      </c>
      <c r="BY7" s="11">
        <f t="shared" si="12"/>
        <v>46097</v>
      </c>
      <c r="BZ7" s="11">
        <f t="shared" si="12"/>
        <v>46098</v>
      </c>
      <c r="CA7" s="11">
        <f t="shared" si="12"/>
        <v>46099</v>
      </c>
      <c r="CB7" s="11">
        <f t="shared" si="12"/>
        <v>46100</v>
      </c>
      <c r="CC7" s="11">
        <f t="shared" si="12"/>
        <v>46101</v>
      </c>
      <c r="CD7" s="11">
        <f t="shared" si="12"/>
        <v>46102</v>
      </c>
      <c r="CE7" s="11">
        <f t="shared" si="12"/>
        <v>46103</v>
      </c>
      <c r="CF7" s="11">
        <f t="shared" si="12"/>
        <v>46104</v>
      </c>
      <c r="CG7" s="11">
        <f t="shared" si="12"/>
        <v>46105</v>
      </c>
      <c r="CH7" s="11">
        <f t="shared" si="12"/>
        <v>46106</v>
      </c>
      <c r="CI7" s="11">
        <f t="shared" si="12"/>
        <v>46107</v>
      </c>
      <c r="CJ7" s="11">
        <f t="shared" si="12"/>
        <v>46108</v>
      </c>
      <c r="CK7" s="11">
        <f t="shared" si="12"/>
        <v>46109</v>
      </c>
      <c r="CL7" s="11">
        <f t="shared" si="12"/>
        <v>46110</v>
      </c>
      <c r="CM7" s="11">
        <f t="shared" si="12"/>
        <v>46111</v>
      </c>
      <c r="CN7" s="11">
        <f t="shared" si="12"/>
        <v>46112</v>
      </c>
      <c r="CO7" s="11">
        <f t="shared" si="12"/>
        <v>46113</v>
      </c>
      <c r="CP7" s="11">
        <f t="shared" si="12"/>
        <v>46114</v>
      </c>
      <c r="CQ7" s="11">
        <f t="shared" si="12"/>
        <v>46115</v>
      </c>
      <c r="CR7" s="11">
        <f t="shared" si="12"/>
        <v>46116</v>
      </c>
      <c r="CS7" s="11">
        <f t="shared" si="12"/>
        <v>46117</v>
      </c>
      <c r="CT7" s="11">
        <f t="shared" si="12"/>
        <v>46118</v>
      </c>
      <c r="CU7" s="11">
        <f t="shared" si="12"/>
        <v>46119</v>
      </c>
      <c r="CV7" s="11">
        <f t="shared" si="12"/>
        <v>46120</v>
      </c>
      <c r="CW7" s="11">
        <f t="shared" si="12"/>
        <v>46121</v>
      </c>
      <c r="CX7" s="11">
        <f t="shared" si="12"/>
        <v>46122</v>
      </c>
      <c r="CY7" s="11">
        <f t="shared" si="12"/>
        <v>46123</v>
      </c>
      <c r="CZ7" s="11">
        <f t="shared" si="12"/>
        <v>46124</v>
      </c>
      <c r="DA7" s="11">
        <f t="shared" si="12"/>
        <v>46125</v>
      </c>
      <c r="DB7" s="11">
        <f t="shared" si="12"/>
        <v>46126</v>
      </c>
      <c r="DC7" s="11">
        <f t="shared" si="12"/>
        <v>46127</v>
      </c>
      <c r="DD7" s="11">
        <f t="shared" si="12"/>
        <v>46128</v>
      </c>
      <c r="DE7" s="11">
        <f t="shared" si="12"/>
        <v>46129</v>
      </c>
      <c r="DF7" s="11">
        <f t="shared" si="12"/>
        <v>46130</v>
      </c>
      <c r="DG7" s="11">
        <f t="shared" si="12"/>
        <v>46131</v>
      </c>
      <c r="DH7" s="11">
        <f t="shared" si="12"/>
        <v>46132</v>
      </c>
      <c r="DI7" s="11">
        <f t="shared" si="12"/>
        <v>46133</v>
      </c>
      <c r="DJ7" s="11">
        <f t="shared" si="12"/>
        <v>46134</v>
      </c>
      <c r="DK7" s="11">
        <f t="shared" si="12"/>
        <v>46135</v>
      </c>
      <c r="DL7" s="11">
        <f t="shared" si="12"/>
        <v>46136</v>
      </c>
      <c r="DM7" s="11">
        <f t="shared" si="12"/>
        <v>46137</v>
      </c>
      <c r="DN7" s="11">
        <f t="shared" si="12"/>
        <v>46138</v>
      </c>
      <c r="DO7" s="11">
        <f t="shared" si="12"/>
        <v>46139</v>
      </c>
      <c r="DP7" s="11">
        <f t="shared" si="12"/>
        <v>46140</v>
      </c>
      <c r="DQ7" s="11">
        <f t="shared" si="12"/>
        <v>46141</v>
      </c>
      <c r="DR7" s="11">
        <f t="shared" si="12"/>
        <v>46142</v>
      </c>
      <c r="DS7" s="11">
        <f t="shared" si="12"/>
        <v>46143</v>
      </c>
      <c r="DT7" s="11">
        <f t="shared" si="12"/>
        <v>46144</v>
      </c>
      <c r="DU7" s="11">
        <f t="shared" si="12"/>
        <v>46145</v>
      </c>
      <c r="DV7" s="11">
        <f t="shared" si="12"/>
        <v>46146</v>
      </c>
      <c r="DW7" s="11">
        <f t="shared" si="12"/>
        <v>46147</v>
      </c>
      <c r="DX7" s="11">
        <f t="shared" si="12"/>
        <v>46148</v>
      </c>
      <c r="DY7" s="11">
        <f t="shared" si="12"/>
        <v>46149</v>
      </c>
      <c r="DZ7" s="11">
        <f t="shared" si="12"/>
        <v>46150</v>
      </c>
      <c r="EA7" s="11">
        <f t="shared" si="12"/>
        <v>46151</v>
      </c>
      <c r="EB7" s="11">
        <f t="shared" si="12"/>
        <v>46152</v>
      </c>
      <c r="EC7" s="11">
        <f t="shared" ref="EC7:GN7" si="13">+EB7+1</f>
        <v>46153</v>
      </c>
      <c r="ED7" s="11">
        <f t="shared" si="13"/>
        <v>46154</v>
      </c>
      <c r="EE7" s="11">
        <f t="shared" si="13"/>
        <v>46155</v>
      </c>
      <c r="EF7" s="11">
        <f t="shared" si="13"/>
        <v>46156</v>
      </c>
      <c r="EG7" s="11">
        <f t="shared" si="13"/>
        <v>46157</v>
      </c>
      <c r="EH7" s="11">
        <f t="shared" si="13"/>
        <v>46158</v>
      </c>
      <c r="EI7" s="11">
        <f t="shared" si="13"/>
        <v>46159</v>
      </c>
      <c r="EJ7" s="11">
        <f t="shared" si="13"/>
        <v>46160</v>
      </c>
      <c r="EK7" s="11">
        <f t="shared" si="13"/>
        <v>46161</v>
      </c>
      <c r="EL7" s="11">
        <f t="shared" si="13"/>
        <v>46162</v>
      </c>
      <c r="EM7" s="11">
        <f t="shared" si="13"/>
        <v>46163</v>
      </c>
      <c r="EN7" s="11">
        <f t="shared" si="13"/>
        <v>46164</v>
      </c>
      <c r="EO7" s="11">
        <f t="shared" si="13"/>
        <v>46165</v>
      </c>
      <c r="EP7" s="11">
        <f t="shared" si="13"/>
        <v>46166</v>
      </c>
      <c r="EQ7" s="11">
        <f t="shared" si="13"/>
        <v>46167</v>
      </c>
      <c r="ER7" s="11">
        <f t="shared" si="13"/>
        <v>46168</v>
      </c>
      <c r="ES7" s="11">
        <f t="shared" si="13"/>
        <v>46169</v>
      </c>
      <c r="ET7" s="11">
        <f t="shared" si="13"/>
        <v>46170</v>
      </c>
      <c r="EU7" s="11">
        <f t="shared" si="13"/>
        <v>46171</v>
      </c>
      <c r="EV7" s="11">
        <f t="shared" si="13"/>
        <v>46172</v>
      </c>
      <c r="EW7" s="11">
        <f t="shared" si="13"/>
        <v>46173</v>
      </c>
      <c r="EX7" s="11">
        <f t="shared" si="13"/>
        <v>46174</v>
      </c>
      <c r="EY7" s="11">
        <f t="shared" si="13"/>
        <v>46175</v>
      </c>
      <c r="EZ7" s="11">
        <f t="shared" si="13"/>
        <v>46176</v>
      </c>
      <c r="FA7" s="11">
        <f t="shared" si="13"/>
        <v>46177</v>
      </c>
      <c r="FB7" s="11">
        <f t="shared" si="13"/>
        <v>46178</v>
      </c>
      <c r="FC7" s="11">
        <f t="shared" si="13"/>
        <v>46179</v>
      </c>
      <c r="FD7" s="11">
        <f t="shared" si="13"/>
        <v>46180</v>
      </c>
      <c r="FE7" s="11">
        <f t="shared" si="13"/>
        <v>46181</v>
      </c>
      <c r="FF7" s="11">
        <f t="shared" si="13"/>
        <v>46182</v>
      </c>
      <c r="FG7" s="11">
        <f t="shared" si="13"/>
        <v>46183</v>
      </c>
      <c r="FH7" s="11">
        <f t="shared" si="13"/>
        <v>46184</v>
      </c>
      <c r="FI7" s="11">
        <f t="shared" si="13"/>
        <v>46185</v>
      </c>
      <c r="FJ7" s="11">
        <f t="shared" si="13"/>
        <v>46186</v>
      </c>
      <c r="FK7" s="11">
        <f t="shared" si="13"/>
        <v>46187</v>
      </c>
      <c r="FL7" s="11">
        <f t="shared" si="13"/>
        <v>46188</v>
      </c>
      <c r="FM7" s="11">
        <f t="shared" si="13"/>
        <v>46189</v>
      </c>
      <c r="FN7" s="11">
        <f t="shared" si="13"/>
        <v>46190</v>
      </c>
      <c r="FO7" s="11">
        <f t="shared" si="13"/>
        <v>46191</v>
      </c>
      <c r="FP7" s="11">
        <f t="shared" si="13"/>
        <v>46192</v>
      </c>
      <c r="FQ7" s="11">
        <f t="shared" si="13"/>
        <v>46193</v>
      </c>
      <c r="FR7" s="11">
        <f t="shared" si="13"/>
        <v>46194</v>
      </c>
      <c r="FS7" s="11">
        <f t="shared" si="13"/>
        <v>46195</v>
      </c>
      <c r="FT7" s="11">
        <f t="shared" si="13"/>
        <v>46196</v>
      </c>
      <c r="FU7" s="11">
        <f t="shared" si="13"/>
        <v>46197</v>
      </c>
      <c r="FV7" s="11">
        <f t="shared" si="13"/>
        <v>46198</v>
      </c>
      <c r="FW7" s="11">
        <f t="shared" si="13"/>
        <v>46199</v>
      </c>
      <c r="FX7" s="11">
        <f t="shared" si="13"/>
        <v>46200</v>
      </c>
      <c r="FY7" s="11">
        <f t="shared" si="13"/>
        <v>46201</v>
      </c>
      <c r="FZ7" s="11">
        <f t="shared" si="13"/>
        <v>46202</v>
      </c>
      <c r="GA7" s="11">
        <f t="shared" si="13"/>
        <v>46203</v>
      </c>
      <c r="GB7" s="11">
        <f t="shared" si="13"/>
        <v>46204</v>
      </c>
      <c r="GC7" s="11">
        <f t="shared" si="13"/>
        <v>46205</v>
      </c>
      <c r="GD7" s="11">
        <f t="shared" si="13"/>
        <v>46206</v>
      </c>
      <c r="GE7" s="11">
        <f t="shared" si="13"/>
        <v>46207</v>
      </c>
      <c r="GF7" s="11">
        <f t="shared" si="13"/>
        <v>46208</v>
      </c>
      <c r="GG7" s="11">
        <f t="shared" si="13"/>
        <v>46209</v>
      </c>
      <c r="GH7" s="11">
        <f t="shared" si="13"/>
        <v>46210</v>
      </c>
      <c r="GI7" s="11">
        <f t="shared" si="13"/>
        <v>46211</v>
      </c>
      <c r="GJ7" s="11">
        <f t="shared" si="13"/>
        <v>46212</v>
      </c>
      <c r="GK7" s="11">
        <f t="shared" si="13"/>
        <v>46213</v>
      </c>
      <c r="GL7" s="11">
        <f t="shared" si="13"/>
        <v>46214</v>
      </c>
      <c r="GM7" s="11">
        <f t="shared" si="13"/>
        <v>46215</v>
      </c>
      <c r="GN7" s="11">
        <f t="shared" si="13"/>
        <v>46216</v>
      </c>
      <c r="GO7" s="11">
        <f t="shared" ref="GO7:IZ7" si="14">+GN7+1</f>
        <v>46217</v>
      </c>
      <c r="GP7" s="11">
        <f t="shared" si="14"/>
        <v>46218</v>
      </c>
      <c r="GQ7" s="11">
        <f t="shared" si="14"/>
        <v>46219</v>
      </c>
      <c r="GR7" s="11">
        <f t="shared" si="14"/>
        <v>46220</v>
      </c>
      <c r="GS7" s="11">
        <f t="shared" si="14"/>
        <v>46221</v>
      </c>
      <c r="GT7" s="11">
        <f t="shared" si="14"/>
        <v>46222</v>
      </c>
      <c r="GU7" s="11">
        <f t="shared" si="14"/>
        <v>46223</v>
      </c>
      <c r="GV7" s="11">
        <f t="shared" si="14"/>
        <v>46224</v>
      </c>
      <c r="GW7" s="11">
        <f t="shared" si="14"/>
        <v>46225</v>
      </c>
      <c r="GX7" s="11">
        <f t="shared" si="14"/>
        <v>46226</v>
      </c>
      <c r="GY7" s="11">
        <f t="shared" si="14"/>
        <v>46227</v>
      </c>
      <c r="GZ7" s="11">
        <f t="shared" si="14"/>
        <v>46228</v>
      </c>
      <c r="HA7" s="11">
        <f t="shared" si="14"/>
        <v>46229</v>
      </c>
      <c r="HB7" s="11">
        <f t="shared" si="14"/>
        <v>46230</v>
      </c>
      <c r="HC7" s="11">
        <f t="shared" si="14"/>
        <v>46231</v>
      </c>
      <c r="HD7" s="11">
        <f t="shared" si="14"/>
        <v>46232</v>
      </c>
      <c r="HE7" s="11">
        <f t="shared" si="14"/>
        <v>46233</v>
      </c>
      <c r="HF7" s="11">
        <f t="shared" si="14"/>
        <v>46234</v>
      </c>
      <c r="HG7" s="11">
        <f t="shared" si="14"/>
        <v>46235</v>
      </c>
      <c r="HH7" s="11">
        <f t="shared" si="14"/>
        <v>46236</v>
      </c>
      <c r="HI7" s="11">
        <f t="shared" si="14"/>
        <v>46237</v>
      </c>
      <c r="HJ7" s="11">
        <f t="shared" si="14"/>
        <v>46238</v>
      </c>
      <c r="HK7" s="11">
        <f t="shared" si="14"/>
        <v>46239</v>
      </c>
      <c r="HL7" s="11">
        <f t="shared" si="14"/>
        <v>46240</v>
      </c>
      <c r="HM7" s="11">
        <f t="shared" si="14"/>
        <v>46241</v>
      </c>
      <c r="HN7" s="11">
        <f t="shared" si="14"/>
        <v>46242</v>
      </c>
      <c r="HO7" s="11">
        <f t="shared" si="14"/>
        <v>46243</v>
      </c>
      <c r="HP7" s="11">
        <f t="shared" si="14"/>
        <v>46244</v>
      </c>
      <c r="HQ7" s="11">
        <f t="shared" si="14"/>
        <v>46245</v>
      </c>
      <c r="HR7" s="11">
        <f t="shared" si="14"/>
        <v>46246</v>
      </c>
      <c r="HS7" s="11">
        <f t="shared" si="14"/>
        <v>46247</v>
      </c>
      <c r="HT7" s="11">
        <f t="shared" si="14"/>
        <v>46248</v>
      </c>
      <c r="HU7" s="11">
        <f t="shared" si="14"/>
        <v>46249</v>
      </c>
      <c r="HV7" s="11">
        <f t="shared" si="14"/>
        <v>46250</v>
      </c>
      <c r="HW7" s="11">
        <f t="shared" si="14"/>
        <v>46251</v>
      </c>
      <c r="HX7" s="11">
        <f t="shared" si="14"/>
        <v>46252</v>
      </c>
      <c r="HY7" s="11">
        <f t="shared" si="14"/>
        <v>46253</v>
      </c>
      <c r="HZ7" s="11">
        <f t="shared" si="14"/>
        <v>46254</v>
      </c>
      <c r="IA7" s="11">
        <f t="shared" si="14"/>
        <v>46255</v>
      </c>
      <c r="IB7" s="11">
        <f t="shared" si="14"/>
        <v>46256</v>
      </c>
      <c r="IC7" s="11">
        <f t="shared" si="14"/>
        <v>46257</v>
      </c>
      <c r="ID7" s="11">
        <f t="shared" si="14"/>
        <v>46258</v>
      </c>
      <c r="IE7" s="11">
        <f t="shared" si="14"/>
        <v>46259</v>
      </c>
      <c r="IF7" s="11">
        <f t="shared" si="14"/>
        <v>46260</v>
      </c>
      <c r="IG7" s="11">
        <f t="shared" si="14"/>
        <v>46261</v>
      </c>
      <c r="IH7" s="11">
        <f t="shared" si="14"/>
        <v>46262</v>
      </c>
      <c r="II7" s="11">
        <f t="shared" si="14"/>
        <v>46263</v>
      </c>
      <c r="IJ7" s="11">
        <f t="shared" si="14"/>
        <v>46264</v>
      </c>
      <c r="IK7" s="11">
        <f t="shared" si="14"/>
        <v>46265</v>
      </c>
      <c r="IL7" s="11">
        <f t="shared" si="14"/>
        <v>46266</v>
      </c>
      <c r="IM7" s="11">
        <f t="shared" si="14"/>
        <v>46267</v>
      </c>
      <c r="IN7" s="11">
        <f t="shared" si="14"/>
        <v>46268</v>
      </c>
      <c r="IO7" s="11">
        <f t="shared" si="14"/>
        <v>46269</v>
      </c>
      <c r="IP7" s="11">
        <f t="shared" si="14"/>
        <v>46270</v>
      </c>
      <c r="IQ7" s="11">
        <f t="shared" si="14"/>
        <v>46271</v>
      </c>
      <c r="IR7" s="11">
        <f t="shared" si="14"/>
        <v>46272</v>
      </c>
      <c r="IS7" s="11">
        <f t="shared" si="14"/>
        <v>46273</v>
      </c>
      <c r="IT7" s="11">
        <f t="shared" si="14"/>
        <v>46274</v>
      </c>
      <c r="IU7" s="11">
        <f t="shared" si="14"/>
        <v>46275</v>
      </c>
      <c r="IV7" s="11">
        <f t="shared" si="14"/>
        <v>46276</v>
      </c>
      <c r="IW7" s="11">
        <f t="shared" si="14"/>
        <v>46277</v>
      </c>
      <c r="IX7" s="11">
        <f t="shared" si="14"/>
        <v>46278</v>
      </c>
      <c r="IY7" s="11">
        <f t="shared" si="14"/>
        <v>46279</v>
      </c>
      <c r="IZ7" s="11">
        <f t="shared" si="14"/>
        <v>46280</v>
      </c>
      <c r="JA7" s="11">
        <f t="shared" ref="JA7:LL7" si="15">+IZ7+1</f>
        <v>46281</v>
      </c>
      <c r="JB7" s="11">
        <f t="shared" si="15"/>
        <v>46282</v>
      </c>
      <c r="JC7" s="11">
        <f t="shared" si="15"/>
        <v>46283</v>
      </c>
      <c r="JD7" s="11">
        <f t="shared" si="15"/>
        <v>46284</v>
      </c>
      <c r="JE7" s="11">
        <f t="shared" si="15"/>
        <v>46285</v>
      </c>
      <c r="JF7" s="11">
        <f t="shared" si="15"/>
        <v>46286</v>
      </c>
      <c r="JG7" s="11">
        <f t="shared" si="15"/>
        <v>46287</v>
      </c>
      <c r="JH7" s="11">
        <f t="shared" si="15"/>
        <v>46288</v>
      </c>
      <c r="JI7" s="11">
        <f t="shared" si="15"/>
        <v>46289</v>
      </c>
      <c r="JJ7" s="11">
        <f t="shared" si="15"/>
        <v>46290</v>
      </c>
      <c r="JK7" s="11">
        <f t="shared" si="15"/>
        <v>46291</v>
      </c>
      <c r="JL7" s="11">
        <f t="shared" si="15"/>
        <v>46292</v>
      </c>
      <c r="JM7" s="11">
        <f t="shared" si="15"/>
        <v>46293</v>
      </c>
      <c r="JN7" s="11">
        <f t="shared" si="15"/>
        <v>46294</v>
      </c>
      <c r="JO7" s="11">
        <f t="shared" si="15"/>
        <v>46295</v>
      </c>
      <c r="JP7" s="11">
        <f t="shared" si="15"/>
        <v>46296</v>
      </c>
      <c r="JQ7" s="11">
        <f t="shared" si="15"/>
        <v>46297</v>
      </c>
      <c r="JR7" s="11">
        <f t="shared" si="15"/>
        <v>46298</v>
      </c>
      <c r="JS7" s="11">
        <f t="shared" si="15"/>
        <v>46299</v>
      </c>
      <c r="JT7" s="11">
        <f t="shared" si="15"/>
        <v>46300</v>
      </c>
      <c r="JU7" s="11">
        <f t="shared" si="15"/>
        <v>46301</v>
      </c>
      <c r="JV7" s="11">
        <f t="shared" si="15"/>
        <v>46302</v>
      </c>
      <c r="JW7" s="11">
        <f t="shared" si="15"/>
        <v>46303</v>
      </c>
      <c r="JX7" s="11">
        <f t="shared" si="15"/>
        <v>46304</v>
      </c>
      <c r="JY7" s="11">
        <f t="shared" si="15"/>
        <v>46305</v>
      </c>
      <c r="JZ7" s="11">
        <f t="shared" si="15"/>
        <v>46306</v>
      </c>
      <c r="KA7" s="11">
        <f t="shared" si="15"/>
        <v>46307</v>
      </c>
      <c r="KB7" s="11">
        <f t="shared" si="15"/>
        <v>46308</v>
      </c>
      <c r="KC7" s="11">
        <f t="shared" si="15"/>
        <v>46309</v>
      </c>
      <c r="KD7" s="11">
        <f t="shared" si="15"/>
        <v>46310</v>
      </c>
      <c r="KE7" s="11">
        <f t="shared" si="15"/>
        <v>46311</v>
      </c>
      <c r="KF7" s="11">
        <f t="shared" si="15"/>
        <v>46312</v>
      </c>
      <c r="KG7" s="11">
        <f t="shared" si="15"/>
        <v>46313</v>
      </c>
      <c r="KH7" s="11">
        <f t="shared" si="15"/>
        <v>46314</v>
      </c>
      <c r="KI7" s="11">
        <f t="shared" si="15"/>
        <v>46315</v>
      </c>
      <c r="KJ7" s="11">
        <f t="shared" si="15"/>
        <v>46316</v>
      </c>
      <c r="KK7" s="11">
        <f t="shared" si="15"/>
        <v>46317</v>
      </c>
      <c r="KL7" s="11">
        <f t="shared" si="15"/>
        <v>46318</v>
      </c>
      <c r="KM7" s="11">
        <f t="shared" si="15"/>
        <v>46319</v>
      </c>
      <c r="KN7" s="11">
        <f t="shared" si="15"/>
        <v>46320</v>
      </c>
      <c r="KO7" s="11">
        <f t="shared" si="15"/>
        <v>46321</v>
      </c>
      <c r="KP7" s="11">
        <f t="shared" si="15"/>
        <v>46322</v>
      </c>
      <c r="KQ7" s="11">
        <f t="shared" si="15"/>
        <v>46323</v>
      </c>
      <c r="KR7" s="11">
        <f t="shared" si="15"/>
        <v>46324</v>
      </c>
      <c r="KS7" s="11">
        <f t="shared" si="15"/>
        <v>46325</v>
      </c>
      <c r="KT7" s="11">
        <f t="shared" si="15"/>
        <v>46326</v>
      </c>
      <c r="KU7" s="11">
        <f t="shared" si="15"/>
        <v>46327</v>
      </c>
      <c r="KV7" s="11">
        <f t="shared" si="15"/>
        <v>46328</v>
      </c>
      <c r="KW7" s="11">
        <f t="shared" si="15"/>
        <v>46329</v>
      </c>
      <c r="KX7" s="11">
        <f t="shared" si="15"/>
        <v>46330</v>
      </c>
      <c r="KY7" s="11">
        <f t="shared" si="15"/>
        <v>46331</v>
      </c>
      <c r="KZ7" s="11">
        <f t="shared" si="15"/>
        <v>46332</v>
      </c>
      <c r="LA7" s="11">
        <f t="shared" si="15"/>
        <v>46333</v>
      </c>
      <c r="LB7" s="11">
        <f t="shared" si="15"/>
        <v>46334</v>
      </c>
      <c r="LC7" s="11">
        <f t="shared" si="15"/>
        <v>46335</v>
      </c>
      <c r="LD7" s="11">
        <f t="shared" si="15"/>
        <v>46336</v>
      </c>
      <c r="LE7" s="11">
        <f t="shared" si="15"/>
        <v>46337</v>
      </c>
      <c r="LF7" s="11">
        <f t="shared" si="15"/>
        <v>46338</v>
      </c>
      <c r="LG7" s="11">
        <f t="shared" si="15"/>
        <v>46339</v>
      </c>
      <c r="LH7" s="11">
        <f t="shared" si="15"/>
        <v>46340</v>
      </c>
      <c r="LI7" s="11">
        <f t="shared" si="15"/>
        <v>46341</v>
      </c>
      <c r="LJ7" s="11">
        <f t="shared" si="15"/>
        <v>46342</v>
      </c>
      <c r="LK7" s="11">
        <f t="shared" si="15"/>
        <v>46343</v>
      </c>
      <c r="LL7" s="11">
        <f t="shared" si="15"/>
        <v>46344</v>
      </c>
      <c r="LM7" s="11">
        <f t="shared" ref="LM7:NC7" si="16">+LL7+1</f>
        <v>46345</v>
      </c>
      <c r="LN7" s="11">
        <f t="shared" si="16"/>
        <v>46346</v>
      </c>
      <c r="LO7" s="11">
        <f t="shared" si="16"/>
        <v>46347</v>
      </c>
      <c r="LP7" s="11">
        <f t="shared" si="16"/>
        <v>46348</v>
      </c>
      <c r="LQ7" s="11">
        <f t="shared" si="16"/>
        <v>46349</v>
      </c>
      <c r="LR7" s="11">
        <f t="shared" si="16"/>
        <v>46350</v>
      </c>
      <c r="LS7" s="11">
        <f t="shared" si="16"/>
        <v>46351</v>
      </c>
      <c r="LT7" s="11">
        <f t="shared" si="16"/>
        <v>46352</v>
      </c>
      <c r="LU7" s="11">
        <f t="shared" si="16"/>
        <v>46353</v>
      </c>
      <c r="LV7" s="11">
        <f t="shared" si="16"/>
        <v>46354</v>
      </c>
      <c r="LW7" s="11">
        <f t="shared" si="16"/>
        <v>46355</v>
      </c>
      <c r="LX7" s="11">
        <f t="shared" si="16"/>
        <v>46356</v>
      </c>
      <c r="LY7" s="11">
        <f t="shared" si="16"/>
        <v>46357</v>
      </c>
      <c r="LZ7" s="11">
        <f t="shared" si="16"/>
        <v>46358</v>
      </c>
      <c r="MA7" s="11">
        <f t="shared" si="16"/>
        <v>46359</v>
      </c>
      <c r="MB7" s="11">
        <f t="shared" si="16"/>
        <v>46360</v>
      </c>
      <c r="MC7" s="11">
        <f t="shared" si="16"/>
        <v>46361</v>
      </c>
      <c r="MD7" s="11">
        <f t="shared" si="16"/>
        <v>46362</v>
      </c>
      <c r="ME7" s="11">
        <f t="shared" si="16"/>
        <v>46363</v>
      </c>
      <c r="MF7" s="11">
        <f t="shared" si="16"/>
        <v>46364</v>
      </c>
      <c r="MG7" s="11">
        <f t="shared" si="16"/>
        <v>46365</v>
      </c>
      <c r="MH7" s="11">
        <f t="shared" si="16"/>
        <v>46366</v>
      </c>
      <c r="MI7" s="11">
        <f t="shared" si="16"/>
        <v>46367</v>
      </c>
      <c r="MJ7" s="11">
        <f t="shared" si="16"/>
        <v>46368</v>
      </c>
      <c r="MK7" s="11">
        <f t="shared" si="16"/>
        <v>46369</v>
      </c>
      <c r="ML7" s="11">
        <f t="shared" si="16"/>
        <v>46370</v>
      </c>
      <c r="MM7" s="11">
        <f t="shared" si="16"/>
        <v>46371</v>
      </c>
      <c r="MN7" s="11">
        <f t="shared" si="16"/>
        <v>46372</v>
      </c>
      <c r="MO7" s="11">
        <f t="shared" si="16"/>
        <v>46373</v>
      </c>
      <c r="MP7" s="11">
        <f t="shared" si="16"/>
        <v>46374</v>
      </c>
      <c r="MQ7" s="11">
        <f t="shared" si="16"/>
        <v>46375</v>
      </c>
      <c r="MR7" s="11">
        <f t="shared" si="16"/>
        <v>46376</v>
      </c>
      <c r="MS7" s="11">
        <f t="shared" si="16"/>
        <v>46377</v>
      </c>
      <c r="MT7" s="11">
        <f t="shared" si="16"/>
        <v>46378</v>
      </c>
      <c r="MU7" s="11">
        <f t="shared" si="16"/>
        <v>46379</v>
      </c>
      <c r="MV7" s="11">
        <f t="shared" si="16"/>
        <v>46380</v>
      </c>
      <c r="MW7" s="11">
        <f t="shared" si="16"/>
        <v>46381</v>
      </c>
      <c r="MX7" s="11">
        <f t="shared" si="16"/>
        <v>46382</v>
      </c>
      <c r="MY7" s="11">
        <f t="shared" si="16"/>
        <v>46383</v>
      </c>
      <c r="MZ7" s="11">
        <f t="shared" si="16"/>
        <v>46384</v>
      </c>
      <c r="NA7" s="11">
        <f t="shared" si="16"/>
        <v>46385</v>
      </c>
      <c r="NB7" s="11">
        <f t="shared" si="16"/>
        <v>46386</v>
      </c>
      <c r="NC7" s="11">
        <f t="shared" si="16"/>
        <v>46387</v>
      </c>
    </row>
    <row r="8" spans="1:367">
      <c r="A8" s="12"/>
      <c r="B8" s="12" t="s">
        <v>10</v>
      </c>
      <c r="C8" s="8" t="s">
        <v>54</v>
      </c>
      <c r="D8" s="8" t="s">
        <v>54</v>
      </c>
      <c r="E8" s="8" t="s">
        <v>54</v>
      </c>
      <c r="F8" s="8" t="s">
        <v>54</v>
      </c>
      <c r="G8" s="8" t="s">
        <v>425</v>
      </c>
      <c r="H8" s="8" t="s">
        <v>425</v>
      </c>
      <c r="I8" s="8" t="s">
        <v>425</v>
      </c>
      <c r="J8" s="8" t="s">
        <v>425</v>
      </c>
      <c r="K8" s="8" t="s">
        <v>425</v>
      </c>
      <c r="L8" s="8" t="s">
        <v>425</v>
      </c>
      <c r="M8" s="8" t="s">
        <v>425</v>
      </c>
      <c r="N8" s="8" t="s">
        <v>2</v>
      </c>
      <c r="O8" s="8" t="s">
        <v>2</v>
      </c>
      <c r="P8" s="8" t="s">
        <v>2</v>
      </c>
      <c r="Q8" s="8" t="s">
        <v>2</v>
      </c>
      <c r="R8" s="8" t="s">
        <v>2</v>
      </c>
      <c r="S8" s="8" t="s">
        <v>2</v>
      </c>
      <c r="T8" s="8" t="s">
        <v>2</v>
      </c>
      <c r="U8" s="8" t="s">
        <v>3</v>
      </c>
      <c r="V8" s="8" t="s">
        <v>3</v>
      </c>
      <c r="W8" s="8" t="s">
        <v>3</v>
      </c>
      <c r="X8" s="8" t="s">
        <v>3</v>
      </c>
      <c r="Y8" s="8" t="s">
        <v>3</v>
      </c>
      <c r="Z8" s="8" t="s">
        <v>3</v>
      </c>
      <c r="AA8" s="8" t="s">
        <v>3</v>
      </c>
      <c r="AB8" s="8" t="s">
        <v>4</v>
      </c>
      <c r="AC8" s="8" t="s">
        <v>4</v>
      </c>
      <c r="AD8" s="8" t="s">
        <v>4</v>
      </c>
      <c r="AE8" s="8" t="s">
        <v>4</v>
      </c>
      <c r="AF8" s="8" t="s">
        <v>4</v>
      </c>
      <c r="AG8" s="8" t="s">
        <v>4</v>
      </c>
      <c r="AH8" s="8" t="s">
        <v>4</v>
      </c>
      <c r="AI8" s="8" t="s">
        <v>5</v>
      </c>
      <c r="AJ8" s="8" t="s">
        <v>5</v>
      </c>
      <c r="AK8" s="8" t="s">
        <v>5</v>
      </c>
      <c r="AL8" s="8" t="s">
        <v>5</v>
      </c>
      <c r="AM8" s="8" t="s">
        <v>5</v>
      </c>
      <c r="AN8" s="8" t="s">
        <v>5</v>
      </c>
      <c r="AO8" s="8" t="s">
        <v>5</v>
      </c>
      <c r="AP8" s="8" t="s">
        <v>6</v>
      </c>
      <c r="AQ8" s="8" t="s">
        <v>6</v>
      </c>
      <c r="AR8" s="8" t="s">
        <v>6</v>
      </c>
      <c r="AS8" s="8" t="s">
        <v>6</v>
      </c>
      <c r="AT8" s="8" t="s">
        <v>6</v>
      </c>
      <c r="AU8" s="8" t="s">
        <v>6</v>
      </c>
      <c r="AV8" s="8" t="s">
        <v>6</v>
      </c>
      <c r="AW8" s="8" t="s">
        <v>7</v>
      </c>
      <c r="AX8" s="8" t="s">
        <v>7</v>
      </c>
      <c r="AY8" s="8" t="s">
        <v>7</v>
      </c>
      <c r="AZ8" s="8" t="s">
        <v>7</v>
      </c>
      <c r="BA8" s="8" t="s">
        <v>7</v>
      </c>
      <c r="BB8" s="8" t="s">
        <v>7</v>
      </c>
      <c r="BC8" s="8" t="s">
        <v>7</v>
      </c>
      <c r="BD8" s="8" t="s">
        <v>8</v>
      </c>
      <c r="BE8" s="8" t="s">
        <v>8</v>
      </c>
      <c r="BF8" s="8" t="s">
        <v>8</v>
      </c>
      <c r="BG8" s="8" t="s">
        <v>8</v>
      </c>
      <c r="BH8" s="8" t="s">
        <v>8</v>
      </c>
      <c r="BI8" s="8" t="s">
        <v>8</v>
      </c>
      <c r="BJ8" s="8" t="s">
        <v>8</v>
      </c>
      <c r="BK8" s="8" t="s">
        <v>11</v>
      </c>
      <c r="BL8" s="8" t="s">
        <v>11</v>
      </c>
      <c r="BM8" s="8" t="s">
        <v>11</v>
      </c>
      <c r="BN8" s="8" t="s">
        <v>11</v>
      </c>
      <c r="BO8" s="8" t="s">
        <v>11</v>
      </c>
      <c r="BP8" s="8" t="s">
        <v>11</v>
      </c>
      <c r="BQ8" s="8" t="s">
        <v>11</v>
      </c>
      <c r="BR8" s="8" t="s">
        <v>12</v>
      </c>
      <c r="BS8" s="8" t="s">
        <v>12</v>
      </c>
      <c r="BT8" s="8" t="s">
        <v>12</v>
      </c>
      <c r="BU8" s="8" t="s">
        <v>12</v>
      </c>
      <c r="BV8" s="8" t="s">
        <v>12</v>
      </c>
      <c r="BW8" s="8" t="s">
        <v>12</v>
      </c>
      <c r="BX8" s="8" t="s">
        <v>12</v>
      </c>
      <c r="BY8" s="8" t="s">
        <v>13</v>
      </c>
      <c r="BZ8" s="8" t="s">
        <v>13</v>
      </c>
      <c r="CA8" s="8" t="s">
        <v>13</v>
      </c>
      <c r="CB8" s="8" t="s">
        <v>13</v>
      </c>
      <c r="CC8" s="8" t="s">
        <v>13</v>
      </c>
      <c r="CD8" s="8" t="s">
        <v>13</v>
      </c>
      <c r="CE8" s="8" t="s">
        <v>13</v>
      </c>
      <c r="CF8" s="8" t="s">
        <v>14</v>
      </c>
      <c r="CG8" s="8" t="s">
        <v>14</v>
      </c>
      <c r="CH8" s="8" t="s">
        <v>14</v>
      </c>
      <c r="CI8" s="8" t="s">
        <v>14</v>
      </c>
      <c r="CJ8" s="8" t="s">
        <v>14</v>
      </c>
      <c r="CK8" s="8" t="s">
        <v>14</v>
      </c>
      <c r="CL8" s="8" t="s">
        <v>14</v>
      </c>
      <c r="CM8" s="8" t="s">
        <v>15</v>
      </c>
      <c r="CN8" s="8" t="s">
        <v>15</v>
      </c>
      <c r="CO8" s="8" t="s">
        <v>15</v>
      </c>
      <c r="CP8" s="8" t="s">
        <v>15</v>
      </c>
      <c r="CQ8" s="8" t="s">
        <v>15</v>
      </c>
      <c r="CR8" s="8" t="s">
        <v>15</v>
      </c>
      <c r="CS8" s="8" t="s">
        <v>15</v>
      </c>
      <c r="CT8" s="8" t="s">
        <v>16</v>
      </c>
      <c r="CU8" s="8" t="s">
        <v>16</v>
      </c>
      <c r="CV8" s="8" t="s">
        <v>16</v>
      </c>
      <c r="CW8" s="8" t="s">
        <v>16</v>
      </c>
      <c r="CX8" s="8" t="s">
        <v>16</v>
      </c>
      <c r="CY8" s="8" t="s">
        <v>16</v>
      </c>
      <c r="CZ8" s="8" t="s">
        <v>16</v>
      </c>
      <c r="DA8" s="8" t="s">
        <v>17</v>
      </c>
      <c r="DB8" s="8" t="s">
        <v>17</v>
      </c>
      <c r="DC8" s="8" t="s">
        <v>17</v>
      </c>
      <c r="DD8" s="8" t="s">
        <v>17</v>
      </c>
      <c r="DE8" s="8" t="s">
        <v>17</v>
      </c>
      <c r="DF8" s="8" t="s">
        <v>17</v>
      </c>
      <c r="DG8" s="8" t="s">
        <v>17</v>
      </c>
      <c r="DH8" s="8" t="s">
        <v>18</v>
      </c>
      <c r="DI8" s="8" t="s">
        <v>18</v>
      </c>
      <c r="DJ8" s="8" t="s">
        <v>18</v>
      </c>
      <c r="DK8" s="8" t="s">
        <v>18</v>
      </c>
      <c r="DL8" s="8" t="s">
        <v>18</v>
      </c>
      <c r="DM8" s="8" t="s">
        <v>18</v>
      </c>
      <c r="DN8" s="8" t="s">
        <v>18</v>
      </c>
      <c r="DO8" s="8" t="s">
        <v>19</v>
      </c>
      <c r="DP8" s="8" t="s">
        <v>19</v>
      </c>
      <c r="DQ8" s="8" t="s">
        <v>19</v>
      </c>
      <c r="DR8" s="8" t="s">
        <v>19</v>
      </c>
      <c r="DS8" s="8" t="s">
        <v>19</v>
      </c>
      <c r="DT8" s="8" t="s">
        <v>19</v>
      </c>
      <c r="DU8" s="8" t="s">
        <v>19</v>
      </c>
      <c r="DV8" s="8" t="s">
        <v>20</v>
      </c>
      <c r="DW8" s="8" t="s">
        <v>20</v>
      </c>
      <c r="DX8" s="8" t="s">
        <v>20</v>
      </c>
      <c r="DY8" s="8" t="s">
        <v>20</v>
      </c>
      <c r="DZ8" s="8" t="s">
        <v>20</v>
      </c>
      <c r="EA8" s="8" t="s">
        <v>20</v>
      </c>
      <c r="EB8" s="8" t="s">
        <v>20</v>
      </c>
      <c r="EC8" s="8" t="s">
        <v>21</v>
      </c>
      <c r="ED8" s="8" t="s">
        <v>21</v>
      </c>
      <c r="EE8" s="8" t="s">
        <v>21</v>
      </c>
      <c r="EF8" s="8" t="s">
        <v>21</v>
      </c>
      <c r="EG8" s="8" t="s">
        <v>21</v>
      </c>
      <c r="EH8" s="8" t="s">
        <v>21</v>
      </c>
      <c r="EI8" s="8" t="s">
        <v>21</v>
      </c>
      <c r="EJ8" s="8" t="s">
        <v>22</v>
      </c>
      <c r="EK8" s="8" t="s">
        <v>22</v>
      </c>
      <c r="EL8" s="8" t="s">
        <v>22</v>
      </c>
      <c r="EM8" s="8" t="s">
        <v>22</v>
      </c>
      <c r="EN8" s="8" t="s">
        <v>22</v>
      </c>
      <c r="EO8" s="8" t="s">
        <v>22</v>
      </c>
      <c r="EP8" s="8" t="s">
        <v>22</v>
      </c>
      <c r="EQ8" s="8" t="s">
        <v>23</v>
      </c>
      <c r="ER8" s="8" t="s">
        <v>23</v>
      </c>
      <c r="ES8" s="8" t="s">
        <v>23</v>
      </c>
      <c r="ET8" s="8" t="s">
        <v>23</v>
      </c>
      <c r="EU8" s="8" t="s">
        <v>23</v>
      </c>
      <c r="EV8" s="8" t="s">
        <v>23</v>
      </c>
      <c r="EW8" s="8" t="s">
        <v>23</v>
      </c>
      <c r="EX8" s="8" t="s">
        <v>24</v>
      </c>
      <c r="EY8" s="8" t="s">
        <v>24</v>
      </c>
      <c r="EZ8" s="8" t="s">
        <v>24</v>
      </c>
      <c r="FA8" s="8" t="s">
        <v>24</v>
      </c>
      <c r="FB8" s="8" t="s">
        <v>24</v>
      </c>
      <c r="FC8" s="8" t="s">
        <v>24</v>
      </c>
      <c r="FD8" s="8" t="s">
        <v>24</v>
      </c>
      <c r="FE8" s="8" t="s">
        <v>25</v>
      </c>
      <c r="FF8" s="8" t="s">
        <v>25</v>
      </c>
      <c r="FG8" s="8" t="s">
        <v>25</v>
      </c>
      <c r="FH8" s="8" t="s">
        <v>25</v>
      </c>
      <c r="FI8" s="8" t="s">
        <v>25</v>
      </c>
      <c r="FJ8" s="8" t="s">
        <v>25</v>
      </c>
      <c r="FK8" s="8" t="s">
        <v>25</v>
      </c>
      <c r="FL8" s="8" t="s">
        <v>26</v>
      </c>
      <c r="FM8" s="8" t="s">
        <v>26</v>
      </c>
      <c r="FN8" s="8" t="s">
        <v>26</v>
      </c>
      <c r="FO8" s="8" t="s">
        <v>26</v>
      </c>
      <c r="FP8" s="8" t="s">
        <v>26</v>
      </c>
      <c r="FQ8" s="8" t="s">
        <v>26</v>
      </c>
      <c r="FR8" s="8" t="s">
        <v>26</v>
      </c>
      <c r="FS8" s="8" t="s">
        <v>27</v>
      </c>
      <c r="FT8" s="8" t="s">
        <v>27</v>
      </c>
      <c r="FU8" s="8" t="s">
        <v>27</v>
      </c>
      <c r="FV8" s="8" t="s">
        <v>27</v>
      </c>
      <c r="FW8" s="8" t="s">
        <v>27</v>
      </c>
      <c r="FX8" s="8" t="s">
        <v>27</v>
      </c>
      <c r="FY8" s="8" t="s">
        <v>27</v>
      </c>
      <c r="FZ8" s="8" t="s">
        <v>28</v>
      </c>
      <c r="GA8" s="8" t="s">
        <v>28</v>
      </c>
      <c r="GB8" s="8" t="s">
        <v>28</v>
      </c>
      <c r="GC8" s="8" t="s">
        <v>28</v>
      </c>
      <c r="GD8" s="8" t="s">
        <v>28</v>
      </c>
      <c r="GE8" s="8" t="s">
        <v>28</v>
      </c>
      <c r="GF8" s="8" t="s">
        <v>28</v>
      </c>
      <c r="GG8" s="8" t="s">
        <v>29</v>
      </c>
      <c r="GH8" s="8" t="s">
        <v>29</v>
      </c>
      <c r="GI8" s="8" t="s">
        <v>29</v>
      </c>
      <c r="GJ8" s="8" t="s">
        <v>29</v>
      </c>
      <c r="GK8" s="8" t="s">
        <v>29</v>
      </c>
      <c r="GL8" s="8" t="s">
        <v>29</v>
      </c>
      <c r="GM8" s="8" t="s">
        <v>29</v>
      </c>
      <c r="GN8" s="8" t="s">
        <v>30</v>
      </c>
      <c r="GO8" s="8" t="s">
        <v>30</v>
      </c>
      <c r="GP8" s="8" t="s">
        <v>30</v>
      </c>
      <c r="GQ8" s="8" t="s">
        <v>30</v>
      </c>
      <c r="GR8" s="8" t="s">
        <v>30</v>
      </c>
      <c r="GS8" s="8" t="s">
        <v>30</v>
      </c>
      <c r="GT8" s="8" t="s">
        <v>30</v>
      </c>
      <c r="HK8" s="20"/>
      <c r="JU8" s="20"/>
      <c r="KB8" s="20"/>
      <c r="KI8" s="20"/>
      <c r="KU8" s="36"/>
      <c r="LE8" s="20"/>
      <c r="LF8" s="20"/>
      <c r="LK8" s="20"/>
      <c r="LR8" s="20"/>
      <c r="LY8" s="20"/>
      <c r="LZ8" s="1"/>
      <c r="MA8" s="1"/>
      <c r="MB8" s="1"/>
      <c r="MC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34"/>
      <c r="MQ8" s="1"/>
      <c r="MR8" s="1"/>
      <c r="MS8" s="1"/>
      <c r="MT8" s="20"/>
    </row>
    <row r="9" spans="1:367">
      <c r="A9" s="13">
        <f>+SUM(C9:NC9)</f>
        <v>14097.583333333332</v>
      </c>
      <c r="B9" s="14" t="s">
        <v>427</v>
      </c>
      <c r="C9" s="3"/>
      <c r="D9" s="3">
        <v>96.833333333333343</v>
      </c>
      <c r="E9" s="3">
        <v>84</v>
      </c>
      <c r="F9" s="3"/>
      <c r="G9" s="3">
        <v>97.5</v>
      </c>
      <c r="H9" s="3">
        <v>97.5</v>
      </c>
      <c r="I9" s="3">
        <v>88.5</v>
      </c>
      <c r="J9" s="3">
        <v>90</v>
      </c>
      <c r="K9" s="3">
        <v>97.5</v>
      </c>
      <c r="L9" s="3">
        <v>82.5</v>
      </c>
      <c r="N9" s="3">
        <v>78.666666666666671</v>
      </c>
      <c r="O9" s="3">
        <v>81.833333333333329</v>
      </c>
      <c r="P9" s="3">
        <v>67.5</v>
      </c>
      <c r="Q9" s="3">
        <v>82.5</v>
      </c>
      <c r="R9" s="3">
        <v>82.5</v>
      </c>
      <c r="S9" s="3">
        <v>88.75</v>
      </c>
      <c r="U9" s="3">
        <v>90</v>
      </c>
      <c r="V9" s="3">
        <v>90</v>
      </c>
      <c r="W9" s="3">
        <v>90</v>
      </c>
      <c r="X9" s="3">
        <v>97.166666666666671</v>
      </c>
      <c r="Y9" s="3">
        <v>97.5</v>
      </c>
      <c r="Z9" s="3">
        <v>93.583333333333329</v>
      </c>
      <c r="AB9" s="3">
        <v>95.25</v>
      </c>
      <c r="AC9" s="3">
        <v>97.5</v>
      </c>
      <c r="AD9" s="3">
        <v>97.5</v>
      </c>
      <c r="AE9" s="3">
        <v>97.5</v>
      </c>
      <c r="AF9" s="3">
        <v>90</v>
      </c>
      <c r="AG9" s="3">
        <v>91.416666666666671</v>
      </c>
      <c r="AI9" s="3">
        <v>87.916666666666671</v>
      </c>
      <c r="AJ9" s="3">
        <v>96.833333333333329</v>
      </c>
      <c r="AK9" s="3">
        <v>90</v>
      </c>
      <c r="AL9" s="3">
        <v>82.5</v>
      </c>
      <c r="AM9" s="3">
        <v>89.416666666666671</v>
      </c>
      <c r="AN9" s="3">
        <v>86.250000000000014</v>
      </c>
      <c r="AP9" s="2">
        <v>90</v>
      </c>
      <c r="AQ9" s="2">
        <v>99.25</v>
      </c>
      <c r="AR9" s="2">
        <v>97.083333333333343</v>
      </c>
      <c r="AS9" s="2">
        <v>97.5</v>
      </c>
      <c r="AT9" s="2">
        <v>97.5</v>
      </c>
      <c r="AU9" s="2">
        <v>94.25</v>
      </c>
      <c r="AW9" s="7">
        <v>90</v>
      </c>
      <c r="AX9" s="7">
        <v>91</v>
      </c>
      <c r="AY9" s="7">
        <v>97.5</v>
      </c>
      <c r="AZ9" s="7">
        <v>97.5</v>
      </c>
      <c r="BA9" s="7">
        <v>94.25</v>
      </c>
      <c r="BB9" s="7">
        <v>94.833333333333329</v>
      </c>
      <c r="BD9" s="2">
        <v>95.333333333333343</v>
      </c>
      <c r="BE9" s="2">
        <v>97.083333333333343</v>
      </c>
      <c r="BF9" s="2">
        <v>90</v>
      </c>
      <c r="BG9" s="2">
        <v>82.5</v>
      </c>
      <c r="BH9" s="2">
        <v>89.583333333333343</v>
      </c>
      <c r="BI9" s="2">
        <v>78.333333333333343</v>
      </c>
      <c r="BK9" s="7">
        <v>97.5</v>
      </c>
      <c r="BL9" s="7">
        <v>97.5</v>
      </c>
      <c r="BM9" s="7">
        <v>97.5</v>
      </c>
      <c r="BN9" s="7">
        <v>95.083333333333329</v>
      </c>
      <c r="BO9" s="7">
        <v>96.666666666666671</v>
      </c>
      <c r="BP9" s="7">
        <v>97.5</v>
      </c>
      <c r="BR9" s="3">
        <v>97.25</v>
      </c>
      <c r="BS9" s="3">
        <v>97.5</v>
      </c>
      <c r="BT9" s="3">
        <v>97.083333333333343</v>
      </c>
      <c r="BU9" s="3">
        <v>93.916666666666671</v>
      </c>
      <c r="BV9" s="3">
        <v>97.5</v>
      </c>
      <c r="BW9" s="3">
        <v>87.833333333333329</v>
      </c>
      <c r="BX9" s="3">
        <v>97.5</v>
      </c>
      <c r="CF9" s="2">
        <v>82.5</v>
      </c>
      <c r="CG9" s="2">
        <v>82.5</v>
      </c>
      <c r="CH9" s="2">
        <v>82.5</v>
      </c>
      <c r="CI9" s="2">
        <v>82.083333333333329</v>
      </c>
      <c r="CJ9" s="2">
        <v>71.166666666666657</v>
      </c>
      <c r="CK9" s="2">
        <v>73.5</v>
      </c>
      <c r="CM9" s="3">
        <v>89.666666666666657</v>
      </c>
      <c r="CN9" s="3">
        <v>90</v>
      </c>
      <c r="CO9" s="3">
        <v>97.5</v>
      </c>
      <c r="CP9" s="3">
        <v>94.5</v>
      </c>
      <c r="CQ9" s="3">
        <v>81.5</v>
      </c>
      <c r="CR9" s="3">
        <v>81.083333333333329</v>
      </c>
      <c r="CT9" s="3">
        <v>89.333333333333329</v>
      </c>
      <c r="CU9" s="3">
        <v>90</v>
      </c>
      <c r="CV9" s="3">
        <v>81.916666666666671</v>
      </c>
      <c r="CW9" s="3">
        <v>87.333333333333343</v>
      </c>
      <c r="CX9" s="3">
        <v>90</v>
      </c>
      <c r="CY9" s="3">
        <v>83.916666666666671</v>
      </c>
      <c r="DA9" s="2">
        <v>80.916666666666657</v>
      </c>
      <c r="DB9" s="2">
        <v>75</v>
      </c>
      <c r="DC9" s="2">
        <v>89</v>
      </c>
      <c r="DD9" s="2">
        <v>81.75</v>
      </c>
      <c r="DE9" s="2">
        <v>82.5</v>
      </c>
      <c r="DF9" s="2">
        <v>89.166666666666657</v>
      </c>
      <c r="DG9" s="2">
        <v>66.666666666666671</v>
      </c>
      <c r="DH9" s="3">
        <v>86.666666666666657</v>
      </c>
      <c r="DI9" s="3">
        <v>91.833333333333343</v>
      </c>
      <c r="DJ9" s="3">
        <v>88.333333333333343</v>
      </c>
      <c r="DK9" s="3">
        <v>81.333333333333343</v>
      </c>
      <c r="DL9" s="3">
        <v>87</v>
      </c>
      <c r="DM9" s="3">
        <v>87.5</v>
      </c>
      <c r="DO9" s="3">
        <v>77.583333333333343</v>
      </c>
      <c r="DP9" s="3">
        <v>82.5</v>
      </c>
      <c r="DQ9" s="3">
        <v>75</v>
      </c>
      <c r="DR9" s="3">
        <v>63.416666666666664</v>
      </c>
      <c r="DS9" s="2"/>
      <c r="DT9" s="2">
        <v>82.5</v>
      </c>
      <c r="DU9" s="2">
        <v>66.583333333333329</v>
      </c>
      <c r="DV9" s="7">
        <v>90</v>
      </c>
      <c r="DW9" s="7">
        <v>90</v>
      </c>
      <c r="DX9" s="7">
        <v>95.25</v>
      </c>
      <c r="DY9" s="7">
        <v>79.416666666666671</v>
      </c>
      <c r="DZ9" s="7">
        <v>90</v>
      </c>
      <c r="EA9" s="7">
        <v>82.5</v>
      </c>
      <c r="EC9" s="7">
        <v>94.5</v>
      </c>
      <c r="ED9" s="7">
        <v>92.166666666666671</v>
      </c>
      <c r="EE9" s="7">
        <v>97.5</v>
      </c>
      <c r="EF9" s="7">
        <v>97.5</v>
      </c>
      <c r="EG9" s="7">
        <v>109.5</v>
      </c>
      <c r="EH9" s="7">
        <v>106.5</v>
      </c>
      <c r="EI9" s="7">
        <v>97.5</v>
      </c>
      <c r="EJ9" s="7">
        <v>100.5</v>
      </c>
      <c r="EK9" s="7">
        <v>97.5</v>
      </c>
      <c r="EL9" s="7">
        <v>100.5</v>
      </c>
      <c r="EM9" s="7">
        <v>100.5</v>
      </c>
      <c r="EN9" s="7">
        <v>97.166666666666657</v>
      </c>
      <c r="EO9" s="7">
        <v>97.5</v>
      </c>
      <c r="EP9" s="7"/>
      <c r="EQ9" s="7">
        <v>94.25</v>
      </c>
      <c r="ER9" s="7">
        <v>29.666666666666664</v>
      </c>
      <c r="ES9" s="7"/>
      <c r="ET9" s="7"/>
      <c r="EU9" s="7"/>
      <c r="EV9" s="7">
        <v>90</v>
      </c>
      <c r="EW9" s="7"/>
      <c r="EX9" s="7">
        <v>99</v>
      </c>
      <c r="EY9" s="7">
        <v>95.75</v>
      </c>
      <c r="EZ9" s="7">
        <v>93</v>
      </c>
      <c r="FA9" s="7">
        <v>82.083333333333329</v>
      </c>
      <c r="FB9" s="7">
        <v>89.5</v>
      </c>
      <c r="FC9" s="7">
        <v>76.166666666666657</v>
      </c>
      <c r="FE9" s="7">
        <v>82.5</v>
      </c>
      <c r="FF9" s="7">
        <v>97.5</v>
      </c>
      <c r="FG9" s="7">
        <v>79.083333333333329</v>
      </c>
      <c r="FH9" s="7">
        <v>95.083333333333329</v>
      </c>
      <c r="FI9" s="7">
        <v>90</v>
      </c>
      <c r="FJ9" s="7">
        <v>86.5</v>
      </c>
      <c r="FK9" s="7">
        <v>80.25</v>
      </c>
      <c r="FL9" s="7">
        <v>82</v>
      </c>
      <c r="FM9" s="7">
        <v>92.5</v>
      </c>
      <c r="FN9" s="7">
        <v>85.416666666666657</v>
      </c>
      <c r="FO9" s="7">
        <v>90.083333333333329</v>
      </c>
      <c r="FP9" s="7">
        <v>97.166666666666657</v>
      </c>
      <c r="FQ9" s="7">
        <v>89.083333333333329</v>
      </c>
      <c r="FR9" s="7"/>
      <c r="FS9" s="7">
        <v>83.166666666666657</v>
      </c>
      <c r="FT9" s="7">
        <v>83</v>
      </c>
      <c r="FU9" s="7">
        <v>81</v>
      </c>
      <c r="FV9" s="7">
        <v>79.166666666666657</v>
      </c>
      <c r="FW9" s="7">
        <v>80.75</v>
      </c>
      <c r="FX9" s="7">
        <v>75.833333333333329</v>
      </c>
      <c r="FY9" s="7">
        <v>74.75</v>
      </c>
      <c r="FZ9" s="7">
        <v>93</v>
      </c>
      <c r="GA9" s="7">
        <v>93</v>
      </c>
      <c r="GB9" s="7">
        <v>69.083333333333329</v>
      </c>
      <c r="GC9" s="7">
        <v>59.833333333333329</v>
      </c>
      <c r="GD9" s="7">
        <v>67.25</v>
      </c>
      <c r="GE9" s="7">
        <v>62.75</v>
      </c>
      <c r="GG9" s="2">
        <v>75</v>
      </c>
      <c r="GH9" s="2">
        <v>82.5</v>
      </c>
      <c r="GI9" s="2">
        <v>82.5</v>
      </c>
      <c r="GJ9" s="2">
        <v>82.5</v>
      </c>
      <c r="GK9" s="2">
        <v>80.916666666666657</v>
      </c>
      <c r="GL9" s="2">
        <v>75</v>
      </c>
      <c r="GM9" s="2">
        <v>37.5</v>
      </c>
      <c r="HK9" s="20"/>
      <c r="HR9" s="20"/>
      <c r="HS9" s="20"/>
      <c r="HT9" s="20"/>
      <c r="HU9" s="20"/>
      <c r="HV9" s="20"/>
      <c r="KU9" s="36"/>
      <c r="LE9" s="20"/>
      <c r="LF9" s="20"/>
      <c r="LY9" s="20"/>
      <c r="LZ9" s="62"/>
      <c r="MA9" s="62"/>
      <c r="MB9" s="62"/>
      <c r="MC9" s="62"/>
      <c r="MF9"/>
      <c r="MG9"/>
      <c r="MH9"/>
      <c r="MI9"/>
      <c r="MJ9"/>
      <c r="MK9"/>
      <c r="ML9"/>
      <c r="MM9" s="62"/>
      <c r="MN9" s="62"/>
      <c r="MO9" s="62"/>
      <c r="MP9" s="34"/>
      <c r="MQ9" s="62"/>
      <c r="MR9" s="62"/>
      <c r="MS9" s="62"/>
    </row>
    <row r="10" spans="1:367">
      <c r="A10" s="15">
        <f>+SUM(D10:NC10)</f>
        <v>738785</v>
      </c>
      <c r="B10" s="16" t="s">
        <v>2250</v>
      </c>
      <c r="C10" s="7"/>
      <c r="D10" s="2">
        <v>6867</v>
      </c>
      <c r="E10" s="2">
        <v>6450</v>
      </c>
      <c r="F10" s="7"/>
      <c r="G10">
        <v>3443</v>
      </c>
      <c r="H10">
        <v>6150</v>
      </c>
      <c r="I10">
        <v>5481</v>
      </c>
      <c r="J10">
        <v>5237</v>
      </c>
      <c r="K10">
        <v>6340</v>
      </c>
      <c r="L10">
        <v>4043</v>
      </c>
      <c r="N10">
        <v>5323</v>
      </c>
      <c r="O10">
        <v>6181</v>
      </c>
      <c r="P10">
        <v>4286</v>
      </c>
      <c r="Q10">
        <v>6390</v>
      </c>
      <c r="R10">
        <v>4897</v>
      </c>
      <c r="S10">
        <v>6541</v>
      </c>
      <c r="U10" s="7">
        <v>4036</v>
      </c>
      <c r="V10" s="7">
        <v>5252</v>
      </c>
      <c r="W10" s="7">
        <v>3235</v>
      </c>
      <c r="X10" s="7">
        <v>4012</v>
      </c>
      <c r="Y10" s="7">
        <v>4966</v>
      </c>
      <c r="Z10" s="7">
        <v>5094</v>
      </c>
      <c r="AB10" s="2">
        <v>5587</v>
      </c>
      <c r="AC10" s="2">
        <v>5720</v>
      </c>
      <c r="AD10" s="2">
        <v>3486</v>
      </c>
      <c r="AE10" s="2">
        <v>5111</v>
      </c>
      <c r="AF10" s="2">
        <v>5598</v>
      </c>
      <c r="AG10" s="2">
        <v>3381</v>
      </c>
      <c r="AI10" s="2">
        <v>5005</v>
      </c>
      <c r="AJ10" s="2">
        <v>5532</v>
      </c>
      <c r="AK10" s="2">
        <v>2952</v>
      </c>
      <c r="AL10" s="2">
        <v>6581</v>
      </c>
      <c r="AM10" s="2">
        <v>4913</v>
      </c>
      <c r="AN10" s="2">
        <v>7488</v>
      </c>
      <c r="AP10" s="7">
        <v>3660</v>
      </c>
      <c r="AQ10" s="7">
        <v>4187</v>
      </c>
      <c r="AR10" s="7">
        <v>6175</v>
      </c>
      <c r="AS10" s="7">
        <v>4495</v>
      </c>
      <c r="AT10" s="7">
        <v>4451</v>
      </c>
      <c r="AU10" s="7">
        <v>6475</v>
      </c>
      <c r="AW10" s="2">
        <v>4292</v>
      </c>
      <c r="AX10" s="2">
        <v>3928</v>
      </c>
      <c r="AY10" s="2">
        <v>4081</v>
      </c>
      <c r="AZ10" s="2">
        <v>8544</v>
      </c>
      <c r="BA10" s="2">
        <v>4025</v>
      </c>
      <c r="BB10" s="2">
        <v>5470</v>
      </c>
      <c r="BD10" s="7">
        <v>2264</v>
      </c>
      <c r="BE10" s="7">
        <v>5099</v>
      </c>
      <c r="BF10" s="7">
        <v>6359</v>
      </c>
      <c r="BG10" s="7">
        <v>5633</v>
      </c>
      <c r="BH10" s="7">
        <v>10274</v>
      </c>
      <c r="BI10" s="7">
        <v>5572</v>
      </c>
      <c r="BK10" s="7">
        <v>6200</v>
      </c>
      <c r="BL10" s="7">
        <v>3117</v>
      </c>
      <c r="BM10" s="7">
        <v>3723</v>
      </c>
      <c r="BN10" s="7">
        <v>6664</v>
      </c>
      <c r="BO10" s="7">
        <v>6913</v>
      </c>
      <c r="BP10" s="7">
        <v>5529</v>
      </c>
      <c r="BR10" s="2">
        <v>5504</v>
      </c>
      <c r="BS10" s="2">
        <v>6455</v>
      </c>
      <c r="BT10" s="2">
        <v>4994</v>
      </c>
      <c r="BU10" s="2">
        <v>7868</v>
      </c>
      <c r="BV10" s="2">
        <v>6242</v>
      </c>
      <c r="BW10" s="2">
        <v>5007</v>
      </c>
      <c r="BX10" s="2">
        <v>1355</v>
      </c>
      <c r="CF10" s="2">
        <v>1499</v>
      </c>
      <c r="CG10" s="2">
        <v>1866</v>
      </c>
      <c r="CH10" s="2">
        <v>2361</v>
      </c>
      <c r="CI10" s="2">
        <v>3433</v>
      </c>
      <c r="CJ10" s="2">
        <v>3576</v>
      </c>
      <c r="CK10" s="2">
        <v>6525</v>
      </c>
      <c r="CM10" s="2">
        <v>4379</v>
      </c>
      <c r="CN10" s="2">
        <v>6829</v>
      </c>
      <c r="CO10" s="2">
        <v>5342</v>
      </c>
      <c r="CP10" s="2">
        <v>6981</v>
      </c>
      <c r="CQ10" s="2">
        <v>3082</v>
      </c>
      <c r="CR10" s="2">
        <v>3872</v>
      </c>
      <c r="CS10" s="2"/>
      <c r="CT10" s="2">
        <v>2984</v>
      </c>
      <c r="CU10" s="2">
        <v>5219</v>
      </c>
      <c r="CV10" s="2">
        <v>6428</v>
      </c>
      <c r="CW10" s="2">
        <v>4928</v>
      </c>
      <c r="CX10" s="2">
        <v>3855</v>
      </c>
      <c r="CY10" s="2">
        <v>3695</v>
      </c>
      <c r="DA10" s="2">
        <v>3797</v>
      </c>
      <c r="DB10" s="2">
        <v>6538</v>
      </c>
      <c r="DC10" s="2">
        <v>5644</v>
      </c>
      <c r="DD10" s="2">
        <v>2703</v>
      </c>
      <c r="DE10" s="2">
        <v>4384</v>
      </c>
      <c r="DF10" s="2">
        <v>5295</v>
      </c>
      <c r="DG10" s="2">
        <v>1136</v>
      </c>
      <c r="DH10" s="2">
        <v>4310</v>
      </c>
      <c r="DI10" s="2">
        <v>5681</v>
      </c>
      <c r="DJ10" s="2">
        <v>7479</v>
      </c>
      <c r="DK10" s="2">
        <v>1629</v>
      </c>
      <c r="DL10" s="2">
        <v>6208</v>
      </c>
      <c r="DM10" s="2">
        <v>5905</v>
      </c>
      <c r="DN10" s="2"/>
      <c r="DO10" s="2">
        <v>4274</v>
      </c>
      <c r="DP10" s="2">
        <v>5686</v>
      </c>
      <c r="DQ10" s="2">
        <v>3531</v>
      </c>
      <c r="DR10" s="2">
        <v>3196</v>
      </c>
      <c r="DS10" s="2"/>
      <c r="DT10" s="2">
        <v>2773</v>
      </c>
      <c r="DU10" s="2">
        <v>1925</v>
      </c>
      <c r="DV10" s="2">
        <v>4560</v>
      </c>
      <c r="DW10" s="2">
        <v>4052</v>
      </c>
      <c r="DX10" s="2">
        <v>2847</v>
      </c>
      <c r="DY10" s="2">
        <v>2552</v>
      </c>
      <c r="DZ10" s="2">
        <v>3122</v>
      </c>
      <c r="EA10" s="2">
        <v>4426</v>
      </c>
      <c r="EB10" s="2"/>
      <c r="EC10" s="2">
        <v>3561</v>
      </c>
      <c r="ED10" s="2">
        <v>5888</v>
      </c>
      <c r="EE10" s="2">
        <v>3938</v>
      </c>
      <c r="EF10" s="2">
        <v>6163</v>
      </c>
      <c r="EG10" s="2">
        <v>5219</v>
      </c>
      <c r="EH10" s="2">
        <v>5245</v>
      </c>
      <c r="EI10" s="2">
        <v>1447</v>
      </c>
      <c r="EJ10" s="2">
        <v>2220</v>
      </c>
      <c r="EK10" s="2">
        <v>4482</v>
      </c>
      <c r="EL10" s="2">
        <v>4947</v>
      </c>
      <c r="EM10" s="2">
        <v>4715</v>
      </c>
      <c r="EN10" s="2">
        <v>4693</v>
      </c>
      <c r="EO10" s="2">
        <v>4934</v>
      </c>
      <c r="EP10" s="2"/>
      <c r="EQ10" s="2">
        <v>2649</v>
      </c>
      <c r="ER10" s="2">
        <v>908</v>
      </c>
      <c r="ES10" s="2"/>
      <c r="ET10" s="2"/>
      <c r="EU10" s="2"/>
      <c r="EV10" s="2">
        <v>3586</v>
      </c>
      <c r="EX10" s="7">
        <v>2297</v>
      </c>
      <c r="EY10" s="7">
        <v>2947</v>
      </c>
      <c r="EZ10" s="7">
        <v>3822</v>
      </c>
      <c r="FA10" s="7">
        <v>4354</v>
      </c>
      <c r="FB10" s="7">
        <v>6181</v>
      </c>
      <c r="FC10" s="7">
        <v>5464</v>
      </c>
      <c r="FE10" s="7">
        <v>3702</v>
      </c>
      <c r="FF10" s="7">
        <v>5860</v>
      </c>
      <c r="FG10" s="7">
        <v>5441</v>
      </c>
      <c r="FH10" s="7">
        <v>5662</v>
      </c>
      <c r="FI10" s="7">
        <v>7678</v>
      </c>
      <c r="FJ10" s="7">
        <v>6182</v>
      </c>
      <c r="FK10" s="7">
        <v>806</v>
      </c>
      <c r="FL10" s="7">
        <v>3925</v>
      </c>
      <c r="FM10" s="7">
        <v>5447</v>
      </c>
      <c r="FN10" s="7">
        <v>6552</v>
      </c>
      <c r="FO10" s="7">
        <v>5030</v>
      </c>
      <c r="FP10" s="7">
        <v>4743</v>
      </c>
      <c r="FQ10" s="7">
        <v>4395</v>
      </c>
      <c r="FS10" s="7">
        <v>2459</v>
      </c>
      <c r="FT10" s="7">
        <v>5820</v>
      </c>
      <c r="FU10" s="7">
        <v>2934</v>
      </c>
      <c r="FV10" s="7">
        <v>3938</v>
      </c>
      <c r="FW10" s="7">
        <v>1765</v>
      </c>
      <c r="FX10" s="7">
        <v>4745</v>
      </c>
      <c r="FY10" s="7">
        <v>272</v>
      </c>
      <c r="FZ10" s="7">
        <v>2566</v>
      </c>
      <c r="GA10" s="7">
        <v>4410</v>
      </c>
      <c r="GB10" s="7">
        <v>6059</v>
      </c>
      <c r="GC10" s="7">
        <v>4683</v>
      </c>
      <c r="GD10" s="7">
        <v>3549</v>
      </c>
      <c r="GE10" s="7">
        <v>5552</v>
      </c>
      <c r="GF10" s="7"/>
      <c r="GG10" s="7">
        <v>4652</v>
      </c>
      <c r="GH10" s="7">
        <v>3901</v>
      </c>
      <c r="GI10" s="7">
        <v>4522</v>
      </c>
      <c r="GJ10" s="7">
        <v>2881</v>
      </c>
      <c r="GK10" s="7">
        <v>4104</v>
      </c>
      <c r="GL10" s="7">
        <v>4058</v>
      </c>
      <c r="GM10" s="7">
        <v>192</v>
      </c>
      <c r="HD10" s="64"/>
      <c r="HK10" s="20"/>
      <c r="KB10" s="20"/>
      <c r="LE10" s="20"/>
      <c r="LY10" s="2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V10" s="7"/>
    </row>
    <row r="11" spans="1:367">
      <c r="A11" s="17">
        <f>+A10/A9</f>
        <v>52.405081249150271</v>
      </c>
      <c r="B11" s="18" t="s">
        <v>424</v>
      </c>
      <c r="C11" s="7"/>
      <c r="D11" s="7">
        <f t="shared" ref="D11:BO11" si="17">+IFERROR(D10/D9,"")</f>
        <v>70.9156626506024</v>
      </c>
      <c r="E11" s="7">
        <f t="shared" si="17"/>
        <v>76.785714285714292</v>
      </c>
      <c r="F11" s="7" t="str">
        <f t="shared" si="17"/>
        <v/>
      </c>
      <c r="G11" s="7">
        <f t="shared" si="17"/>
        <v>35.312820512820515</v>
      </c>
      <c r="H11" s="7">
        <f t="shared" si="17"/>
        <v>63.07692307692308</v>
      </c>
      <c r="I11" s="7">
        <f t="shared" si="17"/>
        <v>61.932203389830505</v>
      </c>
      <c r="J11" s="7">
        <f t="shared" si="17"/>
        <v>58.18888888888889</v>
      </c>
      <c r="K11" s="7">
        <f t="shared" si="17"/>
        <v>65.025641025641022</v>
      </c>
      <c r="L11" s="7">
        <f t="shared" si="17"/>
        <v>49.006060606060608</v>
      </c>
      <c r="M11" s="7" t="str">
        <f t="shared" si="17"/>
        <v/>
      </c>
      <c r="N11" s="7">
        <f t="shared" si="17"/>
        <v>67.665254237288138</v>
      </c>
      <c r="O11" s="7">
        <f t="shared" si="17"/>
        <v>75.531568228105911</v>
      </c>
      <c r="P11" s="7">
        <f t="shared" si="17"/>
        <v>63.496296296296293</v>
      </c>
      <c r="Q11" s="7">
        <f t="shared" si="17"/>
        <v>77.454545454545453</v>
      </c>
      <c r="R11" s="7">
        <f t="shared" si="17"/>
        <v>59.357575757575759</v>
      </c>
      <c r="S11" s="7">
        <f t="shared" si="17"/>
        <v>73.701408450704221</v>
      </c>
      <c r="T11" s="7" t="str">
        <f t="shared" si="17"/>
        <v/>
      </c>
      <c r="U11" s="7">
        <f t="shared" si="17"/>
        <v>44.844444444444441</v>
      </c>
      <c r="V11" s="7">
        <f t="shared" si="17"/>
        <v>58.355555555555554</v>
      </c>
      <c r="W11" s="7">
        <f t="shared" si="17"/>
        <v>35.944444444444443</v>
      </c>
      <c r="X11" s="7">
        <f t="shared" si="17"/>
        <v>41.289879931389365</v>
      </c>
      <c r="Y11" s="7">
        <f t="shared" si="17"/>
        <v>50.93333333333333</v>
      </c>
      <c r="Z11" s="7">
        <f t="shared" si="17"/>
        <v>54.432769367764919</v>
      </c>
      <c r="AA11" s="7" t="str">
        <f t="shared" si="17"/>
        <v/>
      </c>
      <c r="AB11" s="7">
        <f t="shared" si="17"/>
        <v>58.656167979002625</v>
      </c>
      <c r="AC11" s="7">
        <f t="shared" si="17"/>
        <v>58.666666666666664</v>
      </c>
      <c r="AD11" s="7">
        <f t="shared" si="17"/>
        <v>35.753846153846155</v>
      </c>
      <c r="AE11" s="7">
        <f t="shared" si="17"/>
        <v>52.420512820512819</v>
      </c>
      <c r="AF11" s="7">
        <f t="shared" si="17"/>
        <v>62.2</v>
      </c>
      <c r="AG11" s="7">
        <f t="shared" si="17"/>
        <v>36.984503190519597</v>
      </c>
      <c r="AH11" s="7" t="str">
        <f t="shared" si="17"/>
        <v/>
      </c>
      <c r="AI11" s="7">
        <f t="shared" si="17"/>
        <v>56.928909952606631</v>
      </c>
      <c r="AJ11" s="7">
        <f t="shared" si="17"/>
        <v>57.129087779690195</v>
      </c>
      <c r="AK11" s="7">
        <f t="shared" si="17"/>
        <v>32.799999999999997</v>
      </c>
      <c r="AL11" s="7">
        <f t="shared" si="17"/>
        <v>79.769696969696966</v>
      </c>
      <c r="AM11" s="7">
        <f t="shared" si="17"/>
        <v>54.945013979496736</v>
      </c>
      <c r="AN11" s="7">
        <f t="shared" si="17"/>
        <v>86.817391304347808</v>
      </c>
      <c r="AO11" s="7" t="str">
        <f t="shared" si="17"/>
        <v/>
      </c>
      <c r="AP11" s="7">
        <f t="shared" si="17"/>
        <v>40.666666666666664</v>
      </c>
      <c r="AQ11" s="7">
        <f t="shared" si="17"/>
        <v>42.186397984886646</v>
      </c>
      <c r="AR11" s="7">
        <f t="shared" si="17"/>
        <v>63.605150214592271</v>
      </c>
      <c r="AS11" s="7">
        <f t="shared" si="17"/>
        <v>46.102564102564102</v>
      </c>
      <c r="AT11" s="7">
        <f t="shared" si="17"/>
        <v>45.651282051282053</v>
      </c>
      <c r="AU11" s="7">
        <f t="shared" si="17"/>
        <v>68.700265251989393</v>
      </c>
      <c r="AV11" s="7" t="str">
        <f t="shared" si="17"/>
        <v/>
      </c>
      <c r="AW11" s="7">
        <f t="shared" si="17"/>
        <v>47.68888888888889</v>
      </c>
      <c r="AX11" s="7">
        <f t="shared" si="17"/>
        <v>43.164835164835168</v>
      </c>
      <c r="AY11" s="7">
        <f t="shared" si="17"/>
        <v>41.856410256410257</v>
      </c>
      <c r="AZ11" s="7">
        <f t="shared" si="17"/>
        <v>87.630769230769232</v>
      </c>
      <c r="BA11" s="7">
        <f t="shared" si="17"/>
        <v>42.705570291777185</v>
      </c>
      <c r="BB11" s="7">
        <f t="shared" si="17"/>
        <v>57.680140597539548</v>
      </c>
      <c r="BC11" s="7" t="str">
        <f t="shared" si="17"/>
        <v/>
      </c>
      <c r="BD11" s="7">
        <f t="shared" si="17"/>
        <v>23.748251748251747</v>
      </c>
      <c r="BE11" s="7">
        <f t="shared" si="17"/>
        <v>52.521888412017162</v>
      </c>
      <c r="BF11" s="7">
        <f t="shared" si="17"/>
        <v>70.655555555555551</v>
      </c>
      <c r="BG11" s="7">
        <f t="shared" si="17"/>
        <v>68.278787878787881</v>
      </c>
      <c r="BH11" s="7">
        <f t="shared" si="17"/>
        <v>114.68651162790697</v>
      </c>
      <c r="BI11" s="7">
        <f t="shared" si="17"/>
        <v>71.131914893617008</v>
      </c>
      <c r="BJ11" s="7" t="str">
        <f t="shared" si="17"/>
        <v/>
      </c>
      <c r="BK11" s="7">
        <f t="shared" si="17"/>
        <v>63.589743589743591</v>
      </c>
      <c r="BL11" s="7">
        <f t="shared" si="17"/>
        <v>31.969230769230769</v>
      </c>
      <c r="BM11" s="7">
        <f t="shared" si="17"/>
        <v>38.184615384615384</v>
      </c>
      <c r="BN11" s="7">
        <f t="shared" si="17"/>
        <v>70.085889570552155</v>
      </c>
      <c r="BO11" s="7">
        <f t="shared" si="17"/>
        <v>71.513793103448279</v>
      </c>
      <c r="BP11" s="7">
        <f t="shared" ref="BP11:EB11" si="18">+IFERROR(BP10/BP9,"")</f>
        <v>56.707692307692305</v>
      </c>
      <c r="BQ11" s="7" t="str">
        <f t="shared" si="18"/>
        <v/>
      </c>
      <c r="BR11" s="7">
        <f t="shared" si="18"/>
        <v>56.596401028277633</v>
      </c>
      <c r="BS11" s="7">
        <f t="shared" si="18"/>
        <v>66.205128205128204</v>
      </c>
      <c r="BT11" s="7">
        <f t="shared" si="18"/>
        <v>51.440343347639477</v>
      </c>
      <c r="BU11" s="7">
        <f t="shared" si="18"/>
        <v>83.776397515527947</v>
      </c>
      <c r="BV11" s="7">
        <f t="shared" si="18"/>
        <v>64.02051282051282</v>
      </c>
      <c r="BW11" s="7">
        <f t="shared" si="18"/>
        <v>57.005692599620495</v>
      </c>
      <c r="BX11" s="7">
        <f t="shared" si="18"/>
        <v>13.897435897435898</v>
      </c>
      <c r="BY11" s="7" t="str">
        <f t="shared" si="18"/>
        <v/>
      </c>
      <c r="BZ11" s="7" t="str">
        <f t="shared" si="18"/>
        <v/>
      </c>
      <c r="CA11" s="7" t="str">
        <f t="shared" si="18"/>
        <v/>
      </c>
      <c r="CB11" s="7" t="str">
        <f t="shared" si="18"/>
        <v/>
      </c>
      <c r="CC11" s="7" t="str">
        <f t="shared" si="18"/>
        <v/>
      </c>
      <c r="CD11" s="7" t="str">
        <f t="shared" si="18"/>
        <v/>
      </c>
      <c r="CE11" s="7" t="str">
        <f t="shared" si="18"/>
        <v/>
      </c>
      <c r="CF11" s="7">
        <f t="shared" si="18"/>
        <v>18.169696969696968</v>
      </c>
      <c r="CG11" s="7">
        <f t="shared" si="18"/>
        <v>22.618181818181817</v>
      </c>
      <c r="CH11" s="7">
        <f t="shared" si="18"/>
        <v>28.618181818181817</v>
      </c>
      <c r="CI11" s="7">
        <f t="shared" si="18"/>
        <v>41.823350253807106</v>
      </c>
      <c r="CJ11" s="7">
        <f t="shared" si="18"/>
        <v>50.248243559718979</v>
      </c>
      <c r="CK11" s="7">
        <f t="shared" si="18"/>
        <v>88.775510204081627</v>
      </c>
      <c r="CL11" s="7" t="str">
        <f t="shared" si="18"/>
        <v/>
      </c>
      <c r="CM11" s="7">
        <f>+IFERROR(CM10/CM9,"")</f>
        <v>48.836431226765804</v>
      </c>
      <c r="CN11" s="7">
        <f t="shared" si="18"/>
        <v>75.87777777777778</v>
      </c>
      <c r="CO11" s="7">
        <f t="shared" si="18"/>
        <v>54.789743589743587</v>
      </c>
      <c r="CP11" s="7">
        <f t="shared" si="18"/>
        <v>73.873015873015873</v>
      </c>
      <c r="CQ11" s="7">
        <f t="shared" si="18"/>
        <v>37.815950920245399</v>
      </c>
      <c r="CR11" s="7">
        <f t="shared" si="18"/>
        <v>47.753340184994862</v>
      </c>
      <c r="CS11" s="7" t="str">
        <f t="shared" si="18"/>
        <v/>
      </c>
      <c r="CT11" s="7">
        <f t="shared" si="18"/>
        <v>33.402985074626869</v>
      </c>
      <c r="CU11" s="7">
        <f t="shared" si="18"/>
        <v>57.988888888888887</v>
      </c>
      <c r="CV11" s="7">
        <f t="shared" si="18"/>
        <v>78.469989827060019</v>
      </c>
      <c r="CW11" s="7">
        <f t="shared" si="18"/>
        <v>56.427480916030525</v>
      </c>
      <c r="CX11" s="7">
        <f t="shared" si="18"/>
        <v>42.833333333333336</v>
      </c>
      <c r="CY11" s="7">
        <f t="shared" si="18"/>
        <v>44.031777557100298</v>
      </c>
      <c r="CZ11" s="7" t="str">
        <f t="shared" si="18"/>
        <v/>
      </c>
      <c r="DA11" s="7">
        <f t="shared" si="18"/>
        <v>46.924819773429462</v>
      </c>
      <c r="DB11" s="7">
        <f t="shared" si="18"/>
        <v>87.173333333333332</v>
      </c>
      <c r="DC11" s="7">
        <f t="shared" si="18"/>
        <v>63.415730337078649</v>
      </c>
      <c r="DD11" s="7">
        <f t="shared" si="18"/>
        <v>33.064220183486242</v>
      </c>
      <c r="DE11" s="7">
        <f t="shared" si="18"/>
        <v>53.139393939393941</v>
      </c>
      <c r="DF11" s="7">
        <f t="shared" si="18"/>
        <v>59.383177570093466</v>
      </c>
      <c r="DG11" s="7">
        <f t="shared" si="18"/>
        <v>17.04</v>
      </c>
      <c r="DH11" s="7">
        <f t="shared" si="18"/>
        <v>49.730769230769234</v>
      </c>
      <c r="DI11" s="7">
        <f t="shared" si="18"/>
        <v>61.862068965517238</v>
      </c>
      <c r="DJ11" s="7">
        <f t="shared" si="18"/>
        <v>84.667924528301882</v>
      </c>
      <c r="DK11" s="7">
        <f t="shared" si="18"/>
        <v>20.028688524590162</v>
      </c>
      <c r="DL11" s="7">
        <f t="shared" si="18"/>
        <v>71.356321839080465</v>
      </c>
      <c r="DM11" s="7">
        <f t="shared" si="18"/>
        <v>67.48571428571428</v>
      </c>
      <c r="DN11" s="7" t="str">
        <f t="shared" si="18"/>
        <v/>
      </c>
      <c r="DO11" s="7">
        <f t="shared" si="18"/>
        <v>55.089151450053699</v>
      </c>
      <c r="DP11" s="7">
        <f t="shared" si="18"/>
        <v>68.921212121212122</v>
      </c>
      <c r="DQ11" s="7">
        <f t="shared" si="18"/>
        <v>47.08</v>
      </c>
      <c r="DR11" s="7">
        <f t="shared" si="18"/>
        <v>50.396846254927731</v>
      </c>
      <c r="DS11" s="7" t="str">
        <f t="shared" si="18"/>
        <v/>
      </c>
      <c r="DT11" s="7">
        <f t="shared" si="18"/>
        <v>33.61212121212121</v>
      </c>
      <c r="DU11" s="7">
        <f t="shared" si="18"/>
        <v>28.911138923654569</v>
      </c>
      <c r="DV11" s="7">
        <f t="shared" si="18"/>
        <v>50.666666666666664</v>
      </c>
      <c r="DW11" s="7">
        <f t="shared" si="18"/>
        <v>45.022222222222226</v>
      </c>
      <c r="DX11" s="7">
        <f t="shared" si="18"/>
        <v>29.889763779527559</v>
      </c>
      <c r="DY11" s="7">
        <f t="shared" si="18"/>
        <v>32.134312696747109</v>
      </c>
      <c r="DZ11" s="7">
        <f t="shared" si="18"/>
        <v>34.68888888888889</v>
      </c>
      <c r="EA11" s="7">
        <f t="shared" si="18"/>
        <v>53.648484848484848</v>
      </c>
      <c r="EB11" s="7" t="str">
        <f t="shared" si="18"/>
        <v/>
      </c>
      <c r="EC11" s="7">
        <f t="shared" ref="EC11:GM11" si="19">+IFERROR(EC10/EC9,"")</f>
        <v>37.682539682539684</v>
      </c>
      <c r="ED11" s="7">
        <f t="shared" si="19"/>
        <v>63.884267631103071</v>
      </c>
      <c r="EE11" s="7">
        <f t="shared" si="19"/>
        <v>40.389743589743588</v>
      </c>
      <c r="EF11" s="7">
        <f t="shared" si="19"/>
        <v>63.210256410256413</v>
      </c>
      <c r="EG11" s="7">
        <f t="shared" si="19"/>
        <v>47.662100456621005</v>
      </c>
      <c r="EH11" s="7">
        <f t="shared" si="19"/>
        <v>49.248826291079816</v>
      </c>
      <c r="EI11" s="7">
        <f t="shared" si="19"/>
        <v>14.841025641025642</v>
      </c>
      <c r="EJ11" s="7">
        <f t="shared" si="19"/>
        <v>22.089552238805972</v>
      </c>
      <c r="EK11" s="7">
        <f t="shared" si="19"/>
        <v>45.969230769230769</v>
      </c>
      <c r="EL11" s="7">
        <f t="shared" si="19"/>
        <v>49.223880597014926</v>
      </c>
      <c r="EM11" s="7">
        <f t="shared" si="19"/>
        <v>46.915422885572141</v>
      </c>
      <c r="EN11" s="7">
        <f t="shared" si="19"/>
        <v>48.298456260720414</v>
      </c>
      <c r="EO11" s="7">
        <f t="shared" si="19"/>
        <v>50.605128205128203</v>
      </c>
      <c r="EP11" s="7" t="str">
        <f t="shared" si="19"/>
        <v/>
      </c>
      <c r="EQ11" s="7">
        <f t="shared" si="19"/>
        <v>28.106100795755967</v>
      </c>
      <c r="ER11" s="7">
        <f t="shared" si="19"/>
        <v>30.606741573033709</v>
      </c>
      <c r="ES11" s="7" t="str">
        <f t="shared" si="19"/>
        <v/>
      </c>
      <c r="ET11" s="7" t="str">
        <f t="shared" si="19"/>
        <v/>
      </c>
      <c r="EU11" s="7" t="str">
        <f t="shared" si="19"/>
        <v/>
      </c>
      <c r="EV11" s="7">
        <f t="shared" si="19"/>
        <v>39.844444444444441</v>
      </c>
      <c r="EW11" s="7" t="str">
        <f t="shared" si="19"/>
        <v/>
      </c>
      <c r="EX11" s="7">
        <f t="shared" si="19"/>
        <v>23.202020202020201</v>
      </c>
      <c r="EY11" s="7">
        <f t="shared" si="19"/>
        <v>30.778067885117494</v>
      </c>
      <c r="EZ11" s="7">
        <f t="shared" si="19"/>
        <v>41.096774193548384</v>
      </c>
      <c r="FA11" s="7">
        <f t="shared" si="19"/>
        <v>53.043654822335029</v>
      </c>
      <c r="FB11" s="7">
        <f t="shared" si="19"/>
        <v>69.061452513966486</v>
      </c>
      <c r="FC11" s="7">
        <f t="shared" si="19"/>
        <v>71.737417943107232</v>
      </c>
      <c r="FD11" s="7" t="str">
        <f t="shared" si="19"/>
        <v/>
      </c>
      <c r="FE11" s="7">
        <f t="shared" si="19"/>
        <v>44.872727272727275</v>
      </c>
      <c r="FF11" s="7">
        <f t="shared" si="19"/>
        <v>60.102564102564102</v>
      </c>
      <c r="FG11" s="7">
        <f t="shared" si="19"/>
        <v>68.800842992623814</v>
      </c>
      <c r="FH11" s="7">
        <f t="shared" si="19"/>
        <v>59.547765118317265</v>
      </c>
      <c r="FI11" s="7">
        <f t="shared" si="19"/>
        <v>85.311111111111117</v>
      </c>
      <c r="FJ11" s="7">
        <f t="shared" si="19"/>
        <v>71.468208092485554</v>
      </c>
      <c r="FK11" s="7">
        <f t="shared" si="19"/>
        <v>10.043613707165109</v>
      </c>
      <c r="FL11" s="7">
        <f t="shared" si="19"/>
        <v>47.865853658536587</v>
      </c>
      <c r="FM11" s="7">
        <f t="shared" si="19"/>
        <v>58.88648648648649</v>
      </c>
      <c r="FN11" s="7">
        <f t="shared" si="19"/>
        <v>76.706341463414645</v>
      </c>
      <c r="FO11" s="7">
        <f t="shared" si="19"/>
        <v>55.837187789084183</v>
      </c>
      <c r="FP11" s="7">
        <f t="shared" si="19"/>
        <v>48.813036020583198</v>
      </c>
      <c r="FQ11" s="7">
        <f t="shared" si="19"/>
        <v>49.335827876520113</v>
      </c>
      <c r="FR11" s="7" t="str">
        <f t="shared" si="19"/>
        <v/>
      </c>
      <c r="FS11" s="7">
        <f t="shared" si="19"/>
        <v>29.567134268537078</v>
      </c>
      <c r="FT11" s="7">
        <f t="shared" si="19"/>
        <v>70.120481927710841</v>
      </c>
      <c r="FU11" s="7">
        <f t="shared" si="19"/>
        <v>36.222222222222221</v>
      </c>
      <c r="FV11" s="7">
        <f t="shared" si="19"/>
        <v>49.743157894736846</v>
      </c>
      <c r="FW11" s="7">
        <f t="shared" si="19"/>
        <v>21.857585139318886</v>
      </c>
      <c r="FX11" s="7">
        <f t="shared" si="19"/>
        <v>62.571428571428577</v>
      </c>
      <c r="FY11" s="7">
        <f t="shared" si="19"/>
        <v>3.6387959866220734</v>
      </c>
      <c r="FZ11" s="7">
        <f t="shared" si="19"/>
        <v>27.591397849462364</v>
      </c>
      <c r="GA11" s="7">
        <f t="shared" si="19"/>
        <v>47.41935483870968</v>
      </c>
      <c r="GB11" s="7">
        <f t="shared" si="19"/>
        <v>87.705669481302778</v>
      </c>
      <c r="GC11" s="7">
        <f t="shared" si="19"/>
        <v>78.267409470752099</v>
      </c>
      <c r="GD11" s="7">
        <f t="shared" si="19"/>
        <v>52.773234200743495</v>
      </c>
      <c r="GE11" s="7">
        <f t="shared" si="19"/>
        <v>88.478087649402397</v>
      </c>
      <c r="GF11" s="7" t="str">
        <f t="shared" si="19"/>
        <v/>
      </c>
      <c r="GG11" s="7">
        <f t="shared" si="19"/>
        <v>62.026666666666664</v>
      </c>
      <c r="GH11" s="7">
        <f t="shared" si="19"/>
        <v>47.284848484848482</v>
      </c>
      <c r="GI11" s="7">
        <f t="shared" si="19"/>
        <v>54.812121212121212</v>
      </c>
      <c r="GJ11" s="7">
        <f t="shared" si="19"/>
        <v>34.921212121212122</v>
      </c>
      <c r="GK11" s="7">
        <f t="shared" si="19"/>
        <v>50.718846549948516</v>
      </c>
      <c r="GL11" s="7">
        <f t="shared" si="19"/>
        <v>54.106666666666669</v>
      </c>
      <c r="GM11" s="7">
        <f t="shared" si="19"/>
        <v>5.12</v>
      </c>
      <c r="HR11" s="20"/>
      <c r="HS11" s="20"/>
      <c r="HT11" s="20"/>
      <c r="HU11" s="20"/>
      <c r="HV11" s="20"/>
      <c r="JI11" s="71"/>
      <c r="JJ11" s="116"/>
      <c r="LY11" s="83"/>
      <c r="LZ11" s="34"/>
      <c r="MA11" s="34"/>
      <c r="MB11" s="34"/>
      <c r="MC11" s="34"/>
      <c r="MD11" s="34"/>
      <c r="ME11" s="34"/>
      <c r="MF11" s="34"/>
      <c r="MG11" s="34"/>
      <c r="MH11" s="34"/>
      <c r="MI11" s="34"/>
      <c r="MJ11" s="34"/>
      <c r="MK11" s="34"/>
      <c r="ML11" s="34"/>
      <c r="MM11" s="34"/>
      <c r="MN11" s="34"/>
      <c r="MO11" s="34"/>
      <c r="MP11" s="34"/>
      <c r="MQ11" s="34"/>
      <c r="MR11" s="34"/>
      <c r="MS11" s="34"/>
      <c r="MV11" s="7"/>
    </row>
    <row r="12" spans="1:367" hidden="1">
      <c r="AA12" s="28"/>
      <c r="MS12"/>
      <c r="MT12"/>
      <c r="MU12"/>
    </row>
    <row r="13" spans="1:367" hidden="1">
      <c r="AA13" s="28"/>
      <c r="MS13"/>
      <c r="MT13"/>
      <c r="MU13"/>
    </row>
    <row r="14" spans="1:367" hidden="1">
      <c r="A14" s="10" t="s">
        <v>57</v>
      </c>
      <c r="B14" s="10" t="s">
        <v>56</v>
      </c>
      <c r="C14" s="11">
        <v>45658</v>
      </c>
      <c r="D14" s="11">
        <v>45659</v>
      </c>
      <c r="E14" s="11">
        <v>45660</v>
      </c>
      <c r="F14" s="11">
        <v>45661</v>
      </c>
      <c r="G14" s="11">
        <v>45662</v>
      </c>
      <c r="H14" s="11">
        <v>45663</v>
      </c>
      <c r="I14" s="11">
        <v>45664</v>
      </c>
      <c r="J14" s="11">
        <v>45665</v>
      </c>
      <c r="K14" s="11">
        <v>45666</v>
      </c>
      <c r="L14" s="11">
        <v>45667</v>
      </c>
      <c r="M14" s="11">
        <v>45668</v>
      </c>
      <c r="N14" s="11">
        <v>45669</v>
      </c>
      <c r="O14" s="11">
        <v>45670</v>
      </c>
      <c r="P14" s="11">
        <v>45671</v>
      </c>
      <c r="Q14" s="11">
        <v>45672</v>
      </c>
      <c r="R14" s="11">
        <v>45673</v>
      </c>
      <c r="S14" s="11">
        <v>45674</v>
      </c>
      <c r="T14" s="11">
        <v>45675</v>
      </c>
      <c r="U14" s="11">
        <v>45676</v>
      </c>
      <c r="V14" s="11">
        <v>45677</v>
      </c>
      <c r="W14" s="11">
        <v>45678</v>
      </c>
      <c r="X14" s="11">
        <v>45679</v>
      </c>
      <c r="Y14" s="11">
        <v>45680</v>
      </c>
      <c r="Z14" s="11">
        <v>45681</v>
      </c>
      <c r="AA14" s="11">
        <v>45682</v>
      </c>
      <c r="AB14" s="11">
        <v>45683</v>
      </c>
      <c r="AC14" s="11">
        <v>45684</v>
      </c>
      <c r="AD14" s="11">
        <v>45685</v>
      </c>
      <c r="AE14" s="11">
        <v>45686</v>
      </c>
      <c r="AF14" s="11">
        <v>45687</v>
      </c>
      <c r="AG14" s="11">
        <v>45688</v>
      </c>
      <c r="AH14" s="11">
        <v>45689</v>
      </c>
      <c r="AI14" s="11">
        <v>45690</v>
      </c>
      <c r="AJ14" s="11">
        <v>45691</v>
      </c>
      <c r="AK14" s="11">
        <v>45692</v>
      </c>
      <c r="AL14" s="11">
        <v>45693</v>
      </c>
      <c r="AM14" s="11">
        <v>45694</v>
      </c>
      <c r="AN14" s="11">
        <v>45695</v>
      </c>
      <c r="AO14" s="11">
        <v>45696</v>
      </c>
      <c r="AP14" s="11">
        <v>45697</v>
      </c>
      <c r="AQ14" s="11">
        <v>45698</v>
      </c>
      <c r="AR14" s="11">
        <v>45699</v>
      </c>
      <c r="AS14" s="11">
        <v>45700</v>
      </c>
      <c r="AT14" s="11">
        <v>45701</v>
      </c>
      <c r="AU14" s="11">
        <v>45702</v>
      </c>
      <c r="AV14" s="11">
        <v>45703</v>
      </c>
      <c r="AW14" s="11">
        <v>45704</v>
      </c>
      <c r="AX14" s="11">
        <v>45705</v>
      </c>
      <c r="AY14" s="11">
        <v>45706</v>
      </c>
      <c r="AZ14" s="11">
        <v>45707</v>
      </c>
      <c r="BA14" s="11">
        <v>45708</v>
      </c>
      <c r="BB14" s="11">
        <v>45709</v>
      </c>
      <c r="BC14" s="11">
        <v>45710</v>
      </c>
      <c r="BD14" s="11">
        <v>45711</v>
      </c>
      <c r="BE14" s="11">
        <v>45712</v>
      </c>
      <c r="BF14" s="11">
        <v>45713</v>
      </c>
      <c r="BG14" s="11">
        <v>45714</v>
      </c>
      <c r="BH14" s="11">
        <v>45715</v>
      </c>
      <c r="BI14" s="11">
        <v>45716</v>
      </c>
      <c r="BJ14" s="11">
        <v>45717</v>
      </c>
      <c r="BK14" s="11">
        <v>45718</v>
      </c>
      <c r="BL14" s="11">
        <v>45719</v>
      </c>
      <c r="BM14" s="11">
        <v>45720</v>
      </c>
      <c r="BN14" s="11">
        <v>45721</v>
      </c>
      <c r="BO14" s="11">
        <v>45722</v>
      </c>
      <c r="BP14" s="11">
        <v>45723</v>
      </c>
      <c r="BQ14" s="11">
        <v>45724</v>
      </c>
      <c r="BR14" s="11">
        <v>45725</v>
      </c>
      <c r="BS14" s="11">
        <v>45726</v>
      </c>
      <c r="BT14" s="11">
        <v>45727</v>
      </c>
      <c r="BU14" s="11">
        <v>45728</v>
      </c>
      <c r="BV14" s="11">
        <v>45729</v>
      </c>
      <c r="BW14" s="11">
        <v>45730</v>
      </c>
      <c r="BX14" s="11">
        <v>45731</v>
      </c>
      <c r="BY14" s="11">
        <v>45732</v>
      </c>
      <c r="BZ14" s="11">
        <v>45733</v>
      </c>
      <c r="CA14" s="11">
        <v>45734</v>
      </c>
      <c r="CB14" s="11">
        <v>45735</v>
      </c>
      <c r="CC14" s="11">
        <v>45736</v>
      </c>
      <c r="CD14" s="11">
        <v>45737</v>
      </c>
      <c r="CE14" s="11">
        <v>45738</v>
      </c>
      <c r="CF14" s="11">
        <v>45739</v>
      </c>
      <c r="CG14" s="11">
        <v>45740</v>
      </c>
      <c r="CH14" s="11">
        <v>45741</v>
      </c>
      <c r="CI14" s="11">
        <v>45742</v>
      </c>
      <c r="CJ14" s="11">
        <v>45743</v>
      </c>
      <c r="CK14" s="11">
        <v>45744</v>
      </c>
      <c r="CL14" s="11">
        <v>45745</v>
      </c>
      <c r="CM14" s="11">
        <v>45746</v>
      </c>
      <c r="CN14" s="11">
        <v>45747</v>
      </c>
      <c r="CO14" s="11">
        <v>45748</v>
      </c>
      <c r="CP14" s="11">
        <v>45749</v>
      </c>
      <c r="CQ14" s="11">
        <v>45750</v>
      </c>
      <c r="CR14" s="11">
        <v>45751</v>
      </c>
      <c r="CS14" s="11">
        <v>45752</v>
      </c>
      <c r="CT14" s="11">
        <v>45753</v>
      </c>
      <c r="CU14" s="11">
        <v>45754</v>
      </c>
      <c r="CV14" s="11">
        <v>45755</v>
      </c>
      <c r="CW14" s="11">
        <v>45756</v>
      </c>
      <c r="CX14" s="11">
        <v>45757</v>
      </c>
      <c r="CY14" s="11">
        <v>45758</v>
      </c>
      <c r="CZ14" s="11">
        <v>45759</v>
      </c>
      <c r="DA14" s="11">
        <v>45760</v>
      </c>
      <c r="DB14" s="11">
        <v>45761</v>
      </c>
      <c r="DC14" s="11">
        <v>45762</v>
      </c>
      <c r="DD14" s="11">
        <v>45763</v>
      </c>
      <c r="DE14" s="11">
        <v>45764</v>
      </c>
      <c r="DF14" s="11">
        <v>45765</v>
      </c>
      <c r="DG14" s="11">
        <v>45766</v>
      </c>
      <c r="DH14" s="11">
        <v>45767</v>
      </c>
      <c r="DI14" s="11">
        <v>45768</v>
      </c>
      <c r="DJ14" s="11">
        <v>45769</v>
      </c>
      <c r="DK14" s="11">
        <v>45770</v>
      </c>
      <c r="DL14" s="11">
        <v>45771</v>
      </c>
      <c r="DM14" s="11">
        <v>45772</v>
      </c>
      <c r="DN14" s="11">
        <v>45773</v>
      </c>
      <c r="DO14" s="11">
        <v>45774</v>
      </c>
      <c r="DP14" s="11">
        <v>45775</v>
      </c>
      <c r="DQ14" s="11">
        <v>45776</v>
      </c>
      <c r="DR14" s="11">
        <v>45777</v>
      </c>
      <c r="DS14" s="11">
        <v>45778</v>
      </c>
      <c r="DT14" s="11">
        <v>45779</v>
      </c>
      <c r="DU14" s="11">
        <v>45780</v>
      </c>
      <c r="DV14" s="11">
        <v>45781</v>
      </c>
      <c r="DW14" s="11">
        <v>45782</v>
      </c>
      <c r="DX14" s="11">
        <v>45783</v>
      </c>
      <c r="DY14" s="11">
        <v>45784</v>
      </c>
      <c r="DZ14" s="11">
        <v>45785</v>
      </c>
      <c r="EA14" s="11">
        <v>45786</v>
      </c>
      <c r="EB14" s="11">
        <v>45787</v>
      </c>
      <c r="EC14" s="11">
        <v>45788</v>
      </c>
      <c r="ED14" s="11">
        <v>45789</v>
      </c>
      <c r="EE14" s="11">
        <v>45790</v>
      </c>
      <c r="EF14" s="11">
        <v>45791</v>
      </c>
      <c r="EG14" s="11">
        <v>45792</v>
      </c>
      <c r="EH14" s="11">
        <v>45793</v>
      </c>
      <c r="EI14" s="11">
        <v>45794</v>
      </c>
      <c r="EJ14" s="11">
        <v>45795</v>
      </c>
      <c r="EK14" s="11">
        <v>45796</v>
      </c>
      <c r="EL14" s="11">
        <v>45797</v>
      </c>
      <c r="EM14" s="11">
        <v>45798</v>
      </c>
      <c r="EN14" s="11">
        <v>45799</v>
      </c>
      <c r="EO14" s="11">
        <v>45800</v>
      </c>
      <c r="EP14" s="11">
        <v>45801</v>
      </c>
      <c r="EQ14" s="11">
        <v>45802</v>
      </c>
      <c r="ER14" s="11">
        <v>45803</v>
      </c>
      <c r="ES14" s="11">
        <v>45804</v>
      </c>
      <c r="ET14" s="11">
        <v>45805</v>
      </c>
      <c r="EU14" s="11">
        <v>45806</v>
      </c>
      <c r="EV14" s="11">
        <v>45807</v>
      </c>
      <c r="EW14" s="11">
        <v>45808</v>
      </c>
      <c r="EX14" s="11">
        <v>45809</v>
      </c>
      <c r="EY14" s="11">
        <v>45810</v>
      </c>
      <c r="EZ14" s="11">
        <v>45811</v>
      </c>
      <c r="FA14" s="11">
        <v>45812</v>
      </c>
      <c r="FB14" s="11">
        <v>45813</v>
      </c>
      <c r="FC14" s="11">
        <v>45814</v>
      </c>
      <c r="FD14" s="11">
        <v>45815</v>
      </c>
      <c r="FE14" s="11">
        <v>45816</v>
      </c>
      <c r="FF14" s="11">
        <v>45817</v>
      </c>
      <c r="FG14" s="11">
        <v>45818</v>
      </c>
      <c r="FH14" s="11">
        <v>45819</v>
      </c>
      <c r="FI14" s="11">
        <v>45820</v>
      </c>
      <c r="FJ14" s="11">
        <v>45821</v>
      </c>
      <c r="FK14" s="11">
        <v>45822</v>
      </c>
      <c r="FL14" s="11">
        <v>45823</v>
      </c>
      <c r="FM14" s="11">
        <v>45824</v>
      </c>
      <c r="FN14" s="11">
        <v>45825</v>
      </c>
      <c r="FO14" s="11">
        <v>45826</v>
      </c>
      <c r="FP14" s="11">
        <v>45827</v>
      </c>
      <c r="FQ14" s="11">
        <v>45828</v>
      </c>
      <c r="FR14" s="11">
        <v>45829</v>
      </c>
      <c r="FS14" s="11">
        <v>45830</v>
      </c>
      <c r="FT14" s="11">
        <v>45831</v>
      </c>
      <c r="FU14" s="11">
        <v>45832</v>
      </c>
      <c r="FV14" s="11">
        <v>45833</v>
      </c>
      <c r="FW14" s="11">
        <v>45834</v>
      </c>
      <c r="FX14" s="11">
        <v>45835</v>
      </c>
      <c r="FY14" s="11">
        <v>45836</v>
      </c>
      <c r="FZ14" s="11">
        <v>45837</v>
      </c>
      <c r="GA14" s="11">
        <v>45838</v>
      </c>
      <c r="GB14" s="11">
        <v>45839</v>
      </c>
      <c r="GC14" s="11">
        <v>45840</v>
      </c>
      <c r="GD14" s="11">
        <v>45841</v>
      </c>
      <c r="GE14" s="11">
        <v>45842</v>
      </c>
      <c r="GF14" s="11">
        <v>45843</v>
      </c>
      <c r="GG14" s="11">
        <v>45844</v>
      </c>
      <c r="GH14" s="11">
        <v>45845</v>
      </c>
      <c r="GI14" s="11">
        <v>45846</v>
      </c>
      <c r="GJ14" s="11">
        <v>45847</v>
      </c>
      <c r="GK14" s="11">
        <v>45848</v>
      </c>
      <c r="GL14" s="11">
        <v>45849</v>
      </c>
      <c r="GM14" s="11">
        <v>45850</v>
      </c>
      <c r="GN14" s="11">
        <v>45851</v>
      </c>
      <c r="GO14" s="11">
        <v>45852</v>
      </c>
      <c r="GP14" s="11">
        <v>45853</v>
      </c>
      <c r="GQ14" s="11">
        <v>45854</v>
      </c>
      <c r="GR14" s="11">
        <v>45855</v>
      </c>
      <c r="GS14" s="11">
        <v>45856</v>
      </c>
      <c r="GT14" s="11">
        <v>45857</v>
      </c>
      <c r="GU14" s="11">
        <v>45858</v>
      </c>
      <c r="GV14" s="11">
        <v>45859</v>
      </c>
      <c r="GW14" s="11">
        <v>45860</v>
      </c>
      <c r="GX14" s="11">
        <v>45861</v>
      </c>
      <c r="GY14" s="11">
        <v>45862</v>
      </c>
      <c r="GZ14" s="11">
        <v>45863</v>
      </c>
      <c r="HA14" s="11">
        <v>45864</v>
      </c>
      <c r="HB14" s="11">
        <v>45865</v>
      </c>
      <c r="HC14" s="11">
        <v>45866</v>
      </c>
      <c r="HD14" s="11">
        <v>45867</v>
      </c>
      <c r="HE14" s="11">
        <v>45868</v>
      </c>
      <c r="HF14" s="11">
        <v>45869</v>
      </c>
      <c r="HG14" s="11">
        <v>45870</v>
      </c>
      <c r="HH14" s="11">
        <v>45871</v>
      </c>
      <c r="HI14" s="11">
        <v>45872</v>
      </c>
      <c r="HJ14" s="11">
        <v>45873</v>
      </c>
      <c r="HK14" s="11">
        <v>45874</v>
      </c>
      <c r="HL14" s="11">
        <v>45875</v>
      </c>
      <c r="HM14" s="11">
        <v>45876</v>
      </c>
      <c r="HN14" s="11">
        <v>45877</v>
      </c>
      <c r="HO14" s="11">
        <v>45878</v>
      </c>
      <c r="HP14" s="11">
        <v>45879</v>
      </c>
      <c r="HQ14" s="11">
        <v>45880</v>
      </c>
      <c r="HR14" s="11">
        <v>45881</v>
      </c>
      <c r="HS14" s="11">
        <v>45882</v>
      </c>
      <c r="HT14" s="11">
        <v>45883</v>
      </c>
      <c r="HU14" s="11">
        <v>45884</v>
      </c>
      <c r="HV14" s="11">
        <v>45885</v>
      </c>
      <c r="HW14" s="11">
        <v>45886</v>
      </c>
      <c r="HX14" s="11">
        <v>45887</v>
      </c>
      <c r="HY14" s="11">
        <v>45888</v>
      </c>
      <c r="HZ14" s="11">
        <v>45889</v>
      </c>
      <c r="IA14" s="11">
        <v>45890</v>
      </c>
      <c r="IB14" s="11">
        <v>45891</v>
      </c>
      <c r="IC14" s="11">
        <v>45892</v>
      </c>
      <c r="ID14" s="11">
        <v>45893</v>
      </c>
      <c r="IE14" s="11">
        <v>45894</v>
      </c>
      <c r="IF14" s="11">
        <v>45895</v>
      </c>
      <c r="IG14" s="11">
        <v>45896</v>
      </c>
      <c r="IH14" s="11">
        <v>45897</v>
      </c>
      <c r="II14" s="11">
        <v>45898</v>
      </c>
      <c r="IJ14" s="11">
        <v>45899</v>
      </c>
      <c r="IK14" s="11">
        <v>45900</v>
      </c>
      <c r="IL14" s="11">
        <v>45901</v>
      </c>
      <c r="IM14" s="11">
        <v>45902</v>
      </c>
      <c r="IN14" s="11">
        <v>45903</v>
      </c>
      <c r="IO14" s="11">
        <v>45904</v>
      </c>
      <c r="IP14" s="11">
        <v>45905</v>
      </c>
      <c r="IQ14" s="11">
        <v>45906</v>
      </c>
      <c r="IR14" s="11">
        <v>45907</v>
      </c>
      <c r="IS14" s="11">
        <v>45908</v>
      </c>
      <c r="IT14" s="11">
        <v>45909</v>
      </c>
      <c r="IU14" s="11">
        <v>45910</v>
      </c>
      <c r="IV14" s="11">
        <v>45911</v>
      </c>
      <c r="IW14" s="11">
        <v>45912</v>
      </c>
      <c r="IX14" s="11">
        <v>45913</v>
      </c>
      <c r="IY14" s="11">
        <v>45914</v>
      </c>
      <c r="IZ14" s="11">
        <v>45915</v>
      </c>
      <c r="JA14" s="11">
        <v>45916</v>
      </c>
      <c r="JB14" s="11">
        <v>45917</v>
      </c>
      <c r="JC14" s="11">
        <v>45918</v>
      </c>
      <c r="JD14" s="11">
        <v>45919</v>
      </c>
      <c r="JE14" s="11">
        <v>45920</v>
      </c>
      <c r="JF14" s="11">
        <v>45921</v>
      </c>
      <c r="JG14" s="11">
        <v>45922</v>
      </c>
      <c r="JH14" s="11">
        <v>45923</v>
      </c>
      <c r="JI14" s="11">
        <v>45924</v>
      </c>
      <c r="JJ14" s="11">
        <v>45925</v>
      </c>
      <c r="JK14" s="11">
        <v>45926</v>
      </c>
      <c r="JL14" s="11">
        <v>45927</v>
      </c>
      <c r="JM14" s="11">
        <v>45928</v>
      </c>
      <c r="JN14" s="11">
        <v>45929</v>
      </c>
      <c r="JO14" s="11">
        <v>45930</v>
      </c>
      <c r="JP14" s="11">
        <v>45931</v>
      </c>
      <c r="JQ14" s="11">
        <v>45932</v>
      </c>
      <c r="JR14" s="11">
        <v>45933</v>
      </c>
      <c r="JS14" s="11">
        <v>45934</v>
      </c>
      <c r="JT14" s="11">
        <v>45935</v>
      </c>
      <c r="JU14" s="11">
        <v>45936</v>
      </c>
      <c r="JV14" s="11">
        <v>45937</v>
      </c>
      <c r="JW14" s="11">
        <v>45938</v>
      </c>
      <c r="JX14" s="11">
        <v>45939</v>
      </c>
      <c r="JY14" s="11">
        <v>45940</v>
      </c>
      <c r="JZ14" s="11">
        <v>45941</v>
      </c>
      <c r="KA14" s="11">
        <v>45942</v>
      </c>
      <c r="KB14" s="11">
        <v>45943</v>
      </c>
      <c r="KC14" s="11">
        <v>45944</v>
      </c>
      <c r="KD14" s="11">
        <v>45945</v>
      </c>
      <c r="KE14" s="11">
        <v>45946</v>
      </c>
      <c r="KF14" s="11">
        <v>45947</v>
      </c>
      <c r="KG14" s="11">
        <v>45948</v>
      </c>
      <c r="KH14" s="11">
        <v>45949</v>
      </c>
      <c r="KI14" s="11">
        <v>45950</v>
      </c>
      <c r="KJ14" s="11">
        <v>45951</v>
      </c>
      <c r="KK14" s="11">
        <v>45952</v>
      </c>
      <c r="KL14" s="11">
        <v>45953</v>
      </c>
      <c r="KM14" s="11">
        <v>45954</v>
      </c>
      <c r="KN14" s="11">
        <v>45955</v>
      </c>
      <c r="KO14" s="11">
        <v>45956</v>
      </c>
      <c r="KP14" s="11">
        <v>45957</v>
      </c>
      <c r="KQ14" s="11">
        <v>45958</v>
      </c>
      <c r="KR14" s="11">
        <v>45959</v>
      </c>
      <c r="KS14" s="11">
        <v>45960</v>
      </c>
      <c r="KT14" s="11">
        <v>45961</v>
      </c>
      <c r="KU14" s="11">
        <v>45962</v>
      </c>
      <c r="KV14" s="11">
        <v>45963</v>
      </c>
      <c r="KW14" s="11">
        <v>45964</v>
      </c>
      <c r="KX14" s="11">
        <v>45965</v>
      </c>
      <c r="KY14" s="11">
        <v>45966</v>
      </c>
      <c r="KZ14" s="11">
        <v>45967</v>
      </c>
      <c r="LA14" s="11">
        <v>45968</v>
      </c>
      <c r="LB14" s="11">
        <v>45969</v>
      </c>
      <c r="LC14" s="11">
        <v>45970</v>
      </c>
      <c r="LD14" s="11">
        <v>45971</v>
      </c>
      <c r="LE14" s="11">
        <v>45972</v>
      </c>
      <c r="LF14" s="11">
        <v>45973</v>
      </c>
      <c r="LG14" s="11">
        <v>45974</v>
      </c>
      <c r="LH14" s="11">
        <v>45975</v>
      </c>
      <c r="LI14" s="11">
        <v>45976</v>
      </c>
      <c r="LJ14" s="11">
        <v>45977</v>
      </c>
      <c r="LK14" s="11">
        <v>45978</v>
      </c>
      <c r="LL14" s="11">
        <v>45979</v>
      </c>
      <c r="LM14" s="11">
        <v>45980</v>
      </c>
      <c r="LN14" s="11">
        <v>45981</v>
      </c>
      <c r="LO14" s="11">
        <v>45982</v>
      </c>
      <c r="LP14" s="11">
        <v>45983</v>
      </c>
      <c r="LQ14" s="11">
        <v>45984</v>
      </c>
      <c r="LR14" s="11">
        <v>45985</v>
      </c>
      <c r="LS14" s="11">
        <v>45986</v>
      </c>
      <c r="LT14" s="11">
        <v>45987</v>
      </c>
      <c r="LU14" s="11">
        <v>45988</v>
      </c>
      <c r="LV14" s="11">
        <v>45989</v>
      </c>
      <c r="LW14" s="11">
        <v>45990</v>
      </c>
      <c r="LX14" s="11">
        <v>45991</v>
      </c>
      <c r="LY14" s="11">
        <v>45992</v>
      </c>
      <c r="LZ14" s="11">
        <v>45993</v>
      </c>
      <c r="MA14" s="11">
        <v>45994</v>
      </c>
      <c r="MB14" s="11">
        <v>45995</v>
      </c>
      <c r="MC14" s="11">
        <v>45996</v>
      </c>
      <c r="MD14" s="11">
        <v>45997</v>
      </c>
      <c r="ME14" s="11">
        <v>45998</v>
      </c>
      <c r="MF14" s="11">
        <v>45999</v>
      </c>
      <c r="MG14" s="11">
        <v>46000</v>
      </c>
      <c r="MH14" s="11">
        <v>46001</v>
      </c>
      <c r="MI14" s="11">
        <v>46002</v>
      </c>
      <c r="MJ14" s="11">
        <v>46003</v>
      </c>
      <c r="MK14" s="11">
        <v>46004</v>
      </c>
      <c r="ML14" s="11">
        <v>46005</v>
      </c>
      <c r="MM14" s="11">
        <v>46006</v>
      </c>
      <c r="MN14" s="11">
        <v>46007</v>
      </c>
      <c r="MO14" s="11">
        <v>46008</v>
      </c>
      <c r="MP14" s="11">
        <v>46009</v>
      </c>
      <c r="MQ14" s="11">
        <v>46010</v>
      </c>
      <c r="MR14" s="11">
        <v>46011</v>
      </c>
      <c r="MS14" s="11">
        <v>46012</v>
      </c>
      <c r="MT14" s="11">
        <v>46013</v>
      </c>
      <c r="MU14" s="11">
        <v>46014</v>
      </c>
      <c r="MV14" s="11">
        <v>46015</v>
      </c>
      <c r="MW14" s="11">
        <v>46016</v>
      </c>
      <c r="MX14" s="11">
        <v>46017</v>
      </c>
      <c r="MY14" s="11">
        <v>46018</v>
      </c>
      <c r="MZ14" s="11">
        <v>46019</v>
      </c>
      <c r="NA14" s="11">
        <v>46020</v>
      </c>
      <c r="NB14" s="11">
        <v>46021</v>
      </c>
      <c r="NC14" s="11">
        <v>46022</v>
      </c>
    </row>
    <row r="15" spans="1:367" hidden="1">
      <c r="B15" s="12" t="s">
        <v>10</v>
      </c>
      <c r="C15" s="8" t="s">
        <v>54</v>
      </c>
      <c r="D15" s="8" t="s">
        <v>54</v>
      </c>
      <c r="E15" s="8" t="s">
        <v>54</v>
      </c>
      <c r="F15" s="8" t="s">
        <v>54</v>
      </c>
      <c r="G15" s="8" t="s">
        <v>54</v>
      </c>
      <c r="H15" s="8" t="s">
        <v>425</v>
      </c>
      <c r="I15" s="8" t="s">
        <v>425</v>
      </c>
      <c r="J15" s="8" t="s">
        <v>425</v>
      </c>
      <c r="K15" s="8" t="s">
        <v>425</v>
      </c>
      <c r="L15" s="8" t="s">
        <v>425</v>
      </c>
      <c r="M15" s="8" t="s">
        <v>425</v>
      </c>
      <c r="N15" s="8" t="s">
        <v>425</v>
      </c>
      <c r="O15" s="8" t="s">
        <v>2</v>
      </c>
      <c r="P15" s="8" t="s">
        <v>2</v>
      </c>
      <c r="Q15" s="8" t="s">
        <v>2</v>
      </c>
      <c r="R15" s="8" t="s">
        <v>2</v>
      </c>
      <c r="S15" s="8" t="s">
        <v>2</v>
      </c>
      <c r="T15" s="8" t="s">
        <v>2</v>
      </c>
      <c r="U15" s="8" t="s">
        <v>2</v>
      </c>
      <c r="V15" s="8" t="s">
        <v>3</v>
      </c>
      <c r="W15" s="8" t="s">
        <v>3</v>
      </c>
      <c r="X15" s="8" t="s">
        <v>3</v>
      </c>
      <c r="Y15" s="8" t="s">
        <v>3</v>
      </c>
      <c r="Z15" s="8" t="s">
        <v>3</v>
      </c>
      <c r="AA15" s="8" t="s">
        <v>3</v>
      </c>
      <c r="AB15" s="8" t="s">
        <v>3</v>
      </c>
      <c r="AC15" s="8" t="s">
        <v>4</v>
      </c>
      <c r="AD15" s="8" t="s">
        <v>4</v>
      </c>
      <c r="AE15" s="8" t="s">
        <v>4</v>
      </c>
      <c r="AF15" s="8" t="s">
        <v>4</v>
      </c>
      <c r="AG15" s="8" t="s">
        <v>4</v>
      </c>
      <c r="AH15" s="8" t="s">
        <v>4</v>
      </c>
      <c r="AI15" s="8" t="s">
        <v>4</v>
      </c>
      <c r="AJ15" s="8" t="s">
        <v>5</v>
      </c>
      <c r="AK15" s="8" t="s">
        <v>5</v>
      </c>
      <c r="AL15" s="8" t="s">
        <v>5</v>
      </c>
      <c r="AM15" s="8" t="s">
        <v>5</v>
      </c>
      <c r="AN15" s="8" t="s">
        <v>5</v>
      </c>
      <c r="AO15" s="8" t="s">
        <v>5</v>
      </c>
      <c r="AP15" s="8" t="s">
        <v>5</v>
      </c>
      <c r="AQ15" s="8" t="s">
        <v>6</v>
      </c>
      <c r="AR15" s="8" t="s">
        <v>6</v>
      </c>
      <c r="AS15" s="8" t="s">
        <v>6</v>
      </c>
      <c r="AT15" s="8" t="s">
        <v>6</v>
      </c>
      <c r="AU15" s="8" t="s">
        <v>6</v>
      </c>
      <c r="AV15" s="8" t="s">
        <v>6</v>
      </c>
      <c r="AW15" s="8" t="s">
        <v>6</v>
      </c>
      <c r="AX15" s="8" t="s">
        <v>7</v>
      </c>
      <c r="AY15" s="8" t="s">
        <v>7</v>
      </c>
      <c r="AZ15" s="8" t="s">
        <v>7</v>
      </c>
      <c r="BA15" s="8" t="s">
        <v>7</v>
      </c>
      <c r="BB15" s="8" t="s">
        <v>7</v>
      </c>
      <c r="BC15" s="8" t="s">
        <v>7</v>
      </c>
      <c r="BD15" s="8" t="s">
        <v>7</v>
      </c>
      <c r="BE15" s="8" t="s">
        <v>8</v>
      </c>
      <c r="BF15" s="8" t="s">
        <v>8</v>
      </c>
      <c r="BG15" s="8" t="s">
        <v>8</v>
      </c>
      <c r="BH15" s="8" t="s">
        <v>8</v>
      </c>
      <c r="BI15" s="8" t="s">
        <v>8</v>
      </c>
      <c r="BJ15" s="8" t="s">
        <v>8</v>
      </c>
      <c r="BK15" s="8" t="s">
        <v>8</v>
      </c>
      <c r="BL15" s="8" t="s">
        <v>11</v>
      </c>
      <c r="BM15" s="8" t="s">
        <v>11</v>
      </c>
      <c r="BN15" s="8" t="s">
        <v>11</v>
      </c>
      <c r="BO15" s="8" t="s">
        <v>11</v>
      </c>
      <c r="BP15" s="8" t="s">
        <v>11</v>
      </c>
      <c r="BQ15" s="8" t="s">
        <v>11</v>
      </c>
      <c r="BR15" s="8" t="s">
        <v>11</v>
      </c>
      <c r="BS15" s="8" t="s">
        <v>12</v>
      </c>
      <c r="BT15" s="8" t="s">
        <v>12</v>
      </c>
      <c r="BU15" s="8" t="s">
        <v>12</v>
      </c>
      <c r="BV15" s="8" t="s">
        <v>12</v>
      </c>
      <c r="BW15" s="8" t="s">
        <v>12</v>
      </c>
      <c r="BX15" s="8" t="s">
        <v>12</v>
      </c>
      <c r="BY15" s="8" t="s">
        <v>12</v>
      </c>
      <c r="BZ15" s="8" t="s">
        <v>13</v>
      </c>
      <c r="CA15" s="8" t="s">
        <v>13</v>
      </c>
      <c r="CB15" s="8" t="s">
        <v>13</v>
      </c>
      <c r="CC15" s="8" t="s">
        <v>13</v>
      </c>
      <c r="CD15" s="8" t="s">
        <v>13</v>
      </c>
      <c r="CE15" s="8" t="s">
        <v>13</v>
      </c>
      <c r="CF15" s="8" t="s">
        <v>13</v>
      </c>
      <c r="CG15" s="8" t="s">
        <v>14</v>
      </c>
      <c r="CH15" s="8" t="s">
        <v>14</v>
      </c>
      <c r="CI15" s="8" t="s">
        <v>14</v>
      </c>
      <c r="CJ15" s="8" t="s">
        <v>14</v>
      </c>
      <c r="CK15" s="8" t="s">
        <v>14</v>
      </c>
      <c r="CL15" s="8" t="s">
        <v>14</v>
      </c>
      <c r="CM15" s="8" t="s">
        <v>14</v>
      </c>
      <c r="CN15" s="8" t="s">
        <v>15</v>
      </c>
      <c r="CO15" s="8" t="s">
        <v>15</v>
      </c>
      <c r="CP15" s="8" t="s">
        <v>15</v>
      </c>
      <c r="CQ15" s="8" t="s">
        <v>15</v>
      </c>
      <c r="CR15" s="8" t="s">
        <v>15</v>
      </c>
      <c r="CS15" s="8" t="s">
        <v>15</v>
      </c>
      <c r="CT15" s="8" t="s">
        <v>15</v>
      </c>
      <c r="CU15" s="8" t="s">
        <v>16</v>
      </c>
      <c r="CV15" s="8" t="s">
        <v>16</v>
      </c>
      <c r="CW15" s="8" t="s">
        <v>16</v>
      </c>
      <c r="CX15" s="8" t="s">
        <v>16</v>
      </c>
      <c r="CY15" s="8" t="s">
        <v>16</v>
      </c>
      <c r="CZ15" s="8" t="s">
        <v>16</v>
      </c>
      <c r="DA15" s="8" t="s">
        <v>16</v>
      </c>
      <c r="DB15" s="8" t="s">
        <v>17</v>
      </c>
      <c r="DC15" s="8" t="s">
        <v>17</v>
      </c>
      <c r="DD15" s="8" t="s">
        <v>17</v>
      </c>
      <c r="DE15" s="8" t="s">
        <v>17</v>
      </c>
      <c r="DF15" s="8" t="s">
        <v>17</v>
      </c>
      <c r="DG15" s="8" t="s">
        <v>17</v>
      </c>
      <c r="DH15" s="8" t="s">
        <v>17</v>
      </c>
      <c r="DI15" s="8" t="s">
        <v>18</v>
      </c>
      <c r="DJ15" s="8" t="s">
        <v>18</v>
      </c>
      <c r="DK15" s="8" t="s">
        <v>18</v>
      </c>
      <c r="DL15" s="8" t="s">
        <v>18</v>
      </c>
      <c r="DM15" s="8" t="s">
        <v>18</v>
      </c>
      <c r="DN15" s="8" t="s">
        <v>18</v>
      </c>
      <c r="DO15" s="8" t="s">
        <v>18</v>
      </c>
      <c r="DP15" s="8" t="s">
        <v>19</v>
      </c>
      <c r="DQ15" s="8" t="s">
        <v>19</v>
      </c>
      <c r="DR15" s="8" t="s">
        <v>19</v>
      </c>
      <c r="DS15" s="8" t="s">
        <v>19</v>
      </c>
      <c r="DT15" s="8" t="s">
        <v>19</v>
      </c>
      <c r="DU15" s="8" t="s">
        <v>19</v>
      </c>
      <c r="DV15" s="8" t="s">
        <v>19</v>
      </c>
      <c r="DW15" s="8" t="s">
        <v>20</v>
      </c>
      <c r="DX15" s="8" t="s">
        <v>20</v>
      </c>
      <c r="DY15" s="8" t="s">
        <v>20</v>
      </c>
      <c r="DZ15" s="8" t="s">
        <v>20</v>
      </c>
      <c r="EA15" s="8" t="s">
        <v>20</v>
      </c>
      <c r="EB15" s="8" t="s">
        <v>20</v>
      </c>
      <c r="EC15" s="8" t="s">
        <v>20</v>
      </c>
      <c r="ED15" s="8" t="s">
        <v>21</v>
      </c>
      <c r="EE15" s="8" t="s">
        <v>21</v>
      </c>
      <c r="EF15" s="8" t="s">
        <v>21</v>
      </c>
      <c r="EG15" s="8" t="s">
        <v>21</v>
      </c>
      <c r="EH15" s="8" t="s">
        <v>21</v>
      </c>
      <c r="EI15" s="8" t="s">
        <v>21</v>
      </c>
      <c r="EJ15" s="8" t="s">
        <v>21</v>
      </c>
      <c r="EK15" s="8" t="s">
        <v>22</v>
      </c>
      <c r="EL15" s="8" t="s">
        <v>22</v>
      </c>
      <c r="EM15" s="8" t="s">
        <v>22</v>
      </c>
      <c r="EN15" s="8" t="s">
        <v>22</v>
      </c>
      <c r="EO15" s="8" t="s">
        <v>22</v>
      </c>
      <c r="EP15" s="8" t="s">
        <v>22</v>
      </c>
      <c r="EQ15" s="8" t="s">
        <v>22</v>
      </c>
      <c r="ER15" s="8" t="s">
        <v>23</v>
      </c>
      <c r="ES15" s="8" t="s">
        <v>23</v>
      </c>
      <c r="ET15" s="8" t="s">
        <v>23</v>
      </c>
      <c r="EU15" s="8" t="s">
        <v>23</v>
      </c>
      <c r="EV15" s="8" t="s">
        <v>23</v>
      </c>
      <c r="EW15" s="8" t="s">
        <v>23</v>
      </c>
      <c r="EX15" s="8" t="s">
        <v>23</v>
      </c>
      <c r="EY15" s="8" t="s">
        <v>24</v>
      </c>
      <c r="EZ15" s="8" t="s">
        <v>24</v>
      </c>
      <c r="FA15" s="8" t="s">
        <v>24</v>
      </c>
      <c r="FB15" s="8" t="s">
        <v>24</v>
      </c>
      <c r="FC15" s="8" t="s">
        <v>24</v>
      </c>
      <c r="FD15" s="8" t="s">
        <v>24</v>
      </c>
      <c r="FE15" s="8" t="s">
        <v>24</v>
      </c>
      <c r="FF15" s="8" t="s">
        <v>25</v>
      </c>
      <c r="FG15" s="8" t="s">
        <v>25</v>
      </c>
      <c r="FH15" s="8" t="s">
        <v>25</v>
      </c>
      <c r="FI15" s="8" t="s">
        <v>25</v>
      </c>
      <c r="FJ15" s="8" t="s">
        <v>25</v>
      </c>
      <c r="FK15" s="8" t="s">
        <v>25</v>
      </c>
      <c r="FL15" s="8" t="s">
        <v>25</v>
      </c>
      <c r="FM15" s="8" t="s">
        <v>26</v>
      </c>
      <c r="FN15" s="8" t="s">
        <v>26</v>
      </c>
      <c r="FO15" s="8" t="s">
        <v>26</v>
      </c>
      <c r="FP15" s="8" t="s">
        <v>26</v>
      </c>
      <c r="FQ15" s="8" t="s">
        <v>26</v>
      </c>
      <c r="FR15" s="8" t="s">
        <v>26</v>
      </c>
      <c r="FS15" s="8" t="s">
        <v>26</v>
      </c>
      <c r="FT15" s="8" t="s">
        <v>27</v>
      </c>
      <c r="FU15" s="8" t="s">
        <v>27</v>
      </c>
      <c r="FV15" s="8" t="s">
        <v>27</v>
      </c>
      <c r="FW15" s="8" t="s">
        <v>27</v>
      </c>
      <c r="FX15" s="8" t="s">
        <v>27</v>
      </c>
      <c r="FY15" s="8" t="s">
        <v>27</v>
      </c>
      <c r="FZ15" s="8" t="s">
        <v>27</v>
      </c>
      <c r="GA15" s="8" t="s">
        <v>28</v>
      </c>
      <c r="GB15" s="8" t="s">
        <v>28</v>
      </c>
      <c r="GC15" s="8" t="s">
        <v>28</v>
      </c>
      <c r="GD15" s="8" t="s">
        <v>28</v>
      </c>
      <c r="GE15" s="8" t="s">
        <v>28</v>
      </c>
      <c r="GF15" s="8" t="s">
        <v>28</v>
      </c>
      <c r="GG15" s="8" t="s">
        <v>28</v>
      </c>
      <c r="GH15" s="8" t="s">
        <v>29</v>
      </c>
      <c r="GI15" s="8" t="s">
        <v>29</v>
      </c>
      <c r="GJ15" s="8" t="s">
        <v>29</v>
      </c>
      <c r="GK15" s="8" t="s">
        <v>29</v>
      </c>
      <c r="GL15" s="8" t="s">
        <v>29</v>
      </c>
      <c r="GM15" s="8" t="s">
        <v>29</v>
      </c>
      <c r="GN15" s="8" t="s">
        <v>29</v>
      </c>
      <c r="GO15" s="8" t="s">
        <v>30</v>
      </c>
      <c r="GP15" s="8" t="s">
        <v>30</v>
      </c>
      <c r="GQ15" s="8" t="s">
        <v>30</v>
      </c>
      <c r="GR15" s="8" t="s">
        <v>30</v>
      </c>
      <c r="GS15" s="8" t="s">
        <v>30</v>
      </c>
      <c r="GT15" s="8" t="s">
        <v>30</v>
      </c>
      <c r="GU15" s="8" t="s">
        <v>30</v>
      </c>
      <c r="GV15" s="8" t="s">
        <v>31</v>
      </c>
      <c r="GW15" s="8" t="s">
        <v>31</v>
      </c>
      <c r="GX15" s="8" t="s">
        <v>31</v>
      </c>
      <c r="GY15" s="8" t="s">
        <v>31</v>
      </c>
      <c r="GZ15" s="8" t="s">
        <v>31</v>
      </c>
      <c r="HA15" s="8" t="s">
        <v>31</v>
      </c>
      <c r="HB15" s="8" t="s">
        <v>31</v>
      </c>
      <c r="HC15" s="8" t="s">
        <v>32</v>
      </c>
      <c r="HD15" s="8" t="s">
        <v>32</v>
      </c>
      <c r="HE15" s="8" t="s">
        <v>32</v>
      </c>
      <c r="HF15" s="8" t="s">
        <v>32</v>
      </c>
      <c r="HG15" s="8" t="s">
        <v>32</v>
      </c>
      <c r="HH15" s="8" t="s">
        <v>32</v>
      </c>
      <c r="HI15" s="8" t="s">
        <v>32</v>
      </c>
      <c r="HJ15" s="8" t="s">
        <v>33</v>
      </c>
      <c r="HK15" s="8" t="s">
        <v>33</v>
      </c>
      <c r="HL15" s="8" t="s">
        <v>33</v>
      </c>
      <c r="HM15" s="8" t="s">
        <v>33</v>
      </c>
      <c r="HN15" s="8" t="s">
        <v>33</v>
      </c>
      <c r="HO15" s="8" t="s">
        <v>33</v>
      </c>
      <c r="HP15" s="8" t="s">
        <v>33</v>
      </c>
      <c r="HQ15" s="8" t="s">
        <v>34</v>
      </c>
      <c r="HR15" s="8" t="s">
        <v>34</v>
      </c>
      <c r="HS15" s="8" t="s">
        <v>34</v>
      </c>
      <c r="HT15" s="8" t="s">
        <v>34</v>
      </c>
      <c r="HU15" s="8" t="s">
        <v>34</v>
      </c>
      <c r="HV15" s="8" t="s">
        <v>34</v>
      </c>
      <c r="HW15" s="8" t="s">
        <v>34</v>
      </c>
      <c r="HX15" s="8" t="s">
        <v>35</v>
      </c>
      <c r="HY15" s="8" t="s">
        <v>35</v>
      </c>
      <c r="HZ15" s="8" t="s">
        <v>35</v>
      </c>
      <c r="IA15" s="8" t="s">
        <v>35</v>
      </c>
      <c r="IB15" s="8" t="s">
        <v>35</v>
      </c>
      <c r="IC15" s="8" t="s">
        <v>35</v>
      </c>
      <c r="ID15" s="8" t="s">
        <v>35</v>
      </c>
      <c r="IE15" s="8" t="s">
        <v>36</v>
      </c>
      <c r="IF15" s="8" t="s">
        <v>36</v>
      </c>
      <c r="IG15" s="8" t="s">
        <v>36</v>
      </c>
      <c r="IH15" s="8" t="s">
        <v>36</v>
      </c>
      <c r="II15" s="8" t="s">
        <v>36</v>
      </c>
      <c r="IJ15" s="8" t="s">
        <v>36</v>
      </c>
      <c r="IK15" s="8" t="s">
        <v>36</v>
      </c>
      <c r="IL15" s="8" t="s">
        <v>37</v>
      </c>
      <c r="IM15" s="8" t="s">
        <v>37</v>
      </c>
      <c r="IN15" s="8" t="s">
        <v>37</v>
      </c>
      <c r="IO15" s="8" t="s">
        <v>37</v>
      </c>
      <c r="IP15" s="8" t="s">
        <v>37</v>
      </c>
      <c r="IQ15" s="8" t="s">
        <v>37</v>
      </c>
      <c r="IR15" s="8" t="s">
        <v>37</v>
      </c>
      <c r="IS15" s="8" t="s">
        <v>38</v>
      </c>
      <c r="IT15" s="8" t="s">
        <v>38</v>
      </c>
      <c r="IU15" s="8" t="s">
        <v>38</v>
      </c>
      <c r="IV15" s="8" t="s">
        <v>38</v>
      </c>
      <c r="IW15" s="8" t="s">
        <v>38</v>
      </c>
      <c r="IX15" s="8" t="s">
        <v>38</v>
      </c>
      <c r="IY15" s="8" t="s">
        <v>38</v>
      </c>
      <c r="IZ15" s="8" t="s">
        <v>39</v>
      </c>
      <c r="JA15" s="8" t="s">
        <v>39</v>
      </c>
      <c r="JB15" s="8" t="s">
        <v>39</v>
      </c>
      <c r="JC15" s="8" t="s">
        <v>39</v>
      </c>
      <c r="JD15" s="8" t="s">
        <v>39</v>
      </c>
      <c r="JE15" s="8" t="s">
        <v>39</v>
      </c>
      <c r="JF15" s="8" t="s">
        <v>39</v>
      </c>
      <c r="JG15" s="8" t="s">
        <v>40</v>
      </c>
      <c r="JH15" s="8" t="s">
        <v>40</v>
      </c>
      <c r="JI15" s="8" t="s">
        <v>40</v>
      </c>
      <c r="JJ15" s="8" t="s">
        <v>40</v>
      </c>
      <c r="JK15" s="8" t="s">
        <v>40</v>
      </c>
      <c r="JL15" s="8" t="s">
        <v>40</v>
      </c>
      <c r="JM15" s="8" t="s">
        <v>40</v>
      </c>
      <c r="JN15" s="8" t="s">
        <v>41</v>
      </c>
      <c r="JO15" s="8" t="s">
        <v>41</v>
      </c>
      <c r="JP15" s="8" t="s">
        <v>41</v>
      </c>
      <c r="JQ15" s="8" t="s">
        <v>41</v>
      </c>
      <c r="JR15" s="8" t="s">
        <v>41</v>
      </c>
      <c r="JS15" s="8" t="s">
        <v>41</v>
      </c>
      <c r="JT15" s="8" t="s">
        <v>41</v>
      </c>
      <c r="JU15" s="8" t="s">
        <v>42</v>
      </c>
      <c r="JV15" s="8" t="s">
        <v>42</v>
      </c>
      <c r="JW15" s="8" t="s">
        <v>42</v>
      </c>
      <c r="JX15" s="8" t="s">
        <v>42</v>
      </c>
      <c r="JY15" s="8" t="s">
        <v>42</v>
      </c>
      <c r="JZ15" s="8" t="s">
        <v>42</v>
      </c>
      <c r="KA15" s="8" t="s">
        <v>42</v>
      </c>
      <c r="KB15" s="8" t="s">
        <v>43</v>
      </c>
      <c r="KC15" s="8" t="s">
        <v>43</v>
      </c>
      <c r="KD15" s="8" t="s">
        <v>43</v>
      </c>
      <c r="KE15" s="8" t="s">
        <v>43</v>
      </c>
      <c r="KF15" s="8" t="s">
        <v>43</v>
      </c>
      <c r="KG15" s="8" t="s">
        <v>43</v>
      </c>
      <c r="KH15" s="8" t="s">
        <v>43</v>
      </c>
      <c r="KI15" s="8" t="s">
        <v>44</v>
      </c>
      <c r="KJ15" s="8" t="s">
        <v>44</v>
      </c>
      <c r="KK15" s="8" t="s">
        <v>44</v>
      </c>
      <c r="KL15" s="8" t="s">
        <v>44</v>
      </c>
      <c r="KM15" s="8" t="s">
        <v>44</v>
      </c>
      <c r="KN15" s="8" t="s">
        <v>44</v>
      </c>
      <c r="KO15" s="8" t="s">
        <v>44</v>
      </c>
      <c r="KP15" s="8" t="s">
        <v>45</v>
      </c>
      <c r="KQ15" s="8" t="s">
        <v>45</v>
      </c>
      <c r="KR15" s="8" t="s">
        <v>45</v>
      </c>
      <c r="KS15" s="8" t="s">
        <v>45</v>
      </c>
      <c r="KT15" s="8" t="s">
        <v>45</v>
      </c>
      <c r="KU15" s="8" t="s">
        <v>45</v>
      </c>
      <c r="KV15" s="8" t="s">
        <v>45</v>
      </c>
      <c r="KW15" s="8" t="s">
        <v>46</v>
      </c>
      <c r="KX15" s="8" t="s">
        <v>46</v>
      </c>
      <c r="KY15" s="8" t="s">
        <v>46</v>
      </c>
      <c r="KZ15" s="8" t="s">
        <v>46</v>
      </c>
      <c r="LA15" s="8" t="s">
        <v>46</v>
      </c>
      <c r="LB15" s="8" t="s">
        <v>46</v>
      </c>
      <c r="LC15" s="8" t="s">
        <v>46</v>
      </c>
      <c r="LD15" s="8" t="s">
        <v>47</v>
      </c>
      <c r="LE15" s="8" t="s">
        <v>47</v>
      </c>
      <c r="LF15" s="8" t="s">
        <v>47</v>
      </c>
      <c r="LG15" s="8" t="s">
        <v>47</v>
      </c>
      <c r="LH15" s="8" t="s">
        <v>47</v>
      </c>
      <c r="LI15" s="8" t="s">
        <v>47</v>
      </c>
      <c r="LJ15" s="8" t="s">
        <v>47</v>
      </c>
      <c r="LK15" s="8" t="s">
        <v>48</v>
      </c>
      <c r="LL15" s="8" t="s">
        <v>48</v>
      </c>
      <c r="LM15" s="8" t="s">
        <v>48</v>
      </c>
      <c r="LN15" s="8" t="s">
        <v>48</v>
      </c>
      <c r="LO15" s="8" t="s">
        <v>48</v>
      </c>
      <c r="LP15" s="8" t="s">
        <v>48</v>
      </c>
      <c r="LQ15" s="8" t="s">
        <v>48</v>
      </c>
      <c r="LR15" s="8" t="s">
        <v>49</v>
      </c>
      <c r="LS15" s="8" t="s">
        <v>49</v>
      </c>
      <c r="LT15" s="8" t="s">
        <v>49</v>
      </c>
      <c r="LU15" s="8" t="s">
        <v>49</v>
      </c>
      <c r="LV15" s="8" t="s">
        <v>49</v>
      </c>
      <c r="LW15" s="8" t="s">
        <v>49</v>
      </c>
      <c r="LX15" s="8" t="s">
        <v>49</v>
      </c>
      <c r="LY15" s="8" t="s">
        <v>50</v>
      </c>
      <c r="LZ15" s="8" t="s">
        <v>50</v>
      </c>
      <c r="MA15" s="8" t="s">
        <v>50</v>
      </c>
      <c r="MB15" s="8" t="s">
        <v>50</v>
      </c>
      <c r="MC15" s="8" t="s">
        <v>50</v>
      </c>
      <c r="MD15" s="8" t="s">
        <v>50</v>
      </c>
      <c r="ME15" s="8" t="s">
        <v>50</v>
      </c>
      <c r="MF15" s="8" t="s">
        <v>51</v>
      </c>
      <c r="MG15" s="8" t="s">
        <v>51</v>
      </c>
      <c r="MH15" s="8" t="s">
        <v>51</v>
      </c>
      <c r="MI15" s="8" t="s">
        <v>51</v>
      </c>
      <c r="MJ15" s="8" t="s">
        <v>51</v>
      </c>
      <c r="MK15" s="8" t="s">
        <v>51</v>
      </c>
      <c r="ML15" s="8" t="s">
        <v>51</v>
      </c>
      <c r="MM15" s="8" t="s">
        <v>52</v>
      </c>
      <c r="MN15" s="8" t="s">
        <v>52</v>
      </c>
      <c r="MO15" s="8" t="s">
        <v>52</v>
      </c>
      <c r="MP15" s="8" t="s">
        <v>52</v>
      </c>
      <c r="MQ15" s="8" t="s">
        <v>52</v>
      </c>
      <c r="MR15" s="8" t="s">
        <v>52</v>
      </c>
      <c r="MS15" s="8" t="s">
        <v>52</v>
      </c>
      <c r="MT15" s="8" t="s">
        <v>53</v>
      </c>
      <c r="MU15" s="8" t="s">
        <v>53</v>
      </c>
      <c r="MV15" s="8" t="s">
        <v>53</v>
      </c>
      <c r="MW15" s="8" t="s">
        <v>53</v>
      </c>
      <c r="MX15" s="8" t="s">
        <v>53</v>
      </c>
      <c r="MY15" s="8" t="s">
        <v>53</v>
      </c>
      <c r="MZ15" s="8" t="s">
        <v>53</v>
      </c>
      <c r="NA15" s="8" t="s">
        <v>54</v>
      </c>
      <c r="NB15" s="8" t="s">
        <v>54</v>
      </c>
      <c r="NC15" s="8" t="s">
        <v>54</v>
      </c>
    </row>
    <row r="16" spans="1:367" hidden="1">
      <c r="B16" s="12" t="s">
        <v>55</v>
      </c>
      <c r="C16" s="8" t="s">
        <v>421</v>
      </c>
      <c r="D16" s="8" t="s">
        <v>1838</v>
      </c>
      <c r="E16" s="8" t="s">
        <v>1839</v>
      </c>
      <c r="F16" s="8" t="s">
        <v>1840</v>
      </c>
      <c r="G16" s="8" t="s">
        <v>1841</v>
      </c>
      <c r="H16" s="8" t="s">
        <v>1842</v>
      </c>
      <c r="I16" s="8" t="s">
        <v>1843</v>
      </c>
      <c r="J16" s="8" t="s">
        <v>1844</v>
      </c>
      <c r="K16" s="8" t="s">
        <v>1845</v>
      </c>
      <c r="L16" s="8" t="s">
        <v>1846</v>
      </c>
      <c r="M16" s="8" t="s">
        <v>1847</v>
      </c>
      <c r="N16" s="8" t="s">
        <v>1848</v>
      </c>
      <c r="O16" s="8" t="s">
        <v>69</v>
      </c>
      <c r="P16" s="8" t="s">
        <v>70</v>
      </c>
      <c r="Q16" s="8" t="s">
        <v>71</v>
      </c>
      <c r="R16" s="8" t="s">
        <v>72</v>
      </c>
      <c r="S16" s="8" t="s">
        <v>73</v>
      </c>
      <c r="T16" s="8" t="s">
        <v>74</v>
      </c>
      <c r="U16" s="8" t="s">
        <v>75</v>
      </c>
      <c r="V16" s="8" t="s">
        <v>76</v>
      </c>
      <c r="W16" s="8" t="s">
        <v>77</v>
      </c>
      <c r="X16" s="8" t="s">
        <v>78</v>
      </c>
      <c r="Y16" s="8" t="s">
        <v>79</v>
      </c>
      <c r="Z16" s="8" t="s">
        <v>80</v>
      </c>
      <c r="AA16" s="8" t="s">
        <v>81</v>
      </c>
      <c r="AB16" s="8" t="s">
        <v>82</v>
      </c>
      <c r="AC16" s="8" t="s">
        <v>83</v>
      </c>
      <c r="AD16" s="8" t="s">
        <v>84</v>
      </c>
      <c r="AE16" s="8" t="s">
        <v>85</v>
      </c>
      <c r="AF16" s="8" t="s">
        <v>86</v>
      </c>
      <c r="AG16" s="8" t="s">
        <v>87</v>
      </c>
      <c r="AH16" s="8" t="s">
        <v>88</v>
      </c>
      <c r="AI16" s="8" t="s">
        <v>89</v>
      </c>
      <c r="AJ16" s="8" t="s">
        <v>90</v>
      </c>
      <c r="AK16" s="8" t="s">
        <v>91</v>
      </c>
      <c r="AL16" s="8" t="s">
        <v>92</v>
      </c>
      <c r="AM16" s="8" t="s">
        <v>93</v>
      </c>
      <c r="AN16" s="8" t="s">
        <v>94</v>
      </c>
      <c r="AO16" s="8" t="s">
        <v>95</v>
      </c>
      <c r="AP16" s="8" t="s">
        <v>96</v>
      </c>
      <c r="AQ16" s="8" t="s">
        <v>97</v>
      </c>
      <c r="AR16" s="8" t="s">
        <v>98</v>
      </c>
      <c r="AS16" s="8" t="s">
        <v>99</v>
      </c>
      <c r="AT16" s="8" t="s">
        <v>100</v>
      </c>
      <c r="AU16" s="8" t="s">
        <v>101</v>
      </c>
      <c r="AV16" s="8" t="s">
        <v>102</v>
      </c>
      <c r="AW16" s="8" t="s">
        <v>103</v>
      </c>
      <c r="AX16" s="8" t="s">
        <v>104</v>
      </c>
      <c r="AY16" s="8" t="s">
        <v>105</v>
      </c>
      <c r="AZ16" s="8" t="s">
        <v>106</v>
      </c>
      <c r="BA16" s="8" t="s">
        <v>107</v>
      </c>
      <c r="BB16" s="8" t="s">
        <v>108</v>
      </c>
      <c r="BC16" s="8" t="s">
        <v>109</v>
      </c>
      <c r="BD16" s="8" t="s">
        <v>110</v>
      </c>
      <c r="BE16" s="8" t="s">
        <v>111</v>
      </c>
      <c r="BF16" s="8" t="s">
        <v>112</v>
      </c>
      <c r="BG16" s="8" t="s">
        <v>113</v>
      </c>
      <c r="BH16" s="8" t="s">
        <v>114</v>
      </c>
      <c r="BI16" s="8" t="s">
        <v>115</v>
      </c>
      <c r="BJ16" s="8" t="s">
        <v>116</v>
      </c>
      <c r="BK16" s="8" t="s">
        <v>117</v>
      </c>
      <c r="BL16" s="8" t="s">
        <v>118</v>
      </c>
      <c r="BM16" s="8" t="s">
        <v>119</v>
      </c>
      <c r="BN16" s="8" t="s">
        <v>120</v>
      </c>
      <c r="BO16" s="8" t="s">
        <v>121</v>
      </c>
      <c r="BP16" s="8" t="s">
        <v>122</v>
      </c>
      <c r="BQ16" s="8" t="s">
        <v>123</v>
      </c>
      <c r="BR16" s="8" t="s">
        <v>124</v>
      </c>
      <c r="BS16" s="8" t="s">
        <v>125</v>
      </c>
      <c r="BT16" s="8" t="s">
        <v>126</v>
      </c>
      <c r="BU16" s="8" t="s">
        <v>127</v>
      </c>
      <c r="BV16" s="8" t="s">
        <v>128</v>
      </c>
      <c r="BW16" s="8" t="s">
        <v>129</v>
      </c>
      <c r="BX16" s="8" t="s">
        <v>130</v>
      </c>
      <c r="BY16" s="8" t="s">
        <v>131</v>
      </c>
      <c r="BZ16" s="8" t="s">
        <v>132</v>
      </c>
      <c r="CA16" s="8" t="s">
        <v>133</v>
      </c>
      <c r="CB16" s="8" t="s">
        <v>134</v>
      </c>
      <c r="CC16" s="8" t="s">
        <v>135</v>
      </c>
      <c r="CD16" s="8" t="s">
        <v>136</v>
      </c>
      <c r="CE16" s="8" t="s">
        <v>137</v>
      </c>
      <c r="CF16" s="8" t="s">
        <v>138</v>
      </c>
      <c r="CG16" s="8" t="s">
        <v>139</v>
      </c>
      <c r="CH16" s="8" t="s">
        <v>140</v>
      </c>
      <c r="CI16" s="8" t="s">
        <v>141</v>
      </c>
      <c r="CJ16" s="8" t="s">
        <v>142</v>
      </c>
      <c r="CK16" s="8" t="s">
        <v>143</v>
      </c>
      <c r="CL16" s="8" t="s">
        <v>144</v>
      </c>
      <c r="CM16" s="8" t="s">
        <v>145</v>
      </c>
      <c r="CN16" s="8" t="s">
        <v>146</v>
      </c>
      <c r="CO16" s="8" t="s">
        <v>147</v>
      </c>
      <c r="CP16" s="8" t="s">
        <v>148</v>
      </c>
      <c r="CQ16" s="8" t="s">
        <v>149</v>
      </c>
      <c r="CR16" s="8" t="s">
        <v>150</v>
      </c>
      <c r="CS16" s="8" t="s">
        <v>151</v>
      </c>
      <c r="CT16" s="8" t="s">
        <v>152</v>
      </c>
      <c r="CU16" s="8" t="s">
        <v>153</v>
      </c>
      <c r="CV16" s="8" t="s">
        <v>154</v>
      </c>
      <c r="CW16" s="8" t="s">
        <v>155</v>
      </c>
      <c r="CX16" s="8" t="s">
        <v>156</v>
      </c>
      <c r="CY16" s="8" t="s">
        <v>157</v>
      </c>
      <c r="CZ16" s="8" t="s">
        <v>158</v>
      </c>
      <c r="DA16" s="8" t="s">
        <v>159</v>
      </c>
      <c r="DB16" s="8" t="s">
        <v>160</v>
      </c>
      <c r="DC16" s="8" t="s">
        <v>161</v>
      </c>
      <c r="DD16" s="8" t="s">
        <v>162</v>
      </c>
      <c r="DE16" s="8" t="s">
        <v>163</v>
      </c>
      <c r="DF16" s="8" t="s">
        <v>164</v>
      </c>
      <c r="DG16" s="8" t="s">
        <v>165</v>
      </c>
      <c r="DH16" s="8" t="s">
        <v>166</v>
      </c>
      <c r="DI16" s="8" t="s">
        <v>167</v>
      </c>
      <c r="DJ16" s="8" t="s">
        <v>168</v>
      </c>
      <c r="DK16" s="8" t="s">
        <v>169</v>
      </c>
      <c r="DL16" s="8" t="s">
        <v>170</v>
      </c>
      <c r="DM16" s="8" t="s">
        <v>171</v>
      </c>
      <c r="DN16" s="8" t="s">
        <v>172</v>
      </c>
      <c r="DO16" s="8" t="s">
        <v>173</v>
      </c>
      <c r="DP16" s="8" t="s">
        <v>174</v>
      </c>
      <c r="DQ16" s="8" t="s">
        <v>175</v>
      </c>
      <c r="DR16" s="8" t="s">
        <v>176</v>
      </c>
      <c r="DS16" s="8" t="s">
        <v>177</v>
      </c>
      <c r="DT16" s="8" t="s">
        <v>178</v>
      </c>
      <c r="DU16" s="8" t="s">
        <v>179</v>
      </c>
      <c r="DV16" s="8" t="s">
        <v>180</v>
      </c>
      <c r="DW16" s="8" t="s">
        <v>181</v>
      </c>
      <c r="DX16" s="8" t="s">
        <v>182</v>
      </c>
      <c r="DY16" s="8" t="s">
        <v>183</v>
      </c>
      <c r="DZ16" s="8" t="s">
        <v>184</v>
      </c>
      <c r="EA16" s="8" t="s">
        <v>185</v>
      </c>
      <c r="EB16" s="8" t="s">
        <v>186</v>
      </c>
      <c r="EC16" s="8" t="s">
        <v>187</v>
      </c>
      <c r="ED16" s="8" t="s">
        <v>188</v>
      </c>
      <c r="EE16" s="8" t="s">
        <v>189</v>
      </c>
      <c r="EF16" s="8" t="s">
        <v>190</v>
      </c>
      <c r="EG16" s="8" t="s">
        <v>191</v>
      </c>
      <c r="EH16" s="8" t="s">
        <v>192</v>
      </c>
      <c r="EI16" s="8" t="s">
        <v>193</v>
      </c>
      <c r="EJ16" s="8" t="s">
        <v>194</v>
      </c>
      <c r="EK16" s="8" t="s">
        <v>195</v>
      </c>
      <c r="EL16" s="8" t="s">
        <v>196</v>
      </c>
      <c r="EM16" s="8" t="s">
        <v>197</v>
      </c>
      <c r="EN16" s="8" t="s">
        <v>198</v>
      </c>
      <c r="EO16" s="8" t="s">
        <v>199</v>
      </c>
      <c r="EP16" s="8" t="s">
        <v>200</v>
      </c>
      <c r="EQ16" s="8" t="s">
        <v>201</v>
      </c>
      <c r="ER16" s="8" t="s">
        <v>202</v>
      </c>
      <c r="ES16" s="8" t="s">
        <v>203</v>
      </c>
      <c r="ET16" s="8" t="s">
        <v>204</v>
      </c>
      <c r="EU16" s="8" t="s">
        <v>205</v>
      </c>
      <c r="EV16" s="8" t="s">
        <v>206</v>
      </c>
      <c r="EW16" s="8" t="s">
        <v>207</v>
      </c>
      <c r="EX16" s="8" t="s">
        <v>208</v>
      </c>
      <c r="EY16" s="8" t="s">
        <v>209</v>
      </c>
      <c r="EZ16" s="8" t="s">
        <v>210</v>
      </c>
      <c r="FA16" s="8" t="s">
        <v>211</v>
      </c>
      <c r="FB16" s="8" t="s">
        <v>212</v>
      </c>
      <c r="FC16" s="8" t="s">
        <v>213</v>
      </c>
      <c r="FD16" s="8" t="s">
        <v>214</v>
      </c>
      <c r="FE16" s="8" t="s">
        <v>215</v>
      </c>
      <c r="FF16" s="8" t="s">
        <v>216</v>
      </c>
      <c r="FG16" s="8" t="s">
        <v>217</v>
      </c>
      <c r="FH16" s="8" t="s">
        <v>218</v>
      </c>
      <c r="FI16" s="8" t="s">
        <v>219</v>
      </c>
      <c r="FJ16" s="8" t="s">
        <v>220</v>
      </c>
      <c r="FK16" s="8" t="s">
        <v>221</v>
      </c>
      <c r="FL16" s="8" t="s">
        <v>222</v>
      </c>
      <c r="FM16" s="8" t="s">
        <v>223</v>
      </c>
      <c r="FN16" s="8" t="s">
        <v>224</v>
      </c>
      <c r="FO16" s="8" t="s">
        <v>225</v>
      </c>
      <c r="FP16" s="8" t="s">
        <v>226</v>
      </c>
      <c r="FQ16" s="8" t="s">
        <v>227</v>
      </c>
      <c r="FR16" s="8" t="s">
        <v>228</v>
      </c>
      <c r="FS16" s="8" t="s">
        <v>229</v>
      </c>
      <c r="FT16" s="8" t="s">
        <v>230</v>
      </c>
      <c r="FU16" s="8" t="s">
        <v>231</v>
      </c>
      <c r="FV16" s="8" t="s">
        <v>232</v>
      </c>
      <c r="FW16" s="8" t="s">
        <v>233</v>
      </c>
      <c r="FX16" s="8" t="s">
        <v>234</v>
      </c>
      <c r="FY16" s="8" t="s">
        <v>235</v>
      </c>
      <c r="FZ16" s="8" t="s">
        <v>236</v>
      </c>
      <c r="GA16" s="8" t="s">
        <v>237</v>
      </c>
      <c r="GB16" s="8" t="s">
        <v>238</v>
      </c>
      <c r="GC16" s="8" t="s">
        <v>239</v>
      </c>
      <c r="GD16" s="8" t="s">
        <v>240</v>
      </c>
      <c r="GE16" s="8" t="s">
        <v>241</v>
      </c>
      <c r="GF16" s="8" t="s">
        <v>242</v>
      </c>
      <c r="GG16" s="8" t="s">
        <v>243</v>
      </c>
      <c r="GH16" s="8" t="s">
        <v>244</v>
      </c>
      <c r="GI16" s="8" t="s">
        <v>245</v>
      </c>
      <c r="GJ16" s="8" t="s">
        <v>246</v>
      </c>
      <c r="GK16" s="8" t="s">
        <v>247</v>
      </c>
      <c r="GL16" s="8" t="s">
        <v>248</v>
      </c>
      <c r="GM16" s="8" t="s">
        <v>249</v>
      </c>
      <c r="GN16" s="8" t="s">
        <v>250</v>
      </c>
      <c r="GO16" s="8" t="s">
        <v>251</v>
      </c>
      <c r="GP16" s="8" t="s">
        <v>252</v>
      </c>
      <c r="GQ16" s="8" t="s">
        <v>253</v>
      </c>
      <c r="GR16" s="8" t="s">
        <v>254</v>
      </c>
      <c r="GS16" s="8" t="s">
        <v>255</v>
      </c>
      <c r="GT16" s="8" t="s">
        <v>256</v>
      </c>
      <c r="GU16" s="8" t="s">
        <v>257</v>
      </c>
      <c r="GV16" s="8" t="s">
        <v>258</v>
      </c>
      <c r="GW16" s="8" t="s">
        <v>259</v>
      </c>
      <c r="GX16" s="8" t="s">
        <v>260</v>
      </c>
      <c r="GY16" s="8" t="s">
        <v>261</v>
      </c>
      <c r="GZ16" s="8" t="s">
        <v>262</v>
      </c>
      <c r="HA16" s="8" t="s">
        <v>263</v>
      </c>
      <c r="HB16" s="8" t="s">
        <v>264</v>
      </c>
      <c r="HC16" s="8" t="s">
        <v>265</v>
      </c>
      <c r="HD16" s="8" t="s">
        <v>266</v>
      </c>
      <c r="HE16" s="8" t="s">
        <v>267</v>
      </c>
      <c r="HF16" s="8" t="s">
        <v>268</v>
      </c>
      <c r="HG16" s="8" t="s">
        <v>269</v>
      </c>
      <c r="HH16" s="8" t="s">
        <v>270</v>
      </c>
      <c r="HI16" s="8" t="s">
        <v>271</v>
      </c>
      <c r="HJ16" s="8" t="s">
        <v>272</v>
      </c>
      <c r="HK16" s="8" t="s">
        <v>273</v>
      </c>
      <c r="HL16" s="8" t="s">
        <v>274</v>
      </c>
      <c r="HM16" s="8" t="s">
        <v>275</v>
      </c>
      <c r="HN16" s="8" t="s">
        <v>276</v>
      </c>
      <c r="HO16" s="8" t="s">
        <v>277</v>
      </c>
      <c r="HP16" s="8" t="s">
        <v>278</v>
      </c>
      <c r="HQ16" s="8" t="s">
        <v>279</v>
      </c>
      <c r="HR16" s="8" t="s">
        <v>280</v>
      </c>
      <c r="HS16" s="8" t="s">
        <v>281</v>
      </c>
      <c r="HT16" s="8" t="s">
        <v>282</v>
      </c>
      <c r="HU16" s="8" t="s">
        <v>283</v>
      </c>
      <c r="HV16" s="8" t="s">
        <v>284</v>
      </c>
      <c r="HW16" s="8" t="s">
        <v>285</v>
      </c>
      <c r="HX16" s="8" t="s">
        <v>286</v>
      </c>
      <c r="HY16" s="8" t="s">
        <v>287</v>
      </c>
      <c r="HZ16" s="8" t="s">
        <v>288</v>
      </c>
      <c r="IA16" s="8" t="s">
        <v>289</v>
      </c>
      <c r="IB16" s="8" t="s">
        <v>290</v>
      </c>
      <c r="IC16" s="8" t="s">
        <v>291</v>
      </c>
      <c r="ID16" s="8" t="s">
        <v>292</v>
      </c>
      <c r="IE16" s="8" t="s">
        <v>293</v>
      </c>
      <c r="IF16" s="8" t="s">
        <v>294</v>
      </c>
      <c r="IG16" s="8" t="s">
        <v>295</v>
      </c>
      <c r="IH16" s="8" t="s">
        <v>296</v>
      </c>
      <c r="II16" s="8" t="s">
        <v>297</v>
      </c>
      <c r="IJ16" s="8" t="s">
        <v>298</v>
      </c>
      <c r="IK16" s="8" t="s">
        <v>299</v>
      </c>
      <c r="IL16" s="8" t="s">
        <v>300</v>
      </c>
      <c r="IM16" s="8" t="s">
        <v>301</v>
      </c>
      <c r="IN16" s="8" t="s">
        <v>302</v>
      </c>
      <c r="IO16" s="8" t="s">
        <v>303</v>
      </c>
      <c r="IP16" s="8" t="s">
        <v>304</v>
      </c>
      <c r="IQ16" s="8" t="s">
        <v>305</v>
      </c>
      <c r="IR16" s="8" t="s">
        <v>306</v>
      </c>
      <c r="IS16" s="8" t="s">
        <v>307</v>
      </c>
      <c r="IT16" s="8" t="s">
        <v>308</v>
      </c>
      <c r="IU16" s="8" t="s">
        <v>309</v>
      </c>
      <c r="IV16" s="8" t="s">
        <v>310</v>
      </c>
      <c r="IW16" s="8" t="s">
        <v>311</v>
      </c>
      <c r="IX16" s="8" t="s">
        <v>312</v>
      </c>
      <c r="IY16" s="8" t="s">
        <v>313</v>
      </c>
      <c r="IZ16" s="8" t="s">
        <v>314</v>
      </c>
      <c r="JA16" s="8" t="s">
        <v>315</v>
      </c>
      <c r="JB16" s="8" t="s">
        <v>316</v>
      </c>
      <c r="JC16" s="8" t="s">
        <v>317</v>
      </c>
      <c r="JD16" s="8" t="s">
        <v>318</v>
      </c>
      <c r="JE16" s="8" t="s">
        <v>319</v>
      </c>
      <c r="JF16" s="8" t="s">
        <v>320</v>
      </c>
      <c r="JG16" s="8" t="s">
        <v>321</v>
      </c>
      <c r="JH16" s="8" t="s">
        <v>322</v>
      </c>
      <c r="JI16" s="8" t="s">
        <v>323</v>
      </c>
      <c r="JJ16" s="8" t="s">
        <v>324</v>
      </c>
      <c r="JK16" s="8" t="s">
        <v>325</v>
      </c>
      <c r="JL16" s="8" t="s">
        <v>326</v>
      </c>
      <c r="JM16" s="8" t="s">
        <v>327</v>
      </c>
      <c r="JN16" s="8" t="s">
        <v>328</v>
      </c>
      <c r="JO16" s="8" t="s">
        <v>329</v>
      </c>
      <c r="JP16" s="8" t="s">
        <v>330</v>
      </c>
      <c r="JQ16" s="8" t="s">
        <v>331</v>
      </c>
      <c r="JR16" s="8" t="s">
        <v>332</v>
      </c>
      <c r="JS16" s="8" t="s">
        <v>333</v>
      </c>
      <c r="JT16" s="8" t="s">
        <v>334</v>
      </c>
      <c r="JU16" s="8" t="s">
        <v>335</v>
      </c>
      <c r="JV16" s="8" t="s">
        <v>336</v>
      </c>
      <c r="JW16" s="8" t="s">
        <v>337</v>
      </c>
      <c r="JX16" s="8" t="s">
        <v>338</v>
      </c>
      <c r="JY16" s="8" t="s">
        <v>339</v>
      </c>
      <c r="JZ16" s="8" t="s">
        <v>340</v>
      </c>
      <c r="KA16" s="8" t="s">
        <v>341</v>
      </c>
      <c r="KB16" s="8" t="s">
        <v>342</v>
      </c>
      <c r="KC16" s="8" t="s">
        <v>343</v>
      </c>
      <c r="KD16" s="8" t="s">
        <v>344</v>
      </c>
      <c r="KE16" s="8" t="s">
        <v>345</v>
      </c>
      <c r="KF16" s="8" t="s">
        <v>346</v>
      </c>
      <c r="KG16" s="8" t="s">
        <v>347</v>
      </c>
      <c r="KH16" s="8" t="s">
        <v>348</v>
      </c>
      <c r="KI16" s="8" t="s">
        <v>349</v>
      </c>
      <c r="KJ16" s="8" t="s">
        <v>350</v>
      </c>
      <c r="KK16" s="8" t="s">
        <v>351</v>
      </c>
      <c r="KL16" s="8" t="s">
        <v>352</v>
      </c>
      <c r="KM16" s="8" t="s">
        <v>353</v>
      </c>
      <c r="KN16" s="8" t="s">
        <v>354</v>
      </c>
      <c r="KO16" s="8" t="s">
        <v>355</v>
      </c>
      <c r="KP16" s="8" t="s">
        <v>356</v>
      </c>
      <c r="KQ16" s="8" t="s">
        <v>357</v>
      </c>
      <c r="KR16" s="8" t="s">
        <v>358</v>
      </c>
      <c r="KS16" s="8" t="s">
        <v>359</v>
      </c>
      <c r="KT16" s="8" t="s">
        <v>360</v>
      </c>
      <c r="KU16" s="8" t="s">
        <v>361</v>
      </c>
      <c r="KV16" s="8" t="s">
        <v>362</v>
      </c>
      <c r="KW16" s="8" t="s">
        <v>363</v>
      </c>
      <c r="KX16" s="8" t="s">
        <v>364</v>
      </c>
      <c r="KY16" s="8" t="s">
        <v>365</v>
      </c>
      <c r="KZ16" s="8" t="s">
        <v>366</v>
      </c>
      <c r="LA16" s="8" t="s">
        <v>367</v>
      </c>
      <c r="LB16" s="8" t="s">
        <v>368</v>
      </c>
      <c r="LC16" s="8" t="s">
        <v>369</v>
      </c>
      <c r="LD16" s="8" t="s">
        <v>370</v>
      </c>
      <c r="LE16" s="8" t="s">
        <v>371</v>
      </c>
      <c r="LF16" s="8" t="s">
        <v>372</v>
      </c>
      <c r="LG16" s="8" t="s">
        <v>373</v>
      </c>
      <c r="LH16" s="8" t="s">
        <v>374</v>
      </c>
      <c r="LI16" s="8" t="s">
        <v>375</v>
      </c>
      <c r="LJ16" s="8" t="s">
        <v>376</v>
      </c>
      <c r="LK16" s="8" t="s">
        <v>377</v>
      </c>
      <c r="LL16" s="8" t="s">
        <v>378</v>
      </c>
      <c r="LM16" s="8" t="s">
        <v>379</v>
      </c>
      <c r="LN16" s="8" t="s">
        <v>380</v>
      </c>
      <c r="LO16" s="8" t="s">
        <v>381</v>
      </c>
      <c r="LP16" s="8" t="s">
        <v>382</v>
      </c>
      <c r="LQ16" s="8" t="s">
        <v>383</v>
      </c>
      <c r="LR16" s="8" t="s">
        <v>384</v>
      </c>
      <c r="LS16" s="8" t="s">
        <v>385</v>
      </c>
      <c r="LT16" s="8" t="s">
        <v>386</v>
      </c>
      <c r="LU16" s="8" t="s">
        <v>387</v>
      </c>
      <c r="LV16" s="8" t="s">
        <v>388</v>
      </c>
      <c r="LW16" s="8" t="s">
        <v>389</v>
      </c>
      <c r="LX16" s="8" t="s">
        <v>390</v>
      </c>
      <c r="LY16" s="8" t="s">
        <v>391</v>
      </c>
      <c r="LZ16" s="8" t="s">
        <v>392</v>
      </c>
      <c r="MA16" s="8" t="s">
        <v>393</v>
      </c>
      <c r="MB16" s="8" t="s">
        <v>394</v>
      </c>
      <c r="MC16" s="8" t="s">
        <v>395</v>
      </c>
      <c r="MD16" s="8" t="s">
        <v>396</v>
      </c>
      <c r="ME16" s="8" t="s">
        <v>397</v>
      </c>
      <c r="MF16" s="8" t="s">
        <v>398</v>
      </c>
      <c r="MG16" s="8" t="s">
        <v>399</v>
      </c>
      <c r="MH16" s="8" t="s">
        <v>400</v>
      </c>
      <c r="MI16" s="8" t="s">
        <v>401</v>
      </c>
      <c r="MJ16" s="8" t="s">
        <v>402</v>
      </c>
      <c r="MK16" s="8" t="s">
        <v>403</v>
      </c>
      <c r="ML16" s="8" t="s">
        <v>404</v>
      </c>
      <c r="MM16" s="8" t="s">
        <v>405</v>
      </c>
      <c r="MN16" s="8" t="s">
        <v>406</v>
      </c>
      <c r="MO16" s="8" t="s">
        <v>407</v>
      </c>
      <c r="MP16" s="8" t="s">
        <v>408</v>
      </c>
      <c r="MQ16" s="8" t="s">
        <v>409</v>
      </c>
      <c r="MR16" s="8" t="s">
        <v>410</v>
      </c>
      <c r="MS16" s="8" t="s">
        <v>411</v>
      </c>
      <c r="MT16" s="8" t="s">
        <v>412</v>
      </c>
      <c r="MU16" s="8" t="s">
        <v>413</v>
      </c>
      <c r="MV16" s="8" t="s">
        <v>414</v>
      </c>
      <c r="MW16" s="8" t="s">
        <v>415</v>
      </c>
      <c r="MX16" s="8" t="s">
        <v>416</v>
      </c>
      <c r="MY16" s="8" t="s">
        <v>417</v>
      </c>
      <c r="MZ16" s="8" t="s">
        <v>418</v>
      </c>
      <c r="NA16" s="8" t="s">
        <v>419</v>
      </c>
      <c r="NB16" s="8" t="s">
        <v>420</v>
      </c>
      <c r="NC16" s="8" t="s">
        <v>421</v>
      </c>
    </row>
    <row r="17" spans="1:367" hidden="1">
      <c r="A17" s="13">
        <f>SUM(O17:NC17)</f>
        <v>17020.36663731205</v>
      </c>
      <c r="B17" s="14" t="s">
        <v>426</v>
      </c>
      <c r="C17" s="7"/>
      <c r="D17" s="7">
        <f t="shared" ref="D17" si="20">D18/D19</f>
        <v>103.14192708333333</v>
      </c>
      <c r="E17" s="7">
        <f t="shared" ref="E17" si="21">E18/E19</f>
        <v>114.47981770833333</v>
      </c>
      <c r="F17" s="7">
        <f t="shared" ref="F17" si="22">F18/F19</f>
        <v>60.859375</v>
      </c>
      <c r="G17" s="7">
        <f t="shared" ref="G17" si="23">G18/G19</f>
        <v>2.5625</v>
      </c>
      <c r="H17" s="7">
        <f t="shared" ref="H17" si="24">H18/H19</f>
        <v>34.705729166666664</v>
      </c>
      <c r="I17" s="7">
        <f t="shared" ref="I17" si="25">I18/I19</f>
        <v>85.16796875</v>
      </c>
      <c r="J17" s="7">
        <f t="shared" ref="J17" si="26">J18/J19</f>
        <v>61.24609375</v>
      </c>
      <c r="K17" s="7">
        <f t="shared" ref="K17" si="27">K18/K19</f>
        <v>48.413411458333336</v>
      </c>
      <c r="L17" s="7">
        <f t="shared" ref="L17" si="28">L18/L19</f>
        <v>63.612630208333336</v>
      </c>
      <c r="M17" s="7">
        <f t="shared" ref="M17" si="29">M18/M19</f>
        <v>34.270182291666664</v>
      </c>
      <c r="N17" s="7">
        <f t="shared" ref="N17" si="30">N18/N19</f>
        <v>0.37565104166666669</v>
      </c>
      <c r="O17" s="7">
        <f>O18/O19</f>
        <v>63.461588541666664</v>
      </c>
      <c r="P17" s="7">
        <f t="shared" ref="P17:CA17" si="31">P18/P19</f>
        <v>57.591145833333336</v>
      </c>
      <c r="Q17" s="7">
        <f t="shared" si="31"/>
        <v>77.427083333333329</v>
      </c>
      <c r="R17" s="7">
        <f t="shared" si="31"/>
        <v>92.057942708333329</v>
      </c>
      <c r="S17" s="7">
        <f t="shared" si="31"/>
        <v>82.764973958333329</v>
      </c>
      <c r="T17" s="7">
        <f t="shared" si="31"/>
        <v>61.287760416666664</v>
      </c>
      <c r="U17" s="7">
        <f t="shared" si="31"/>
        <v>3.60546875</v>
      </c>
      <c r="V17" s="7">
        <f t="shared" si="31"/>
        <v>77.244140625</v>
      </c>
      <c r="W17" s="7">
        <f t="shared" si="31"/>
        <v>94.43359375</v>
      </c>
      <c r="X17" s="7">
        <f t="shared" si="31"/>
        <v>80.254557291666671</v>
      </c>
      <c r="Y17" s="7">
        <f t="shared" si="31"/>
        <v>68.337890625</v>
      </c>
      <c r="Z17" s="7">
        <f t="shared" si="31"/>
        <v>69.945963541666671</v>
      </c>
      <c r="AA17" s="7">
        <f t="shared" si="31"/>
        <v>32.309244791666664</v>
      </c>
      <c r="AB17" s="7">
        <f t="shared" si="31"/>
        <v>1.4108072916666667</v>
      </c>
      <c r="AC17" s="7">
        <f t="shared" si="31"/>
        <v>55.758463541666664</v>
      </c>
      <c r="AD17" s="7">
        <f t="shared" si="31"/>
        <v>53.880859375</v>
      </c>
      <c r="AE17" s="7">
        <f t="shared" si="31"/>
        <v>41.181640625</v>
      </c>
      <c r="AF17" s="7">
        <f t="shared" si="31"/>
        <v>47.614583333333336</v>
      </c>
      <c r="AG17" s="7">
        <f t="shared" si="31"/>
        <v>39.413411458333336</v>
      </c>
      <c r="AH17" s="7">
        <f t="shared" si="31"/>
        <v>21.964192708333332</v>
      </c>
      <c r="AI17" s="7">
        <f t="shared" si="31"/>
        <v>1.0006510416666667</v>
      </c>
      <c r="AJ17" s="7">
        <f t="shared" si="31"/>
        <v>54.916015625</v>
      </c>
      <c r="AK17" s="7">
        <f t="shared" si="31"/>
        <v>84.498697916666671</v>
      </c>
      <c r="AL17" s="7">
        <f t="shared" si="31"/>
        <v>55.322916666666664</v>
      </c>
      <c r="AM17" s="7">
        <f t="shared" si="31"/>
        <v>78.221354166666671</v>
      </c>
      <c r="AN17" s="7">
        <f t="shared" si="31"/>
        <v>70.588541666666671</v>
      </c>
      <c r="AO17" s="7">
        <f t="shared" si="31"/>
        <v>40.333333333333336</v>
      </c>
      <c r="AP17" s="7">
        <f t="shared" si="31"/>
        <v>9.271484375</v>
      </c>
      <c r="AQ17" s="7">
        <f t="shared" si="31"/>
        <v>87.658203125</v>
      </c>
      <c r="AR17" s="7">
        <f t="shared" si="31"/>
        <v>111.10546875</v>
      </c>
      <c r="AS17" s="7">
        <f t="shared" si="31"/>
        <v>113.009765625</v>
      </c>
      <c r="AT17" s="7">
        <f t="shared" si="31"/>
        <v>115.970703125</v>
      </c>
      <c r="AU17" s="7">
        <f t="shared" si="31"/>
        <v>108.326171875</v>
      </c>
      <c r="AV17" s="7">
        <f t="shared" si="31"/>
        <v>53.268880208333336</v>
      </c>
      <c r="AW17" s="7">
        <f t="shared" si="31"/>
        <v>5.044270833333333</v>
      </c>
      <c r="AX17" s="7">
        <f t="shared" si="31"/>
        <v>76.071614583333329</v>
      </c>
      <c r="AY17" s="7">
        <f t="shared" si="31"/>
        <v>94.665364583333329</v>
      </c>
      <c r="AZ17" s="7">
        <f t="shared" si="31"/>
        <v>70.4609375</v>
      </c>
      <c r="BA17" s="7">
        <f t="shared" si="31"/>
        <v>95.135416666666671</v>
      </c>
      <c r="BB17" s="7">
        <f t="shared" si="31"/>
        <v>86.439453125</v>
      </c>
      <c r="BC17" s="7">
        <f t="shared" si="31"/>
        <v>53.592447916666664</v>
      </c>
      <c r="BD17" s="7">
        <f t="shared" si="31"/>
        <v>6.455729166666667</v>
      </c>
      <c r="BE17" s="7">
        <f t="shared" si="31"/>
        <v>55.860026041666664</v>
      </c>
      <c r="BF17" s="7">
        <f t="shared" si="31"/>
        <v>66.014973958333329</v>
      </c>
      <c r="BG17" s="7">
        <f t="shared" si="31"/>
        <v>75.623046875</v>
      </c>
      <c r="BH17" s="7">
        <f t="shared" si="31"/>
        <v>67.265625</v>
      </c>
      <c r="BI17" s="7">
        <f t="shared" si="31"/>
        <v>78.164713541666671</v>
      </c>
      <c r="BJ17" s="7">
        <f t="shared" si="31"/>
        <v>66.729166666666671</v>
      </c>
      <c r="BK17" s="7">
        <f t="shared" si="31"/>
        <v>4.936848958333333</v>
      </c>
      <c r="BL17" s="7">
        <f t="shared" si="31"/>
        <v>98.29296875</v>
      </c>
      <c r="BM17" s="7">
        <f t="shared" si="31"/>
        <v>173.31901041666666</v>
      </c>
      <c r="BN17" s="7">
        <f t="shared" si="31"/>
        <v>112.712890625</v>
      </c>
      <c r="BO17" s="7">
        <f t="shared" si="31"/>
        <v>133.96809895833334</v>
      </c>
      <c r="BP17" s="7">
        <f t="shared" si="31"/>
        <v>132.02734375</v>
      </c>
      <c r="BQ17" s="7">
        <f t="shared" si="31"/>
        <v>116.59049479166667</v>
      </c>
      <c r="BR17" s="7">
        <f t="shared" si="31"/>
        <v>4.637369791666667</v>
      </c>
      <c r="BS17" s="7">
        <f t="shared" si="31"/>
        <v>104.41731770833333</v>
      </c>
      <c r="BT17" s="7">
        <f t="shared" si="31"/>
        <v>132.25455729166666</v>
      </c>
      <c r="BU17" s="7">
        <f t="shared" si="31"/>
        <v>119.14453125</v>
      </c>
      <c r="BV17" s="7">
        <f t="shared" si="31"/>
        <v>142.59765625</v>
      </c>
      <c r="BW17" s="7">
        <f t="shared" si="31"/>
        <v>137.94791666666666</v>
      </c>
      <c r="BX17" s="7">
        <f t="shared" si="31"/>
        <v>119.74869791666667</v>
      </c>
      <c r="BY17" s="7">
        <f t="shared" si="31"/>
        <v>0.23502604166666666</v>
      </c>
      <c r="BZ17" s="7">
        <f t="shared" si="31"/>
        <v>105.65494791666667</v>
      </c>
      <c r="CA17" s="7">
        <f t="shared" si="31"/>
        <v>117.42122395833333</v>
      </c>
      <c r="CB17" s="7">
        <f t="shared" ref="CB17:EC17" si="32">CB18/CB19</f>
        <v>202.55013020833334</v>
      </c>
      <c r="CC17" s="7">
        <f t="shared" si="32"/>
        <v>173.212890625</v>
      </c>
      <c r="CD17" s="7">
        <f t="shared" si="32"/>
        <v>132.48828125</v>
      </c>
      <c r="CE17" s="7">
        <f t="shared" si="32"/>
        <v>128.22200520833334</v>
      </c>
      <c r="CF17" s="7">
        <f t="shared" si="32"/>
        <v>11.386067708333334</v>
      </c>
      <c r="CG17" s="7">
        <f t="shared" si="32"/>
        <v>104.943359375</v>
      </c>
      <c r="CH17" s="7">
        <f t="shared" si="32"/>
        <v>138.443359375</v>
      </c>
      <c r="CI17" s="7">
        <f t="shared" si="32"/>
        <v>138.61328125</v>
      </c>
      <c r="CJ17" s="7">
        <f t="shared" si="32"/>
        <v>87.539713541666671</v>
      </c>
      <c r="CK17" s="7">
        <f t="shared" si="32"/>
        <v>103.36393229166667</v>
      </c>
      <c r="CL17" s="7">
        <f t="shared" si="32"/>
        <v>15.03125</v>
      </c>
      <c r="CM17" s="7"/>
      <c r="CN17" s="7"/>
      <c r="CO17" s="7"/>
      <c r="CP17" s="7">
        <f t="shared" si="32"/>
        <v>19.928810320114668</v>
      </c>
      <c r="CQ17" s="7">
        <f t="shared" si="32"/>
        <v>38.721452460582896</v>
      </c>
      <c r="CR17" s="7">
        <f t="shared" si="32"/>
        <v>15.470616340181557</v>
      </c>
      <c r="CS17" s="7">
        <f t="shared" si="32"/>
        <v>8.5891065456282849</v>
      </c>
      <c r="CT17" s="7">
        <f t="shared" si="32"/>
        <v>7.9789775441949359E-2</v>
      </c>
      <c r="CU17" s="7">
        <f t="shared" si="32"/>
        <v>26.346870520783565</v>
      </c>
      <c r="CV17" s="7">
        <f t="shared" si="32"/>
        <v>41.228380315336835</v>
      </c>
      <c r="CW17" s="7">
        <f t="shared" si="32"/>
        <v>60.230769230769234</v>
      </c>
      <c r="CX17" s="7">
        <f t="shared" si="32"/>
        <v>39.901098901098898</v>
      </c>
      <c r="CY17" s="7">
        <f t="shared" si="32"/>
        <v>60.041567128523653</v>
      </c>
      <c r="CZ17" s="7">
        <f t="shared" si="32"/>
        <v>72.857142857142861</v>
      </c>
      <c r="DA17" s="7">
        <f t="shared" si="32"/>
        <v>3.0745341614906834</v>
      </c>
      <c r="DB17" s="7">
        <f t="shared" si="32"/>
        <v>38.750597228858098</v>
      </c>
      <c r="DC17" s="7">
        <f t="shared" si="32"/>
        <v>51.419493549928333</v>
      </c>
      <c r="DD17" s="7">
        <f t="shared" si="32"/>
        <v>24.080745341614907</v>
      </c>
      <c r="DE17" s="7">
        <f t="shared" si="32"/>
        <v>65.056856187290975</v>
      </c>
      <c r="DF17" s="7">
        <f t="shared" si="32"/>
        <v>50.312947921643577</v>
      </c>
      <c r="DG17" s="7">
        <f t="shared" si="32"/>
        <v>41.123268036311515</v>
      </c>
      <c r="DH17" s="7">
        <f t="shared" si="32"/>
        <v>0.1533683707596751</v>
      </c>
      <c r="DI17" s="7">
        <f t="shared" si="32"/>
        <v>68.236980410893452</v>
      </c>
      <c r="DJ17" s="7">
        <f t="shared" si="32"/>
        <v>66.770664118490203</v>
      </c>
      <c r="DK17" s="7">
        <f t="shared" si="32"/>
        <v>0.11610129001433349</v>
      </c>
      <c r="DL17" s="7"/>
      <c r="DM17" s="7">
        <f t="shared" si="32"/>
        <v>52.759197324414714</v>
      </c>
      <c r="DN17" s="7">
        <f t="shared" si="32"/>
        <v>69.683229813664596</v>
      </c>
      <c r="DO17" s="7">
        <f t="shared" si="32"/>
        <v>4.5809842331581461</v>
      </c>
      <c r="DP17" s="7">
        <f t="shared" si="32"/>
        <v>87.002866698518872</v>
      </c>
      <c r="DQ17" s="7">
        <f t="shared" si="32"/>
        <v>71.119923554706162</v>
      </c>
      <c r="DR17" s="7">
        <f t="shared" si="32"/>
        <v>43.377448638318207</v>
      </c>
      <c r="DS17" s="7"/>
      <c r="DT17" s="7">
        <f t="shared" si="32"/>
        <v>102.76349737219303</v>
      </c>
      <c r="DU17" s="7">
        <f t="shared" si="32"/>
        <v>94.418537983755371</v>
      </c>
      <c r="DV17" s="7">
        <f t="shared" si="32"/>
        <v>7.5207835642618255</v>
      </c>
      <c r="DW17" s="7">
        <f t="shared" si="32"/>
        <v>83.783086478738653</v>
      </c>
      <c r="DX17" s="7">
        <f t="shared" si="32"/>
        <v>75.005255613951263</v>
      </c>
      <c r="DY17" s="7">
        <f t="shared" si="32"/>
        <v>120.30052556139513</v>
      </c>
      <c r="DZ17" s="7">
        <f t="shared" si="32"/>
        <v>116.31438127090301</v>
      </c>
      <c r="EA17" s="7">
        <f t="shared" si="32"/>
        <v>154.8404204491161</v>
      </c>
      <c r="EB17" s="7">
        <f t="shared" si="32"/>
        <v>135.25179168657431</v>
      </c>
      <c r="EC17" s="7">
        <f t="shared" si="32"/>
        <v>16.017677974199714</v>
      </c>
      <c r="ED17" s="20">
        <f>+ED18/ED19</f>
        <v>85.507405637840421</v>
      </c>
      <c r="EE17" s="20">
        <f t="shared" ref="EE17:EJ17" si="33">+EE18/EE19</f>
        <v>108.74773053033923</v>
      </c>
      <c r="EF17" s="20">
        <f t="shared" si="33"/>
        <v>100.03678929765886</v>
      </c>
      <c r="EG17" s="20">
        <f t="shared" si="33"/>
        <v>87.48064978499761</v>
      </c>
      <c r="EH17" s="20">
        <f t="shared" si="33"/>
        <v>94.781175346392743</v>
      </c>
      <c r="EI17" s="20">
        <f t="shared" si="33"/>
        <v>113.64739608217869</v>
      </c>
      <c r="EJ17" s="20">
        <f t="shared" si="33"/>
        <v>12.665551839464882</v>
      </c>
      <c r="EK17" s="6">
        <v>89.75</v>
      </c>
      <c r="EL17" s="6">
        <v>97.5</v>
      </c>
      <c r="EM17" s="6">
        <v>97.5</v>
      </c>
      <c r="EN17" s="6">
        <v>90</v>
      </c>
      <c r="EO17" s="6">
        <v>92.75</v>
      </c>
      <c r="EP17" s="6">
        <v>37.25</v>
      </c>
      <c r="EQ17" s="6">
        <v>57</v>
      </c>
      <c r="ER17" s="7">
        <v>97.5</v>
      </c>
      <c r="ES17" s="7">
        <v>97.083333333333343</v>
      </c>
      <c r="ET17" s="7">
        <v>91.583333333333329</v>
      </c>
      <c r="EU17" s="7">
        <v>97.5</v>
      </c>
      <c r="EV17" s="7">
        <v>97.5</v>
      </c>
      <c r="EW17" s="7">
        <v>97.5</v>
      </c>
      <c r="EX17" s="7">
        <v>97.5</v>
      </c>
      <c r="EY17" s="6">
        <v>97.5</v>
      </c>
      <c r="EZ17" s="6">
        <v>97.5</v>
      </c>
      <c r="FA17" s="6">
        <v>97.5</v>
      </c>
      <c r="FB17" s="6">
        <v>47.666666666666664</v>
      </c>
      <c r="FG17" s="20">
        <f>+FG18/FG19</f>
        <v>28.136645962732921</v>
      </c>
      <c r="FH17" s="20">
        <f t="shared" ref="FH17:FZ17" si="34">+FH18/FH19</f>
        <v>28.819397993311036</v>
      </c>
      <c r="FI17" s="20">
        <f t="shared" si="34"/>
        <v>33.294792164357382</v>
      </c>
      <c r="FJ17" s="20">
        <f t="shared" si="34"/>
        <v>48.551361681796465</v>
      </c>
      <c r="FK17" s="20">
        <f t="shared" si="34"/>
        <v>58.333492594362163</v>
      </c>
      <c r="FL17" s="20">
        <f t="shared" si="34"/>
        <v>1.4108934543717153</v>
      </c>
      <c r="FM17" s="20">
        <f t="shared" si="34"/>
        <v>61.034878165312946</v>
      </c>
      <c r="FN17" s="20">
        <f t="shared" si="34"/>
        <v>110.12947921643574</v>
      </c>
      <c r="FO17" s="20">
        <f t="shared" si="34"/>
        <v>92.880554228380319</v>
      </c>
      <c r="FP17" s="20">
        <f t="shared" si="34"/>
        <v>126.58146201624463</v>
      </c>
      <c r="FQ17" s="20">
        <f t="shared" si="34"/>
        <v>160.56426182513138</v>
      </c>
      <c r="FR17" s="20">
        <f t="shared" si="34"/>
        <v>120.19827998088867</v>
      </c>
      <c r="FS17" s="20">
        <f t="shared" si="34"/>
        <v>0.10559006211180125</v>
      </c>
      <c r="FT17" s="20">
        <f t="shared" si="34"/>
        <v>39.307692307692307</v>
      </c>
      <c r="FU17" s="20">
        <f t="shared" si="34"/>
        <v>86.033444816053517</v>
      </c>
      <c r="FV17" s="20">
        <f t="shared" si="34"/>
        <v>56.847109412326802</v>
      </c>
      <c r="FW17" s="20">
        <f t="shared" si="34"/>
        <v>65.76588628762542</v>
      </c>
      <c r="FX17" s="20">
        <f t="shared" si="34"/>
        <v>45.572861920688005</v>
      </c>
      <c r="FY17" s="20">
        <f t="shared" si="34"/>
        <v>79.425226946966077</v>
      </c>
      <c r="FZ17" s="20">
        <f t="shared" si="34"/>
        <v>0.35260391782130912</v>
      </c>
      <c r="GA17" s="20">
        <f>+GA18/GA19</f>
        <v>49.102245580506448</v>
      </c>
      <c r="GB17" s="20">
        <f t="shared" ref="GB17:IM17" si="35">+GB18/GB19</f>
        <v>119.37896965419901</v>
      </c>
      <c r="GC17" s="20">
        <f t="shared" si="35"/>
        <v>81.774170783345099</v>
      </c>
      <c r="GD17" s="20">
        <f t="shared" si="35"/>
        <v>151.96612561750177</v>
      </c>
      <c r="GE17" s="20">
        <f t="shared" si="35"/>
        <v>156.72971065631617</v>
      </c>
      <c r="GF17" s="20">
        <f t="shared" si="35"/>
        <v>80.317572335920957</v>
      </c>
      <c r="GG17" s="20">
        <f t="shared" si="35"/>
        <v>0.1834862385321101</v>
      </c>
      <c r="GH17" s="20">
        <f t="shared" si="35"/>
        <v>116.76781933662667</v>
      </c>
      <c r="GI17" s="20">
        <f t="shared" si="35"/>
        <v>84.637967537050102</v>
      </c>
      <c r="GJ17" s="20">
        <f t="shared" si="35"/>
        <v>72.693013408609744</v>
      </c>
      <c r="GK17" s="20">
        <f t="shared" si="35"/>
        <v>59.762173606210304</v>
      </c>
      <c r="GL17" s="20">
        <f t="shared" si="35"/>
        <v>57.546930134086097</v>
      </c>
      <c r="GM17" s="20">
        <f t="shared" si="35"/>
        <v>91.293577981651381</v>
      </c>
      <c r="GN17" s="20">
        <f t="shared" si="35"/>
        <v>0.44460127028934371</v>
      </c>
      <c r="GO17" s="20">
        <f t="shared" si="35"/>
        <v>71.821453775582214</v>
      </c>
      <c r="GP17" s="20"/>
      <c r="GQ17" s="20">
        <f t="shared" si="35"/>
        <v>106.69513055751588</v>
      </c>
      <c r="GR17" s="20">
        <f t="shared" si="35"/>
        <v>73.649964714184904</v>
      </c>
      <c r="GS17" s="20">
        <f t="shared" si="35"/>
        <v>64.207480592801687</v>
      </c>
      <c r="GT17" s="20">
        <f t="shared" si="35"/>
        <v>82.495412844036693</v>
      </c>
      <c r="GU17" s="20">
        <f t="shared" si="35"/>
        <v>4.4396612561750173</v>
      </c>
      <c r="GV17" s="20">
        <f t="shared" si="35"/>
        <v>133.99153140437545</v>
      </c>
      <c r="GW17" s="20">
        <f t="shared" si="35"/>
        <v>163.44036697247705</v>
      </c>
      <c r="GX17" s="20">
        <f t="shared" si="35"/>
        <v>149.78122794636556</v>
      </c>
      <c r="GY17" s="20">
        <f t="shared" si="35"/>
        <v>114.91601976005646</v>
      </c>
      <c r="GZ17" s="20">
        <f t="shared" si="35"/>
        <v>115.93295695130557</v>
      </c>
      <c r="HA17" s="20">
        <f t="shared" si="35"/>
        <v>49.214537755822157</v>
      </c>
      <c r="HB17" s="20">
        <f t="shared" si="35"/>
        <v>26.541990119971771</v>
      </c>
      <c r="HC17" s="20">
        <f t="shared" si="35"/>
        <v>79.138320395201134</v>
      </c>
      <c r="HD17" s="20">
        <f t="shared" si="35"/>
        <v>105.18913196894849</v>
      </c>
      <c r="HE17" s="20">
        <f t="shared" si="35"/>
        <v>62.680310515172899</v>
      </c>
      <c r="HF17" s="20">
        <f t="shared" si="35"/>
        <v>50.889202540578687</v>
      </c>
      <c r="HG17" s="20">
        <f t="shared" si="35"/>
        <v>80.632321806633726</v>
      </c>
      <c r="HH17" s="20">
        <f t="shared" si="35"/>
        <v>79.279463655610442</v>
      </c>
      <c r="HI17" s="20">
        <f t="shared" si="35"/>
        <v>13.569513055751587</v>
      </c>
      <c r="HJ17" s="20">
        <f t="shared" si="35"/>
        <v>65.34932956951306</v>
      </c>
      <c r="HK17" s="20">
        <f t="shared" si="35"/>
        <v>68.188426252646437</v>
      </c>
      <c r="HL17" s="20">
        <f t="shared" si="35"/>
        <v>48.047988708539165</v>
      </c>
      <c r="HM17" s="20">
        <f t="shared" si="35"/>
        <v>47.962597035991529</v>
      </c>
      <c r="HN17" s="20">
        <f t="shared" si="35"/>
        <v>61.481298517995768</v>
      </c>
      <c r="HO17" s="20">
        <f t="shared" si="35"/>
        <v>75.482004234297818</v>
      </c>
      <c r="HP17" s="20">
        <f t="shared" si="35"/>
        <v>6.7191249117854621</v>
      </c>
      <c r="HQ17" s="20">
        <f t="shared" si="35"/>
        <v>112.07480592801694</v>
      </c>
      <c r="HR17" s="20">
        <f t="shared" si="35"/>
        <v>105.25829216654904</v>
      </c>
      <c r="HS17" s="20">
        <f t="shared" si="35"/>
        <v>102.04516584333098</v>
      </c>
      <c r="HT17" s="20">
        <f t="shared" si="35"/>
        <v>110.77205363443896</v>
      </c>
      <c r="HU17" s="20">
        <f t="shared" si="35"/>
        <v>116.67537050105858</v>
      </c>
      <c r="HV17" s="20">
        <f t="shared" si="35"/>
        <v>76.304869442484119</v>
      </c>
      <c r="HW17" s="20">
        <f t="shared" si="35"/>
        <v>6.1185603387438245</v>
      </c>
      <c r="HX17" s="20">
        <f t="shared" si="35"/>
        <v>58.537050105857446</v>
      </c>
      <c r="HY17" s="20">
        <f t="shared" si="35"/>
        <v>85.827099505998589</v>
      </c>
      <c r="HZ17" s="20">
        <f t="shared" si="35"/>
        <v>90.405786873676789</v>
      </c>
      <c r="IA17" s="20">
        <f t="shared" si="35"/>
        <v>109.45730416372618</v>
      </c>
      <c r="IB17" s="20">
        <f t="shared" si="35"/>
        <v>95.973888496824273</v>
      </c>
      <c r="IC17" s="20">
        <f t="shared" si="35"/>
        <v>100.742413549753</v>
      </c>
      <c r="ID17" s="20">
        <f t="shared" si="35"/>
        <v>9.9908256880733948</v>
      </c>
      <c r="IE17" s="20">
        <f t="shared" si="35"/>
        <v>71.72688779110797</v>
      </c>
      <c r="IF17" s="20">
        <f t="shared" si="35"/>
        <v>125.73535638673253</v>
      </c>
      <c r="IG17" s="20">
        <f t="shared" si="35"/>
        <v>132.02822865208185</v>
      </c>
      <c r="IH17" s="20">
        <f t="shared" si="35"/>
        <v>105.06845448129852</v>
      </c>
      <c r="II17" s="20">
        <f t="shared" si="35"/>
        <v>105.02399435426959</v>
      </c>
      <c r="IJ17" s="20">
        <f t="shared" si="35"/>
        <v>51.183486238532112</v>
      </c>
      <c r="IK17" s="20">
        <f t="shared" si="35"/>
        <v>13.772053634438956</v>
      </c>
      <c r="IL17" s="20">
        <f t="shared" si="35"/>
        <v>96.798870853916725</v>
      </c>
      <c r="IM17" s="20">
        <f t="shared" si="35"/>
        <v>103.08750882145378</v>
      </c>
      <c r="IN17" s="20">
        <f t="shared" ref="IN17:IR17" si="36">+IN18/IN19</f>
        <v>78.547635850388147</v>
      </c>
      <c r="IO17" s="20">
        <f t="shared" si="36"/>
        <v>218.67537050105858</v>
      </c>
      <c r="IP17" s="20">
        <f t="shared" si="36"/>
        <v>69.656316160903316</v>
      </c>
      <c r="IQ17" s="20">
        <f t="shared" si="36"/>
        <v>98.32462949894142</v>
      </c>
      <c r="IR17" s="20">
        <f t="shared" si="36"/>
        <v>3.1051517290049402E-2</v>
      </c>
    </row>
    <row r="18" spans="1:367" hidden="1">
      <c r="A18" s="15">
        <f>SUM(O18:NC18)</f>
        <v>28551960</v>
      </c>
      <c r="B18" s="16" t="s">
        <v>423</v>
      </c>
      <c r="C18" s="7"/>
      <c r="D18" s="2">
        <v>158426</v>
      </c>
      <c r="E18" s="2">
        <v>175841</v>
      </c>
      <c r="F18" s="2">
        <v>93480</v>
      </c>
      <c r="G18" s="2">
        <v>3936</v>
      </c>
      <c r="H18" s="2">
        <v>53308</v>
      </c>
      <c r="I18" s="2">
        <v>130818</v>
      </c>
      <c r="J18" s="2">
        <v>94074</v>
      </c>
      <c r="K18" s="2">
        <v>74363</v>
      </c>
      <c r="L18" s="2">
        <v>97709</v>
      </c>
      <c r="M18" s="2">
        <v>52639</v>
      </c>
      <c r="N18" s="2">
        <v>577</v>
      </c>
      <c r="O18" s="7">
        <v>97477</v>
      </c>
      <c r="P18" s="7">
        <v>88460</v>
      </c>
      <c r="Q18" s="7">
        <v>118928</v>
      </c>
      <c r="R18" s="7">
        <v>141401</v>
      </c>
      <c r="S18" s="7">
        <v>127127</v>
      </c>
      <c r="T18" s="7">
        <v>94138</v>
      </c>
      <c r="U18" s="7">
        <v>5538</v>
      </c>
      <c r="V18" s="7">
        <v>118647</v>
      </c>
      <c r="W18" s="7">
        <v>145050</v>
      </c>
      <c r="X18" s="7">
        <v>123271</v>
      </c>
      <c r="Y18" s="7">
        <v>104967</v>
      </c>
      <c r="Z18" s="7">
        <v>107437</v>
      </c>
      <c r="AA18" s="7">
        <v>49627</v>
      </c>
      <c r="AB18" s="7">
        <v>2167</v>
      </c>
      <c r="AC18" s="7">
        <v>85645</v>
      </c>
      <c r="AD18" s="7">
        <v>82761</v>
      </c>
      <c r="AE18" s="7">
        <v>63255</v>
      </c>
      <c r="AF18" s="7">
        <v>73136</v>
      </c>
      <c r="AG18" s="7">
        <v>60539</v>
      </c>
      <c r="AH18" s="7">
        <v>33737</v>
      </c>
      <c r="AI18" s="7">
        <v>1537</v>
      </c>
      <c r="AJ18" s="7">
        <v>84351</v>
      </c>
      <c r="AK18" s="7">
        <v>129790</v>
      </c>
      <c r="AL18" s="7">
        <v>84976</v>
      </c>
      <c r="AM18" s="7">
        <v>120148</v>
      </c>
      <c r="AN18" s="7">
        <v>108424</v>
      </c>
      <c r="AO18" s="7">
        <v>61952</v>
      </c>
      <c r="AP18" s="7">
        <v>14241</v>
      </c>
      <c r="AQ18" s="7">
        <v>134643</v>
      </c>
      <c r="AR18" s="7">
        <v>170658</v>
      </c>
      <c r="AS18" s="7">
        <v>173583</v>
      </c>
      <c r="AT18" s="7">
        <v>178131</v>
      </c>
      <c r="AU18" s="7">
        <v>166389</v>
      </c>
      <c r="AV18" s="7">
        <v>81821</v>
      </c>
      <c r="AW18" s="7">
        <v>7748</v>
      </c>
      <c r="AX18" s="7">
        <v>116846</v>
      </c>
      <c r="AY18" s="7">
        <v>145406</v>
      </c>
      <c r="AZ18" s="7">
        <v>108228</v>
      </c>
      <c r="BA18" s="7">
        <v>146128</v>
      </c>
      <c r="BB18" s="7">
        <v>132771</v>
      </c>
      <c r="BC18" s="7">
        <v>82318</v>
      </c>
      <c r="BD18" s="7">
        <v>9916</v>
      </c>
      <c r="BE18" s="7">
        <v>85801</v>
      </c>
      <c r="BF18" s="7">
        <v>101399</v>
      </c>
      <c r="BG18" s="7">
        <v>116157</v>
      </c>
      <c r="BH18" s="7">
        <v>103320</v>
      </c>
      <c r="BI18" s="7">
        <v>120061</v>
      </c>
      <c r="BJ18" s="7">
        <v>102496</v>
      </c>
      <c r="BK18" s="7">
        <v>7583</v>
      </c>
      <c r="BL18" s="7">
        <v>150978</v>
      </c>
      <c r="BM18" s="7">
        <v>266218</v>
      </c>
      <c r="BN18" s="7">
        <v>173127</v>
      </c>
      <c r="BO18" s="7">
        <v>205775</v>
      </c>
      <c r="BP18" s="7">
        <v>202794</v>
      </c>
      <c r="BQ18" s="7">
        <v>179083</v>
      </c>
      <c r="BR18" s="7">
        <v>7123</v>
      </c>
      <c r="BS18" s="20">
        <v>160385</v>
      </c>
      <c r="BT18" s="20">
        <v>203143</v>
      </c>
      <c r="BU18" s="20">
        <v>183006</v>
      </c>
      <c r="BV18" s="20">
        <v>219030</v>
      </c>
      <c r="BW18" s="20">
        <v>211888</v>
      </c>
      <c r="BX18" s="20">
        <v>183934</v>
      </c>
      <c r="BY18" s="20">
        <v>361</v>
      </c>
      <c r="BZ18" s="20">
        <v>162286</v>
      </c>
      <c r="CA18" s="20">
        <v>180359</v>
      </c>
      <c r="CB18" s="20">
        <v>311117</v>
      </c>
      <c r="CC18" s="20">
        <v>266055</v>
      </c>
      <c r="CD18" s="20">
        <v>203502</v>
      </c>
      <c r="CE18" s="20">
        <v>196949</v>
      </c>
      <c r="CF18" s="20">
        <v>17489</v>
      </c>
      <c r="CG18" s="20">
        <v>161193</v>
      </c>
      <c r="CH18" s="20">
        <v>212649</v>
      </c>
      <c r="CI18" s="20">
        <v>212910</v>
      </c>
      <c r="CJ18" s="20">
        <v>134461</v>
      </c>
      <c r="CK18" s="20">
        <v>158767</v>
      </c>
      <c r="CL18" s="20">
        <v>23088</v>
      </c>
      <c r="CM18" s="20"/>
      <c r="CN18" s="20"/>
      <c r="CO18" s="20"/>
      <c r="CP18" s="20">
        <v>41711</v>
      </c>
      <c r="CQ18" s="20">
        <v>81044</v>
      </c>
      <c r="CR18" s="20">
        <v>32380</v>
      </c>
      <c r="CS18" s="20">
        <v>17977</v>
      </c>
      <c r="CT18" s="20">
        <v>167</v>
      </c>
      <c r="CU18" s="20">
        <v>55144</v>
      </c>
      <c r="CV18" s="20">
        <v>86291</v>
      </c>
      <c r="CW18" s="20">
        <v>126063</v>
      </c>
      <c r="CX18" s="20">
        <v>83513</v>
      </c>
      <c r="CY18" s="20">
        <v>125667</v>
      </c>
      <c r="CZ18" s="20">
        <v>152490</v>
      </c>
      <c r="DA18" s="20">
        <v>6435</v>
      </c>
      <c r="DB18" s="20">
        <v>81105</v>
      </c>
      <c r="DC18" s="20">
        <v>107621</v>
      </c>
      <c r="DD18" s="20">
        <v>50401</v>
      </c>
      <c r="DE18" s="20">
        <v>136164</v>
      </c>
      <c r="DF18" s="20">
        <v>105305</v>
      </c>
      <c r="DG18" s="20">
        <v>86071</v>
      </c>
      <c r="DH18" s="20">
        <v>321</v>
      </c>
      <c r="DI18" s="20">
        <v>142820</v>
      </c>
      <c r="DJ18" s="20">
        <v>139751</v>
      </c>
      <c r="DK18" s="20">
        <v>243</v>
      </c>
      <c r="DL18" s="20"/>
      <c r="DM18" s="20">
        <v>110425</v>
      </c>
      <c r="DN18" s="20">
        <v>145847</v>
      </c>
      <c r="DO18" s="20">
        <v>9588</v>
      </c>
      <c r="DP18" s="20">
        <v>182097</v>
      </c>
      <c r="DQ18" s="20">
        <v>148854</v>
      </c>
      <c r="DR18" s="20">
        <v>90789</v>
      </c>
      <c r="DS18" s="20"/>
      <c r="DT18" s="20">
        <v>215084</v>
      </c>
      <c r="DU18" s="20">
        <v>197618</v>
      </c>
      <c r="DV18" s="20">
        <v>15741</v>
      </c>
      <c r="DW18" s="20">
        <v>175358</v>
      </c>
      <c r="DX18" s="20">
        <v>156986</v>
      </c>
      <c r="DY18" s="20">
        <v>251789</v>
      </c>
      <c r="DZ18" s="20">
        <v>243446</v>
      </c>
      <c r="EA18" s="20">
        <v>324081</v>
      </c>
      <c r="EB18" s="20">
        <v>283082</v>
      </c>
      <c r="EC18" s="20">
        <v>33525</v>
      </c>
      <c r="ED18" s="7">
        <v>178967</v>
      </c>
      <c r="EE18" s="7">
        <v>227609</v>
      </c>
      <c r="EF18" s="7">
        <v>209377</v>
      </c>
      <c r="EG18" s="7">
        <v>183097</v>
      </c>
      <c r="EH18" s="7">
        <v>198377</v>
      </c>
      <c r="EI18" s="7">
        <v>237864</v>
      </c>
      <c r="EJ18" s="7">
        <v>26509</v>
      </c>
      <c r="EK18" s="8">
        <v>65137</v>
      </c>
      <c r="EL18" s="8">
        <v>193604</v>
      </c>
      <c r="EM18" s="8">
        <v>275341</v>
      </c>
      <c r="EN18" s="8">
        <v>294397</v>
      </c>
      <c r="EO18" s="8">
        <v>219352</v>
      </c>
      <c r="EP18" s="8">
        <v>196605</v>
      </c>
      <c r="EQ18" s="8">
        <v>22715</v>
      </c>
      <c r="ER18" s="27">
        <v>183391</v>
      </c>
      <c r="ES18" s="27">
        <v>240167</v>
      </c>
      <c r="ET18" s="27">
        <v>209102</v>
      </c>
      <c r="EU18" s="27">
        <v>138800</v>
      </c>
      <c r="EV18" s="27">
        <v>98669</v>
      </c>
      <c r="EW18" s="27">
        <v>168363</v>
      </c>
      <c r="EX18" s="27">
        <v>48101</v>
      </c>
      <c r="EY18" s="27">
        <v>164220</v>
      </c>
      <c r="EZ18" s="27">
        <v>284250</v>
      </c>
      <c r="FA18" s="27">
        <v>430765</v>
      </c>
      <c r="FB18" s="27">
        <v>72260</v>
      </c>
      <c r="FG18" s="7">
        <v>58890</v>
      </c>
      <c r="FH18" s="7">
        <v>60319</v>
      </c>
      <c r="FI18" s="7">
        <v>69686</v>
      </c>
      <c r="FJ18" s="7">
        <v>101618</v>
      </c>
      <c r="FK18" s="7">
        <v>122092</v>
      </c>
      <c r="FL18" s="7">
        <v>2953</v>
      </c>
      <c r="FM18" s="7">
        <v>127746</v>
      </c>
      <c r="FN18" s="7">
        <v>230501</v>
      </c>
      <c r="FO18" s="7">
        <v>194399</v>
      </c>
      <c r="FP18" s="7">
        <v>264935</v>
      </c>
      <c r="FQ18" s="7">
        <v>336061</v>
      </c>
      <c r="FR18" s="7">
        <v>251575</v>
      </c>
      <c r="FS18" s="7">
        <v>221</v>
      </c>
      <c r="FT18" s="7">
        <v>82271</v>
      </c>
      <c r="FU18" s="7">
        <v>180068</v>
      </c>
      <c r="FV18" s="7">
        <v>118981</v>
      </c>
      <c r="FW18" s="7">
        <v>137648</v>
      </c>
      <c r="FX18" s="7">
        <v>95384</v>
      </c>
      <c r="FY18" s="7">
        <v>166237</v>
      </c>
      <c r="FZ18" s="7">
        <v>738</v>
      </c>
      <c r="GA18" s="7">
        <v>102771</v>
      </c>
      <c r="GB18" s="7">
        <v>169160</v>
      </c>
      <c r="GC18" s="7">
        <v>115874</v>
      </c>
      <c r="GD18" s="7">
        <v>215336</v>
      </c>
      <c r="GE18" s="7">
        <v>222086</v>
      </c>
      <c r="GF18" s="7">
        <v>113810</v>
      </c>
      <c r="GG18" s="7">
        <v>260</v>
      </c>
      <c r="GH18" s="7">
        <v>165460</v>
      </c>
      <c r="GI18" s="7">
        <v>119932</v>
      </c>
      <c r="GJ18" s="7">
        <v>103006</v>
      </c>
      <c r="GK18" s="7">
        <v>84683</v>
      </c>
      <c r="GL18" s="7">
        <v>81544</v>
      </c>
      <c r="GM18" s="7">
        <v>129363</v>
      </c>
      <c r="GN18" s="7">
        <v>630</v>
      </c>
      <c r="GO18" s="7">
        <v>101771</v>
      </c>
      <c r="GP18" s="7"/>
      <c r="GQ18" s="7">
        <v>151187</v>
      </c>
      <c r="GR18" s="7">
        <v>104362</v>
      </c>
      <c r="GS18" s="7">
        <v>90982</v>
      </c>
      <c r="GT18" s="7">
        <v>116896</v>
      </c>
      <c r="GU18" s="7">
        <v>6291</v>
      </c>
      <c r="GV18" s="7">
        <v>189866</v>
      </c>
      <c r="GW18" s="7">
        <v>231595</v>
      </c>
      <c r="GX18" s="7">
        <v>212240</v>
      </c>
      <c r="GY18" s="7">
        <v>162836</v>
      </c>
      <c r="GZ18" s="7">
        <v>164277</v>
      </c>
      <c r="HA18" s="7">
        <v>69737</v>
      </c>
      <c r="HB18" s="7">
        <v>37610</v>
      </c>
      <c r="HC18" s="7">
        <v>112139</v>
      </c>
      <c r="HD18" s="7">
        <v>149053</v>
      </c>
      <c r="HE18" s="7">
        <v>88818</v>
      </c>
      <c r="HF18" s="7">
        <v>72110</v>
      </c>
      <c r="HG18" s="7">
        <v>114256</v>
      </c>
      <c r="HH18" s="7">
        <v>112339</v>
      </c>
      <c r="HI18" s="7">
        <v>19228</v>
      </c>
      <c r="HJ18" s="7">
        <v>92600</v>
      </c>
      <c r="HK18" s="7">
        <v>96623</v>
      </c>
      <c r="HL18" s="7">
        <v>68084</v>
      </c>
      <c r="HM18" s="7">
        <v>67963</v>
      </c>
      <c r="HN18" s="7">
        <v>87119</v>
      </c>
      <c r="HO18" s="7">
        <v>106958</v>
      </c>
      <c r="HP18" s="7">
        <v>9521</v>
      </c>
      <c r="HQ18" s="7">
        <v>158810</v>
      </c>
      <c r="HR18" s="7">
        <v>149151</v>
      </c>
      <c r="HS18" s="7">
        <v>144598</v>
      </c>
      <c r="HT18" s="7">
        <v>156964</v>
      </c>
      <c r="HU18" s="7">
        <v>165329</v>
      </c>
      <c r="HV18" s="7">
        <v>108124</v>
      </c>
      <c r="HW18" s="7">
        <v>8670</v>
      </c>
      <c r="HX18" s="7">
        <v>82947</v>
      </c>
      <c r="HY18" s="7">
        <v>121617</v>
      </c>
      <c r="HZ18" s="7">
        <v>128105</v>
      </c>
      <c r="IA18" s="7">
        <v>155101</v>
      </c>
      <c r="IB18" s="7">
        <v>135995</v>
      </c>
      <c r="IC18" s="7">
        <v>142752</v>
      </c>
      <c r="ID18" s="7">
        <v>14157</v>
      </c>
      <c r="IE18" s="8">
        <v>101637</v>
      </c>
      <c r="IF18" s="8">
        <v>178167</v>
      </c>
      <c r="IG18" s="8">
        <v>187084</v>
      </c>
      <c r="IH18" s="8">
        <v>148882</v>
      </c>
      <c r="II18" s="8">
        <v>148819</v>
      </c>
      <c r="IJ18" s="8">
        <v>72527</v>
      </c>
      <c r="IK18" s="8">
        <v>19515</v>
      </c>
      <c r="IL18" s="7">
        <v>137164</v>
      </c>
      <c r="IM18" s="7">
        <v>146075</v>
      </c>
      <c r="IN18" s="7">
        <v>111302</v>
      </c>
      <c r="IO18" s="7">
        <v>309863</v>
      </c>
      <c r="IP18" s="7">
        <v>98703</v>
      </c>
      <c r="IQ18" s="7">
        <v>139326</v>
      </c>
      <c r="IR18" s="7">
        <v>44</v>
      </c>
    </row>
    <row r="19" spans="1:367" hidden="1">
      <c r="A19" s="17">
        <f>A18/A17</f>
        <v>1677.5173301736279</v>
      </c>
      <c r="B19" s="18" t="s">
        <v>422</v>
      </c>
      <c r="C19" s="19"/>
      <c r="D19" s="19">
        <v>1536</v>
      </c>
      <c r="E19" s="19">
        <v>1536</v>
      </c>
      <c r="F19" s="19">
        <v>1536</v>
      </c>
      <c r="G19" s="19">
        <v>1536</v>
      </c>
      <c r="H19" s="19">
        <v>1536</v>
      </c>
      <c r="I19" s="19">
        <v>1536</v>
      </c>
      <c r="J19" s="19">
        <v>1536</v>
      </c>
      <c r="K19" s="19">
        <v>1536</v>
      </c>
      <c r="L19" s="19">
        <v>1536</v>
      </c>
      <c r="M19" s="19">
        <v>1536</v>
      </c>
      <c r="N19" s="19">
        <v>1536</v>
      </c>
      <c r="O19" s="19">
        <v>1536</v>
      </c>
      <c r="P19" s="19">
        <v>1536</v>
      </c>
      <c r="Q19" s="19">
        <v>1536</v>
      </c>
      <c r="R19" s="19">
        <v>1536</v>
      </c>
      <c r="S19" s="19">
        <v>1536</v>
      </c>
      <c r="T19" s="19">
        <v>1536</v>
      </c>
      <c r="U19" s="19">
        <v>1536</v>
      </c>
      <c r="V19" s="19">
        <v>1536</v>
      </c>
      <c r="W19" s="19">
        <v>1536</v>
      </c>
      <c r="X19" s="19">
        <v>1536</v>
      </c>
      <c r="Y19" s="19">
        <v>1536</v>
      </c>
      <c r="Z19" s="19">
        <v>1536</v>
      </c>
      <c r="AA19" s="19">
        <v>1536</v>
      </c>
      <c r="AB19" s="19">
        <v>1536</v>
      </c>
      <c r="AC19" s="19">
        <v>1536</v>
      </c>
      <c r="AD19" s="19">
        <v>1536</v>
      </c>
      <c r="AE19" s="19">
        <v>1536</v>
      </c>
      <c r="AF19" s="19">
        <v>1536</v>
      </c>
      <c r="AG19" s="19">
        <v>1536</v>
      </c>
      <c r="AH19" s="19">
        <v>1536</v>
      </c>
      <c r="AI19" s="19">
        <v>1536</v>
      </c>
      <c r="AJ19" s="19">
        <v>1536</v>
      </c>
      <c r="AK19" s="19">
        <v>1536</v>
      </c>
      <c r="AL19" s="19">
        <v>1536</v>
      </c>
      <c r="AM19" s="19">
        <v>1536</v>
      </c>
      <c r="AN19" s="19">
        <v>1536</v>
      </c>
      <c r="AO19" s="19">
        <v>1536</v>
      </c>
      <c r="AP19" s="19">
        <v>1536</v>
      </c>
      <c r="AQ19" s="19">
        <v>1536</v>
      </c>
      <c r="AR19" s="19">
        <v>1536</v>
      </c>
      <c r="AS19" s="19">
        <v>1536</v>
      </c>
      <c r="AT19" s="19">
        <v>1536</v>
      </c>
      <c r="AU19" s="19">
        <v>1536</v>
      </c>
      <c r="AV19" s="19">
        <v>1536</v>
      </c>
      <c r="AW19" s="19">
        <v>1536</v>
      </c>
      <c r="AX19" s="19">
        <v>1536</v>
      </c>
      <c r="AY19" s="19">
        <v>1536</v>
      </c>
      <c r="AZ19" s="19">
        <v>1536</v>
      </c>
      <c r="BA19" s="19">
        <v>1536</v>
      </c>
      <c r="BB19" s="19">
        <v>1536</v>
      </c>
      <c r="BC19" s="19">
        <v>1536</v>
      </c>
      <c r="BD19" s="19">
        <v>1536</v>
      </c>
      <c r="BE19" s="19">
        <v>1536</v>
      </c>
      <c r="BF19" s="19">
        <v>1536</v>
      </c>
      <c r="BG19" s="19">
        <v>1536</v>
      </c>
      <c r="BH19" s="19">
        <v>1536</v>
      </c>
      <c r="BI19" s="19">
        <v>1536</v>
      </c>
      <c r="BJ19" s="19">
        <v>1536</v>
      </c>
      <c r="BK19" s="19">
        <v>1536</v>
      </c>
      <c r="BL19" s="19">
        <v>1536</v>
      </c>
      <c r="BM19" s="19">
        <v>1536</v>
      </c>
      <c r="BN19" s="19">
        <v>1536</v>
      </c>
      <c r="BO19" s="19">
        <v>1536</v>
      </c>
      <c r="BP19" s="19">
        <v>1536</v>
      </c>
      <c r="BQ19" s="19">
        <v>1536</v>
      </c>
      <c r="BR19" s="19">
        <v>1536</v>
      </c>
      <c r="BS19" s="19">
        <v>1536</v>
      </c>
      <c r="BT19" s="19">
        <v>1536</v>
      </c>
      <c r="BU19" s="19">
        <v>1536</v>
      </c>
      <c r="BV19" s="19">
        <v>1536</v>
      </c>
      <c r="BW19" s="19">
        <v>1536</v>
      </c>
      <c r="BX19" s="19">
        <v>1536</v>
      </c>
      <c r="BY19" s="19">
        <v>1536</v>
      </c>
      <c r="BZ19" s="19">
        <v>1536</v>
      </c>
      <c r="CA19" s="19">
        <v>1536</v>
      </c>
      <c r="CB19" s="19">
        <v>1536</v>
      </c>
      <c r="CC19" s="19">
        <v>1536</v>
      </c>
      <c r="CD19" s="19">
        <v>1536</v>
      </c>
      <c r="CE19" s="19">
        <v>1536</v>
      </c>
      <c r="CF19" s="19">
        <v>1536</v>
      </c>
      <c r="CG19" s="19">
        <v>1536</v>
      </c>
      <c r="CH19" s="19">
        <v>1536</v>
      </c>
      <c r="CI19" s="19">
        <v>1536</v>
      </c>
      <c r="CJ19" s="19">
        <v>1536</v>
      </c>
      <c r="CK19" s="19">
        <v>1536</v>
      </c>
      <c r="CL19" s="19">
        <v>1536</v>
      </c>
      <c r="CM19" s="19"/>
      <c r="CN19" s="19"/>
      <c r="CO19" s="19"/>
      <c r="CP19" s="19">
        <v>2093</v>
      </c>
      <c r="CQ19" s="19">
        <v>2093</v>
      </c>
      <c r="CR19" s="19">
        <v>2093</v>
      </c>
      <c r="CS19" s="19">
        <v>2093</v>
      </c>
      <c r="CT19" s="19">
        <v>2093</v>
      </c>
      <c r="CU19" s="19">
        <v>2093</v>
      </c>
      <c r="CV19" s="19">
        <v>2093</v>
      </c>
      <c r="CW19" s="19">
        <v>2093</v>
      </c>
      <c r="CX19" s="19">
        <v>2093</v>
      </c>
      <c r="CY19" s="19">
        <v>2093</v>
      </c>
      <c r="CZ19" s="19">
        <v>2093</v>
      </c>
      <c r="DA19" s="19">
        <v>2093</v>
      </c>
      <c r="DB19" s="19">
        <v>2093</v>
      </c>
      <c r="DC19" s="19">
        <v>2093</v>
      </c>
      <c r="DD19" s="19">
        <v>2093</v>
      </c>
      <c r="DE19" s="19">
        <v>2093</v>
      </c>
      <c r="DF19" s="19">
        <v>2093</v>
      </c>
      <c r="DG19" s="19">
        <v>2093</v>
      </c>
      <c r="DH19" s="19">
        <v>2093</v>
      </c>
      <c r="DI19" s="19">
        <v>2093</v>
      </c>
      <c r="DJ19" s="19">
        <v>2093</v>
      </c>
      <c r="DK19" s="19">
        <v>2093</v>
      </c>
      <c r="DL19" s="19"/>
      <c r="DM19" s="19">
        <v>2093</v>
      </c>
      <c r="DN19" s="19">
        <v>2093</v>
      </c>
      <c r="DO19" s="19">
        <v>2093</v>
      </c>
      <c r="DP19" s="19">
        <v>2093</v>
      </c>
      <c r="DQ19" s="19">
        <v>2093</v>
      </c>
      <c r="DR19" s="19">
        <v>2093</v>
      </c>
      <c r="DS19" s="19"/>
      <c r="DT19" s="19">
        <v>2093</v>
      </c>
      <c r="DU19" s="19">
        <v>2093</v>
      </c>
      <c r="DV19" s="19">
        <v>2093</v>
      </c>
      <c r="DW19" s="19">
        <v>2093</v>
      </c>
      <c r="DX19" s="19">
        <v>2093</v>
      </c>
      <c r="DY19" s="19">
        <v>2093</v>
      </c>
      <c r="DZ19" s="19">
        <v>2093</v>
      </c>
      <c r="EA19" s="19">
        <v>2093</v>
      </c>
      <c r="EB19" s="19">
        <v>2093</v>
      </c>
      <c r="EC19" s="19">
        <v>2093</v>
      </c>
      <c r="ED19" s="19">
        <v>2093</v>
      </c>
      <c r="EE19" s="19">
        <v>2093</v>
      </c>
      <c r="EF19" s="19">
        <v>2093</v>
      </c>
      <c r="EG19" s="19">
        <v>2093</v>
      </c>
      <c r="EH19" s="19">
        <v>2093</v>
      </c>
      <c r="EI19" s="19">
        <v>2093</v>
      </c>
      <c r="EJ19" s="19">
        <v>2093</v>
      </c>
      <c r="EK19" s="19">
        <v>2093</v>
      </c>
      <c r="EL19" s="19">
        <v>2093</v>
      </c>
      <c r="EM19" s="19">
        <v>2093</v>
      </c>
      <c r="EN19" s="19">
        <v>2093</v>
      </c>
      <c r="EO19" s="19">
        <v>2093</v>
      </c>
      <c r="EP19" s="19">
        <v>2093</v>
      </c>
      <c r="EQ19" s="19">
        <v>2093</v>
      </c>
      <c r="ER19" s="19">
        <v>2093</v>
      </c>
      <c r="ES19" s="19">
        <v>2093</v>
      </c>
      <c r="ET19" s="19">
        <v>2093</v>
      </c>
      <c r="EU19" s="19">
        <v>2093</v>
      </c>
      <c r="EV19" s="19">
        <v>2093</v>
      </c>
      <c r="EW19" s="19">
        <v>2093</v>
      </c>
      <c r="EX19" s="19">
        <v>2093</v>
      </c>
      <c r="EY19" s="19">
        <v>2093</v>
      </c>
      <c r="EZ19" s="19">
        <v>2093</v>
      </c>
      <c r="FA19" s="19">
        <v>2093</v>
      </c>
      <c r="FB19" s="19">
        <v>2093</v>
      </c>
      <c r="FC19" s="19"/>
      <c r="FD19" s="19"/>
      <c r="FE19" s="19"/>
      <c r="FF19" s="19"/>
      <c r="FG19" s="19">
        <v>2093</v>
      </c>
      <c r="FH19" s="19">
        <v>2093</v>
      </c>
      <c r="FI19" s="19">
        <v>2093</v>
      </c>
      <c r="FJ19" s="19">
        <v>2093</v>
      </c>
      <c r="FK19" s="19">
        <v>2093</v>
      </c>
      <c r="FL19" s="19">
        <v>2093</v>
      </c>
      <c r="FM19" s="19">
        <v>2093</v>
      </c>
      <c r="FN19" s="19">
        <v>2093</v>
      </c>
      <c r="FO19" s="19">
        <v>2093</v>
      </c>
      <c r="FP19" s="19">
        <v>2093</v>
      </c>
      <c r="FQ19" s="19">
        <v>2093</v>
      </c>
      <c r="FR19" s="19">
        <v>2093</v>
      </c>
      <c r="FS19" s="19">
        <v>2093</v>
      </c>
      <c r="FT19" s="19">
        <v>2093</v>
      </c>
      <c r="FU19" s="19">
        <v>2093</v>
      </c>
      <c r="FV19" s="19">
        <v>2093</v>
      </c>
      <c r="FW19" s="19">
        <v>2093</v>
      </c>
      <c r="FX19" s="19">
        <v>2093</v>
      </c>
      <c r="FY19" s="19">
        <v>2093</v>
      </c>
      <c r="FZ19" s="19">
        <v>2093</v>
      </c>
      <c r="GA19" s="19">
        <v>2093</v>
      </c>
      <c r="GB19" s="19">
        <v>1417</v>
      </c>
      <c r="GC19" s="19">
        <v>1417</v>
      </c>
      <c r="GD19" s="19">
        <v>1417</v>
      </c>
      <c r="GE19" s="19">
        <v>1417</v>
      </c>
      <c r="GF19" s="19">
        <v>1417</v>
      </c>
      <c r="GG19" s="19">
        <v>1417</v>
      </c>
      <c r="GH19" s="19">
        <v>1417</v>
      </c>
      <c r="GI19" s="19">
        <v>1417</v>
      </c>
      <c r="GJ19" s="19">
        <v>1417</v>
      </c>
      <c r="GK19" s="19">
        <v>1417</v>
      </c>
      <c r="GL19" s="19">
        <v>1417</v>
      </c>
      <c r="GM19" s="19">
        <v>1417</v>
      </c>
      <c r="GN19" s="19">
        <v>1417</v>
      </c>
      <c r="GO19" s="19">
        <v>1417</v>
      </c>
      <c r="GP19" s="19"/>
      <c r="GQ19" s="19">
        <v>1417</v>
      </c>
      <c r="GR19" s="19">
        <v>1417</v>
      </c>
      <c r="GS19" s="19">
        <v>1417</v>
      </c>
      <c r="GT19" s="19">
        <v>1417</v>
      </c>
      <c r="GU19" s="19">
        <v>1417</v>
      </c>
      <c r="GV19" s="19">
        <v>1417</v>
      </c>
      <c r="GW19" s="19">
        <v>1417</v>
      </c>
      <c r="GX19" s="19">
        <v>1417</v>
      </c>
      <c r="GY19" s="19">
        <v>1417</v>
      </c>
      <c r="GZ19" s="19">
        <v>1417</v>
      </c>
      <c r="HA19" s="19">
        <v>1417</v>
      </c>
      <c r="HB19" s="19">
        <v>1417</v>
      </c>
      <c r="HC19" s="19">
        <v>1417</v>
      </c>
      <c r="HD19" s="19">
        <v>1417</v>
      </c>
      <c r="HE19" s="19">
        <v>1417</v>
      </c>
      <c r="HF19" s="19">
        <v>1417</v>
      </c>
      <c r="HG19" s="19">
        <v>1417</v>
      </c>
      <c r="HH19" s="19">
        <v>1417</v>
      </c>
      <c r="HI19" s="19">
        <v>1417</v>
      </c>
      <c r="HJ19" s="19">
        <v>1417</v>
      </c>
      <c r="HK19" s="19">
        <v>1417</v>
      </c>
      <c r="HL19" s="19">
        <v>1417</v>
      </c>
      <c r="HM19" s="19">
        <v>1417</v>
      </c>
      <c r="HN19" s="19">
        <v>1417</v>
      </c>
      <c r="HO19" s="19">
        <v>1417</v>
      </c>
      <c r="HP19" s="19">
        <v>1417</v>
      </c>
      <c r="HQ19" s="19">
        <v>1417</v>
      </c>
      <c r="HR19" s="19">
        <v>1417</v>
      </c>
      <c r="HS19" s="19">
        <v>1417</v>
      </c>
      <c r="HT19" s="19">
        <v>1417</v>
      </c>
      <c r="HU19" s="19">
        <v>1417</v>
      </c>
      <c r="HV19" s="19">
        <v>1417</v>
      </c>
      <c r="HW19" s="19">
        <v>1417</v>
      </c>
      <c r="HX19" s="19">
        <v>1417</v>
      </c>
      <c r="HY19" s="19">
        <v>1417</v>
      </c>
      <c r="HZ19" s="19">
        <v>1417</v>
      </c>
      <c r="IA19" s="19">
        <v>1417</v>
      </c>
      <c r="IB19" s="19">
        <v>1417</v>
      </c>
      <c r="IC19" s="19">
        <v>1417</v>
      </c>
      <c r="ID19" s="19">
        <v>1417</v>
      </c>
      <c r="IE19" s="19">
        <v>1417</v>
      </c>
      <c r="IF19" s="19">
        <v>1417</v>
      </c>
      <c r="IG19" s="19">
        <v>1417</v>
      </c>
      <c r="IH19" s="19">
        <v>1417</v>
      </c>
      <c r="II19" s="19">
        <v>1417</v>
      </c>
      <c r="IJ19" s="19">
        <v>1417</v>
      </c>
      <c r="IK19" s="19">
        <v>1417</v>
      </c>
      <c r="IL19" s="19">
        <v>1417</v>
      </c>
      <c r="IM19" s="19">
        <v>1417</v>
      </c>
      <c r="IN19" s="19">
        <v>1417</v>
      </c>
      <c r="IO19" s="19">
        <v>1417</v>
      </c>
      <c r="IP19" s="19">
        <v>1417</v>
      </c>
      <c r="IQ19" s="19">
        <v>1417</v>
      </c>
      <c r="IR19" s="19">
        <v>1417</v>
      </c>
      <c r="IS19" s="19">
        <v>1417</v>
      </c>
      <c r="IT19" s="19">
        <v>1417</v>
      </c>
      <c r="IU19" s="19">
        <v>1417</v>
      </c>
      <c r="IV19" s="19">
        <v>1417</v>
      </c>
      <c r="IW19" s="19">
        <v>1417</v>
      </c>
      <c r="IX19" s="19">
        <v>1417</v>
      </c>
      <c r="IY19" s="19">
        <v>1417</v>
      </c>
      <c r="IZ19" s="19">
        <v>1417</v>
      </c>
      <c r="JA19" s="19">
        <v>1417</v>
      </c>
      <c r="JB19" s="19">
        <v>1417</v>
      </c>
      <c r="JC19" s="19">
        <v>1417</v>
      </c>
      <c r="JD19" s="19">
        <v>1417</v>
      </c>
      <c r="JE19" s="19">
        <v>1417</v>
      </c>
      <c r="JF19" s="19"/>
      <c r="JG19" s="19">
        <v>1417</v>
      </c>
      <c r="JH19" s="19">
        <v>1417</v>
      </c>
      <c r="JI19" s="19">
        <v>1417</v>
      </c>
      <c r="JJ19" s="19">
        <v>1417</v>
      </c>
      <c r="JK19" s="19">
        <v>1417</v>
      </c>
      <c r="JL19" s="19">
        <v>1417</v>
      </c>
      <c r="JM19" s="19">
        <v>1417</v>
      </c>
      <c r="JN19" s="19">
        <v>1417</v>
      </c>
      <c r="JO19" s="19">
        <v>1417</v>
      </c>
      <c r="JP19" s="19">
        <v>1680</v>
      </c>
      <c r="JQ19" s="19">
        <v>1680</v>
      </c>
      <c r="JR19" s="19">
        <v>1680</v>
      </c>
      <c r="JS19" s="19">
        <v>1680</v>
      </c>
      <c r="JT19" s="19">
        <v>1680</v>
      </c>
      <c r="JU19" s="19">
        <v>1680</v>
      </c>
      <c r="JV19" s="19">
        <v>1680</v>
      </c>
      <c r="JW19" s="19">
        <v>1680</v>
      </c>
      <c r="JX19" s="19">
        <v>1680</v>
      </c>
      <c r="JY19" s="19">
        <v>1680</v>
      </c>
      <c r="JZ19" s="19">
        <v>1680</v>
      </c>
      <c r="KA19" s="19">
        <v>1680</v>
      </c>
      <c r="KB19" s="19">
        <v>1680</v>
      </c>
      <c r="KC19" s="19">
        <v>1680</v>
      </c>
      <c r="KD19" s="19">
        <v>1680</v>
      </c>
      <c r="KE19" s="19">
        <v>1680</v>
      </c>
      <c r="KF19" s="19">
        <v>1680</v>
      </c>
      <c r="KG19" s="19">
        <v>1680</v>
      </c>
      <c r="KH19" s="19">
        <v>1680</v>
      </c>
      <c r="KI19" s="19">
        <v>1680</v>
      </c>
      <c r="KJ19" s="19">
        <v>1680</v>
      </c>
      <c r="KK19" s="19">
        <v>1680</v>
      </c>
      <c r="KL19" s="19">
        <v>1680</v>
      </c>
      <c r="KM19" s="19">
        <v>1680</v>
      </c>
      <c r="KN19" s="19">
        <v>1680</v>
      </c>
      <c r="KO19" s="19">
        <v>1680</v>
      </c>
      <c r="KP19" s="19">
        <v>1680</v>
      </c>
      <c r="KQ19" s="19">
        <v>1680</v>
      </c>
      <c r="KR19" s="19">
        <v>1680</v>
      </c>
      <c r="KS19" s="19">
        <v>1680</v>
      </c>
      <c r="KT19" s="19">
        <v>1680</v>
      </c>
      <c r="KU19" s="19">
        <v>1680</v>
      </c>
      <c r="KV19" s="19">
        <v>1680</v>
      </c>
      <c r="KW19" s="19">
        <v>1680</v>
      </c>
      <c r="KX19" s="19">
        <v>1680</v>
      </c>
      <c r="KY19" s="19">
        <v>1680</v>
      </c>
      <c r="KZ19" s="19">
        <v>1680</v>
      </c>
      <c r="LA19" s="19">
        <v>1680</v>
      </c>
      <c r="LB19" s="19">
        <v>1680</v>
      </c>
      <c r="LC19" s="19">
        <v>1680</v>
      </c>
      <c r="LD19" s="19">
        <v>1680</v>
      </c>
      <c r="LE19" s="19">
        <v>1680</v>
      </c>
      <c r="LF19" s="19">
        <v>1680</v>
      </c>
      <c r="LG19" s="19">
        <v>1680</v>
      </c>
      <c r="LH19" s="19">
        <v>1680</v>
      </c>
      <c r="LI19" s="19">
        <v>1680</v>
      </c>
      <c r="LJ19" s="19">
        <v>1680</v>
      </c>
      <c r="LK19" s="19">
        <v>1680</v>
      </c>
      <c r="LL19" s="19">
        <v>1680</v>
      </c>
      <c r="LM19" s="19">
        <v>1680</v>
      </c>
      <c r="LN19" s="19">
        <v>1680</v>
      </c>
      <c r="LO19" s="19">
        <v>1680</v>
      </c>
      <c r="LP19" s="19">
        <v>1680</v>
      </c>
      <c r="LQ19" s="19">
        <v>1680</v>
      </c>
      <c r="LR19" s="19">
        <v>1680</v>
      </c>
      <c r="LS19" s="19">
        <v>1680</v>
      </c>
      <c r="LT19" s="19">
        <v>1680</v>
      </c>
      <c r="LU19" s="19">
        <v>1680</v>
      </c>
      <c r="LV19" s="19">
        <v>1680</v>
      </c>
      <c r="LW19" s="19">
        <v>1680</v>
      </c>
      <c r="LX19" s="19">
        <v>1680</v>
      </c>
      <c r="LY19" s="19">
        <v>1680</v>
      </c>
      <c r="LZ19" s="19">
        <v>1680</v>
      </c>
      <c r="MA19" s="19">
        <v>1680</v>
      </c>
      <c r="MB19" s="19">
        <v>1680</v>
      </c>
      <c r="MC19" s="19">
        <v>1680</v>
      </c>
      <c r="MD19" s="19">
        <v>1680</v>
      </c>
      <c r="ME19" s="19">
        <v>1680</v>
      </c>
      <c r="MF19" s="19">
        <v>1680</v>
      </c>
      <c r="MG19" s="19">
        <v>1680</v>
      </c>
      <c r="MH19" s="19">
        <v>1680</v>
      </c>
      <c r="MI19" s="19">
        <v>1680</v>
      </c>
      <c r="MJ19" s="19">
        <v>1680</v>
      </c>
      <c r="MK19" s="19">
        <v>1680</v>
      </c>
      <c r="ML19" s="19">
        <v>1680</v>
      </c>
      <c r="MM19" s="19">
        <v>1680</v>
      </c>
      <c r="MN19" s="19">
        <v>1680</v>
      </c>
      <c r="MO19" s="19">
        <v>1680</v>
      </c>
      <c r="MP19" s="19">
        <v>1680</v>
      </c>
      <c r="MQ19" s="19">
        <v>1680</v>
      </c>
      <c r="MR19" s="19">
        <v>1680</v>
      </c>
      <c r="MS19" s="19">
        <v>1680</v>
      </c>
      <c r="MT19" s="19">
        <v>1680</v>
      </c>
      <c r="MU19" s="19">
        <v>1680</v>
      </c>
      <c r="MV19" s="19">
        <v>1680</v>
      </c>
      <c r="MW19" s="19">
        <v>1680</v>
      </c>
      <c r="MX19" s="19">
        <v>1680</v>
      </c>
      <c r="MY19" s="19">
        <v>1680</v>
      </c>
      <c r="MZ19" s="19">
        <v>1680</v>
      </c>
      <c r="NA19" s="19">
        <v>1680</v>
      </c>
      <c r="NB19" s="19">
        <v>1680</v>
      </c>
      <c r="NC19" s="19">
        <v>1680</v>
      </c>
    </row>
    <row r="20" spans="1:367" hidden="1">
      <c r="GO20" s="20"/>
      <c r="GP20" s="20"/>
      <c r="GQ20" s="20"/>
      <c r="GR20" s="20"/>
      <c r="GS20" s="20"/>
      <c r="GT20" s="20"/>
      <c r="GU20" s="20"/>
      <c r="GV20" s="20"/>
    </row>
    <row r="21" spans="1:367" hidden="1">
      <c r="A21" s="13">
        <f>SUM(807,O21:NC21)</f>
        <v>17085.416666666664</v>
      </c>
      <c r="B21" s="14" t="s">
        <v>0</v>
      </c>
      <c r="C21" s="7"/>
      <c r="D21" s="2">
        <v>96.583333333333329</v>
      </c>
      <c r="E21" s="2">
        <v>97.5</v>
      </c>
      <c r="F21" s="2">
        <v>52.5</v>
      </c>
      <c r="G21" s="2">
        <v>36.75</v>
      </c>
      <c r="H21" s="2">
        <v>82.5</v>
      </c>
      <c r="I21" s="2">
        <v>82.5</v>
      </c>
      <c r="J21" s="2">
        <v>82.5</v>
      </c>
      <c r="K21" s="2">
        <v>88.583333333333343</v>
      </c>
      <c r="L21" s="2">
        <v>90</v>
      </c>
      <c r="M21" s="2">
        <v>60</v>
      </c>
      <c r="N21" s="2">
        <v>37.5</v>
      </c>
      <c r="O21" s="7">
        <v>97.5</v>
      </c>
      <c r="P21" s="7">
        <v>95.583333333333329</v>
      </c>
      <c r="Q21" s="7">
        <v>97.5</v>
      </c>
      <c r="R21" s="7">
        <v>97</v>
      </c>
      <c r="S21" s="7">
        <v>97.5</v>
      </c>
      <c r="T21" s="7">
        <v>60</v>
      </c>
      <c r="U21" s="7">
        <v>30</v>
      </c>
      <c r="V21" s="7">
        <v>90</v>
      </c>
      <c r="W21" s="7">
        <v>94.583333333333329</v>
      </c>
      <c r="X21" s="7">
        <v>92.166666666666657</v>
      </c>
      <c r="Y21" s="7">
        <v>97.5</v>
      </c>
      <c r="Z21" s="7">
        <v>90</v>
      </c>
      <c r="AA21" s="7">
        <v>60</v>
      </c>
      <c r="AB21" s="7">
        <v>31.5</v>
      </c>
      <c r="AC21" s="7">
        <v>88.583333333333343</v>
      </c>
      <c r="AD21" s="7">
        <v>90</v>
      </c>
      <c r="AE21" s="7">
        <v>97.5</v>
      </c>
      <c r="AF21" s="7">
        <v>97.5</v>
      </c>
      <c r="AG21" s="7">
        <v>89.416666666666671</v>
      </c>
      <c r="AH21" s="7">
        <v>57.5</v>
      </c>
      <c r="AI21" s="7">
        <v>37.5</v>
      </c>
      <c r="AJ21" s="7">
        <v>94</v>
      </c>
      <c r="AK21" s="7">
        <v>83.666666666666671</v>
      </c>
      <c r="AL21" s="7">
        <v>94.333333333333329</v>
      </c>
      <c r="AM21" s="7">
        <v>97.5</v>
      </c>
      <c r="AN21" s="7">
        <v>97.5</v>
      </c>
      <c r="AO21" s="7">
        <v>52.5</v>
      </c>
      <c r="AP21" s="7">
        <v>37.5</v>
      </c>
      <c r="AQ21" s="7">
        <v>95.750000000000014</v>
      </c>
      <c r="AR21" s="7">
        <v>92.166666666666657</v>
      </c>
      <c r="AS21" s="7">
        <v>97.5</v>
      </c>
      <c r="AT21" s="7">
        <v>97.5</v>
      </c>
      <c r="AU21" s="7">
        <v>97.5</v>
      </c>
      <c r="AV21" s="7">
        <v>46.666666666666671</v>
      </c>
      <c r="AW21" s="7">
        <v>37.583333333333329</v>
      </c>
      <c r="AX21" s="7">
        <v>97.166666666666657</v>
      </c>
      <c r="AY21" s="7">
        <v>92.833333333333329</v>
      </c>
      <c r="AZ21" s="7">
        <v>90</v>
      </c>
      <c r="BA21" s="7">
        <v>81.333333333333329</v>
      </c>
      <c r="BB21" s="7">
        <v>82.5</v>
      </c>
      <c r="BC21" s="7">
        <v>15</v>
      </c>
      <c r="BD21" s="7">
        <v>27.500000000000004</v>
      </c>
      <c r="BE21" s="7">
        <v>80.5</v>
      </c>
      <c r="BF21" s="7">
        <v>80.083333333333329</v>
      </c>
      <c r="BG21" s="7">
        <v>97.5</v>
      </c>
      <c r="BH21" s="7">
        <v>97.5</v>
      </c>
      <c r="BI21" s="7">
        <v>97.5</v>
      </c>
      <c r="BJ21" s="7">
        <v>47</v>
      </c>
      <c r="BK21" s="7">
        <v>22.5</v>
      </c>
      <c r="BL21" s="6">
        <v>90</v>
      </c>
      <c r="BM21" s="6">
        <v>97.5</v>
      </c>
      <c r="BN21" s="6">
        <v>68.666666666666657</v>
      </c>
      <c r="BO21" s="6">
        <v>82.5</v>
      </c>
      <c r="BP21" s="6">
        <v>90</v>
      </c>
      <c r="BQ21" s="6">
        <v>52.5</v>
      </c>
      <c r="BR21" s="6">
        <v>37.5</v>
      </c>
      <c r="BS21" s="6">
        <v>97.5</v>
      </c>
      <c r="BT21" s="6">
        <v>86.833333333333343</v>
      </c>
      <c r="BU21" s="6">
        <v>88.75</v>
      </c>
      <c r="BV21" s="6">
        <v>90</v>
      </c>
      <c r="BW21" s="6">
        <v>89.25</v>
      </c>
      <c r="BX21" s="6">
        <v>52.5</v>
      </c>
      <c r="BY21" s="6">
        <v>34.916666666666671</v>
      </c>
      <c r="BZ21" s="6">
        <v>97.5</v>
      </c>
      <c r="CA21" s="6">
        <v>97.5</v>
      </c>
      <c r="CB21" s="6">
        <v>97.5</v>
      </c>
      <c r="CC21" s="6">
        <v>97.5</v>
      </c>
      <c r="CD21" s="6">
        <v>81.166666666666671</v>
      </c>
      <c r="CE21" s="6">
        <v>82.5</v>
      </c>
      <c r="CF21" s="6">
        <v>82.5</v>
      </c>
      <c r="CG21" s="6">
        <v>82.5</v>
      </c>
      <c r="CH21" s="6">
        <v>82.5</v>
      </c>
      <c r="CI21" s="6">
        <v>82.5</v>
      </c>
      <c r="CJ21" s="6">
        <v>82.5</v>
      </c>
      <c r="CK21" s="6">
        <v>82.5</v>
      </c>
      <c r="CL21" s="6">
        <v>23</v>
      </c>
      <c r="CP21" s="6">
        <v>79.5</v>
      </c>
      <c r="CQ21" s="6">
        <v>71.916666666666657</v>
      </c>
      <c r="CR21" s="6">
        <v>82.25</v>
      </c>
      <c r="CS21" s="6">
        <v>27</v>
      </c>
      <c r="CT21" s="6">
        <v>52</v>
      </c>
      <c r="CU21" s="6">
        <v>90</v>
      </c>
      <c r="CV21" s="6">
        <v>79.583333333333329</v>
      </c>
      <c r="CW21" s="6">
        <v>80</v>
      </c>
      <c r="CX21" s="6">
        <v>87.416666666666671</v>
      </c>
      <c r="CY21" s="6">
        <v>94.916666666666671</v>
      </c>
      <c r="CZ21" s="6">
        <v>37.5</v>
      </c>
      <c r="DA21" s="6">
        <v>47.750000000000007</v>
      </c>
      <c r="DB21" s="6">
        <v>96.916666666666671</v>
      </c>
      <c r="DC21" s="6">
        <v>97.5</v>
      </c>
      <c r="DD21" s="6">
        <v>97.5</v>
      </c>
      <c r="DE21" s="6">
        <v>84.333333333333329</v>
      </c>
      <c r="DF21" s="6">
        <v>82.5</v>
      </c>
      <c r="DG21" s="6">
        <v>37.5</v>
      </c>
      <c r="DH21" s="6">
        <v>47.75</v>
      </c>
      <c r="DI21" s="20">
        <v>84.333333333333343</v>
      </c>
      <c r="DJ21" s="20">
        <v>90</v>
      </c>
      <c r="DK21" s="8">
        <v>21</v>
      </c>
      <c r="DL21" s="20"/>
      <c r="DM21" s="20">
        <v>82.5</v>
      </c>
      <c r="DN21" s="20">
        <v>82.5</v>
      </c>
      <c r="DO21" s="20">
        <v>58.75</v>
      </c>
      <c r="DP21" s="7">
        <v>94.833333333333329</v>
      </c>
      <c r="DQ21" s="7">
        <v>97.5</v>
      </c>
      <c r="DR21" s="7">
        <v>94.166666666666671</v>
      </c>
      <c r="DS21" s="7"/>
      <c r="DT21" s="7">
        <v>79.916666666666671</v>
      </c>
      <c r="DU21" s="7">
        <v>34.5</v>
      </c>
      <c r="DV21" s="7">
        <v>45</v>
      </c>
      <c r="DW21" s="7">
        <v>97.5</v>
      </c>
      <c r="DX21" s="7">
        <v>97.5</v>
      </c>
      <c r="DY21" s="7">
        <v>97.5</v>
      </c>
      <c r="DZ21" s="7">
        <v>97.5</v>
      </c>
      <c r="EA21" s="7">
        <v>90</v>
      </c>
      <c r="EB21" s="7">
        <v>37.75</v>
      </c>
      <c r="EC21" s="7">
        <v>57</v>
      </c>
      <c r="ED21" s="6">
        <v>106.66666666666667</v>
      </c>
      <c r="EE21" s="6">
        <v>102.91666666666666</v>
      </c>
      <c r="EF21" s="6">
        <v>90</v>
      </c>
      <c r="EG21" s="6">
        <v>90</v>
      </c>
      <c r="EH21" s="6">
        <v>97.5</v>
      </c>
      <c r="EI21" s="6">
        <v>37.5</v>
      </c>
      <c r="EJ21" s="6">
        <v>60</v>
      </c>
      <c r="EK21" s="6">
        <v>89.75</v>
      </c>
      <c r="EL21" s="6">
        <v>97.5</v>
      </c>
      <c r="EM21" s="6">
        <v>97.5</v>
      </c>
      <c r="EN21" s="6">
        <v>90</v>
      </c>
      <c r="EO21" s="6">
        <v>92.75</v>
      </c>
      <c r="EP21" s="6">
        <v>37.25</v>
      </c>
      <c r="EQ21" s="6">
        <v>57</v>
      </c>
      <c r="ER21" s="7">
        <v>97.5</v>
      </c>
      <c r="ES21" s="7">
        <v>97.083333333333343</v>
      </c>
      <c r="ET21" s="7">
        <v>91.583333333333329</v>
      </c>
      <c r="EU21" s="7">
        <v>97.5</v>
      </c>
      <c r="EV21" s="7">
        <v>97.5</v>
      </c>
      <c r="EW21" s="7">
        <v>97.5</v>
      </c>
      <c r="EX21" s="7">
        <v>97.5</v>
      </c>
      <c r="EY21" s="6">
        <v>97.5</v>
      </c>
      <c r="EZ21" s="6">
        <v>97.5</v>
      </c>
      <c r="FA21" s="6">
        <v>97.5</v>
      </c>
      <c r="FB21" s="6">
        <v>47.666666666666664</v>
      </c>
      <c r="FG21" s="6">
        <v>75</v>
      </c>
      <c r="FH21" s="6">
        <v>75</v>
      </c>
      <c r="FI21" s="6">
        <v>85.5</v>
      </c>
      <c r="FJ21" s="6">
        <v>78</v>
      </c>
      <c r="FK21" s="6">
        <v>65.25</v>
      </c>
      <c r="FL21" s="6">
        <v>64.666666666666671</v>
      </c>
      <c r="FM21" s="6">
        <v>74.5</v>
      </c>
      <c r="FN21" s="6">
        <v>82.5</v>
      </c>
      <c r="FO21" s="6">
        <v>82.5</v>
      </c>
      <c r="FP21" s="6">
        <v>81</v>
      </c>
      <c r="FQ21" s="6">
        <v>90</v>
      </c>
      <c r="FR21" s="6">
        <v>57</v>
      </c>
      <c r="FS21" s="6">
        <v>37.5</v>
      </c>
      <c r="FT21" s="6">
        <v>82.166666666666657</v>
      </c>
      <c r="FU21" s="6">
        <v>79.416666666666671</v>
      </c>
      <c r="FV21" s="6">
        <v>79.083333333333343</v>
      </c>
      <c r="FW21" s="6">
        <v>75</v>
      </c>
      <c r="FX21" s="6">
        <v>73.916666666666671</v>
      </c>
      <c r="FY21" s="6">
        <v>36.083333333333329</v>
      </c>
      <c r="FZ21" s="6">
        <v>37.5</v>
      </c>
      <c r="GA21" s="6">
        <v>82.083333333333343</v>
      </c>
      <c r="GB21" s="6">
        <v>82</v>
      </c>
      <c r="GC21" s="6">
        <v>82.5</v>
      </c>
      <c r="GD21" s="6">
        <v>82.5</v>
      </c>
      <c r="GE21" s="6">
        <v>76</v>
      </c>
      <c r="GF21" s="6">
        <v>45</v>
      </c>
      <c r="GG21" s="6">
        <v>26.333333333333336</v>
      </c>
      <c r="GH21" s="20">
        <v>83.583333333333343</v>
      </c>
      <c r="GI21" s="20">
        <v>90</v>
      </c>
      <c r="GJ21" s="20">
        <v>90</v>
      </c>
      <c r="GK21" s="20">
        <v>87</v>
      </c>
      <c r="GL21" s="20">
        <v>90</v>
      </c>
      <c r="GM21" s="20">
        <v>52</v>
      </c>
      <c r="GN21" s="20">
        <v>30</v>
      </c>
      <c r="GO21" s="20">
        <v>79.333333333333329</v>
      </c>
      <c r="GP21" s="20"/>
      <c r="GQ21" s="20">
        <v>82.5</v>
      </c>
      <c r="GR21" s="20">
        <v>82.5</v>
      </c>
      <c r="GS21" s="20">
        <v>82.5</v>
      </c>
      <c r="GT21" s="20">
        <v>81.916666666666671</v>
      </c>
      <c r="GU21" s="20">
        <v>69.583333333333329</v>
      </c>
      <c r="GV21" s="20">
        <v>87</v>
      </c>
      <c r="GW21" s="20">
        <v>75</v>
      </c>
      <c r="GX21" s="20">
        <v>82.5</v>
      </c>
      <c r="GY21" s="20">
        <v>97.5</v>
      </c>
      <c r="GZ21" s="20">
        <v>88.583333333333314</v>
      </c>
      <c r="HA21" s="20">
        <v>34.916666666666671</v>
      </c>
      <c r="HB21" s="20">
        <v>50.083333333333336</v>
      </c>
      <c r="HC21" s="20">
        <v>76.333333333333329</v>
      </c>
      <c r="HD21" s="20">
        <v>88.666666666666671</v>
      </c>
      <c r="HE21" s="20">
        <v>72.5</v>
      </c>
      <c r="HF21" s="20">
        <v>71.5</v>
      </c>
      <c r="HG21" s="20">
        <v>90</v>
      </c>
      <c r="HH21" s="20">
        <v>37.5</v>
      </c>
      <c r="HI21" s="20">
        <v>52.5</v>
      </c>
      <c r="HJ21" s="20">
        <v>87</v>
      </c>
      <c r="HK21" s="20">
        <v>90</v>
      </c>
      <c r="HL21" s="20">
        <v>79.416666666666671</v>
      </c>
      <c r="HM21" s="20">
        <v>90</v>
      </c>
      <c r="HN21" s="20">
        <v>82.5</v>
      </c>
      <c r="HO21" s="20">
        <v>37.166666666666664</v>
      </c>
      <c r="HP21" s="20">
        <v>42.166666666666664</v>
      </c>
      <c r="HQ21" s="20">
        <v>90</v>
      </c>
      <c r="HR21" s="20">
        <v>85.25</v>
      </c>
      <c r="HS21" s="20">
        <v>90</v>
      </c>
      <c r="HT21" s="20">
        <v>87.083333333333329</v>
      </c>
      <c r="HU21" s="20">
        <v>71.833333333333329</v>
      </c>
      <c r="HV21" s="20">
        <v>30</v>
      </c>
      <c r="HW21" s="20">
        <v>22.5</v>
      </c>
      <c r="HX21" s="20">
        <v>67.166666666666657</v>
      </c>
      <c r="HY21" s="20">
        <v>56.75</v>
      </c>
      <c r="HZ21" s="20">
        <v>67.5</v>
      </c>
      <c r="IA21" s="20">
        <v>70.5</v>
      </c>
      <c r="IB21" s="20">
        <v>74.5</v>
      </c>
      <c r="IC21" s="20">
        <v>75</v>
      </c>
      <c r="ID21" s="20">
        <v>62.833333333333329</v>
      </c>
    </row>
    <row r="22" spans="1:367" hidden="1">
      <c r="A22" s="15">
        <f>SUM(541194,O22:NC22)</f>
        <v>43827569</v>
      </c>
      <c r="B22" s="16" t="s">
        <v>1</v>
      </c>
      <c r="C22" s="7"/>
      <c r="D22" s="2">
        <v>158426</v>
      </c>
      <c r="E22" s="2">
        <v>175841</v>
      </c>
      <c r="F22" s="2">
        <v>93480</v>
      </c>
      <c r="G22" s="2">
        <v>3936</v>
      </c>
      <c r="H22" s="2">
        <v>53308</v>
      </c>
      <c r="I22" s="2">
        <v>130818</v>
      </c>
      <c r="J22" s="2">
        <v>94074</v>
      </c>
      <c r="K22" s="2">
        <v>74363</v>
      </c>
      <c r="L22" s="2">
        <v>97709</v>
      </c>
      <c r="M22" s="2">
        <v>52639</v>
      </c>
      <c r="N22" s="2">
        <v>577</v>
      </c>
      <c r="O22" s="7">
        <v>97477</v>
      </c>
      <c r="P22" s="7">
        <v>88460</v>
      </c>
      <c r="Q22" s="7">
        <v>118928</v>
      </c>
      <c r="R22" s="7">
        <v>141401</v>
      </c>
      <c r="S22" s="7">
        <v>127127</v>
      </c>
      <c r="T22" s="7">
        <v>94138</v>
      </c>
      <c r="U22" s="7">
        <v>5538</v>
      </c>
      <c r="V22" s="7">
        <v>118647</v>
      </c>
      <c r="W22" s="7">
        <v>145050</v>
      </c>
      <c r="X22" s="7">
        <v>123271</v>
      </c>
      <c r="Y22" s="7">
        <v>104967</v>
      </c>
      <c r="Z22" s="7">
        <v>107437</v>
      </c>
      <c r="AA22" s="7">
        <v>49627</v>
      </c>
      <c r="AB22" s="7">
        <v>2167</v>
      </c>
      <c r="AC22" s="7">
        <v>85645</v>
      </c>
      <c r="AD22" s="7">
        <v>82761</v>
      </c>
      <c r="AE22" s="7">
        <v>63255</v>
      </c>
      <c r="AF22" s="7">
        <v>73136</v>
      </c>
      <c r="AG22" s="7">
        <v>60539</v>
      </c>
      <c r="AH22" s="7">
        <v>33737</v>
      </c>
      <c r="AI22" s="7">
        <v>1537</v>
      </c>
      <c r="AJ22" s="7">
        <v>84351</v>
      </c>
      <c r="AK22" s="7">
        <v>129790</v>
      </c>
      <c r="AL22" s="7">
        <v>84976</v>
      </c>
      <c r="AM22" s="7">
        <v>120148</v>
      </c>
      <c r="AN22" s="7">
        <v>108424</v>
      </c>
      <c r="AO22" s="7">
        <v>61952</v>
      </c>
      <c r="AP22" s="7">
        <v>14241</v>
      </c>
      <c r="AQ22" s="7">
        <v>134643</v>
      </c>
      <c r="AR22" s="7">
        <v>170658</v>
      </c>
      <c r="AS22" s="7">
        <v>173583</v>
      </c>
      <c r="AT22" s="7">
        <v>178131</v>
      </c>
      <c r="AU22" s="7">
        <v>166389</v>
      </c>
      <c r="AV22" s="7">
        <v>81821</v>
      </c>
      <c r="AW22" s="7">
        <v>7748</v>
      </c>
      <c r="AX22" s="7">
        <v>116846</v>
      </c>
      <c r="AY22" s="7">
        <v>145406</v>
      </c>
      <c r="AZ22" s="7">
        <v>108228</v>
      </c>
      <c r="BA22" s="7">
        <v>146128</v>
      </c>
      <c r="BB22" s="7">
        <v>132771</v>
      </c>
      <c r="BC22" s="7">
        <v>82318</v>
      </c>
      <c r="BD22" s="7">
        <v>9916</v>
      </c>
      <c r="BE22" s="7">
        <v>85801</v>
      </c>
      <c r="BF22" s="7">
        <v>101399</v>
      </c>
      <c r="BG22" s="7">
        <v>116157</v>
      </c>
      <c r="BH22" s="7">
        <v>103320</v>
      </c>
      <c r="BI22" s="7">
        <v>120061</v>
      </c>
      <c r="BJ22" s="7">
        <v>102496</v>
      </c>
      <c r="BK22" s="7">
        <v>7583</v>
      </c>
      <c r="BL22" s="7">
        <v>150978</v>
      </c>
      <c r="BM22" s="7">
        <v>266218</v>
      </c>
      <c r="BN22" s="7">
        <v>173127</v>
      </c>
      <c r="BO22" s="7">
        <v>205775</v>
      </c>
      <c r="BP22" s="7">
        <v>202794</v>
      </c>
      <c r="BQ22" s="7">
        <v>179083</v>
      </c>
      <c r="BR22" s="7">
        <v>7123</v>
      </c>
      <c r="BS22" s="7">
        <v>160385</v>
      </c>
      <c r="BT22" s="7">
        <v>203143</v>
      </c>
      <c r="BU22" s="7">
        <v>183006</v>
      </c>
      <c r="BV22" s="7">
        <v>219030</v>
      </c>
      <c r="BW22" s="7">
        <v>211888</v>
      </c>
      <c r="BX22" s="7">
        <v>183934</v>
      </c>
      <c r="BY22" s="7">
        <v>361</v>
      </c>
      <c r="BZ22" s="7">
        <v>162286</v>
      </c>
      <c r="CA22" s="7">
        <v>180359</v>
      </c>
      <c r="CB22" s="7">
        <v>311117</v>
      </c>
      <c r="CC22" s="7">
        <v>266055</v>
      </c>
      <c r="CD22" s="7">
        <v>203502</v>
      </c>
      <c r="CE22" s="7">
        <v>196949</v>
      </c>
      <c r="CF22" s="7">
        <v>17489</v>
      </c>
      <c r="CG22" s="7">
        <v>161193</v>
      </c>
      <c r="CH22" s="7">
        <v>212649</v>
      </c>
      <c r="CI22" s="7">
        <v>212910</v>
      </c>
      <c r="CJ22" s="7">
        <v>134461</v>
      </c>
      <c r="CK22" s="7">
        <v>158767</v>
      </c>
      <c r="CL22" s="7">
        <v>23088</v>
      </c>
      <c r="CM22" s="7"/>
      <c r="CN22" s="7"/>
      <c r="CO22" s="7"/>
      <c r="CP22" s="7">
        <v>41711</v>
      </c>
      <c r="CQ22" s="7">
        <v>81044</v>
      </c>
      <c r="CR22" s="7">
        <v>32380</v>
      </c>
      <c r="CS22" s="7">
        <v>17977</v>
      </c>
      <c r="CT22" s="7">
        <v>167</v>
      </c>
      <c r="CU22" s="7">
        <v>55144</v>
      </c>
      <c r="CV22" s="7">
        <v>86291</v>
      </c>
      <c r="CW22" s="7">
        <v>126063</v>
      </c>
      <c r="CX22" s="7">
        <v>83513</v>
      </c>
      <c r="CY22" s="7">
        <v>125667</v>
      </c>
      <c r="CZ22" s="7">
        <v>152490</v>
      </c>
      <c r="DA22" s="7">
        <v>6435</v>
      </c>
      <c r="DB22" s="7">
        <v>81105</v>
      </c>
      <c r="DC22" s="7">
        <v>107621</v>
      </c>
      <c r="DD22" s="7">
        <v>50401</v>
      </c>
      <c r="DE22" s="7">
        <v>136164</v>
      </c>
      <c r="DF22" s="7">
        <v>105305</v>
      </c>
      <c r="DG22" s="7">
        <v>86071</v>
      </c>
      <c r="DH22" s="7">
        <v>321</v>
      </c>
      <c r="DI22" s="7">
        <v>142820</v>
      </c>
      <c r="DJ22" s="7">
        <v>139751</v>
      </c>
      <c r="DK22" s="7">
        <v>243</v>
      </c>
      <c r="DL22" s="7"/>
      <c r="DM22" s="7">
        <v>110425</v>
      </c>
      <c r="DN22" s="7">
        <v>145847</v>
      </c>
      <c r="DO22" s="7">
        <v>9588</v>
      </c>
      <c r="DP22" s="7">
        <v>182097</v>
      </c>
      <c r="DQ22" s="7">
        <v>148854</v>
      </c>
      <c r="DR22" s="7">
        <v>90789</v>
      </c>
      <c r="DS22" s="7"/>
      <c r="DT22" s="7">
        <v>215084</v>
      </c>
      <c r="DU22" s="7">
        <v>197618</v>
      </c>
      <c r="DV22" s="7">
        <v>15741</v>
      </c>
      <c r="DW22" s="7">
        <v>175358</v>
      </c>
      <c r="DX22" s="7">
        <v>156986</v>
      </c>
      <c r="DY22" s="7">
        <v>251789</v>
      </c>
      <c r="DZ22" s="7">
        <v>243446</v>
      </c>
      <c r="EA22" s="7">
        <v>324081</v>
      </c>
      <c r="EB22" s="7">
        <v>283082</v>
      </c>
      <c r="EC22" s="7">
        <v>33525</v>
      </c>
      <c r="ED22" s="7">
        <v>178967</v>
      </c>
      <c r="EE22" s="7">
        <v>227609</v>
      </c>
      <c r="EF22" s="7">
        <v>209377</v>
      </c>
      <c r="EG22" s="7">
        <v>183097</v>
      </c>
      <c r="EH22" s="7">
        <v>198377</v>
      </c>
      <c r="EI22" s="7">
        <v>237864</v>
      </c>
      <c r="EJ22" s="7">
        <v>26509</v>
      </c>
      <c r="EK22" s="8">
        <v>65137</v>
      </c>
      <c r="EL22" s="8">
        <v>193604</v>
      </c>
      <c r="EM22" s="8">
        <v>275341</v>
      </c>
      <c r="EN22" s="8">
        <v>294397</v>
      </c>
      <c r="EO22" s="8">
        <v>219352</v>
      </c>
      <c r="EP22" s="8">
        <v>196605</v>
      </c>
      <c r="EQ22" s="8">
        <v>22715</v>
      </c>
      <c r="ER22" s="27">
        <v>183391</v>
      </c>
      <c r="ES22" s="27">
        <v>240167</v>
      </c>
      <c r="ET22" s="27">
        <v>209102</v>
      </c>
      <c r="EU22" s="27">
        <v>138800</v>
      </c>
      <c r="EV22" s="27">
        <v>98669</v>
      </c>
      <c r="EW22" s="27">
        <v>168363</v>
      </c>
      <c r="EX22" s="27">
        <v>48101</v>
      </c>
      <c r="EY22" s="27">
        <v>164220</v>
      </c>
      <c r="EZ22" s="27">
        <v>284250</v>
      </c>
      <c r="FA22" s="27">
        <v>430765</v>
      </c>
      <c r="FB22" s="27">
        <v>72260</v>
      </c>
      <c r="FG22" s="7">
        <v>58890</v>
      </c>
      <c r="FH22" s="7">
        <v>60319</v>
      </c>
      <c r="FI22" s="7">
        <v>69686</v>
      </c>
      <c r="FJ22" s="7">
        <v>101618</v>
      </c>
      <c r="FK22" s="7">
        <v>122092</v>
      </c>
      <c r="FL22" s="7">
        <v>2953</v>
      </c>
      <c r="FM22" s="7">
        <v>127746</v>
      </c>
      <c r="FN22" s="7">
        <v>230501</v>
      </c>
      <c r="FO22" s="7">
        <v>194399</v>
      </c>
      <c r="FP22" s="7">
        <v>264935</v>
      </c>
      <c r="FQ22" s="7">
        <v>336061</v>
      </c>
      <c r="FR22" s="7">
        <v>251575</v>
      </c>
      <c r="FS22" s="7">
        <v>221</v>
      </c>
      <c r="FT22" s="7">
        <v>82271</v>
      </c>
      <c r="FU22" s="7">
        <v>180068</v>
      </c>
      <c r="FV22" s="7">
        <v>118981</v>
      </c>
      <c r="FW22" s="7">
        <v>137648</v>
      </c>
      <c r="FX22" s="7">
        <v>95384</v>
      </c>
      <c r="FY22" s="7">
        <v>166237</v>
      </c>
      <c r="FZ22" s="7">
        <v>738</v>
      </c>
      <c r="GA22" s="7">
        <v>102771</v>
      </c>
      <c r="GB22" s="7">
        <v>169160</v>
      </c>
      <c r="GC22" s="7">
        <v>115874</v>
      </c>
      <c r="GD22" s="7">
        <v>215336</v>
      </c>
      <c r="GE22" s="7">
        <v>222086</v>
      </c>
      <c r="GF22" s="7">
        <v>113810</v>
      </c>
      <c r="GG22" s="7">
        <v>260</v>
      </c>
      <c r="GH22" s="7">
        <v>165460</v>
      </c>
      <c r="GI22" s="7">
        <v>119932</v>
      </c>
      <c r="GJ22" s="7">
        <v>103006</v>
      </c>
      <c r="GK22" s="7">
        <v>84683</v>
      </c>
      <c r="GL22" s="7">
        <v>81544</v>
      </c>
      <c r="GM22" s="7">
        <v>129363</v>
      </c>
      <c r="GN22" s="7">
        <v>630</v>
      </c>
      <c r="GO22" s="7">
        <v>101771</v>
      </c>
      <c r="GP22" s="7"/>
      <c r="GQ22" s="7">
        <v>151187</v>
      </c>
      <c r="GR22" s="7">
        <v>104362</v>
      </c>
      <c r="GS22" s="7">
        <v>90982</v>
      </c>
      <c r="GT22" s="7">
        <v>116896</v>
      </c>
      <c r="GU22" s="7">
        <v>6291</v>
      </c>
      <c r="GV22" s="7">
        <v>189866</v>
      </c>
      <c r="GW22" s="7">
        <v>231595</v>
      </c>
      <c r="GX22" s="7">
        <v>212240</v>
      </c>
      <c r="GY22" s="7">
        <v>162836</v>
      </c>
      <c r="GZ22" s="7">
        <v>164277</v>
      </c>
      <c r="HA22" s="7">
        <v>69737</v>
      </c>
      <c r="HB22" s="7">
        <v>37610</v>
      </c>
      <c r="HC22" s="7">
        <v>112139</v>
      </c>
      <c r="HD22" s="7">
        <v>149053</v>
      </c>
      <c r="HE22" s="7">
        <v>88818</v>
      </c>
      <c r="HF22" s="7">
        <v>72110</v>
      </c>
      <c r="HG22" s="7">
        <v>114256</v>
      </c>
      <c r="HH22" s="7">
        <v>112339</v>
      </c>
      <c r="HI22" s="7">
        <v>19228</v>
      </c>
      <c r="HJ22" s="7">
        <v>92600</v>
      </c>
      <c r="HK22" s="7">
        <v>96623</v>
      </c>
      <c r="HL22" s="7">
        <v>68084</v>
      </c>
      <c r="HM22" s="7">
        <v>67963</v>
      </c>
      <c r="HN22" s="7">
        <v>87119</v>
      </c>
      <c r="HO22" s="7">
        <v>106958</v>
      </c>
      <c r="HP22" s="7">
        <v>9521</v>
      </c>
      <c r="HQ22" s="7">
        <v>158810</v>
      </c>
      <c r="HR22" s="7">
        <v>149151</v>
      </c>
      <c r="HS22" s="7">
        <v>144598</v>
      </c>
      <c r="HT22" s="7">
        <v>156964</v>
      </c>
      <c r="HU22" s="7">
        <v>165329</v>
      </c>
      <c r="HV22" s="7">
        <v>108124</v>
      </c>
      <c r="HW22" s="7">
        <v>8670</v>
      </c>
      <c r="HX22" s="7">
        <v>82947</v>
      </c>
      <c r="HY22" s="7">
        <v>121617</v>
      </c>
      <c r="HZ22" s="7">
        <v>128105</v>
      </c>
      <c r="IA22" s="7">
        <v>155101</v>
      </c>
      <c r="IB22" s="7">
        <v>135995</v>
      </c>
      <c r="IC22" s="7">
        <v>142752</v>
      </c>
      <c r="ID22" s="7">
        <v>14157</v>
      </c>
      <c r="IE22" s="8">
        <v>101637</v>
      </c>
      <c r="IF22" s="8">
        <v>178167</v>
      </c>
      <c r="IG22" s="8">
        <v>187084</v>
      </c>
      <c r="IH22" s="8">
        <v>148882</v>
      </c>
      <c r="II22" s="8">
        <v>148819</v>
      </c>
      <c r="IJ22" s="8">
        <v>72527</v>
      </c>
      <c r="IK22" s="8">
        <v>19515</v>
      </c>
      <c r="IL22" s="7">
        <v>137164</v>
      </c>
      <c r="IM22" s="7">
        <v>146075</v>
      </c>
      <c r="IN22" s="7">
        <v>111302</v>
      </c>
      <c r="IO22" s="7">
        <v>309863</v>
      </c>
      <c r="IP22" s="7">
        <v>98703</v>
      </c>
      <c r="IQ22" s="7">
        <v>139326</v>
      </c>
      <c r="IR22" s="7">
        <v>44</v>
      </c>
      <c r="IS22" s="7">
        <v>109108</v>
      </c>
      <c r="IT22" s="7">
        <v>135105</v>
      </c>
      <c r="IU22" s="7">
        <v>148030</v>
      </c>
      <c r="IV22" s="7">
        <v>125544</v>
      </c>
      <c r="IW22" s="7">
        <v>166214</v>
      </c>
      <c r="IX22" s="7">
        <v>169309</v>
      </c>
      <c r="IY22" s="7">
        <v>146441</v>
      </c>
      <c r="IZ22" s="7">
        <v>119498</v>
      </c>
      <c r="JA22" s="7">
        <v>194594</v>
      </c>
      <c r="JB22" s="7">
        <v>163266</v>
      </c>
      <c r="JC22" s="7">
        <v>236674</v>
      </c>
      <c r="JD22" s="7">
        <v>149517</v>
      </c>
      <c r="JE22" s="7">
        <v>7080</v>
      </c>
      <c r="JG22" s="2">
        <v>53654</v>
      </c>
      <c r="JH22" s="2">
        <v>204096</v>
      </c>
      <c r="JI22" s="2">
        <v>165148</v>
      </c>
      <c r="JJ22" s="2">
        <v>191446</v>
      </c>
      <c r="JK22" s="2">
        <v>169013</v>
      </c>
      <c r="JL22" s="2">
        <v>144162</v>
      </c>
      <c r="JM22" s="2">
        <v>1774</v>
      </c>
      <c r="JN22" s="2">
        <v>92752</v>
      </c>
      <c r="JO22" s="2">
        <v>165578</v>
      </c>
      <c r="JP22" s="2">
        <v>174824</v>
      </c>
      <c r="JQ22" s="2">
        <v>184331</v>
      </c>
      <c r="JR22" s="2">
        <v>154552</v>
      </c>
      <c r="JS22" s="2">
        <v>186718</v>
      </c>
      <c r="JT22" s="2">
        <v>9004</v>
      </c>
      <c r="JU22" s="2">
        <v>57839</v>
      </c>
      <c r="JV22" s="2">
        <v>177340</v>
      </c>
      <c r="JW22" s="2">
        <v>181988</v>
      </c>
      <c r="JX22" s="2">
        <v>200924</v>
      </c>
      <c r="JY22" s="2">
        <v>211032</v>
      </c>
      <c r="JZ22" s="2">
        <v>137982</v>
      </c>
      <c r="KA22" s="2">
        <v>52105</v>
      </c>
      <c r="KB22" s="2">
        <v>111368</v>
      </c>
      <c r="KC22" s="2">
        <v>100368</v>
      </c>
      <c r="KD22" s="2">
        <v>85086</v>
      </c>
      <c r="KE22" s="2">
        <v>93302</v>
      </c>
      <c r="KF22" s="2">
        <v>148025</v>
      </c>
      <c r="KG22" s="2">
        <v>206615</v>
      </c>
      <c r="KH22" s="2">
        <v>37178</v>
      </c>
      <c r="KI22" s="2">
        <v>191399</v>
      </c>
      <c r="KJ22" s="2">
        <v>162185</v>
      </c>
      <c r="KK22" s="2">
        <v>154289</v>
      </c>
      <c r="KL22" s="2">
        <v>172226</v>
      </c>
      <c r="KM22" s="2">
        <v>141084</v>
      </c>
      <c r="KN22" s="2">
        <v>103093</v>
      </c>
      <c r="KO22" s="2">
        <v>233</v>
      </c>
      <c r="KP22" s="2">
        <v>104562</v>
      </c>
      <c r="KQ22" s="2">
        <v>130747</v>
      </c>
      <c r="KR22" s="2">
        <v>17248</v>
      </c>
      <c r="KS22" s="2">
        <v>250666</v>
      </c>
      <c r="KT22" s="2">
        <v>271175</v>
      </c>
      <c r="KU22" s="2">
        <v>251770</v>
      </c>
      <c r="KV22" s="2">
        <v>47174</v>
      </c>
      <c r="KW22" s="2">
        <v>215937</v>
      </c>
      <c r="KX22" s="2">
        <v>166612</v>
      </c>
      <c r="KY22" s="2">
        <v>135223</v>
      </c>
      <c r="KZ22" s="2">
        <v>258319</v>
      </c>
      <c r="LA22" s="2">
        <v>127427</v>
      </c>
      <c r="LB22" s="2">
        <v>58790</v>
      </c>
      <c r="LC22" s="2">
        <v>1931</v>
      </c>
      <c r="LD22" s="2">
        <v>47813</v>
      </c>
      <c r="LE22" s="2">
        <v>110046</v>
      </c>
      <c r="LF22" s="2">
        <v>98517</v>
      </c>
      <c r="LG22" s="2">
        <v>85288</v>
      </c>
      <c r="LH22" s="2">
        <v>78420</v>
      </c>
      <c r="LI22" s="2">
        <v>56608</v>
      </c>
      <c r="LJ22" s="2">
        <v>94</v>
      </c>
      <c r="LK22" s="2">
        <v>111443</v>
      </c>
      <c r="LL22" s="2">
        <v>93510</v>
      </c>
      <c r="LM22" s="2">
        <v>238931</v>
      </c>
      <c r="LN22" s="2">
        <v>147209</v>
      </c>
      <c r="LO22" s="2">
        <v>166790</v>
      </c>
      <c r="LP22" s="2">
        <v>138642</v>
      </c>
      <c r="LQ22" s="2">
        <v>17676</v>
      </c>
      <c r="LR22" s="2">
        <v>145745</v>
      </c>
      <c r="LS22" s="2">
        <v>174149</v>
      </c>
      <c r="LT22" s="2">
        <v>121461</v>
      </c>
      <c r="LU22" s="2">
        <v>208305</v>
      </c>
      <c r="LV22" s="2">
        <v>101254</v>
      </c>
      <c r="LW22" s="2">
        <v>150765</v>
      </c>
      <c r="LX22" s="2">
        <v>14975</v>
      </c>
      <c r="LY22" s="2">
        <v>157991</v>
      </c>
      <c r="LZ22" s="2">
        <v>175579</v>
      </c>
      <c r="MA22" s="2">
        <v>134490</v>
      </c>
      <c r="MB22" s="2">
        <v>207547</v>
      </c>
      <c r="MC22" s="2">
        <v>195799</v>
      </c>
      <c r="MD22" s="2">
        <v>133617</v>
      </c>
      <c r="ME22" s="2">
        <v>13125</v>
      </c>
      <c r="MF22" s="2">
        <v>139865</v>
      </c>
      <c r="MG22" s="2">
        <v>177488</v>
      </c>
      <c r="MH22" s="2">
        <v>129221</v>
      </c>
      <c r="MI22" s="2">
        <v>199293</v>
      </c>
      <c r="MJ22" s="2">
        <v>170682</v>
      </c>
      <c r="MK22" s="2">
        <v>125032</v>
      </c>
      <c r="ML22" s="2">
        <v>24214</v>
      </c>
      <c r="MM22" s="2">
        <v>147795</v>
      </c>
      <c r="MN22" s="2">
        <v>166523</v>
      </c>
      <c r="MO22" s="2">
        <v>140778</v>
      </c>
      <c r="MP22" s="2">
        <v>147720</v>
      </c>
      <c r="MQ22" s="2">
        <v>124607</v>
      </c>
      <c r="MR22" s="2">
        <v>138273</v>
      </c>
      <c r="MS22" s="2">
        <v>27847</v>
      </c>
      <c r="MT22" s="2">
        <v>128400</v>
      </c>
      <c r="MU22" s="2">
        <v>154488</v>
      </c>
      <c r="MV22" s="2">
        <v>106270</v>
      </c>
      <c r="MW22" s="2">
        <v>117892</v>
      </c>
      <c r="MX22" s="2">
        <v>85607</v>
      </c>
      <c r="MY22" s="2">
        <v>114789</v>
      </c>
      <c r="MZ22" s="2">
        <v>25731</v>
      </c>
      <c r="NA22" s="2">
        <v>93058</v>
      </c>
      <c r="NB22" s="2">
        <v>108707</v>
      </c>
      <c r="NC22" s="2">
        <v>83672</v>
      </c>
    </row>
    <row r="23" spans="1:367" hidden="1">
      <c r="A23" s="17">
        <f>A22/A21</f>
        <v>2565.2034044628708</v>
      </c>
      <c r="B23" s="18" t="s">
        <v>9</v>
      </c>
      <c r="C23" s="7"/>
      <c r="D23" s="7">
        <f>+D22/D21</f>
        <v>1640.3037100949095</v>
      </c>
      <c r="E23" s="7">
        <f t="shared" ref="E23:N23" si="37">+E22/E21</f>
        <v>1803.4974358974359</v>
      </c>
      <c r="F23" s="7">
        <f t="shared" si="37"/>
        <v>1780.5714285714287</v>
      </c>
      <c r="G23" s="7">
        <f t="shared" si="37"/>
        <v>107.10204081632654</v>
      </c>
      <c r="H23" s="7">
        <f t="shared" si="37"/>
        <v>646.15757575757573</v>
      </c>
      <c r="I23" s="7">
        <f t="shared" si="37"/>
        <v>1585.6727272727273</v>
      </c>
      <c r="J23" s="7">
        <f t="shared" si="37"/>
        <v>1140.2909090909091</v>
      </c>
      <c r="K23" s="7">
        <f t="shared" si="37"/>
        <v>839.4694261523988</v>
      </c>
      <c r="L23" s="7">
        <f t="shared" si="37"/>
        <v>1085.6555555555556</v>
      </c>
      <c r="M23" s="7">
        <f t="shared" si="37"/>
        <v>877.31666666666672</v>
      </c>
      <c r="N23" s="7">
        <f t="shared" si="37"/>
        <v>15.386666666666667</v>
      </c>
      <c r="O23" s="7">
        <f>+O22/O21</f>
        <v>999.76410256410259</v>
      </c>
      <c r="P23" s="7">
        <f t="shared" ref="P23:CB23" si="38">+P22/P21</f>
        <v>925.47515257192686</v>
      </c>
      <c r="Q23" s="7">
        <f t="shared" si="38"/>
        <v>1219.7743589743591</v>
      </c>
      <c r="R23" s="7">
        <f t="shared" si="38"/>
        <v>1457.7422680412371</v>
      </c>
      <c r="S23" s="7">
        <f t="shared" si="38"/>
        <v>1303.8666666666666</v>
      </c>
      <c r="T23" s="7">
        <f t="shared" si="38"/>
        <v>1568.9666666666667</v>
      </c>
      <c r="U23" s="7">
        <f t="shared" si="38"/>
        <v>184.6</v>
      </c>
      <c r="V23" s="7">
        <f t="shared" si="38"/>
        <v>1318.3</v>
      </c>
      <c r="W23" s="7">
        <f t="shared" si="38"/>
        <v>1533.568281938326</v>
      </c>
      <c r="X23" s="7">
        <f t="shared" si="38"/>
        <v>1337.4792043399639</v>
      </c>
      <c r="Y23" s="7">
        <f t="shared" si="38"/>
        <v>1076.5846153846153</v>
      </c>
      <c r="Z23" s="7">
        <f t="shared" si="38"/>
        <v>1193.7444444444445</v>
      </c>
      <c r="AA23" s="7">
        <f t="shared" si="38"/>
        <v>827.11666666666667</v>
      </c>
      <c r="AB23" s="7">
        <f t="shared" si="38"/>
        <v>68.793650793650798</v>
      </c>
      <c r="AC23" s="7">
        <f t="shared" si="38"/>
        <v>966.82972718720589</v>
      </c>
      <c r="AD23" s="7">
        <f t="shared" si="38"/>
        <v>919.56666666666672</v>
      </c>
      <c r="AE23" s="7">
        <f t="shared" si="38"/>
        <v>648.76923076923072</v>
      </c>
      <c r="AF23" s="7">
        <f t="shared" si="38"/>
        <v>750.11282051282046</v>
      </c>
      <c r="AG23" s="7">
        <f t="shared" si="38"/>
        <v>677.04380242311277</v>
      </c>
      <c r="AH23" s="7">
        <f t="shared" si="38"/>
        <v>586.73043478260865</v>
      </c>
      <c r="AI23" s="7">
        <f t="shared" si="38"/>
        <v>40.986666666666665</v>
      </c>
      <c r="AJ23" s="7">
        <f t="shared" si="38"/>
        <v>897.35106382978722</v>
      </c>
      <c r="AK23" s="7">
        <f t="shared" si="38"/>
        <v>1551.2749003984063</v>
      </c>
      <c r="AL23" s="7">
        <f t="shared" si="38"/>
        <v>900.80565371024738</v>
      </c>
      <c r="AM23" s="7">
        <f t="shared" si="38"/>
        <v>1232.2871794871794</v>
      </c>
      <c r="AN23" s="7">
        <f t="shared" si="38"/>
        <v>1112.0410256410257</v>
      </c>
      <c r="AO23" s="7">
        <f t="shared" si="38"/>
        <v>1180.0380952380951</v>
      </c>
      <c r="AP23" s="7">
        <f t="shared" si="38"/>
        <v>379.76</v>
      </c>
      <c r="AQ23" s="7">
        <f t="shared" si="38"/>
        <v>1406.1932114882504</v>
      </c>
      <c r="AR23" s="7">
        <f t="shared" si="38"/>
        <v>1851.6238698010852</v>
      </c>
      <c r="AS23" s="7">
        <f t="shared" si="38"/>
        <v>1780.3384615384616</v>
      </c>
      <c r="AT23" s="7">
        <f t="shared" si="38"/>
        <v>1826.9846153846154</v>
      </c>
      <c r="AU23" s="7">
        <f t="shared" si="38"/>
        <v>1706.5538461538461</v>
      </c>
      <c r="AV23" s="7">
        <f t="shared" si="38"/>
        <v>1753.3071428571427</v>
      </c>
      <c r="AW23" s="7">
        <f t="shared" si="38"/>
        <v>206.15521064301555</v>
      </c>
      <c r="AX23" s="7">
        <f t="shared" si="38"/>
        <v>1202.5317324185251</v>
      </c>
      <c r="AY23" s="7">
        <f t="shared" si="38"/>
        <v>1566.3123877917415</v>
      </c>
      <c r="AZ23" s="7">
        <f t="shared" si="38"/>
        <v>1202.5333333333333</v>
      </c>
      <c r="BA23" s="7">
        <f t="shared" si="38"/>
        <v>1796.6557377049182</v>
      </c>
      <c r="BB23" s="7">
        <f t="shared" si="38"/>
        <v>1609.3454545454545</v>
      </c>
      <c r="BC23" s="7">
        <f t="shared" si="38"/>
        <v>5487.8666666666668</v>
      </c>
      <c r="BD23" s="7">
        <f t="shared" si="38"/>
        <v>360.58181818181811</v>
      </c>
      <c r="BE23" s="7">
        <f t="shared" si="38"/>
        <v>1065.8509316770187</v>
      </c>
      <c r="BF23" s="7">
        <f t="shared" si="38"/>
        <v>1266.168574401665</v>
      </c>
      <c r="BG23" s="7">
        <f t="shared" si="38"/>
        <v>1191.3538461538462</v>
      </c>
      <c r="BH23" s="7">
        <f t="shared" si="38"/>
        <v>1059.6923076923076</v>
      </c>
      <c r="BI23" s="7">
        <f t="shared" si="38"/>
        <v>1231.3948717948717</v>
      </c>
      <c r="BJ23" s="7">
        <f t="shared" si="38"/>
        <v>2180.7659574468084</v>
      </c>
      <c r="BK23" s="7">
        <f t="shared" si="38"/>
        <v>337.02222222222224</v>
      </c>
      <c r="BL23" s="7">
        <f t="shared" si="38"/>
        <v>1677.5333333333333</v>
      </c>
      <c r="BM23" s="7">
        <f t="shared" si="38"/>
        <v>2730.4410256410256</v>
      </c>
      <c r="BN23" s="7">
        <f t="shared" si="38"/>
        <v>2521.2669902912626</v>
      </c>
      <c r="BO23" s="7">
        <f t="shared" si="38"/>
        <v>2494.242424242424</v>
      </c>
      <c r="BP23" s="7">
        <f t="shared" si="38"/>
        <v>2253.2666666666669</v>
      </c>
      <c r="BQ23" s="7">
        <f t="shared" si="38"/>
        <v>3411.1047619047617</v>
      </c>
      <c r="BR23" s="7">
        <f t="shared" si="38"/>
        <v>189.94666666666666</v>
      </c>
      <c r="BS23" s="7">
        <f t="shared" si="38"/>
        <v>1644.9743589743589</v>
      </c>
      <c r="BT23" s="7">
        <f t="shared" si="38"/>
        <v>2339.4587332053738</v>
      </c>
      <c r="BU23" s="7">
        <f t="shared" si="38"/>
        <v>2062.0394366197183</v>
      </c>
      <c r="BV23" s="7">
        <f t="shared" si="38"/>
        <v>2433.6666666666665</v>
      </c>
      <c r="BW23" s="7">
        <f t="shared" si="38"/>
        <v>2374.0952380952381</v>
      </c>
      <c r="BX23" s="7">
        <f t="shared" si="38"/>
        <v>3503.5047619047618</v>
      </c>
      <c r="BY23" s="7">
        <f t="shared" si="38"/>
        <v>10.338902147971359</v>
      </c>
      <c r="BZ23" s="7">
        <f t="shared" si="38"/>
        <v>1664.4717948717948</v>
      </c>
      <c r="CA23" s="7">
        <f t="shared" si="38"/>
        <v>1849.8358974358973</v>
      </c>
      <c r="CB23" s="7">
        <f t="shared" si="38"/>
        <v>3190.9435897435897</v>
      </c>
      <c r="CC23" s="7">
        <f t="shared" ref="CC23:CL23" si="39">+CC22/CC21</f>
        <v>2728.7692307692309</v>
      </c>
      <c r="CD23" s="7">
        <f t="shared" si="39"/>
        <v>2507.2114989733059</v>
      </c>
      <c r="CE23" s="7">
        <f t="shared" si="39"/>
        <v>2387.2606060606063</v>
      </c>
      <c r="CF23" s="7">
        <f t="shared" si="39"/>
        <v>211.9878787878788</v>
      </c>
      <c r="CG23" s="7">
        <f t="shared" si="39"/>
        <v>1953.8545454545454</v>
      </c>
      <c r="CH23" s="7">
        <f t="shared" si="39"/>
        <v>2577.5636363636363</v>
      </c>
      <c r="CI23" s="7">
        <f t="shared" si="39"/>
        <v>2580.7272727272725</v>
      </c>
      <c r="CJ23" s="7">
        <f t="shared" si="39"/>
        <v>1629.830303030303</v>
      </c>
      <c r="CK23" s="7">
        <f t="shared" si="39"/>
        <v>1924.4484848484849</v>
      </c>
      <c r="CL23" s="7">
        <f t="shared" si="39"/>
        <v>1003.8260869565217</v>
      </c>
      <c r="CP23" s="7">
        <f>+CP22/CP21</f>
        <v>524.66666666666663</v>
      </c>
      <c r="CQ23" s="7">
        <f t="shared" ref="CQ23:FB23" si="40">+CQ22/CQ21</f>
        <v>1126.9154113557358</v>
      </c>
      <c r="CR23" s="7">
        <f t="shared" si="40"/>
        <v>393.677811550152</v>
      </c>
      <c r="CS23" s="7">
        <f t="shared" si="40"/>
        <v>665.81481481481478</v>
      </c>
      <c r="CT23" s="7">
        <f t="shared" si="40"/>
        <v>3.2115384615384617</v>
      </c>
      <c r="CU23" s="7">
        <f t="shared" si="40"/>
        <v>612.71111111111111</v>
      </c>
      <c r="CV23" s="7">
        <f t="shared" si="40"/>
        <v>1084.2848167539269</v>
      </c>
      <c r="CW23" s="7">
        <f t="shared" si="40"/>
        <v>1575.7874999999999</v>
      </c>
      <c r="CX23" s="7">
        <f t="shared" si="40"/>
        <v>955.3441372735939</v>
      </c>
      <c r="CY23" s="7">
        <f t="shared" si="40"/>
        <v>1323.9719051799823</v>
      </c>
      <c r="CZ23" s="7">
        <f t="shared" si="40"/>
        <v>4066.4</v>
      </c>
      <c r="DA23" s="7">
        <f t="shared" si="40"/>
        <v>134.76439790575915</v>
      </c>
      <c r="DB23" s="7">
        <f t="shared" si="40"/>
        <v>836.85296646603604</v>
      </c>
      <c r="DC23" s="7">
        <f t="shared" si="40"/>
        <v>1103.8051282051283</v>
      </c>
      <c r="DD23" s="7">
        <f t="shared" si="40"/>
        <v>516.93333333333328</v>
      </c>
      <c r="DE23" s="7">
        <f t="shared" si="40"/>
        <v>1614.5928853754942</v>
      </c>
      <c r="DF23" s="7">
        <f t="shared" si="40"/>
        <v>1276.4242424242425</v>
      </c>
      <c r="DG23" s="7">
        <f t="shared" si="40"/>
        <v>2295.2266666666665</v>
      </c>
      <c r="DH23" s="7">
        <f t="shared" si="40"/>
        <v>6.7225130890052354</v>
      </c>
      <c r="DI23" s="7">
        <f t="shared" si="40"/>
        <v>1693.5177865612645</v>
      </c>
      <c r="DJ23" s="7">
        <f t="shared" si="40"/>
        <v>1552.7888888888888</v>
      </c>
      <c r="DK23" s="7">
        <f t="shared" si="40"/>
        <v>11.571428571428571</v>
      </c>
      <c r="DL23" s="7"/>
      <c r="DM23" s="7">
        <f t="shared" si="40"/>
        <v>1338.4848484848485</v>
      </c>
      <c r="DN23" s="7">
        <f t="shared" si="40"/>
        <v>1767.8424242424242</v>
      </c>
      <c r="DO23" s="7">
        <f t="shared" si="40"/>
        <v>163.19999999999999</v>
      </c>
      <c r="DP23" s="7">
        <f t="shared" si="40"/>
        <v>1920.1792618629174</v>
      </c>
      <c r="DQ23" s="7">
        <f t="shared" si="40"/>
        <v>1526.7076923076922</v>
      </c>
      <c r="DR23" s="7">
        <f t="shared" si="40"/>
        <v>964.13097345132735</v>
      </c>
      <c r="DS23" s="7"/>
      <c r="DT23" s="7">
        <f t="shared" si="40"/>
        <v>2691.3534932221064</v>
      </c>
      <c r="DU23" s="7">
        <f t="shared" si="40"/>
        <v>5728.057971014493</v>
      </c>
      <c r="DV23" s="7">
        <f t="shared" si="40"/>
        <v>349.8</v>
      </c>
      <c r="DW23" s="7">
        <f t="shared" si="40"/>
        <v>1798.5435897435898</v>
      </c>
      <c r="DX23" s="7">
        <f t="shared" si="40"/>
        <v>1610.1128205128205</v>
      </c>
      <c r="DY23" s="7">
        <f t="shared" si="40"/>
        <v>2582.4512820512819</v>
      </c>
      <c r="DZ23" s="7">
        <f t="shared" si="40"/>
        <v>2496.8820512820512</v>
      </c>
      <c r="EA23" s="7">
        <f t="shared" si="40"/>
        <v>3600.9</v>
      </c>
      <c r="EB23" s="7">
        <f t="shared" si="40"/>
        <v>7498.8609271523183</v>
      </c>
      <c r="EC23" s="7">
        <f t="shared" si="40"/>
        <v>588.15789473684208</v>
      </c>
      <c r="ED23" s="7">
        <f t="shared" si="40"/>
        <v>1677.815625</v>
      </c>
      <c r="EE23" s="7">
        <f t="shared" si="40"/>
        <v>2211.5854251012147</v>
      </c>
      <c r="EF23" s="7">
        <f t="shared" si="40"/>
        <v>2326.411111111111</v>
      </c>
      <c r="EG23" s="7">
        <f t="shared" si="40"/>
        <v>2034.411111111111</v>
      </c>
      <c r="EH23" s="7">
        <f t="shared" si="40"/>
        <v>2034.6358974358975</v>
      </c>
      <c r="EI23" s="7">
        <f t="shared" si="40"/>
        <v>6343.04</v>
      </c>
      <c r="EJ23" s="7">
        <f t="shared" si="40"/>
        <v>441.81666666666666</v>
      </c>
      <c r="EK23" s="7">
        <f t="shared" si="40"/>
        <v>725.76044568245129</v>
      </c>
      <c r="EL23" s="7">
        <f t="shared" si="40"/>
        <v>1985.6820512820514</v>
      </c>
      <c r="EM23" s="7">
        <f t="shared" si="40"/>
        <v>2824.0102564102563</v>
      </c>
      <c r="EN23" s="7">
        <f t="shared" si="40"/>
        <v>3271.0777777777776</v>
      </c>
      <c r="EO23" s="7">
        <f t="shared" si="40"/>
        <v>2364.9811320754716</v>
      </c>
      <c r="EP23" s="7">
        <f t="shared" si="40"/>
        <v>5277.9865771812083</v>
      </c>
      <c r="EQ23" s="7">
        <f t="shared" si="40"/>
        <v>398.50877192982455</v>
      </c>
      <c r="ER23" s="7">
        <f t="shared" si="40"/>
        <v>1880.9333333333334</v>
      </c>
      <c r="ES23" s="7">
        <f t="shared" si="40"/>
        <v>2473.8231759656651</v>
      </c>
      <c r="ET23" s="7">
        <f t="shared" si="40"/>
        <v>2283.188353048226</v>
      </c>
      <c r="EU23" s="7">
        <f t="shared" si="40"/>
        <v>1423.5897435897436</v>
      </c>
      <c r="EV23" s="7">
        <f t="shared" si="40"/>
        <v>1011.9897435897436</v>
      </c>
      <c r="EW23" s="7">
        <f t="shared" si="40"/>
        <v>1726.8</v>
      </c>
      <c r="EX23" s="7">
        <f t="shared" si="40"/>
        <v>493.34358974358975</v>
      </c>
      <c r="EY23" s="7">
        <f t="shared" si="40"/>
        <v>1684.3076923076924</v>
      </c>
      <c r="EZ23" s="7">
        <f t="shared" si="40"/>
        <v>2915.3846153846152</v>
      </c>
      <c r="FA23" s="7">
        <f t="shared" si="40"/>
        <v>4418.1025641025644</v>
      </c>
      <c r="FB23" s="7">
        <f t="shared" si="40"/>
        <v>1515.9440559440561</v>
      </c>
      <c r="FG23" s="7">
        <f>+FG22/FG21</f>
        <v>785.2</v>
      </c>
      <c r="FH23" s="7">
        <f t="shared" ref="FH23:FZ23" si="41">+FH22/FH21</f>
        <v>804.25333333333333</v>
      </c>
      <c r="FI23" s="7">
        <f t="shared" si="41"/>
        <v>815.04093567251459</v>
      </c>
      <c r="FJ23" s="7">
        <f t="shared" si="41"/>
        <v>1302.7948717948718</v>
      </c>
      <c r="FK23" s="7">
        <f t="shared" si="41"/>
        <v>1871.1417624521073</v>
      </c>
      <c r="FL23" s="7">
        <f t="shared" si="41"/>
        <v>45.664948453608247</v>
      </c>
      <c r="FM23" s="7">
        <f t="shared" si="41"/>
        <v>1714.7114093959731</v>
      </c>
      <c r="FN23" s="7">
        <f t="shared" si="41"/>
        <v>2793.9515151515152</v>
      </c>
      <c r="FO23" s="7">
        <f t="shared" si="41"/>
        <v>2356.3515151515153</v>
      </c>
      <c r="FP23" s="7">
        <f t="shared" si="41"/>
        <v>3270.8024691358023</v>
      </c>
      <c r="FQ23" s="7">
        <f t="shared" si="41"/>
        <v>3734.0111111111109</v>
      </c>
      <c r="FR23" s="7">
        <f t="shared" si="41"/>
        <v>4413.5964912280706</v>
      </c>
      <c r="FS23" s="7">
        <f t="shared" si="41"/>
        <v>5.8933333333333335</v>
      </c>
      <c r="FT23" s="7">
        <f t="shared" si="41"/>
        <v>1001.2697768762679</v>
      </c>
      <c r="FU23" s="7">
        <f t="shared" si="41"/>
        <v>2267.383001049318</v>
      </c>
      <c r="FV23" s="7">
        <f t="shared" si="41"/>
        <v>1504.5015806111694</v>
      </c>
      <c r="FW23" s="7">
        <f t="shared" si="41"/>
        <v>1835.3066666666666</v>
      </c>
      <c r="FX23" s="7">
        <f t="shared" si="41"/>
        <v>1290.4261555806088</v>
      </c>
      <c r="FY23" s="7">
        <f t="shared" si="41"/>
        <v>4607.0300230946887</v>
      </c>
      <c r="FZ23" s="7">
        <f t="shared" si="41"/>
        <v>19.68</v>
      </c>
      <c r="GA23" s="47">
        <f>+GA22/GA21</f>
        <v>1252.0324873096445</v>
      </c>
      <c r="GB23" s="47">
        <f t="shared" ref="GB23:IK23" si="42">+GB22/GB21</f>
        <v>2062.9268292682927</v>
      </c>
      <c r="GC23" s="47">
        <f t="shared" si="42"/>
        <v>1404.5333333333333</v>
      </c>
      <c r="GD23" s="47">
        <f t="shared" si="42"/>
        <v>2610.1333333333332</v>
      </c>
      <c r="GE23" s="47">
        <f t="shared" si="42"/>
        <v>2922.1842105263158</v>
      </c>
      <c r="GF23" s="47">
        <f t="shared" si="42"/>
        <v>2529.1111111111113</v>
      </c>
      <c r="GG23" s="47">
        <f t="shared" si="42"/>
        <v>9.8734177215189867</v>
      </c>
      <c r="GH23" s="47">
        <f t="shared" si="42"/>
        <v>1979.5812562313058</v>
      </c>
      <c r="GI23" s="47">
        <f t="shared" si="42"/>
        <v>1332.5777777777778</v>
      </c>
      <c r="GJ23" s="47">
        <f t="shared" si="42"/>
        <v>1144.5111111111112</v>
      </c>
      <c r="GK23" s="47">
        <f t="shared" si="42"/>
        <v>973.36781609195407</v>
      </c>
      <c r="GL23" s="47">
        <f t="shared" si="42"/>
        <v>906.04444444444448</v>
      </c>
      <c r="GM23" s="47">
        <f t="shared" si="42"/>
        <v>2487.75</v>
      </c>
      <c r="GN23" s="47">
        <f t="shared" si="42"/>
        <v>21</v>
      </c>
      <c r="GO23" s="47">
        <f t="shared" si="42"/>
        <v>1282.827731092437</v>
      </c>
      <c r="GP23" s="47"/>
      <c r="GQ23" s="47">
        <f t="shared" si="42"/>
        <v>1832.5696969696969</v>
      </c>
      <c r="GR23" s="47">
        <f t="shared" si="42"/>
        <v>1264.9939393939394</v>
      </c>
      <c r="GS23" s="47">
        <f t="shared" si="42"/>
        <v>1102.8121212121212</v>
      </c>
      <c r="GT23" s="47">
        <f t="shared" si="42"/>
        <v>1427.0111902339775</v>
      </c>
      <c r="GU23" s="47">
        <f t="shared" si="42"/>
        <v>90.409580838323365</v>
      </c>
      <c r="GV23" s="47">
        <f t="shared" si="42"/>
        <v>2182.367816091954</v>
      </c>
      <c r="GW23" s="47">
        <f t="shared" si="42"/>
        <v>3087.9333333333334</v>
      </c>
      <c r="GX23" s="47">
        <f t="shared" si="42"/>
        <v>2572.6060606060605</v>
      </c>
      <c r="GY23" s="47">
        <f t="shared" si="42"/>
        <v>1670.1128205128205</v>
      </c>
      <c r="GZ23" s="47">
        <f t="shared" si="42"/>
        <v>1854.4910630291631</v>
      </c>
      <c r="HA23" s="47">
        <f t="shared" si="42"/>
        <v>1997.2410501193315</v>
      </c>
      <c r="HB23" s="47">
        <f t="shared" si="42"/>
        <v>750.94841930116468</v>
      </c>
      <c r="HC23" s="47">
        <f t="shared" si="42"/>
        <v>1469.0698689956332</v>
      </c>
      <c r="HD23" s="47">
        <f t="shared" si="42"/>
        <v>1681.0488721804511</v>
      </c>
      <c r="HE23" s="47">
        <f t="shared" si="42"/>
        <v>1225.0758620689655</v>
      </c>
      <c r="HF23" s="47">
        <f t="shared" si="42"/>
        <v>1008.5314685314685</v>
      </c>
      <c r="HG23" s="47">
        <f t="shared" si="42"/>
        <v>1269.5111111111112</v>
      </c>
      <c r="HH23" s="47">
        <f t="shared" si="42"/>
        <v>2995.7066666666665</v>
      </c>
      <c r="HI23" s="47">
        <f t="shared" si="42"/>
        <v>366.24761904761903</v>
      </c>
      <c r="HJ23" s="47">
        <f t="shared" si="42"/>
        <v>1064.367816091954</v>
      </c>
      <c r="HK23" s="47">
        <f t="shared" si="42"/>
        <v>1073.588888888889</v>
      </c>
      <c r="HL23" s="47">
        <f t="shared" si="42"/>
        <v>857.30115424973758</v>
      </c>
      <c r="HM23" s="47">
        <f t="shared" si="42"/>
        <v>755.14444444444439</v>
      </c>
      <c r="HN23" s="47">
        <f t="shared" si="42"/>
        <v>1055.9878787878788</v>
      </c>
      <c r="HO23" s="47">
        <f t="shared" si="42"/>
        <v>2877.7937219730943</v>
      </c>
      <c r="HP23" s="47">
        <f t="shared" si="42"/>
        <v>225.79446640316206</v>
      </c>
      <c r="HQ23" s="47">
        <f t="shared" si="42"/>
        <v>1764.5555555555557</v>
      </c>
      <c r="HR23" s="47">
        <f t="shared" si="42"/>
        <v>1749.5718475073313</v>
      </c>
      <c r="HS23" s="47">
        <f t="shared" si="42"/>
        <v>1606.6444444444444</v>
      </c>
      <c r="HT23" s="47">
        <f t="shared" si="42"/>
        <v>1802.4574162679428</v>
      </c>
      <c r="HU23" s="47">
        <f t="shared" si="42"/>
        <v>2301.5638051044084</v>
      </c>
      <c r="HV23" s="47">
        <f t="shared" si="42"/>
        <v>3604.1333333333332</v>
      </c>
      <c r="HW23" s="47">
        <f t="shared" si="42"/>
        <v>385.33333333333331</v>
      </c>
      <c r="HX23" s="47">
        <f t="shared" si="42"/>
        <v>1234.9429280397023</v>
      </c>
      <c r="HY23" s="47">
        <f t="shared" si="42"/>
        <v>2143.0308370044054</v>
      </c>
      <c r="HZ23" s="47">
        <f t="shared" si="42"/>
        <v>1897.851851851852</v>
      </c>
      <c r="IA23" s="47">
        <f t="shared" si="42"/>
        <v>2200.0141843971633</v>
      </c>
      <c r="IB23" s="47">
        <f t="shared" si="42"/>
        <v>1825.4362416107383</v>
      </c>
      <c r="IC23" s="47">
        <f t="shared" si="42"/>
        <v>1903.36</v>
      </c>
      <c r="ID23" s="47">
        <f t="shared" si="42"/>
        <v>225.31034482758622</v>
      </c>
      <c r="IE23" s="47" t="e">
        <f t="shared" si="42"/>
        <v>#DIV/0!</v>
      </c>
      <c r="IF23" s="47" t="e">
        <f t="shared" si="42"/>
        <v>#DIV/0!</v>
      </c>
      <c r="IG23" s="47" t="e">
        <f t="shared" si="42"/>
        <v>#DIV/0!</v>
      </c>
      <c r="IH23" s="47" t="e">
        <f t="shared" si="42"/>
        <v>#DIV/0!</v>
      </c>
      <c r="II23" s="47" t="e">
        <f t="shared" si="42"/>
        <v>#DIV/0!</v>
      </c>
      <c r="IJ23" s="47" t="e">
        <f t="shared" si="42"/>
        <v>#DIV/0!</v>
      </c>
      <c r="IK23" s="47" t="e">
        <f t="shared" si="42"/>
        <v>#DIV/0!</v>
      </c>
    </row>
    <row r="24" spans="1:367">
      <c r="AA24" s="28"/>
    </row>
    <row r="25" spans="1:367">
      <c r="A25" s="10" t="s">
        <v>57</v>
      </c>
      <c r="B25" s="10" t="s">
        <v>56</v>
      </c>
      <c r="C25" s="11">
        <v>46023</v>
      </c>
      <c r="D25" s="11">
        <f>+C25+1</f>
        <v>46024</v>
      </c>
      <c r="E25" s="11">
        <f t="shared" ref="E25" si="43">+D25+1</f>
        <v>46025</v>
      </c>
      <c r="F25" s="11">
        <f t="shared" ref="F25" si="44">+E25+1</f>
        <v>46026</v>
      </c>
      <c r="G25" s="11">
        <f t="shared" ref="G25" si="45">+F25+1</f>
        <v>46027</v>
      </c>
      <c r="H25" s="11">
        <f t="shared" ref="H25" si="46">+G25+1</f>
        <v>46028</v>
      </c>
      <c r="I25" s="11">
        <f t="shared" ref="I25" si="47">+H25+1</f>
        <v>46029</v>
      </c>
      <c r="J25" s="11">
        <f t="shared" ref="J25" si="48">+I25+1</f>
        <v>46030</v>
      </c>
      <c r="K25" s="11">
        <f t="shared" ref="K25" si="49">+J25+1</f>
        <v>46031</v>
      </c>
      <c r="L25" s="11">
        <f t="shared" ref="L25" si="50">+K25+1</f>
        <v>46032</v>
      </c>
      <c r="M25" s="11">
        <f t="shared" ref="M25" si="51">+L25+1</f>
        <v>46033</v>
      </c>
      <c r="N25" s="11">
        <f t="shared" ref="N25" si="52">+M25+1</f>
        <v>46034</v>
      </c>
      <c r="O25" s="11">
        <f t="shared" ref="O25" si="53">+N25+1</f>
        <v>46035</v>
      </c>
      <c r="P25" s="11">
        <f t="shared" ref="P25" si="54">+O25+1</f>
        <v>46036</v>
      </c>
      <c r="Q25" s="11">
        <f t="shared" ref="Q25" si="55">+P25+1</f>
        <v>46037</v>
      </c>
      <c r="R25" s="11">
        <f t="shared" ref="R25" si="56">+Q25+1</f>
        <v>46038</v>
      </c>
      <c r="S25" s="11">
        <f t="shared" ref="S25" si="57">+R25+1</f>
        <v>46039</v>
      </c>
      <c r="T25" s="11">
        <f t="shared" ref="T25" si="58">+S25+1</f>
        <v>46040</v>
      </c>
      <c r="U25" s="11">
        <f t="shared" ref="U25" si="59">+T25+1</f>
        <v>46041</v>
      </c>
      <c r="V25" s="11">
        <f t="shared" ref="V25" si="60">+U25+1</f>
        <v>46042</v>
      </c>
      <c r="W25" s="11">
        <f t="shared" ref="W25" si="61">+V25+1</f>
        <v>46043</v>
      </c>
      <c r="X25" s="11">
        <f t="shared" ref="X25" si="62">+W25+1</f>
        <v>46044</v>
      </c>
      <c r="Y25" s="11">
        <f t="shared" ref="Y25" si="63">+X25+1</f>
        <v>46045</v>
      </c>
      <c r="Z25" s="11">
        <f t="shared" ref="Z25" si="64">+Y25+1</f>
        <v>46046</v>
      </c>
      <c r="AA25" s="11">
        <f t="shared" ref="AA25" si="65">+Z25+1</f>
        <v>46047</v>
      </c>
      <c r="AB25" s="11">
        <f t="shared" ref="AB25" si="66">+AA25+1</f>
        <v>46048</v>
      </c>
      <c r="AC25" s="11">
        <f t="shared" ref="AC25" si="67">+AB25+1</f>
        <v>46049</v>
      </c>
      <c r="AD25" s="11">
        <f t="shared" ref="AD25" si="68">+AC25+1</f>
        <v>46050</v>
      </c>
      <c r="AE25" s="11">
        <f t="shared" ref="AE25" si="69">+AD25+1</f>
        <v>46051</v>
      </c>
      <c r="AF25" s="11">
        <f t="shared" ref="AF25" si="70">+AE25+1</f>
        <v>46052</v>
      </c>
      <c r="AG25" s="11">
        <f t="shared" ref="AG25" si="71">+AF25+1</f>
        <v>46053</v>
      </c>
      <c r="AH25" s="11">
        <f t="shared" ref="AH25" si="72">+AG25+1</f>
        <v>46054</v>
      </c>
      <c r="AI25" s="11">
        <f t="shared" ref="AI25" si="73">+AH25+1</f>
        <v>46055</v>
      </c>
      <c r="AJ25" s="11">
        <f t="shared" ref="AJ25" si="74">+AI25+1</f>
        <v>46056</v>
      </c>
      <c r="AK25" s="11">
        <f t="shared" ref="AK25" si="75">+AJ25+1</f>
        <v>46057</v>
      </c>
      <c r="AL25" s="11">
        <f t="shared" ref="AL25" si="76">+AK25+1</f>
        <v>46058</v>
      </c>
      <c r="AM25" s="11">
        <f t="shared" ref="AM25" si="77">+AL25+1</f>
        <v>46059</v>
      </c>
      <c r="AN25" s="11">
        <f t="shared" ref="AN25" si="78">+AM25+1</f>
        <v>46060</v>
      </c>
      <c r="AO25" s="11">
        <f t="shared" ref="AO25" si="79">+AN25+1</f>
        <v>46061</v>
      </c>
      <c r="AP25" s="11">
        <f t="shared" ref="AP25" si="80">+AO25+1</f>
        <v>46062</v>
      </c>
      <c r="AQ25" s="11">
        <f t="shared" ref="AQ25" si="81">+AP25+1</f>
        <v>46063</v>
      </c>
      <c r="AR25" s="11">
        <f t="shared" ref="AR25" si="82">+AQ25+1</f>
        <v>46064</v>
      </c>
      <c r="AS25" s="11">
        <f t="shared" ref="AS25" si="83">+AR25+1</f>
        <v>46065</v>
      </c>
      <c r="AT25" s="11">
        <f t="shared" ref="AT25" si="84">+AS25+1</f>
        <v>46066</v>
      </c>
      <c r="AU25" s="11">
        <f t="shared" ref="AU25" si="85">+AT25+1</f>
        <v>46067</v>
      </c>
      <c r="AV25" s="11">
        <f t="shared" ref="AV25" si="86">+AU25+1</f>
        <v>46068</v>
      </c>
      <c r="AW25" s="11">
        <f t="shared" ref="AW25" si="87">+AV25+1</f>
        <v>46069</v>
      </c>
      <c r="AX25" s="11">
        <f t="shared" ref="AX25" si="88">+AW25+1</f>
        <v>46070</v>
      </c>
      <c r="AY25" s="11">
        <f t="shared" ref="AY25" si="89">+AX25+1</f>
        <v>46071</v>
      </c>
      <c r="AZ25" s="11">
        <f t="shared" ref="AZ25" si="90">+AY25+1</f>
        <v>46072</v>
      </c>
      <c r="BA25" s="11">
        <f t="shared" ref="BA25" si="91">+AZ25+1</f>
        <v>46073</v>
      </c>
      <c r="BB25" s="11">
        <f t="shared" ref="BB25" si="92">+BA25+1</f>
        <v>46074</v>
      </c>
      <c r="BC25" s="11">
        <f t="shared" ref="BC25" si="93">+BB25+1</f>
        <v>46075</v>
      </c>
      <c r="BD25" s="11">
        <f t="shared" ref="BD25" si="94">+BC25+1</f>
        <v>46076</v>
      </c>
      <c r="BE25" s="11">
        <f t="shared" ref="BE25" si="95">+BD25+1</f>
        <v>46077</v>
      </c>
      <c r="BF25" s="11">
        <f t="shared" ref="BF25" si="96">+BE25+1</f>
        <v>46078</v>
      </c>
      <c r="BG25" s="11">
        <f t="shared" ref="BG25" si="97">+BF25+1</f>
        <v>46079</v>
      </c>
      <c r="BH25" s="11">
        <f t="shared" ref="BH25" si="98">+BG25+1</f>
        <v>46080</v>
      </c>
      <c r="BI25" s="11">
        <f t="shared" ref="BI25" si="99">+BH25+1</f>
        <v>46081</v>
      </c>
      <c r="BJ25" s="11">
        <f t="shared" ref="BJ25" si="100">+BI25+1</f>
        <v>46082</v>
      </c>
      <c r="BK25" s="11">
        <f t="shared" ref="BK25" si="101">+BJ25+1</f>
        <v>46083</v>
      </c>
      <c r="BL25" s="11">
        <f t="shared" ref="BL25" si="102">+BK25+1</f>
        <v>46084</v>
      </c>
      <c r="BM25" s="11">
        <f t="shared" ref="BM25" si="103">+BL25+1</f>
        <v>46085</v>
      </c>
      <c r="BN25" s="11">
        <f t="shared" ref="BN25" si="104">+BM25+1</f>
        <v>46086</v>
      </c>
      <c r="BO25" s="11">
        <f t="shared" ref="BO25" si="105">+BN25+1</f>
        <v>46087</v>
      </c>
      <c r="BP25" s="11">
        <f t="shared" ref="BP25" si="106">+BO25+1</f>
        <v>46088</v>
      </c>
      <c r="BQ25" s="11">
        <f t="shared" ref="BQ25" si="107">+BP25+1</f>
        <v>46089</v>
      </c>
      <c r="BR25" s="11">
        <f t="shared" ref="BR25" si="108">+BQ25+1</f>
        <v>46090</v>
      </c>
      <c r="BS25" s="11">
        <f t="shared" ref="BS25" si="109">+BR25+1</f>
        <v>46091</v>
      </c>
      <c r="BT25" s="11">
        <f t="shared" ref="BT25" si="110">+BS25+1</f>
        <v>46092</v>
      </c>
      <c r="BU25" s="11">
        <f t="shared" ref="BU25" si="111">+BT25+1</f>
        <v>46093</v>
      </c>
      <c r="BV25" s="11">
        <f t="shared" ref="BV25" si="112">+BU25+1</f>
        <v>46094</v>
      </c>
      <c r="BW25" s="11">
        <f t="shared" ref="BW25" si="113">+BV25+1</f>
        <v>46095</v>
      </c>
      <c r="BX25" s="11">
        <f t="shared" ref="BX25" si="114">+BW25+1</f>
        <v>46096</v>
      </c>
      <c r="BY25" s="11">
        <f t="shared" ref="BY25" si="115">+BX25+1</f>
        <v>46097</v>
      </c>
      <c r="BZ25" s="11">
        <f t="shared" ref="BZ25" si="116">+BY25+1</f>
        <v>46098</v>
      </c>
      <c r="CA25" s="11">
        <f t="shared" ref="CA25" si="117">+BZ25+1</f>
        <v>46099</v>
      </c>
      <c r="CB25" s="11">
        <f t="shared" ref="CB25" si="118">+CA25+1</f>
        <v>46100</v>
      </c>
      <c r="CC25" s="11">
        <f t="shared" ref="CC25" si="119">+CB25+1</f>
        <v>46101</v>
      </c>
      <c r="CD25" s="11">
        <f t="shared" ref="CD25" si="120">+CC25+1</f>
        <v>46102</v>
      </c>
      <c r="CE25" s="11">
        <f t="shared" ref="CE25" si="121">+CD25+1</f>
        <v>46103</v>
      </c>
      <c r="CF25" s="11">
        <f t="shared" ref="CF25" si="122">+CE25+1</f>
        <v>46104</v>
      </c>
      <c r="CG25" s="11">
        <f t="shared" ref="CG25" si="123">+CF25+1</f>
        <v>46105</v>
      </c>
      <c r="CH25" s="11">
        <f t="shared" ref="CH25" si="124">+CG25+1</f>
        <v>46106</v>
      </c>
      <c r="CI25" s="11">
        <f t="shared" ref="CI25" si="125">+CH25+1</f>
        <v>46107</v>
      </c>
      <c r="CJ25" s="11">
        <f t="shared" ref="CJ25" si="126">+CI25+1</f>
        <v>46108</v>
      </c>
      <c r="CK25" s="11">
        <f t="shared" ref="CK25" si="127">+CJ25+1</f>
        <v>46109</v>
      </c>
      <c r="CL25" s="11">
        <f t="shared" ref="CL25" si="128">+CK25+1</f>
        <v>46110</v>
      </c>
      <c r="CM25" s="11">
        <f t="shared" ref="CM25" si="129">+CL25+1</f>
        <v>46111</v>
      </c>
      <c r="CN25" s="11">
        <f t="shared" ref="CN25" si="130">+CM25+1</f>
        <v>46112</v>
      </c>
      <c r="CO25" s="11">
        <f t="shared" ref="CO25" si="131">+CN25+1</f>
        <v>46113</v>
      </c>
      <c r="CP25" s="11">
        <f t="shared" ref="CP25" si="132">+CO25+1</f>
        <v>46114</v>
      </c>
      <c r="CQ25" s="11">
        <f t="shared" ref="CQ25" si="133">+CP25+1</f>
        <v>46115</v>
      </c>
      <c r="CR25" s="11">
        <f t="shared" ref="CR25" si="134">+CQ25+1</f>
        <v>46116</v>
      </c>
      <c r="CS25" s="11">
        <f t="shared" ref="CS25" si="135">+CR25+1</f>
        <v>46117</v>
      </c>
      <c r="CT25" s="11">
        <f t="shared" ref="CT25" si="136">+CS25+1</f>
        <v>46118</v>
      </c>
      <c r="CU25" s="11">
        <f t="shared" ref="CU25" si="137">+CT25+1</f>
        <v>46119</v>
      </c>
      <c r="CV25" s="11">
        <f t="shared" ref="CV25" si="138">+CU25+1</f>
        <v>46120</v>
      </c>
      <c r="CW25" s="11">
        <f t="shared" ref="CW25" si="139">+CV25+1</f>
        <v>46121</v>
      </c>
      <c r="CX25" s="11">
        <f t="shared" ref="CX25" si="140">+CW25+1</f>
        <v>46122</v>
      </c>
      <c r="CY25" s="11">
        <f t="shared" ref="CY25" si="141">+CX25+1</f>
        <v>46123</v>
      </c>
      <c r="CZ25" s="11">
        <f t="shared" ref="CZ25" si="142">+CY25+1</f>
        <v>46124</v>
      </c>
      <c r="DA25" s="11">
        <f t="shared" ref="DA25" si="143">+CZ25+1</f>
        <v>46125</v>
      </c>
      <c r="DB25" s="11">
        <f t="shared" ref="DB25" si="144">+DA25+1</f>
        <v>46126</v>
      </c>
      <c r="DC25" s="11">
        <f t="shared" ref="DC25" si="145">+DB25+1</f>
        <v>46127</v>
      </c>
      <c r="DD25" s="11">
        <f t="shared" ref="DD25" si="146">+DC25+1</f>
        <v>46128</v>
      </c>
      <c r="DE25" s="11">
        <f t="shared" ref="DE25" si="147">+DD25+1</f>
        <v>46129</v>
      </c>
      <c r="DF25" s="11">
        <f t="shared" ref="DF25" si="148">+DE25+1</f>
        <v>46130</v>
      </c>
      <c r="DG25" s="11">
        <f t="shared" ref="DG25" si="149">+DF25+1</f>
        <v>46131</v>
      </c>
      <c r="DH25" s="11">
        <f t="shared" ref="DH25" si="150">+DG25+1</f>
        <v>46132</v>
      </c>
      <c r="DI25" s="11">
        <f t="shared" ref="DI25" si="151">+DH25+1</f>
        <v>46133</v>
      </c>
      <c r="DJ25" s="11">
        <f t="shared" ref="DJ25" si="152">+DI25+1</f>
        <v>46134</v>
      </c>
      <c r="DK25" s="11">
        <f t="shared" ref="DK25" si="153">+DJ25+1</f>
        <v>46135</v>
      </c>
      <c r="DL25" s="11">
        <f t="shared" ref="DL25" si="154">+DK25+1</f>
        <v>46136</v>
      </c>
      <c r="DM25" s="11">
        <f t="shared" ref="DM25" si="155">+DL25+1</f>
        <v>46137</v>
      </c>
      <c r="DN25" s="11">
        <f t="shared" ref="DN25" si="156">+DM25+1</f>
        <v>46138</v>
      </c>
      <c r="DO25" s="11">
        <f t="shared" ref="DO25" si="157">+DN25+1</f>
        <v>46139</v>
      </c>
      <c r="DP25" s="11">
        <f t="shared" ref="DP25" si="158">+DO25+1</f>
        <v>46140</v>
      </c>
      <c r="DQ25" s="11">
        <f t="shared" ref="DQ25" si="159">+DP25+1</f>
        <v>46141</v>
      </c>
      <c r="DR25" s="11">
        <f t="shared" ref="DR25" si="160">+DQ25+1</f>
        <v>46142</v>
      </c>
      <c r="DS25" s="11">
        <f t="shared" ref="DS25" si="161">+DR25+1</f>
        <v>46143</v>
      </c>
      <c r="DT25" s="11">
        <f t="shared" ref="DT25" si="162">+DS25+1</f>
        <v>46144</v>
      </c>
      <c r="DU25" s="11">
        <f t="shared" ref="DU25" si="163">+DT25+1</f>
        <v>46145</v>
      </c>
      <c r="DV25" s="11">
        <f t="shared" ref="DV25" si="164">+DU25+1</f>
        <v>46146</v>
      </c>
      <c r="DW25" s="11">
        <f t="shared" ref="DW25" si="165">+DV25+1</f>
        <v>46147</v>
      </c>
      <c r="DX25" s="11">
        <f t="shared" ref="DX25" si="166">+DW25+1</f>
        <v>46148</v>
      </c>
      <c r="DY25" s="11">
        <f t="shared" ref="DY25" si="167">+DX25+1</f>
        <v>46149</v>
      </c>
      <c r="DZ25" s="11">
        <f t="shared" ref="DZ25" si="168">+DY25+1</f>
        <v>46150</v>
      </c>
      <c r="EA25" s="11">
        <f t="shared" ref="EA25" si="169">+DZ25+1</f>
        <v>46151</v>
      </c>
      <c r="EB25" s="11">
        <f t="shared" ref="EB25" si="170">+EA25+1</f>
        <v>46152</v>
      </c>
      <c r="EC25" s="11">
        <f t="shared" ref="EC25" si="171">+EB25+1</f>
        <v>46153</v>
      </c>
      <c r="ED25" s="11">
        <f t="shared" ref="ED25" si="172">+EC25+1</f>
        <v>46154</v>
      </c>
      <c r="EE25" s="11">
        <f t="shared" ref="EE25" si="173">+ED25+1</f>
        <v>46155</v>
      </c>
      <c r="EF25" s="11">
        <f t="shared" ref="EF25" si="174">+EE25+1</f>
        <v>46156</v>
      </c>
      <c r="EG25" s="11">
        <f t="shared" ref="EG25" si="175">+EF25+1</f>
        <v>46157</v>
      </c>
      <c r="EH25" s="11">
        <f t="shared" ref="EH25" si="176">+EG25+1</f>
        <v>46158</v>
      </c>
      <c r="EI25" s="11">
        <f t="shared" ref="EI25" si="177">+EH25+1</f>
        <v>46159</v>
      </c>
      <c r="EJ25" s="11">
        <f t="shared" ref="EJ25" si="178">+EI25+1</f>
        <v>46160</v>
      </c>
      <c r="EK25" s="11">
        <f t="shared" ref="EK25" si="179">+EJ25+1</f>
        <v>46161</v>
      </c>
      <c r="EL25" s="11">
        <f t="shared" ref="EL25" si="180">+EK25+1</f>
        <v>46162</v>
      </c>
      <c r="EM25" s="11">
        <f t="shared" ref="EM25" si="181">+EL25+1</f>
        <v>46163</v>
      </c>
      <c r="EN25" s="11">
        <f t="shared" ref="EN25" si="182">+EM25+1</f>
        <v>46164</v>
      </c>
      <c r="EO25" s="11">
        <f t="shared" ref="EO25" si="183">+EN25+1</f>
        <v>46165</v>
      </c>
      <c r="EP25" s="11">
        <f t="shared" ref="EP25" si="184">+EO25+1</f>
        <v>46166</v>
      </c>
      <c r="EQ25" s="11">
        <f t="shared" ref="EQ25" si="185">+EP25+1</f>
        <v>46167</v>
      </c>
      <c r="ER25" s="11">
        <f t="shared" ref="ER25" si="186">+EQ25+1</f>
        <v>46168</v>
      </c>
      <c r="ES25" s="11">
        <f t="shared" ref="ES25" si="187">+ER25+1</f>
        <v>46169</v>
      </c>
      <c r="ET25" s="11">
        <f t="shared" ref="ET25" si="188">+ES25+1</f>
        <v>46170</v>
      </c>
      <c r="EU25" s="11">
        <f t="shared" ref="EU25" si="189">+ET25+1</f>
        <v>46171</v>
      </c>
      <c r="EV25" s="11">
        <f t="shared" ref="EV25" si="190">+EU25+1</f>
        <v>46172</v>
      </c>
      <c r="EW25" s="11">
        <f t="shared" ref="EW25" si="191">+EV25+1</f>
        <v>46173</v>
      </c>
      <c r="EX25" s="11">
        <f t="shared" ref="EX25" si="192">+EW25+1</f>
        <v>46174</v>
      </c>
      <c r="EY25" s="11">
        <f t="shared" ref="EY25" si="193">+EX25+1</f>
        <v>46175</v>
      </c>
      <c r="EZ25" s="11">
        <f t="shared" ref="EZ25" si="194">+EY25+1</f>
        <v>46176</v>
      </c>
      <c r="FA25" s="11">
        <f t="shared" ref="FA25" si="195">+EZ25+1</f>
        <v>46177</v>
      </c>
      <c r="FB25" s="11">
        <f t="shared" ref="FB25" si="196">+FA25+1</f>
        <v>46178</v>
      </c>
      <c r="FC25" s="11">
        <f t="shared" ref="FC25" si="197">+FB25+1</f>
        <v>46179</v>
      </c>
      <c r="FD25" s="11">
        <f t="shared" ref="FD25" si="198">+FC25+1</f>
        <v>46180</v>
      </c>
      <c r="FE25" s="11">
        <f t="shared" ref="FE25" si="199">+FD25+1</f>
        <v>46181</v>
      </c>
      <c r="FF25" s="11">
        <f t="shared" ref="FF25" si="200">+FE25+1</f>
        <v>46182</v>
      </c>
      <c r="FG25" s="11">
        <f t="shared" ref="FG25" si="201">+FF25+1</f>
        <v>46183</v>
      </c>
      <c r="FH25" s="11">
        <f t="shared" ref="FH25" si="202">+FG25+1</f>
        <v>46184</v>
      </c>
      <c r="FI25" s="11">
        <f t="shared" ref="FI25" si="203">+FH25+1</f>
        <v>46185</v>
      </c>
      <c r="FJ25" s="11">
        <f t="shared" ref="FJ25" si="204">+FI25+1</f>
        <v>46186</v>
      </c>
      <c r="FK25" s="11">
        <f t="shared" ref="FK25" si="205">+FJ25+1</f>
        <v>46187</v>
      </c>
      <c r="FL25" s="11">
        <f t="shared" ref="FL25" si="206">+FK25+1</f>
        <v>46188</v>
      </c>
      <c r="FM25" s="11">
        <f t="shared" ref="FM25" si="207">+FL25+1</f>
        <v>46189</v>
      </c>
      <c r="FN25" s="11">
        <f t="shared" ref="FN25" si="208">+FM25+1</f>
        <v>46190</v>
      </c>
      <c r="FO25" s="11">
        <f t="shared" ref="FO25" si="209">+FN25+1</f>
        <v>46191</v>
      </c>
      <c r="FP25" s="11">
        <f t="shared" ref="FP25" si="210">+FO25+1</f>
        <v>46192</v>
      </c>
      <c r="FQ25" s="11">
        <f t="shared" ref="FQ25" si="211">+FP25+1</f>
        <v>46193</v>
      </c>
      <c r="FR25" s="11">
        <f t="shared" ref="FR25" si="212">+FQ25+1</f>
        <v>46194</v>
      </c>
      <c r="FS25" s="11">
        <f t="shared" ref="FS25" si="213">+FR25+1</f>
        <v>46195</v>
      </c>
      <c r="FT25" s="11">
        <f t="shared" ref="FT25" si="214">+FS25+1</f>
        <v>46196</v>
      </c>
      <c r="FU25" s="11">
        <f t="shared" ref="FU25" si="215">+FT25+1</f>
        <v>46197</v>
      </c>
      <c r="FV25" s="11">
        <f t="shared" ref="FV25" si="216">+FU25+1</f>
        <v>46198</v>
      </c>
      <c r="FW25" s="11">
        <f t="shared" ref="FW25" si="217">+FV25+1</f>
        <v>46199</v>
      </c>
      <c r="FX25" s="11">
        <f t="shared" ref="FX25" si="218">+FW25+1</f>
        <v>46200</v>
      </c>
      <c r="FY25" s="11">
        <f t="shared" ref="FY25" si="219">+FX25+1</f>
        <v>46201</v>
      </c>
      <c r="FZ25" s="11">
        <f t="shared" ref="FZ25" si="220">+FY25+1</f>
        <v>46202</v>
      </c>
      <c r="GA25" s="11">
        <f t="shared" ref="GA25" si="221">+FZ25+1</f>
        <v>46203</v>
      </c>
      <c r="GB25" s="11">
        <f t="shared" ref="GB25" si="222">+GA25+1</f>
        <v>46204</v>
      </c>
      <c r="GC25" s="11">
        <f t="shared" ref="GC25" si="223">+GB25+1</f>
        <v>46205</v>
      </c>
      <c r="GD25" s="11">
        <f t="shared" ref="GD25" si="224">+GC25+1</f>
        <v>46206</v>
      </c>
      <c r="GE25" s="11">
        <f t="shared" ref="GE25" si="225">+GD25+1</f>
        <v>46207</v>
      </c>
      <c r="GF25" s="11">
        <f t="shared" ref="GF25" si="226">+GE25+1</f>
        <v>46208</v>
      </c>
      <c r="GG25" s="11">
        <f t="shared" ref="GG25" si="227">+GF25+1</f>
        <v>46209</v>
      </c>
      <c r="GH25" s="11">
        <f t="shared" ref="GH25" si="228">+GG25+1</f>
        <v>46210</v>
      </c>
      <c r="GI25" s="11">
        <f t="shared" ref="GI25" si="229">+GH25+1</f>
        <v>46211</v>
      </c>
      <c r="GJ25" s="11">
        <f t="shared" ref="GJ25" si="230">+GI25+1</f>
        <v>46212</v>
      </c>
      <c r="GK25" s="11">
        <f t="shared" ref="GK25" si="231">+GJ25+1</f>
        <v>46213</v>
      </c>
      <c r="GL25" s="11">
        <f t="shared" ref="GL25" si="232">+GK25+1</f>
        <v>46214</v>
      </c>
      <c r="GM25" s="11">
        <f t="shared" ref="GM25" si="233">+GL25+1</f>
        <v>46215</v>
      </c>
      <c r="GN25" s="11">
        <f t="shared" ref="GN25" si="234">+GM25+1</f>
        <v>46216</v>
      </c>
      <c r="GO25" s="11">
        <f t="shared" ref="GO25" si="235">+GN25+1</f>
        <v>46217</v>
      </c>
      <c r="GP25" s="11">
        <f t="shared" ref="GP25" si="236">+GO25+1</f>
        <v>46218</v>
      </c>
      <c r="GQ25" s="11">
        <f t="shared" ref="GQ25" si="237">+GP25+1</f>
        <v>46219</v>
      </c>
      <c r="GR25" s="11">
        <f t="shared" ref="GR25" si="238">+GQ25+1</f>
        <v>46220</v>
      </c>
      <c r="GS25" s="11">
        <f t="shared" ref="GS25" si="239">+GR25+1</f>
        <v>46221</v>
      </c>
      <c r="GT25" s="11">
        <f t="shared" ref="GT25" si="240">+GS25+1</f>
        <v>46222</v>
      </c>
      <c r="GU25" s="11">
        <f t="shared" ref="GU25" si="241">+GT25+1</f>
        <v>46223</v>
      </c>
      <c r="GV25" s="11">
        <f t="shared" ref="GV25" si="242">+GU25+1</f>
        <v>46224</v>
      </c>
      <c r="GW25" s="11">
        <f t="shared" ref="GW25" si="243">+GV25+1</f>
        <v>46225</v>
      </c>
      <c r="GX25" s="11">
        <f t="shared" ref="GX25" si="244">+GW25+1</f>
        <v>46226</v>
      </c>
      <c r="GY25" s="11">
        <f t="shared" ref="GY25" si="245">+GX25+1</f>
        <v>46227</v>
      </c>
      <c r="GZ25" s="11">
        <f t="shared" ref="GZ25" si="246">+GY25+1</f>
        <v>46228</v>
      </c>
      <c r="HA25" s="11">
        <f t="shared" ref="HA25" si="247">+GZ25+1</f>
        <v>46229</v>
      </c>
      <c r="HB25" s="11">
        <f t="shared" ref="HB25" si="248">+HA25+1</f>
        <v>46230</v>
      </c>
      <c r="HC25" s="11">
        <f t="shared" ref="HC25" si="249">+HB25+1</f>
        <v>46231</v>
      </c>
      <c r="HD25" s="11">
        <f t="shared" ref="HD25" si="250">+HC25+1</f>
        <v>46232</v>
      </c>
      <c r="HE25" s="11">
        <f t="shared" ref="HE25" si="251">+HD25+1</f>
        <v>46233</v>
      </c>
      <c r="HF25" s="11">
        <f t="shared" ref="HF25" si="252">+HE25+1</f>
        <v>46234</v>
      </c>
      <c r="HG25" s="11">
        <f t="shared" ref="HG25" si="253">+HF25+1</f>
        <v>46235</v>
      </c>
      <c r="HH25" s="11">
        <f t="shared" ref="HH25" si="254">+HG25+1</f>
        <v>46236</v>
      </c>
      <c r="HI25" s="11">
        <f t="shared" ref="HI25" si="255">+HH25+1</f>
        <v>46237</v>
      </c>
      <c r="HJ25" s="11">
        <f t="shared" ref="HJ25" si="256">+HI25+1</f>
        <v>46238</v>
      </c>
      <c r="HK25" s="11">
        <f t="shared" ref="HK25" si="257">+HJ25+1</f>
        <v>46239</v>
      </c>
      <c r="HL25" s="11">
        <f t="shared" ref="HL25" si="258">+HK25+1</f>
        <v>46240</v>
      </c>
      <c r="HM25" s="11">
        <f t="shared" ref="HM25" si="259">+HL25+1</f>
        <v>46241</v>
      </c>
      <c r="HN25" s="11">
        <f t="shared" ref="HN25" si="260">+HM25+1</f>
        <v>46242</v>
      </c>
      <c r="HO25" s="11">
        <f t="shared" ref="HO25" si="261">+HN25+1</f>
        <v>46243</v>
      </c>
      <c r="HP25" s="11">
        <f t="shared" ref="HP25" si="262">+HO25+1</f>
        <v>46244</v>
      </c>
      <c r="HQ25" s="11">
        <f t="shared" ref="HQ25" si="263">+HP25+1</f>
        <v>46245</v>
      </c>
      <c r="HR25" s="11">
        <f t="shared" ref="HR25" si="264">+HQ25+1</f>
        <v>46246</v>
      </c>
      <c r="HS25" s="11">
        <f t="shared" ref="HS25" si="265">+HR25+1</f>
        <v>46247</v>
      </c>
      <c r="HT25" s="11">
        <f t="shared" ref="HT25" si="266">+HS25+1</f>
        <v>46248</v>
      </c>
      <c r="HU25" s="11">
        <f t="shared" ref="HU25" si="267">+HT25+1</f>
        <v>46249</v>
      </c>
      <c r="HV25" s="11">
        <f t="shared" ref="HV25" si="268">+HU25+1</f>
        <v>46250</v>
      </c>
      <c r="HW25" s="11">
        <f t="shared" ref="HW25" si="269">+HV25+1</f>
        <v>46251</v>
      </c>
      <c r="HX25" s="11">
        <f t="shared" ref="HX25" si="270">+HW25+1</f>
        <v>46252</v>
      </c>
      <c r="HY25" s="11">
        <f t="shared" ref="HY25" si="271">+HX25+1</f>
        <v>46253</v>
      </c>
      <c r="HZ25" s="11">
        <f t="shared" ref="HZ25" si="272">+HY25+1</f>
        <v>46254</v>
      </c>
      <c r="IA25" s="11">
        <f t="shared" ref="IA25" si="273">+HZ25+1</f>
        <v>46255</v>
      </c>
      <c r="IB25" s="11">
        <f t="shared" ref="IB25" si="274">+IA25+1</f>
        <v>46256</v>
      </c>
      <c r="IC25" s="11">
        <f t="shared" ref="IC25" si="275">+IB25+1</f>
        <v>46257</v>
      </c>
      <c r="ID25" s="11">
        <f t="shared" ref="ID25" si="276">+IC25+1</f>
        <v>46258</v>
      </c>
      <c r="IE25" s="11">
        <f t="shared" ref="IE25" si="277">+ID25+1</f>
        <v>46259</v>
      </c>
      <c r="IF25" s="11">
        <f t="shared" ref="IF25" si="278">+IE25+1</f>
        <v>46260</v>
      </c>
      <c r="IG25" s="11">
        <f t="shared" ref="IG25" si="279">+IF25+1</f>
        <v>46261</v>
      </c>
      <c r="IH25" s="11">
        <f t="shared" ref="IH25" si="280">+IG25+1</f>
        <v>46262</v>
      </c>
      <c r="II25" s="11">
        <f t="shared" ref="II25" si="281">+IH25+1</f>
        <v>46263</v>
      </c>
      <c r="IJ25" s="11">
        <f t="shared" ref="IJ25" si="282">+II25+1</f>
        <v>46264</v>
      </c>
      <c r="IK25" s="11">
        <f t="shared" ref="IK25" si="283">+IJ25+1</f>
        <v>46265</v>
      </c>
      <c r="IL25" s="11">
        <f t="shared" ref="IL25" si="284">+IK25+1</f>
        <v>46266</v>
      </c>
      <c r="IM25" s="11">
        <f t="shared" ref="IM25" si="285">+IL25+1</f>
        <v>46267</v>
      </c>
      <c r="IN25" s="11">
        <f t="shared" ref="IN25" si="286">+IM25+1</f>
        <v>46268</v>
      </c>
      <c r="IO25" s="11">
        <f t="shared" ref="IO25" si="287">+IN25+1</f>
        <v>46269</v>
      </c>
      <c r="IP25" s="11">
        <f t="shared" ref="IP25" si="288">+IO25+1</f>
        <v>46270</v>
      </c>
      <c r="IQ25" s="11">
        <f t="shared" ref="IQ25" si="289">+IP25+1</f>
        <v>46271</v>
      </c>
      <c r="IR25" s="11">
        <f t="shared" ref="IR25" si="290">+IQ25+1</f>
        <v>46272</v>
      </c>
      <c r="IS25" s="11">
        <f t="shared" ref="IS25" si="291">+IR25+1</f>
        <v>46273</v>
      </c>
      <c r="IT25" s="11">
        <f t="shared" ref="IT25" si="292">+IS25+1</f>
        <v>46274</v>
      </c>
      <c r="IU25" s="11">
        <f t="shared" ref="IU25" si="293">+IT25+1</f>
        <v>46275</v>
      </c>
      <c r="IV25" s="11">
        <f t="shared" ref="IV25" si="294">+IU25+1</f>
        <v>46276</v>
      </c>
      <c r="IW25" s="11">
        <f t="shared" ref="IW25" si="295">+IV25+1</f>
        <v>46277</v>
      </c>
      <c r="IX25" s="11">
        <f t="shared" ref="IX25" si="296">+IW25+1</f>
        <v>46278</v>
      </c>
      <c r="IY25" s="11">
        <f t="shared" ref="IY25" si="297">+IX25+1</f>
        <v>46279</v>
      </c>
      <c r="IZ25" s="11">
        <f t="shared" ref="IZ25" si="298">+IY25+1</f>
        <v>46280</v>
      </c>
      <c r="JA25" s="11">
        <f t="shared" ref="JA25" si="299">+IZ25+1</f>
        <v>46281</v>
      </c>
      <c r="JB25" s="11">
        <f t="shared" ref="JB25" si="300">+JA25+1</f>
        <v>46282</v>
      </c>
      <c r="JC25" s="11">
        <f t="shared" ref="JC25" si="301">+JB25+1</f>
        <v>46283</v>
      </c>
      <c r="JD25" s="11">
        <f t="shared" ref="JD25" si="302">+JC25+1</f>
        <v>46284</v>
      </c>
      <c r="JE25" s="11">
        <f t="shared" ref="JE25" si="303">+JD25+1</f>
        <v>46285</v>
      </c>
      <c r="JF25" s="11">
        <f t="shared" ref="JF25" si="304">+JE25+1</f>
        <v>46286</v>
      </c>
      <c r="JG25" s="11">
        <f t="shared" ref="JG25" si="305">+JF25+1</f>
        <v>46287</v>
      </c>
      <c r="JH25" s="11">
        <f t="shared" ref="JH25" si="306">+JG25+1</f>
        <v>46288</v>
      </c>
      <c r="JI25" s="11">
        <f t="shared" ref="JI25" si="307">+JH25+1</f>
        <v>46289</v>
      </c>
      <c r="JJ25" s="11">
        <f t="shared" ref="JJ25" si="308">+JI25+1</f>
        <v>46290</v>
      </c>
      <c r="JK25" s="11">
        <f t="shared" ref="JK25" si="309">+JJ25+1</f>
        <v>46291</v>
      </c>
      <c r="JL25" s="11">
        <f t="shared" ref="JL25" si="310">+JK25+1</f>
        <v>46292</v>
      </c>
      <c r="JM25" s="11">
        <f t="shared" ref="JM25" si="311">+JL25+1</f>
        <v>46293</v>
      </c>
      <c r="JN25" s="11">
        <f t="shared" ref="JN25" si="312">+JM25+1</f>
        <v>46294</v>
      </c>
      <c r="JO25" s="11">
        <f t="shared" ref="JO25" si="313">+JN25+1</f>
        <v>46295</v>
      </c>
      <c r="JP25" s="11">
        <f t="shared" ref="JP25" si="314">+JO25+1</f>
        <v>46296</v>
      </c>
      <c r="JQ25" s="11">
        <f t="shared" ref="JQ25" si="315">+JP25+1</f>
        <v>46297</v>
      </c>
      <c r="JR25" s="11">
        <f t="shared" ref="JR25" si="316">+JQ25+1</f>
        <v>46298</v>
      </c>
      <c r="JS25" s="11">
        <f t="shared" ref="JS25" si="317">+JR25+1</f>
        <v>46299</v>
      </c>
      <c r="JT25" s="11">
        <f t="shared" ref="JT25" si="318">+JS25+1</f>
        <v>46300</v>
      </c>
      <c r="JU25" s="11">
        <f t="shared" ref="JU25" si="319">+JT25+1</f>
        <v>46301</v>
      </c>
      <c r="JV25" s="11">
        <f t="shared" ref="JV25" si="320">+JU25+1</f>
        <v>46302</v>
      </c>
      <c r="JW25" s="11">
        <f t="shared" ref="JW25" si="321">+JV25+1</f>
        <v>46303</v>
      </c>
      <c r="JX25" s="11">
        <f t="shared" ref="JX25" si="322">+JW25+1</f>
        <v>46304</v>
      </c>
      <c r="JY25" s="11">
        <f t="shared" ref="JY25" si="323">+JX25+1</f>
        <v>46305</v>
      </c>
      <c r="JZ25" s="11">
        <f t="shared" ref="JZ25" si="324">+JY25+1</f>
        <v>46306</v>
      </c>
      <c r="KA25" s="11">
        <f t="shared" ref="KA25" si="325">+JZ25+1</f>
        <v>46307</v>
      </c>
      <c r="KB25" s="11">
        <f t="shared" ref="KB25" si="326">+KA25+1</f>
        <v>46308</v>
      </c>
      <c r="KC25" s="11">
        <f t="shared" ref="KC25" si="327">+KB25+1</f>
        <v>46309</v>
      </c>
      <c r="KD25" s="11">
        <f t="shared" ref="KD25" si="328">+KC25+1</f>
        <v>46310</v>
      </c>
      <c r="KE25" s="11">
        <f t="shared" ref="KE25" si="329">+KD25+1</f>
        <v>46311</v>
      </c>
      <c r="KF25" s="11">
        <f t="shared" ref="KF25" si="330">+KE25+1</f>
        <v>46312</v>
      </c>
      <c r="KG25" s="11">
        <f t="shared" ref="KG25" si="331">+KF25+1</f>
        <v>46313</v>
      </c>
      <c r="KH25" s="11">
        <f t="shared" ref="KH25" si="332">+KG25+1</f>
        <v>46314</v>
      </c>
      <c r="KI25" s="11">
        <f t="shared" ref="KI25" si="333">+KH25+1</f>
        <v>46315</v>
      </c>
      <c r="KJ25" s="11">
        <f t="shared" ref="KJ25" si="334">+KI25+1</f>
        <v>46316</v>
      </c>
      <c r="KK25" s="11">
        <f t="shared" ref="KK25" si="335">+KJ25+1</f>
        <v>46317</v>
      </c>
      <c r="KL25" s="11">
        <f t="shared" ref="KL25" si="336">+KK25+1</f>
        <v>46318</v>
      </c>
      <c r="KM25" s="11">
        <f t="shared" ref="KM25" si="337">+KL25+1</f>
        <v>46319</v>
      </c>
      <c r="KN25" s="11">
        <f t="shared" ref="KN25" si="338">+KM25+1</f>
        <v>46320</v>
      </c>
      <c r="KO25" s="11">
        <f t="shared" ref="KO25" si="339">+KN25+1</f>
        <v>46321</v>
      </c>
      <c r="KP25" s="11">
        <f t="shared" ref="KP25" si="340">+KO25+1</f>
        <v>46322</v>
      </c>
      <c r="KQ25" s="11">
        <f t="shared" ref="KQ25" si="341">+KP25+1</f>
        <v>46323</v>
      </c>
      <c r="KR25" s="11">
        <f t="shared" ref="KR25" si="342">+KQ25+1</f>
        <v>46324</v>
      </c>
      <c r="KS25" s="11">
        <f t="shared" ref="KS25" si="343">+KR25+1</f>
        <v>46325</v>
      </c>
      <c r="KT25" s="11">
        <f t="shared" ref="KT25" si="344">+KS25+1</f>
        <v>46326</v>
      </c>
      <c r="KU25" s="11">
        <f t="shared" ref="KU25" si="345">+KT25+1</f>
        <v>46327</v>
      </c>
      <c r="KV25" s="11">
        <f t="shared" ref="KV25" si="346">+KU25+1</f>
        <v>46328</v>
      </c>
      <c r="KW25" s="11">
        <f t="shared" ref="KW25" si="347">+KV25+1</f>
        <v>46329</v>
      </c>
      <c r="KX25" s="11">
        <f t="shared" ref="KX25" si="348">+KW25+1</f>
        <v>46330</v>
      </c>
      <c r="KY25" s="11">
        <f t="shared" ref="KY25" si="349">+KX25+1</f>
        <v>46331</v>
      </c>
      <c r="KZ25" s="11">
        <f t="shared" ref="KZ25" si="350">+KY25+1</f>
        <v>46332</v>
      </c>
      <c r="LA25" s="11">
        <f t="shared" ref="LA25" si="351">+KZ25+1</f>
        <v>46333</v>
      </c>
      <c r="LB25" s="11">
        <f t="shared" ref="LB25" si="352">+LA25+1</f>
        <v>46334</v>
      </c>
      <c r="LC25" s="11">
        <f t="shared" ref="LC25" si="353">+LB25+1</f>
        <v>46335</v>
      </c>
      <c r="LD25" s="11">
        <f t="shared" ref="LD25" si="354">+LC25+1</f>
        <v>46336</v>
      </c>
      <c r="LE25" s="11">
        <f t="shared" ref="LE25" si="355">+LD25+1</f>
        <v>46337</v>
      </c>
      <c r="LF25" s="11">
        <f t="shared" ref="LF25" si="356">+LE25+1</f>
        <v>46338</v>
      </c>
      <c r="LG25" s="11">
        <f t="shared" ref="LG25" si="357">+LF25+1</f>
        <v>46339</v>
      </c>
      <c r="LH25" s="11">
        <f t="shared" ref="LH25" si="358">+LG25+1</f>
        <v>46340</v>
      </c>
      <c r="LI25" s="11">
        <f t="shared" ref="LI25" si="359">+LH25+1</f>
        <v>46341</v>
      </c>
      <c r="LJ25" s="11">
        <f t="shared" ref="LJ25" si="360">+LI25+1</f>
        <v>46342</v>
      </c>
      <c r="LK25" s="11">
        <f t="shared" ref="LK25" si="361">+LJ25+1</f>
        <v>46343</v>
      </c>
      <c r="LL25" s="11">
        <f t="shared" ref="LL25" si="362">+LK25+1</f>
        <v>46344</v>
      </c>
      <c r="LM25" s="11">
        <f t="shared" ref="LM25" si="363">+LL25+1</f>
        <v>46345</v>
      </c>
      <c r="LN25" s="11">
        <f t="shared" ref="LN25" si="364">+LM25+1</f>
        <v>46346</v>
      </c>
      <c r="LO25" s="11">
        <f t="shared" ref="LO25" si="365">+LN25+1</f>
        <v>46347</v>
      </c>
      <c r="LP25" s="11">
        <f t="shared" ref="LP25" si="366">+LO25+1</f>
        <v>46348</v>
      </c>
      <c r="LQ25" s="11">
        <f t="shared" ref="LQ25" si="367">+LP25+1</f>
        <v>46349</v>
      </c>
      <c r="LR25" s="11">
        <f t="shared" ref="LR25" si="368">+LQ25+1</f>
        <v>46350</v>
      </c>
      <c r="LS25" s="11">
        <f t="shared" ref="LS25" si="369">+LR25+1</f>
        <v>46351</v>
      </c>
      <c r="LT25" s="11">
        <f t="shared" ref="LT25" si="370">+LS25+1</f>
        <v>46352</v>
      </c>
      <c r="LU25" s="11">
        <f t="shared" ref="LU25" si="371">+LT25+1</f>
        <v>46353</v>
      </c>
      <c r="LV25" s="11">
        <f t="shared" ref="LV25" si="372">+LU25+1</f>
        <v>46354</v>
      </c>
      <c r="LW25" s="11">
        <f t="shared" ref="LW25" si="373">+LV25+1</f>
        <v>46355</v>
      </c>
      <c r="LX25" s="11">
        <f t="shared" ref="LX25" si="374">+LW25+1</f>
        <v>46356</v>
      </c>
      <c r="LY25" s="11">
        <f t="shared" ref="LY25" si="375">+LX25+1</f>
        <v>46357</v>
      </c>
      <c r="LZ25" s="11">
        <f t="shared" ref="LZ25" si="376">+LY25+1</f>
        <v>46358</v>
      </c>
      <c r="MA25" s="11">
        <f t="shared" ref="MA25" si="377">+LZ25+1</f>
        <v>46359</v>
      </c>
      <c r="MB25" s="11">
        <f t="shared" ref="MB25" si="378">+MA25+1</f>
        <v>46360</v>
      </c>
      <c r="MC25" s="11">
        <f t="shared" ref="MC25" si="379">+MB25+1</f>
        <v>46361</v>
      </c>
      <c r="MD25" s="11">
        <f t="shared" ref="MD25" si="380">+MC25+1</f>
        <v>46362</v>
      </c>
      <c r="ME25" s="11">
        <f t="shared" ref="ME25" si="381">+MD25+1</f>
        <v>46363</v>
      </c>
      <c r="MF25" s="11">
        <f t="shared" ref="MF25" si="382">+ME25+1</f>
        <v>46364</v>
      </c>
      <c r="MG25" s="11">
        <f t="shared" ref="MG25" si="383">+MF25+1</f>
        <v>46365</v>
      </c>
      <c r="MH25" s="11">
        <f t="shared" ref="MH25" si="384">+MG25+1</f>
        <v>46366</v>
      </c>
      <c r="MI25" s="11">
        <f t="shared" ref="MI25" si="385">+MH25+1</f>
        <v>46367</v>
      </c>
      <c r="MJ25" s="11">
        <f t="shared" ref="MJ25" si="386">+MI25+1</f>
        <v>46368</v>
      </c>
      <c r="MK25" s="11">
        <f t="shared" ref="MK25" si="387">+MJ25+1</f>
        <v>46369</v>
      </c>
      <c r="ML25" s="11">
        <f t="shared" ref="ML25" si="388">+MK25+1</f>
        <v>46370</v>
      </c>
      <c r="MM25" s="11">
        <f t="shared" ref="MM25" si="389">+ML25+1</f>
        <v>46371</v>
      </c>
      <c r="MN25" s="11">
        <f t="shared" ref="MN25" si="390">+MM25+1</f>
        <v>46372</v>
      </c>
      <c r="MO25" s="11">
        <f t="shared" ref="MO25" si="391">+MN25+1</f>
        <v>46373</v>
      </c>
      <c r="MP25" s="11">
        <f t="shared" ref="MP25" si="392">+MO25+1</f>
        <v>46374</v>
      </c>
      <c r="MQ25" s="11">
        <f t="shared" ref="MQ25" si="393">+MP25+1</f>
        <v>46375</v>
      </c>
      <c r="MR25" s="11">
        <f t="shared" ref="MR25" si="394">+MQ25+1</f>
        <v>46376</v>
      </c>
      <c r="MS25" s="11">
        <f t="shared" ref="MS25" si="395">+MR25+1</f>
        <v>46377</v>
      </c>
      <c r="MT25" s="11">
        <f t="shared" ref="MT25" si="396">+MS25+1</f>
        <v>46378</v>
      </c>
      <c r="MU25" s="11">
        <f t="shared" ref="MU25" si="397">+MT25+1</f>
        <v>46379</v>
      </c>
      <c r="MV25" s="11">
        <f t="shared" ref="MV25" si="398">+MU25+1</f>
        <v>46380</v>
      </c>
      <c r="MW25" s="11">
        <f t="shared" ref="MW25" si="399">+MV25+1</f>
        <v>46381</v>
      </c>
      <c r="MX25" s="11">
        <f t="shared" ref="MX25" si="400">+MW25+1</f>
        <v>46382</v>
      </c>
      <c r="MY25" s="11">
        <f t="shared" ref="MY25" si="401">+MX25+1</f>
        <v>46383</v>
      </c>
      <c r="MZ25" s="11">
        <f t="shared" ref="MZ25" si="402">+MY25+1</f>
        <v>46384</v>
      </c>
      <c r="NA25" s="11">
        <f t="shared" ref="NA25" si="403">+MZ25+1</f>
        <v>46385</v>
      </c>
      <c r="NB25" s="11">
        <f t="shared" ref="NB25" si="404">+NA25+1</f>
        <v>46386</v>
      </c>
      <c r="NC25" s="11">
        <f t="shared" ref="NC25" si="405">+NB25+1</f>
        <v>46387</v>
      </c>
    </row>
    <row r="26" spans="1:367">
      <c r="A26" s="12"/>
      <c r="B26" s="12" t="s">
        <v>10</v>
      </c>
      <c r="C26" s="8" t="s">
        <v>54</v>
      </c>
      <c r="D26" s="8" t="s">
        <v>54</v>
      </c>
      <c r="E26" s="8" t="s">
        <v>54</v>
      </c>
      <c r="F26" s="8" t="s">
        <v>54</v>
      </c>
      <c r="G26" s="8" t="s">
        <v>425</v>
      </c>
      <c r="H26" s="8" t="s">
        <v>425</v>
      </c>
      <c r="I26" s="8" t="s">
        <v>425</v>
      </c>
      <c r="J26" s="8" t="s">
        <v>425</v>
      </c>
      <c r="K26" s="8" t="s">
        <v>425</v>
      </c>
      <c r="L26" s="8" t="s">
        <v>425</v>
      </c>
      <c r="M26" s="8" t="s">
        <v>425</v>
      </c>
      <c r="N26" s="8" t="s">
        <v>2</v>
      </c>
      <c r="O26" s="8" t="s">
        <v>2</v>
      </c>
      <c r="P26" s="8" t="s">
        <v>2</v>
      </c>
      <c r="Q26" s="8" t="s">
        <v>2</v>
      </c>
      <c r="R26" s="8" t="s">
        <v>2</v>
      </c>
      <c r="S26" s="8" t="s">
        <v>2</v>
      </c>
      <c r="T26" s="8" t="s">
        <v>2</v>
      </c>
      <c r="U26" s="8" t="s">
        <v>3</v>
      </c>
      <c r="V26" s="8" t="s">
        <v>3</v>
      </c>
      <c r="W26" s="8" t="s">
        <v>3</v>
      </c>
      <c r="X26" s="8" t="s">
        <v>3</v>
      </c>
      <c r="Y26" s="8" t="s">
        <v>3</v>
      </c>
      <c r="Z26" s="8" t="s">
        <v>3</v>
      </c>
      <c r="AA26" s="8" t="s">
        <v>3</v>
      </c>
      <c r="AB26" s="8" t="s">
        <v>4</v>
      </c>
      <c r="AC26" s="8" t="s">
        <v>4</v>
      </c>
      <c r="AD26" s="8" t="s">
        <v>4</v>
      </c>
      <c r="AE26" s="8" t="s">
        <v>4</v>
      </c>
      <c r="AF26" s="8" t="s">
        <v>4</v>
      </c>
      <c r="AG26" s="8" t="s">
        <v>4</v>
      </c>
      <c r="AH26" s="8" t="s">
        <v>4</v>
      </c>
      <c r="AI26" s="8" t="s">
        <v>5</v>
      </c>
      <c r="AJ26" s="8" t="s">
        <v>5</v>
      </c>
      <c r="AK26" s="8" t="s">
        <v>5</v>
      </c>
      <c r="AL26" s="8" t="s">
        <v>5</v>
      </c>
      <c r="AM26" s="8" t="s">
        <v>5</v>
      </c>
      <c r="AN26" s="8" t="s">
        <v>5</v>
      </c>
      <c r="AO26" s="8" t="s">
        <v>5</v>
      </c>
      <c r="AP26" s="8" t="s">
        <v>6</v>
      </c>
      <c r="AQ26" s="8" t="s">
        <v>6</v>
      </c>
      <c r="AR26" s="8" t="s">
        <v>6</v>
      </c>
      <c r="AS26" s="8" t="s">
        <v>6</v>
      </c>
      <c r="AT26" s="8" t="s">
        <v>6</v>
      </c>
      <c r="AU26" s="8" t="s">
        <v>6</v>
      </c>
      <c r="AV26" s="8" t="s">
        <v>6</v>
      </c>
      <c r="AW26" s="8" t="s">
        <v>7</v>
      </c>
      <c r="AX26" s="8" t="s">
        <v>7</v>
      </c>
      <c r="AY26" s="8" t="s">
        <v>7</v>
      </c>
      <c r="AZ26" s="8" t="s">
        <v>7</v>
      </c>
      <c r="BA26" s="8" t="s">
        <v>7</v>
      </c>
      <c r="BB26" s="8" t="s">
        <v>7</v>
      </c>
      <c r="BC26" s="8" t="s">
        <v>7</v>
      </c>
      <c r="BD26" s="8" t="s">
        <v>8</v>
      </c>
      <c r="BE26" s="8" t="s">
        <v>8</v>
      </c>
      <c r="BF26" s="8" t="s">
        <v>8</v>
      </c>
      <c r="BG26" s="8" t="s">
        <v>8</v>
      </c>
      <c r="BH26" s="8" t="s">
        <v>8</v>
      </c>
      <c r="BI26" s="8" t="s">
        <v>8</v>
      </c>
      <c r="BJ26" s="8" t="s">
        <v>8</v>
      </c>
      <c r="BK26" s="8" t="s">
        <v>11</v>
      </c>
      <c r="BL26" s="8" t="s">
        <v>11</v>
      </c>
      <c r="BM26" s="8" t="s">
        <v>11</v>
      </c>
      <c r="BN26" s="8" t="s">
        <v>11</v>
      </c>
      <c r="BO26" s="8" t="s">
        <v>11</v>
      </c>
      <c r="BP26" s="8" t="s">
        <v>11</v>
      </c>
      <c r="BQ26" s="8" t="s">
        <v>11</v>
      </c>
      <c r="BR26" s="8" t="s">
        <v>12</v>
      </c>
      <c r="BS26" s="8" t="s">
        <v>12</v>
      </c>
      <c r="BT26" s="8" t="s">
        <v>12</v>
      </c>
      <c r="BU26" s="8" t="s">
        <v>12</v>
      </c>
      <c r="BV26" s="8" t="s">
        <v>12</v>
      </c>
      <c r="BW26" s="8" t="s">
        <v>12</v>
      </c>
      <c r="BX26" s="8" t="s">
        <v>12</v>
      </c>
      <c r="BY26" s="8" t="s">
        <v>13</v>
      </c>
      <c r="BZ26" s="8" t="s">
        <v>13</v>
      </c>
      <c r="CA26" s="8" t="s">
        <v>13</v>
      </c>
      <c r="CB26" s="8" t="s">
        <v>13</v>
      </c>
      <c r="CC26" s="8" t="s">
        <v>13</v>
      </c>
      <c r="CD26" s="8" t="s">
        <v>13</v>
      </c>
      <c r="CE26" s="8" t="s">
        <v>13</v>
      </c>
      <c r="CF26" s="8" t="s">
        <v>14</v>
      </c>
      <c r="CG26" s="8" t="s">
        <v>14</v>
      </c>
      <c r="CH26" s="8" t="s">
        <v>14</v>
      </c>
      <c r="CI26" s="8" t="s">
        <v>14</v>
      </c>
      <c r="CJ26" s="8" t="s">
        <v>14</v>
      </c>
      <c r="CK26" s="8" t="s">
        <v>14</v>
      </c>
      <c r="CL26" s="8" t="s">
        <v>14</v>
      </c>
      <c r="CM26" s="8" t="s">
        <v>15</v>
      </c>
      <c r="CN26" s="8" t="s">
        <v>15</v>
      </c>
      <c r="CO26" s="8" t="s">
        <v>15</v>
      </c>
      <c r="CP26" s="8" t="s">
        <v>15</v>
      </c>
      <c r="CQ26" s="8" t="s">
        <v>15</v>
      </c>
      <c r="CR26" s="8" t="s">
        <v>15</v>
      </c>
      <c r="CS26" s="8" t="s">
        <v>15</v>
      </c>
      <c r="CT26" s="8" t="s">
        <v>16</v>
      </c>
      <c r="CU26" s="8" t="s">
        <v>16</v>
      </c>
      <c r="CV26" s="8" t="s">
        <v>16</v>
      </c>
      <c r="CW26" s="8" t="s">
        <v>16</v>
      </c>
      <c r="CX26" s="8" t="s">
        <v>16</v>
      </c>
      <c r="CY26" s="8" t="s">
        <v>16</v>
      </c>
      <c r="CZ26" s="8" t="s">
        <v>16</v>
      </c>
      <c r="DA26" s="8" t="s">
        <v>17</v>
      </c>
      <c r="DB26" s="8" t="s">
        <v>17</v>
      </c>
      <c r="DC26" s="8" t="s">
        <v>17</v>
      </c>
      <c r="DD26" s="8" t="s">
        <v>17</v>
      </c>
      <c r="DE26" s="8" t="s">
        <v>17</v>
      </c>
      <c r="DF26" s="8" t="s">
        <v>17</v>
      </c>
      <c r="DG26" s="8" t="s">
        <v>17</v>
      </c>
      <c r="DH26" s="8" t="s">
        <v>18</v>
      </c>
      <c r="DI26" s="8" t="s">
        <v>18</v>
      </c>
      <c r="DJ26" s="8" t="s">
        <v>18</v>
      </c>
      <c r="DK26" s="8" t="s">
        <v>18</v>
      </c>
      <c r="DL26" s="8" t="s">
        <v>18</v>
      </c>
      <c r="DM26" s="8" t="s">
        <v>18</v>
      </c>
      <c r="DN26" s="8" t="s">
        <v>18</v>
      </c>
      <c r="DO26" s="8" t="s">
        <v>19</v>
      </c>
      <c r="DP26" s="8" t="s">
        <v>19</v>
      </c>
      <c r="DQ26" s="8" t="s">
        <v>19</v>
      </c>
      <c r="DR26" s="8" t="s">
        <v>19</v>
      </c>
      <c r="DS26" s="8" t="s">
        <v>19</v>
      </c>
      <c r="DT26" s="8" t="s">
        <v>19</v>
      </c>
      <c r="DU26" s="8" t="s">
        <v>19</v>
      </c>
      <c r="DV26" s="8" t="s">
        <v>20</v>
      </c>
      <c r="DW26" s="8" t="s">
        <v>20</v>
      </c>
      <c r="DX26" s="8" t="s">
        <v>20</v>
      </c>
      <c r="DY26" s="8" t="s">
        <v>20</v>
      </c>
      <c r="DZ26" s="8" t="s">
        <v>20</v>
      </c>
      <c r="EA26" s="8" t="s">
        <v>20</v>
      </c>
      <c r="EB26" s="8" t="s">
        <v>20</v>
      </c>
      <c r="EC26" s="8" t="s">
        <v>21</v>
      </c>
      <c r="ED26" s="8" t="s">
        <v>21</v>
      </c>
      <c r="EE26" s="8" t="s">
        <v>21</v>
      </c>
      <c r="EF26" s="8" t="s">
        <v>21</v>
      </c>
      <c r="EG26" s="8" t="s">
        <v>21</v>
      </c>
      <c r="EH26" s="8" t="s">
        <v>21</v>
      </c>
      <c r="EI26" s="8" t="s">
        <v>21</v>
      </c>
      <c r="EJ26" s="8" t="s">
        <v>22</v>
      </c>
      <c r="EK26" s="8" t="s">
        <v>22</v>
      </c>
      <c r="EL26" s="8" t="s">
        <v>22</v>
      </c>
      <c r="EM26" s="8" t="s">
        <v>22</v>
      </c>
      <c r="EN26" s="8" t="s">
        <v>22</v>
      </c>
      <c r="EO26" s="8" t="s">
        <v>22</v>
      </c>
      <c r="EP26" s="8" t="s">
        <v>22</v>
      </c>
      <c r="EQ26" s="8" t="s">
        <v>23</v>
      </c>
      <c r="ER26" s="8" t="s">
        <v>23</v>
      </c>
      <c r="ES26" s="8" t="s">
        <v>23</v>
      </c>
      <c r="ET26" s="8" t="s">
        <v>23</v>
      </c>
      <c r="EU26" s="8" t="s">
        <v>23</v>
      </c>
      <c r="EV26" s="8" t="s">
        <v>23</v>
      </c>
      <c r="EW26" s="8" t="s">
        <v>23</v>
      </c>
      <c r="EX26" s="8" t="s">
        <v>24</v>
      </c>
      <c r="EY26" s="8" t="s">
        <v>24</v>
      </c>
      <c r="EZ26" s="8" t="s">
        <v>24</v>
      </c>
      <c r="FA26" s="8" t="s">
        <v>24</v>
      </c>
      <c r="FB26" s="8" t="s">
        <v>24</v>
      </c>
      <c r="FC26" s="8" t="s">
        <v>24</v>
      </c>
      <c r="FD26" s="8" t="s">
        <v>24</v>
      </c>
      <c r="FE26" s="8" t="s">
        <v>25</v>
      </c>
      <c r="FF26" s="8" t="s">
        <v>25</v>
      </c>
      <c r="FG26" s="8" t="s">
        <v>25</v>
      </c>
      <c r="FH26" s="8" t="s">
        <v>25</v>
      </c>
      <c r="FI26" s="8" t="s">
        <v>25</v>
      </c>
      <c r="FJ26" s="8" t="s">
        <v>25</v>
      </c>
      <c r="FK26" s="8" t="s">
        <v>25</v>
      </c>
      <c r="FL26" s="8" t="s">
        <v>26</v>
      </c>
      <c r="FM26" s="8" t="s">
        <v>26</v>
      </c>
      <c r="FN26" s="8" t="s">
        <v>26</v>
      </c>
      <c r="FO26" s="8" t="s">
        <v>26</v>
      </c>
      <c r="FP26" s="8" t="s">
        <v>26</v>
      </c>
      <c r="FQ26" s="8" t="s">
        <v>26</v>
      </c>
      <c r="FR26" s="8" t="s">
        <v>26</v>
      </c>
      <c r="FS26" s="8" t="s">
        <v>27</v>
      </c>
      <c r="FT26" s="8" t="s">
        <v>27</v>
      </c>
      <c r="FU26" s="8" t="s">
        <v>27</v>
      </c>
      <c r="FV26" s="8" t="s">
        <v>27</v>
      </c>
      <c r="FW26" s="8" t="s">
        <v>27</v>
      </c>
      <c r="FX26" s="8" t="s">
        <v>27</v>
      </c>
      <c r="FY26" s="8" t="s">
        <v>27</v>
      </c>
      <c r="FZ26" s="8" t="s">
        <v>28</v>
      </c>
      <c r="GA26" s="8" t="s">
        <v>28</v>
      </c>
      <c r="GB26" s="8" t="s">
        <v>28</v>
      </c>
      <c r="GC26" s="8" t="s">
        <v>28</v>
      </c>
      <c r="GD26" s="8" t="s">
        <v>28</v>
      </c>
      <c r="GE26" s="8" t="s">
        <v>28</v>
      </c>
      <c r="GF26" s="8" t="s">
        <v>28</v>
      </c>
      <c r="GG26" s="8" t="s">
        <v>29</v>
      </c>
      <c r="GH26" s="8" t="s">
        <v>29</v>
      </c>
      <c r="GI26" s="8" t="s">
        <v>29</v>
      </c>
      <c r="GJ26" s="8" t="s">
        <v>29</v>
      </c>
      <c r="GK26" s="8" t="s">
        <v>29</v>
      </c>
      <c r="GL26" s="8" t="s">
        <v>29</v>
      </c>
      <c r="GM26" s="8" t="s">
        <v>29</v>
      </c>
      <c r="GN26" s="8" t="s">
        <v>30</v>
      </c>
      <c r="GO26" s="8" t="s">
        <v>30</v>
      </c>
      <c r="GP26" s="8" t="s">
        <v>30</v>
      </c>
      <c r="GQ26" s="8" t="s">
        <v>30</v>
      </c>
      <c r="GR26" s="8" t="s">
        <v>30</v>
      </c>
      <c r="GS26" s="8" t="s">
        <v>30</v>
      </c>
      <c r="GT26" s="8" t="s">
        <v>30</v>
      </c>
      <c r="HK26" s="20"/>
      <c r="JU26" s="20"/>
      <c r="KB26" s="20"/>
      <c r="KI26" s="20"/>
      <c r="KU26" s="36"/>
      <c r="LE26" s="20"/>
      <c r="LF26" s="20"/>
      <c r="LK26" s="20"/>
      <c r="LR26" s="20"/>
      <c r="LY26" s="20"/>
      <c r="LZ26" s="1"/>
      <c r="MA26" s="1"/>
      <c r="MB26" s="1"/>
      <c r="MC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34"/>
      <c r="MQ26" s="1"/>
      <c r="MR26" s="1"/>
      <c r="MS26" s="1"/>
      <c r="MT26" s="20"/>
    </row>
    <row r="27" spans="1:367">
      <c r="A27" s="13">
        <f>+SUM(C27:NC27)</f>
        <v>14097.583333333332</v>
      </c>
      <c r="B27" s="14" t="s">
        <v>427</v>
      </c>
      <c r="C27" s="3"/>
      <c r="D27" s="3">
        <v>96.833333333333343</v>
      </c>
      <c r="E27" s="3">
        <v>84</v>
      </c>
      <c r="F27" s="3"/>
      <c r="G27" s="3">
        <v>97.5</v>
      </c>
      <c r="H27" s="3">
        <v>97.5</v>
      </c>
      <c r="I27" s="3">
        <v>88.5</v>
      </c>
      <c r="J27" s="3">
        <v>90</v>
      </c>
      <c r="K27" s="3">
        <v>97.5</v>
      </c>
      <c r="L27" s="3">
        <v>82.5</v>
      </c>
      <c r="N27" s="3">
        <v>78.666666666666671</v>
      </c>
      <c r="O27" s="3">
        <v>81.833333333333329</v>
      </c>
      <c r="P27" s="3">
        <v>67.5</v>
      </c>
      <c r="Q27" s="3">
        <v>82.5</v>
      </c>
      <c r="R27" s="3">
        <v>82.5</v>
      </c>
      <c r="S27" s="3">
        <v>88.75</v>
      </c>
      <c r="U27" s="3">
        <v>90</v>
      </c>
      <c r="V27" s="3">
        <v>90</v>
      </c>
      <c r="W27" s="3">
        <v>90</v>
      </c>
      <c r="X27" s="3">
        <v>97.166666666666671</v>
      </c>
      <c r="Y27" s="3">
        <v>97.5</v>
      </c>
      <c r="Z27" s="3">
        <v>93.583333333333329</v>
      </c>
      <c r="AB27" s="3">
        <v>95.25</v>
      </c>
      <c r="AC27" s="3">
        <v>97.5</v>
      </c>
      <c r="AD27" s="3">
        <v>97.5</v>
      </c>
      <c r="AE27" s="3">
        <v>97.5</v>
      </c>
      <c r="AF27" s="3">
        <v>90</v>
      </c>
      <c r="AG27" s="3">
        <v>91.416666666666671</v>
      </c>
      <c r="AI27" s="3">
        <v>87.916666666666671</v>
      </c>
      <c r="AJ27" s="3">
        <v>96.833333333333329</v>
      </c>
      <c r="AK27" s="3">
        <v>90</v>
      </c>
      <c r="AL27" s="3">
        <v>82.5</v>
      </c>
      <c r="AM27" s="3">
        <v>89.416666666666671</v>
      </c>
      <c r="AN27" s="3">
        <v>86.250000000000014</v>
      </c>
      <c r="AO27" s="3"/>
      <c r="AP27" s="2">
        <v>90</v>
      </c>
      <c r="AQ27" s="2">
        <v>99.25</v>
      </c>
      <c r="AR27" s="2">
        <v>97.083333333333343</v>
      </c>
      <c r="AS27" s="2">
        <v>97.5</v>
      </c>
      <c r="AT27" s="2">
        <v>97.5</v>
      </c>
      <c r="AU27" s="2">
        <v>94.25</v>
      </c>
      <c r="AW27" s="7">
        <v>90</v>
      </c>
      <c r="AX27" s="7">
        <v>91</v>
      </c>
      <c r="AY27" s="7">
        <v>97.5</v>
      </c>
      <c r="AZ27" s="7">
        <v>97.5</v>
      </c>
      <c r="BA27" s="7">
        <v>94.25</v>
      </c>
      <c r="BB27" s="7">
        <v>94.833333333333329</v>
      </c>
      <c r="BD27" s="2">
        <v>95.333333333333343</v>
      </c>
      <c r="BE27" s="2">
        <v>97.083333333333343</v>
      </c>
      <c r="BF27" s="2">
        <v>90</v>
      </c>
      <c r="BG27" s="2">
        <v>82.5</v>
      </c>
      <c r="BH27" s="2">
        <v>89.583333333333343</v>
      </c>
      <c r="BI27" s="2">
        <v>78.333333333333343</v>
      </c>
      <c r="BK27" s="7">
        <v>97.5</v>
      </c>
      <c r="BL27" s="7">
        <v>97.5</v>
      </c>
      <c r="BM27" s="7">
        <v>97.5</v>
      </c>
      <c r="BN27" s="7">
        <v>95.083333333333329</v>
      </c>
      <c r="BO27" s="7">
        <v>96.666666666666671</v>
      </c>
      <c r="BP27" s="7">
        <v>97.5</v>
      </c>
      <c r="BR27" s="3">
        <v>97.25</v>
      </c>
      <c r="BS27" s="3">
        <v>97.5</v>
      </c>
      <c r="BT27" s="3">
        <v>97.083333333333343</v>
      </c>
      <c r="BU27" s="3">
        <v>93.916666666666671</v>
      </c>
      <c r="BV27" s="3">
        <v>97.5</v>
      </c>
      <c r="BW27" s="3">
        <v>87.833333333333329</v>
      </c>
      <c r="BX27" s="3">
        <v>97.5</v>
      </c>
      <c r="CF27" s="2">
        <v>82.5</v>
      </c>
      <c r="CG27" s="2">
        <v>82.5</v>
      </c>
      <c r="CH27" s="2">
        <v>82.5</v>
      </c>
      <c r="CI27" s="2">
        <v>82.083333333333329</v>
      </c>
      <c r="CJ27" s="2">
        <v>71.166666666666657</v>
      </c>
      <c r="CK27" s="2">
        <v>73.5</v>
      </c>
      <c r="CM27" s="3">
        <v>89.666666666666657</v>
      </c>
      <c r="CN27" s="3">
        <v>90</v>
      </c>
      <c r="CO27" s="3">
        <v>97.5</v>
      </c>
      <c r="CP27" s="3">
        <v>94.5</v>
      </c>
      <c r="CQ27" s="3">
        <v>81.5</v>
      </c>
      <c r="CR27" s="3">
        <v>81.083333333333329</v>
      </c>
      <c r="CT27" s="3">
        <v>89.333333333333329</v>
      </c>
      <c r="CU27" s="3">
        <v>90</v>
      </c>
      <c r="CV27" s="3">
        <v>81.916666666666671</v>
      </c>
      <c r="CW27" s="3">
        <v>87.333333333333343</v>
      </c>
      <c r="CX27" s="3">
        <v>90</v>
      </c>
      <c r="CY27" s="3">
        <v>83.916666666666671</v>
      </c>
      <c r="DA27" s="2">
        <v>80.916666666666657</v>
      </c>
      <c r="DB27" s="2">
        <v>75</v>
      </c>
      <c r="DC27" s="2">
        <v>89</v>
      </c>
      <c r="DD27" s="2">
        <v>81.75</v>
      </c>
      <c r="DE27" s="2">
        <v>82.5</v>
      </c>
      <c r="DF27" s="2">
        <v>89.166666666666657</v>
      </c>
      <c r="DG27" s="2">
        <v>66.666666666666671</v>
      </c>
      <c r="DH27" s="3">
        <v>86.666666666666657</v>
      </c>
      <c r="DI27" s="3">
        <v>91.833333333333343</v>
      </c>
      <c r="DJ27" s="3">
        <v>88.333333333333343</v>
      </c>
      <c r="DK27" s="3">
        <v>81.333333333333343</v>
      </c>
      <c r="DL27" s="3">
        <v>87</v>
      </c>
      <c r="DM27" s="3">
        <v>87.5</v>
      </c>
      <c r="DO27" s="3">
        <v>77.583333333333343</v>
      </c>
      <c r="DP27" s="3">
        <v>82.5</v>
      </c>
      <c r="DQ27" s="3">
        <v>75</v>
      </c>
      <c r="DR27" s="3">
        <v>63.416666666666664</v>
      </c>
      <c r="DS27" s="2"/>
      <c r="DT27" s="2">
        <v>82.5</v>
      </c>
      <c r="DU27" s="2">
        <v>66.583333333333329</v>
      </c>
      <c r="DV27" s="7">
        <v>90</v>
      </c>
      <c r="DW27" s="7">
        <v>90</v>
      </c>
      <c r="DX27" s="7">
        <v>95.25</v>
      </c>
      <c r="DY27" s="7">
        <v>79.416666666666671</v>
      </c>
      <c r="DZ27" s="7">
        <v>90</v>
      </c>
      <c r="EA27" s="7">
        <v>82.5</v>
      </c>
      <c r="EC27" s="7">
        <v>94.5</v>
      </c>
      <c r="ED27" s="7">
        <v>92.166666666666671</v>
      </c>
      <c r="EE27" s="7">
        <v>97.5</v>
      </c>
      <c r="EF27" s="7">
        <v>97.5</v>
      </c>
      <c r="EG27" s="7">
        <v>109.5</v>
      </c>
      <c r="EH27" s="7">
        <v>106.5</v>
      </c>
      <c r="EI27" s="7">
        <v>97.5</v>
      </c>
      <c r="EJ27" s="7">
        <v>100.5</v>
      </c>
      <c r="EK27" s="7">
        <v>97.5</v>
      </c>
      <c r="EL27" s="7">
        <v>100.5</v>
      </c>
      <c r="EM27" s="7">
        <v>100.5</v>
      </c>
      <c r="EN27" s="7">
        <v>97.166666666666657</v>
      </c>
      <c r="EO27" s="7">
        <v>97.5</v>
      </c>
      <c r="EP27" s="7"/>
      <c r="EQ27" s="7">
        <v>94.25</v>
      </c>
      <c r="ER27" s="7">
        <v>29.666666666666664</v>
      </c>
      <c r="ES27" s="7"/>
      <c r="ET27" s="7"/>
      <c r="EU27" s="7"/>
      <c r="EV27" s="7">
        <v>90</v>
      </c>
      <c r="EW27" s="7"/>
      <c r="EX27" s="7">
        <v>99</v>
      </c>
      <c r="EY27" s="7">
        <v>95.75</v>
      </c>
      <c r="EZ27" s="7">
        <v>93</v>
      </c>
      <c r="FA27" s="7">
        <v>82.083333333333329</v>
      </c>
      <c r="FB27" s="7">
        <v>89.5</v>
      </c>
      <c r="FC27" s="7">
        <v>76.166666666666657</v>
      </c>
      <c r="FE27" s="7">
        <v>82.5</v>
      </c>
      <c r="FF27" s="7">
        <v>97.5</v>
      </c>
      <c r="FG27" s="7">
        <v>79.083333333333329</v>
      </c>
      <c r="FH27" s="7">
        <v>95.083333333333329</v>
      </c>
      <c r="FI27" s="7">
        <v>90</v>
      </c>
      <c r="FJ27" s="7">
        <v>86.5</v>
      </c>
      <c r="FK27" s="7">
        <v>80.25</v>
      </c>
      <c r="FL27" s="7">
        <v>82</v>
      </c>
      <c r="FM27" s="7">
        <v>92.5</v>
      </c>
      <c r="FN27" s="7">
        <v>85.416666666666657</v>
      </c>
      <c r="FO27" s="7">
        <v>90.083333333333329</v>
      </c>
      <c r="FP27" s="7">
        <v>97.166666666666657</v>
      </c>
      <c r="FQ27" s="7">
        <v>89.083333333333329</v>
      </c>
      <c r="FR27" s="7"/>
      <c r="FS27" s="7">
        <v>83.166666666666657</v>
      </c>
      <c r="FT27" s="7">
        <v>83</v>
      </c>
      <c r="FU27" s="7">
        <v>81</v>
      </c>
      <c r="FV27" s="7">
        <v>79.166666666666657</v>
      </c>
      <c r="FW27" s="7">
        <v>80.75</v>
      </c>
      <c r="FX27" s="7">
        <v>75.833333333333329</v>
      </c>
      <c r="FY27" s="7">
        <v>74.75</v>
      </c>
      <c r="FZ27" s="7">
        <v>93</v>
      </c>
      <c r="GA27" s="7">
        <v>93</v>
      </c>
      <c r="GB27" s="7">
        <v>69.083333333333329</v>
      </c>
      <c r="GC27" s="7">
        <v>59.833333333333329</v>
      </c>
      <c r="GD27" s="7">
        <v>67.25</v>
      </c>
      <c r="GE27" s="7">
        <v>62.75</v>
      </c>
      <c r="GG27" s="2">
        <v>75</v>
      </c>
      <c r="GH27" s="2">
        <v>82.5</v>
      </c>
      <c r="GI27" s="2">
        <v>82.5</v>
      </c>
      <c r="GJ27" s="2">
        <v>82.5</v>
      </c>
      <c r="GK27" s="2">
        <v>80.916666666666657</v>
      </c>
      <c r="GL27" s="2">
        <v>75</v>
      </c>
      <c r="GM27" s="2">
        <v>37.5</v>
      </c>
      <c r="HK27" s="20"/>
      <c r="HR27" s="20"/>
      <c r="HS27" s="20"/>
      <c r="HT27" s="20"/>
      <c r="HU27" s="20"/>
      <c r="HV27" s="20"/>
      <c r="KU27" s="36"/>
      <c r="LE27" s="20"/>
      <c r="LF27" s="20"/>
      <c r="LY27" s="20"/>
      <c r="LZ27" s="62"/>
      <c r="MA27" s="62"/>
      <c r="MB27" s="62"/>
      <c r="MC27" s="62"/>
      <c r="MF27"/>
      <c r="MG27"/>
      <c r="MH27"/>
      <c r="MI27"/>
      <c r="MJ27"/>
      <c r="MK27"/>
      <c r="ML27"/>
      <c r="MM27" s="62"/>
      <c r="MN27" s="62"/>
      <c r="MO27" s="62"/>
      <c r="MP27" s="34"/>
      <c r="MQ27" s="62"/>
      <c r="MR27" s="62"/>
      <c r="MS27" s="62"/>
    </row>
    <row r="28" spans="1:367">
      <c r="A28" s="15">
        <f>+SUM(F28:NC28)</f>
        <v>23856330</v>
      </c>
      <c r="B28" s="16" t="s">
        <v>423</v>
      </c>
      <c r="C28" s="2"/>
      <c r="D28" s="2">
        <v>155130</v>
      </c>
      <c r="E28" s="2">
        <v>139583</v>
      </c>
      <c r="F28" s="7"/>
      <c r="G28" s="2">
        <v>90345</v>
      </c>
      <c r="H28" s="2">
        <v>156191</v>
      </c>
      <c r="I28" s="2">
        <v>116701</v>
      </c>
      <c r="J28" s="2">
        <v>125921</v>
      </c>
      <c r="K28" s="2">
        <v>155563</v>
      </c>
      <c r="L28" s="2">
        <v>102349</v>
      </c>
      <c r="N28">
        <v>139988</v>
      </c>
      <c r="O28">
        <v>177875</v>
      </c>
      <c r="P28">
        <v>115537</v>
      </c>
      <c r="Q28">
        <v>152880</v>
      </c>
      <c r="R28">
        <v>119728</v>
      </c>
      <c r="S28">
        <v>184064</v>
      </c>
      <c r="U28" s="7">
        <v>125740</v>
      </c>
      <c r="V28" s="7">
        <v>152167</v>
      </c>
      <c r="W28" s="7">
        <v>86358</v>
      </c>
      <c r="X28" s="7">
        <v>116849</v>
      </c>
      <c r="Y28" s="7">
        <v>121997</v>
      </c>
      <c r="Z28" s="7">
        <v>132114</v>
      </c>
      <c r="AB28" s="2">
        <v>152769</v>
      </c>
      <c r="AC28" s="2">
        <v>137595</v>
      </c>
      <c r="AD28" s="2">
        <v>91131</v>
      </c>
      <c r="AE28" s="2">
        <v>158447</v>
      </c>
      <c r="AF28" s="2">
        <v>138832</v>
      </c>
      <c r="AG28" s="2">
        <v>94868</v>
      </c>
      <c r="AI28" s="2">
        <v>159609</v>
      </c>
      <c r="AJ28" s="2">
        <v>154503</v>
      </c>
      <c r="AK28" s="2">
        <v>68999</v>
      </c>
      <c r="AL28" s="2">
        <v>179547</v>
      </c>
      <c r="AM28" s="2">
        <v>143116</v>
      </c>
      <c r="AN28" s="2">
        <v>165809</v>
      </c>
      <c r="AP28" s="7">
        <v>115025</v>
      </c>
      <c r="AQ28" s="7">
        <v>164568</v>
      </c>
      <c r="AR28" s="7">
        <v>166450</v>
      </c>
      <c r="AS28" s="7">
        <v>151637</v>
      </c>
      <c r="AT28" s="7">
        <v>164146</v>
      </c>
      <c r="AU28" s="7">
        <v>190508</v>
      </c>
      <c r="AW28" s="2">
        <v>170767</v>
      </c>
      <c r="AX28" s="2">
        <v>162279</v>
      </c>
      <c r="AY28" s="2">
        <v>149878</v>
      </c>
      <c r="AZ28" s="2">
        <v>218974</v>
      </c>
      <c r="BA28" s="2">
        <v>124145</v>
      </c>
      <c r="BB28" s="2">
        <v>136401</v>
      </c>
      <c r="BD28" s="7">
        <v>86634</v>
      </c>
      <c r="BE28" s="7">
        <v>181868</v>
      </c>
      <c r="BF28" s="7">
        <v>131259</v>
      </c>
      <c r="BG28" s="7">
        <v>191093</v>
      </c>
      <c r="BH28" s="7">
        <v>284031</v>
      </c>
      <c r="BI28" s="7">
        <v>234616</v>
      </c>
      <c r="BK28" s="7">
        <v>168342</v>
      </c>
      <c r="BL28" s="7">
        <v>112547</v>
      </c>
      <c r="BM28" s="7">
        <v>126079</v>
      </c>
      <c r="BN28" s="7">
        <v>172952</v>
      </c>
      <c r="BO28" s="7">
        <v>193589</v>
      </c>
      <c r="BP28" s="7">
        <v>197639</v>
      </c>
      <c r="BR28" s="7">
        <v>168728</v>
      </c>
      <c r="BS28" s="7">
        <v>232831</v>
      </c>
      <c r="BT28" s="7">
        <v>222581</v>
      </c>
      <c r="BU28" s="7">
        <v>250295</v>
      </c>
      <c r="BV28" s="7">
        <v>189059</v>
      </c>
      <c r="BW28" s="7">
        <v>159908</v>
      </c>
      <c r="BX28" s="7">
        <v>36751</v>
      </c>
      <c r="CF28" s="7">
        <v>67370</v>
      </c>
      <c r="CG28" s="7">
        <v>48198</v>
      </c>
      <c r="CH28" s="7">
        <v>82311</v>
      </c>
      <c r="CI28" s="7">
        <v>122783</v>
      </c>
      <c r="CJ28" s="7">
        <v>107066</v>
      </c>
      <c r="CK28" s="7">
        <v>146047</v>
      </c>
      <c r="CM28" s="2">
        <v>155832</v>
      </c>
      <c r="CN28" s="2">
        <v>171279</v>
      </c>
      <c r="CO28" s="2">
        <v>171390</v>
      </c>
      <c r="CP28" s="2">
        <v>158816</v>
      </c>
      <c r="CQ28" s="2">
        <v>105562</v>
      </c>
      <c r="CR28" s="2">
        <v>121544</v>
      </c>
      <c r="CS28" s="2"/>
      <c r="CT28" s="2">
        <v>101522</v>
      </c>
      <c r="CU28" s="2">
        <v>204603</v>
      </c>
      <c r="CV28" s="2">
        <v>161928</v>
      </c>
      <c r="CW28" s="2">
        <v>155341</v>
      </c>
      <c r="CX28" s="2">
        <v>137469</v>
      </c>
      <c r="CY28" s="2">
        <v>142646</v>
      </c>
      <c r="DA28" s="2">
        <v>144247</v>
      </c>
      <c r="DB28" s="2">
        <v>211055</v>
      </c>
      <c r="DC28" s="2">
        <v>162697</v>
      </c>
      <c r="DD28" s="2">
        <v>126367</v>
      </c>
      <c r="DE28" s="2">
        <v>142262</v>
      </c>
      <c r="DF28" s="2">
        <v>179671</v>
      </c>
      <c r="DG28" s="2">
        <v>34127</v>
      </c>
      <c r="DH28" s="2">
        <v>189685</v>
      </c>
      <c r="DI28" s="2">
        <v>176283</v>
      </c>
      <c r="DJ28" s="2">
        <v>296143</v>
      </c>
      <c r="DK28" s="2">
        <v>56602</v>
      </c>
      <c r="DL28" s="2">
        <v>214072</v>
      </c>
      <c r="DM28" s="2">
        <v>227422</v>
      </c>
      <c r="DN28" s="2"/>
      <c r="DO28" s="2">
        <v>171852</v>
      </c>
      <c r="DP28" s="2">
        <v>235829</v>
      </c>
      <c r="DQ28" s="2">
        <v>148981</v>
      </c>
      <c r="DR28" s="2">
        <v>123273</v>
      </c>
      <c r="DS28" s="2"/>
      <c r="DT28" s="2">
        <v>139995</v>
      </c>
      <c r="DU28" s="2">
        <v>49080</v>
      </c>
      <c r="DV28" s="2">
        <v>199829</v>
      </c>
      <c r="DW28" s="2">
        <v>181382</v>
      </c>
      <c r="DX28" s="2">
        <v>137745</v>
      </c>
      <c r="DY28" s="2">
        <v>65217</v>
      </c>
      <c r="DZ28" s="2">
        <v>108849</v>
      </c>
      <c r="EA28" s="2">
        <v>163244</v>
      </c>
      <c r="EB28" s="2"/>
      <c r="EC28" s="2">
        <v>100373</v>
      </c>
      <c r="ED28" s="2">
        <v>229047</v>
      </c>
      <c r="EE28" s="2">
        <v>131664</v>
      </c>
      <c r="EF28" s="2">
        <v>279070</v>
      </c>
      <c r="EG28" s="2">
        <v>176282</v>
      </c>
      <c r="EH28" s="2">
        <v>211481</v>
      </c>
      <c r="EI28" s="2">
        <v>42448</v>
      </c>
      <c r="EJ28" s="2">
        <v>139949</v>
      </c>
      <c r="EK28" s="2">
        <v>85390</v>
      </c>
      <c r="EL28" s="2">
        <v>181189</v>
      </c>
      <c r="EM28" s="2">
        <v>161841</v>
      </c>
      <c r="EN28" s="2">
        <v>166617</v>
      </c>
      <c r="EO28" s="2">
        <v>188116</v>
      </c>
      <c r="EP28" s="2"/>
      <c r="EQ28" s="2">
        <v>114921</v>
      </c>
      <c r="ER28" s="2">
        <v>40915</v>
      </c>
      <c r="ES28" s="2"/>
      <c r="ET28" s="2"/>
      <c r="EU28" s="2"/>
      <c r="EV28" s="2">
        <v>53712</v>
      </c>
      <c r="EX28" s="7">
        <v>55186</v>
      </c>
      <c r="EY28" s="7">
        <v>143586</v>
      </c>
      <c r="EZ28" s="7">
        <v>118941</v>
      </c>
      <c r="FA28" s="7">
        <v>177584</v>
      </c>
      <c r="FB28" s="7">
        <v>232892</v>
      </c>
      <c r="FC28" s="7">
        <v>192009</v>
      </c>
      <c r="FE28" s="7">
        <v>164627</v>
      </c>
      <c r="FF28" s="7">
        <v>223788</v>
      </c>
      <c r="FG28" s="7">
        <v>223658</v>
      </c>
      <c r="FH28" s="7">
        <v>214733</v>
      </c>
      <c r="FI28" s="7">
        <v>245055</v>
      </c>
      <c r="FJ28" s="7">
        <v>231823</v>
      </c>
      <c r="FK28" s="7">
        <v>38047</v>
      </c>
      <c r="FL28" s="7">
        <v>165956</v>
      </c>
      <c r="FM28" s="7">
        <v>250545</v>
      </c>
      <c r="FN28" s="7">
        <v>213427</v>
      </c>
      <c r="FO28" s="7">
        <v>197845</v>
      </c>
      <c r="FP28" s="7">
        <v>156335</v>
      </c>
      <c r="FQ28" s="7">
        <v>174994</v>
      </c>
      <c r="FS28" s="7">
        <v>90121</v>
      </c>
      <c r="FT28" s="7">
        <v>218058</v>
      </c>
      <c r="FU28" s="7">
        <v>108208</v>
      </c>
      <c r="FV28" s="7">
        <v>168348</v>
      </c>
      <c r="FW28" s="7">
        <v>75082</v>
      </c>
      <c r="FX28" s="7">
        <v>154671</v>
      </c>
      <c r="FY28" s="7">
        <v>11408</v>
      </c>
      <c r="FZ28" s="7">
        <v>70876</v>
      </c>
      <c r="GA28" s="7">
        <v>176889</v>
      </c>
      <c r="GB28" s="7">
        <v>173648</v>
      </c>
      <c r="GC28" s="7">
        <v>216760</v>
      </c>
      <c r="GD28" s="7">
        <v>139205</v>
      </c>
      <c r="GE28" s="7">
        <v>178229</v>
      </c>
      <c r="GF28" s="7"/>
      <c r="GG28" s="7">
        <v>165826</v>
      </c>
      <c r="GH28" s="7">
        <v>158327</v>
      </c>
      <c r="GI28" s="7">
        <v>109589</v>
      </c>
      <c r="GJ28" s="7">
        <v>110692</v>
      </c>
      <c r="GK28" s="7">
        <v>160933</v>
      </c>
      <c r="GL28" s="7">
        <v>115357</v>
      </c>
      <c r="GM28" s="7">
        <v>9269</v>
      </c>
      <c r="HD28" s="64"/>
      <c r="HK28" s="20"/>
      <c r="KB28" s="20"/>
      <c r="LE28" s="20"/>
      <c r="LY28" s="20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V28" s="7"/>
    </row>
    <row r="29" spans="1:367">
      <c r="A29" s="17">
        <f>+A28/A27</f>
        <v>1692.2283370081161</v>
      </c>
      <c r="B29" s="18" t="s">
        <v>424</v>
      </c>
      <c r="C29" s="7" t="str">
        <f t="shared" ref="C29:BN29" si="406">+IFERROR(C28/C27,"")</f>
        <v/>
      </c>
      <c r="D29" s="7">
        <f t="shared" si="406"/>
        <v>1602.0309810671256</v>
      </c>
      <c r="E29" s="7">
        <f t="shared" si="406"/>
        <v>1661.702380952381</v>
      </c>
      <c r="F29" s="7" t="str">
        <f t="shared" si="406"/>
        <v/>
      </c>
      <c r="G29" s="7">
        <f t="shared" si="406"/>
        <v>926.61538461538464</v>
      </c>
      <c r="H29" s="7">
        <f t="shared" si="406"/>
        <v>1601.9589743589743</v>
      </c>
      <c r="I29" s="7">
        <f t="shared" si="406"/>
        <v>1318.6553672316384</v>
      </c>
      <c r="J29" s="7">
        <f t="shared" si="406"/>
        <v>1399.1222222222223</v>
      </c>
      <c r="K29" s="7">
        <f t="shared" si="406"/>
        <v>1595.5179487179487</v>
      </c>
      <c r="L29" s="7">
        <f t="shared" si="406"/>
        <v>1240.5939393939393</v>
      </c>
      <c r="M29" s="7" t="str">
        <f t="shared" si="406"/>
        <v/>
      </c>
      <c r="N29" s="7">
        <f t="shared" si="406"/>
        <v>1779.5084745762711</v>
      </c>
      <c r="O29" s="7">
        <f t="shared" si="406"/>
        <v>2173.625254582485</v>
      </c>
      <c r="P29" s="7">
        <f t="shared" si="406"/>
        <v>1711.6592592592592</v>
      </c>
      <c r="Q29" s="7">
        <f t="shared" si="406"/>
        <v>1853.090909090909</v>
      </c>
      <c r="R29" s="7">
        <f t="shared" si="406"/>
        <v>1451.2484848484848</v>
      </c>
      <c r="S29" s="7">
        <f t="shared" si="406"/>
        <v>2073.9605633802817</v>
      </c>
      <c r="T29" s="7" t="str">
        <f t="shared" si="406"/>
        <v/>
      </c>
      <c r="U29" s="7">
        <f t="shared" si="406"/>
        <v>1397.1111111111111</v>
      </c>
      <c r="V29" s="7">
        <f t="shared" si="406"/>
        <v>1690.7444444444445</v>
      </c>
      <c r="W29" s="7">
        <f t="shared" si="406"/>
        <v>959.5333333333333</v>
      </c>
      <c r="X29" s="7">
        <f t="shared" si="406"/>
        <v>1202.5626072041166</v>
      </c>
      <c r="Y29" s="7">
        <f t="shared" si="406"/>
        <v>1251.251282051282</v>
      </c>
      <c r="Z29" s="7">
        <f t="shared" si="406"/>
        <v>1411.725734639359</v>
      </c>
      <c r="AA29" s="7" t="str">
        <f t="shared" si="406"/>
        <v/>
      </c>
      <c r="AB29" s="7">
        <f t="shared" si="406"/>
        <v>1603.8740157480315</v>
      </c>
      <c r="AC29" s="7">
        <f t="shared" si="406"/>
        <v>1411.2307692307693</v>
      </c>
      <c r="AD29" s="7">
        <f t="shared" si="406"/>
        <v>934.67692307692312</v>
      </c>
      <c r="AE29" s="7">
        <f t="shared" si="406"/>
        <v>1625.0974358974358</v>
      </c>
      <c r="AF29" s="7">
        <f t="shared" si="406"/>
        <v>1542.5777777777778</v>
      </c>
      <c r="AG29" s="7">
        <f t="shared" si="406"/>
        <v>1037.7538742023701</v>
      </c>
      <c r="AH29" s="7" t="str">
        <f t="shared" si="406"/>
        <v/>
      </c>
      <c r="AI29" s="7">
        <f t="shared" si="406"/>
        <v>1815.4578199052132</v>
      </c>
      <c r="AJ29" s="7">
        <f t="shared" si="406"/>
        <v>1595.5559380378659</v>
      </c>
      <c r="AK29" s="7">
        <f t="shared" si="406"/>
        <v>766.65555555555557</v>
      </c>
      <c r="AL29" s="7">
        <f t="shared" si="406"/>
        <v>2176.3272727272729</v>
      </c>
      <c r="AM29" s="7">
        <f t="shared" si="406"/>
        <v>1600.5517241379309</v>
      </c>
      <c r="AN29" s="7">
        <f t="shared" si="406"/>
        <v>1922.4231884057967</v>
      </c>
      <c r="AO29" s="7" t="str">
        <f t="shared" si="406"/>
        <v/>
      </c>
      <c r="AP29" s="7">
        <f t="shared" si="406"/>
        <v>1278.0555555555557</v>
      </c>
      <c r="AQ29" s="7">
        <f t="shared" si="406"/>
        <v>1658.1158690176323</v>
      </c>
      <c r="AR29" s="7">
        <f t="shared" si="406"/>
        <v>1714.5064377682402</v>
      </c>
      <c r="AS29" s="7">
        <f t="shared" si="406"/>
        <v>1555.251282051282</v>
      </c>
      <c r="AT29" s="7">
        <f t="shared" si="406"/>
        <v>1683.5487179487179</v>
      </c>
      <c r="AU29" s="7">
        <f t="shared" si="406"/>
        <v>2021.3050397877985</v>
      </c>
      <c r="AV29" s="7" t="str">
        <f t="shared" si="406"/>
        <v/>
      </c>
      <c r="AW29" s="7">
        <f t="shared" si="406"/>
        <v>1897.411111111111</v>
      </c>
      <c r="AX29" s="7">
        <f t="shared" si="406"/>
        <v>1783.2857142857142</v>
      </c>
      <c r="AY29" s="7">
        <f t="shared" si="406"/>
        <v>1537.2102564102563</v>
      </c>
      <c r="AZ29" s="7">
        <f t="shared" si="406"/>
        <v>2245.8871794871793</v>
      </c>
      <c r="BA29" s="7">
        <f t="shared" si="406"/>
        <v>1317.1883289124669</v>
      </c>
      <c r="BB29" s="7">
        <f t="shared" si="406"/>
        <v>1438.3233743409492</v>
      </c>
      <c r="BC29" s="7" t="str">
        <f t="shared" si="406"/>
        <v/>
      </c>
      <c r="BD29" s="7">
        <f t="shared" si="406"/>
        <v>908.74825174825162</v>
      </c>
      <c r="BE29" s="7">
        <f t="shared" si="406"/>
        <v>1873.3184549356222</v>
      </c>
      <c r="BF29" s="7">
        <f t="shared" si="406"/>
        <v>1458.4333333333334</v>
      </c>
      <c r="BG29" s="7">
        <f t="shared" si="406"/>
        <v>2316.2787878787881</v>
      </c>
      <c r="BH29" s="7">
        <f t="shared" si="406"/>
        <v>3170.5786046511625</v>
      </c>
      <c r="BI29" s="7">
        <f t="shared" si="406"/>
        <v>2995.0978723404251</v>
      </c>
      <c r="BJ29" s="7" t="str">
        <f t="shared" si="406"/>
        <v/>
      </c>
      <c r="BK29" s="7">
        <f t="shared" si="406"/>
        <v>1726.5846153846153</v>
      </c>
      <c r="BL29" s="7">
        <f t="shared" si="406"/>
        <v>1154.3282051282051</v>
      </c>
      <c r="BM29" s="7">
        <f t="shared" si="406"/>
        <v>1293.1179487179488</v>
      </c>
      <c r="BN29" s="7">
        <f t="shared" si="406"/>
        <v>1818.9517966695882</v>
      </c>
      <c r="BO29" s="7">
        <f t="shared" ref="BO29:DZ29" si="407">+IFERROR(BO28/BO27,"")</f>
        <v>2002.6448275862067</v>
      </c>
      <c r="BP29" s="7">
        <f t="shared" si="407"/>
        <v>2027.0666666666666</v>
      </c>
      <c r="BQ29" s="7" t="str">
        <f t="shared" si="407"/>
        <v/>
      </c>
      <c r="BR29" s="7">
        <f t="shared" si="407"/>
        <v>1734.9922879177377</v>
      </c>
      <c r="BS29" s="7">
        <f t="shared" si="407"/>
        <v>2388.0102564102563</v>
      </c>
      <c r="BT29" s="7">
        <f t="shared" si="407"/>
        <v>2292.6798283261801</v>
      </c>
      <c r="BU29" s="7">
        <f t="shared" si="407"/>
        <v>2665.0754214729368</v>
      </c>
      <c r="BV29" s="7">
        <f t="shared" si="407"/>
        <v>1939.0666666666666</v>
      </c>
      <c r="BW29" s="7">
        <f t="shared" si="407"/>
        <v>1820.5844402277041</v>
      </c>
      <c r="BX29" s="7">
        <f t="shared" si="407"/>
        <v>376.93333333333334</v>
      </c>
      <c r="BY29" s="7" t="str">
        <f t="shared" si="407"/>
        <v/>
      </c>
      <c r="BZ29" s="7" t="str">
        <f t="shared" si="407"/>
        <v/>
      </c>
      <c r="CA29" s="7" t="str">
        <f t="shared" si="407"/>
        <v/>
      </c>
      <c r="CB29" s="7" t="str">
        <f t="shared" si="407"/>
        <v/>
      </c>
      <c r="CC29" s="7" t="str">
        <f t="shared" si="407"/>
        <v/>
      </c>
      <c r="CD29" s="7" t="str">
        <f t="shared" si="407"/>
        <v/>
      </c>
      <c r="CE29" s="7" t="str">
        <f t="shared" si="407"/>
        <v/>
      </c>
      <c r="CF29" s="7">
        <f t="shared" si="407"/>
        <v>816.60606060606062</v>
      </c>
      <c r="CG29" s="7">
        <f t="shared" si="407"/>
        <v>584.21818181818185</v>
      </c>
      <c r="CH29" s="7">
        <f t="shared" si="407"/>
        <v>997.70909090909095</v>
      </c>
      <c r="CI29" s="7">
        <f t="shared" si="407"/>
        <v>1495.8335025380711</v>
      </c>
      <c r="CJ29" s="7">
        <f t="shared" si="407"/>
        <v>1504.4402810304452</v>
      </c>
      <c r="CK29" s="7">
        <f t="shared" si="407"/>
        <v>1987.0340136054422</v>
      </c>
      <c r="CL29" s="7" t="str">
        <f t="shared" si="407"/>
        <v/>
      </c>
      <c r="CM29" s="7">
        <f t="shared" si="407"/>
        <v>1737.9033457249072</v>
      </c>
      <c r="CN29" s="7">
        <f t="shared" si="407"/>
        <v>1903.1</v>
      </c>
      <c r="CO29" s="7">
        <f t="shared" si="407"/>
        <v>1757.8461538461538</v>
      </c>
      <c r="CP29" s="7">
        <f t="shared" si="407"/>
        <v>1680.5925925925926</v>
      </c>
      <c r="CQ29" s="7">
        <f t="shared" si="407"/>
        <v>1295.2392638036811</v>
      </c>
      <c r="CR29" s="7">
        <f t="shared" si="407"/>
        <v>1499.0010277492293</v>
      </c>
      <c r="CS29" s="7" t="str">
        <f t="shared" si="407"/>
        <v/>
      </c>
      <c r="CT29" s="7">
        <f t="shared" si="407"/>
        <v>1136.4402985074628</v>
      </c>
      <c r="CU29" s="7">
        <f t="shared" si="407"/>
        <v>2273.3666666666668</v>
      </c>
      <c r="CV29" s="7">
        <f t="shared" si="407"/>
        <v>1976.7405900305187</v>
      </c>
      <c r="CW29" s="7">
        <f t="shared" si="407"/>
        <v>1778.7137404580151</v>
      </c>
      <c r="CX29" s="7">
        <f t="shared" si="407"/>
        <v>1527.4333333333334</v>
      </c>
      <c r="CY29" s="7">
        <f t="shared" si="407"/>
        <v>1699.8530287984111</v>
      </c>
      <c r="CZ29" s="7" t="str">
        <f t="shared" si="407"/>
        <v/>
      </c>
      <c r="DA29" s="7">
        <f t="shared" si="407"/>
        <v>1782.6611740473741</v>
      </c>
      <c r="DB29" s="7">
        <f t="shared" si="407"/>
        <v>2814.0666666666666</v>
      </c>
      <c r="DC29" s="7">
        <f t="shared" si="407"/>
        <v>1828.056179775281</v>
      </c>
      <c r="DD29" s="7">
        <f t="shared" si="407"/>
        <v>1545.7737003058105</v>
      </c>
      <c r="DE29" s="7">
        <f t="shared" si="407"/>
        <v>1724.3878787878789</v>
      </c>
      <c r="DF29" s="7">
        <f t="shared" si="407"/>
        <v>2015.0018691588787</v>
      </c>
      <c r="DG29" s="7">
        <f t="shared" si="407"/>
        <v>511.90499999999997</v>
      </c>
      <c r="DH29" s="7">
        <f t="shared" si="407"/>
        <v>2188.6730769230771</v>
      </c>
      <c r="DI29" s="7">
        <f t="shared" si="407"/>
        <v>1919.5970961887476</v>
      </c>
      <c r="DJ29" s="7">
        <f t="shared" si="407"/>
        <v>3352.5622641509431</v>
      </c>
      <c r="DK29" s="7">
        <f t="shared" si="407"/>
        <v>695.92622950819668</v>
      </c>
      <c r="DL29" s="7">
        <f t="shared" si="407"/>
        <v>2460.5977011494251</v>
      </c>
      <c r="DM29" s="7">
        <f t="shared" si="407"/>
        <v>2599.1085714285714</v>
      </c>
      <c r="DN29" s="7" t="str">
        <f t="shared" si="407"/>
        <v/>
      </c>
      <c r="DO29" s="7">
        <f t="shared" si="407"/>
        <v>2215.0633727175077</v>
      </c>
      <c r="DP29" s="7">
        <f t="shared" si="407"/>
        <v>2858.5333333333333</v>
      </c>
      <c r="DQ29" s="7">
        <f t="shared" si="407"/>
        <v>1986.4133333333334</v>
      </c>
      <c r="DR29" s="7">
        <f t="shared" si="407"/>
        <v>1943.8580814717477</v>
      </c>
      <c r="DS29" s="7" t="str">
        <f t="shared" si="407"/>
        <v/>
      </c>
      <c r="DT29" s="7">
        <f t="shared" si="407"/>
        <v>1696.909090909091</v>
      </c>
      <c r="DU29" s="7">
        <f t="shared" si="407"/>
        <v>737.12140175219031</v>
      </c>
      <c r="DV29" s="7">
        <f t="shared" si="407"/>
        <v>2220.3222222222221</v>
      </c>
      <c r="DW29" s="7">
        <f t="shared" si="407"/>
        <v>2015.3555555555556</v>
      </c>
      <c r="DX29" s="7">
        <f t="shared" si="407"/>
        <v>1446.1417322834645</v>
      </c>
      <c r="DY29" s="7">
        <f t="shared" si="407"/>
        <v>821.20041972717729</v>
      </c>
      <c r="DZ29" s="7">
        <f t="shared" si="407"/>
        <v>1209.4333333333334</v>
      </c>
      <c r="EA29" s="7">
        <f t="shared" ref="EA29:GL29" si="408">+IFERROR(EA28/EA27,"")</f>
        <v>1978.7151515151515</v>
      </c>
      <c r="EB29" s="7" t="str">
        <f t="shared" si="408"/>
        <v/>
      </c>
      <c r="EC29" s="7">
        <f t="shared" si="408"/>
        <v>1062.148148148148</v>
      </c>
      <c r="ED29" s="7">
        <f t="shared" si="408"/>
        <v>2485.1392405063289</v>
      </c>
      <c r="EE29" s="7">
        <f t="shared" si="408"/>
        <v>1350.4</v>
      </c>
      <c r="EF29" s="7">
        <f t="shared" si="408"/>
        <v>2862.2564102564102</v>
      </c>
      <c r="EG29" s="7">
        <f t="shared" si="408"/>
        <v>1609.8812785388127</v>
      </c>
      <c r="EH29" s="7">
        <f t="shared" si="408"/>
        <v>1985.737089201878</v>
      </c>
      <c r="EI29" s="7">
        <f t="shared" si="408"/>
        <v>435.36410256410255</v>
      </c>
      <c r="EJ29" s="7">
        <f t="shared" si="408"/>
        <v>1392.5273631840796</v>
      </c>
      <c r="EK29" s="7">
        <f t="shared" si="408"/>
        <v>875.79487179487182</v>
      </c>
      <c r="EL29" s="7">
        <f t="shared" si="408"/>
        <v>1802.8756218905473</v>
      </c>
      <c r="EM29" s="7">
        <f t="shared" si="408"/>
        <v>1610.358208955224</v>
      </c>
      <c r="EN29" s="7">
        <f t="shared" si="408"/>
        <v>1714.7547169811323</v>
      </c>
      <c r="EO29" s="7">
        <f t="shared" si="408"/>
        <v>1929.3948717948717</v>
      </c>
      <c r="EP29" s="7" t="str">
        <f t="shared" si="408"/>
        <v/>
      </c>
      <c r="EQ29" s="7">
        <f t="shared" si="408"/>
        <v>1219.3209549071619</v>
      </c>
      <c r="ER29" s="7">
        <f t="shared" si="408"/>
        <v>1379.1573033707866</v>
      </c>
      <c r="ES29" s="7" t="str">
        <f t="shared" si="408"/>
        <v/>
      </c>
      <c r="ET29" s="7" t="str">
        <f t="shared" si="408"/>
        <v/>
      </c>
      <c r="EU29" s="7" t="str">
        <f t="shared" si="408"/>
        <v/>
      </c>
      <c r="EV29" s="7">
        <f t="shared" si="408"/>
        <v>596.79999999999995</v>
      </c>
      <c r="EW29" s="7" t="str">
        <f t="shared" si="408"/>
        <v/>
      </c>
      <c r="EX29" s="7">
        <f t="shared" si="408"/>
        <v>557.43434343434342</v>
      </c>
      <c r="EY29" s="7">
        <f t="shared" si="408"/>
        <v>1499.5926892950392</v>
      </c>
      <c r="EZ29" s="7">
        <f t="shared" si="408"/>
        <v>1278.9354838709678</v>
      </c>
      <c r="FA29" s="7">
        <f t="shared" si="408"/>
        <v>2163.4598984771574</v>
      </c>
      <c r="FB29" s="7">
        <f t="shared" si="408"/>
        <v>2602.1452513966478</v>
      </c>
      <c r="FC29" s="7">
        <f t="shared" si="408"/>
        <v>2520.9059080962802</v>
      </c>
      <c r="FD29" s="7" t="str">
        <f t="shared" si="408"/>
        <v/>
      </c>
      <c r="FE29" s="7">
        <f t="shared" si="408"/>
        <v>1995.4787878787879</v>
      </c>
      <c r="FF29" s="7">
        <f t="shared" si="408"/>
        <v>2295.2615384615383</v>
      </c>
      <c r="FG29" s="7">
        <f t="shared" si="408"/>
        <v>2828.1306638566916</v>
      </c>
      <c r="FH29" s="7">
        <f t="shared" si="408"/>
        <v>2258.3663453111308</v>
      </c>
      <c r="FI29" s="7">
        <f t="shared" si="408"/>
        <v>2722.8333333333335</v>
      </c>
      <c r="FJ29" s="7">
        <f t="shared" si="408"/>
        <v>2680.034682080925</v>
      </c>
      <c r="FK29" s="7">
        <f t="shared" si="408"/>
        <v>474.10591900311528</v>
      </c>
      <c r="FL29" s="7">
        <f t="shared" si="408"/>
        <v>2023.8536585365853</v>
      </c>
      <c r="FM29" s="7">
        <f t="shared" si="408"/>
        <v>2708.5945945945946</v>
      </c>
      <c r="FN29" s="7">
        <f t="shared" si="408"/>
        <v>2498.6575609756101</v>
      </c>
      <c r="FO29" s="7">
        <f t="shared" si="408"/>
        <v>2196.2442183163739</v>
      </c>
      <c r="FP29" s="7">
        <f t="shared" si="408"/>
        <v>1608.9365351629503</v>
      </c>
      <c r="FQ29" s="7">
        <f t="shared" si="408"/>
        <v>1964.3854069223576</v>
      </c>
      <c r="FR29" s="7" t="str">
        <f t="shared" si="408"/>
        <v/>
      </c>
      <c r="FS29" s="7">
        <f t="shared" si="408"/>
        <v>1083.619238476954</v>
      </c>
      <c r="FT29" s="7">
        <f t="shared" si="408"/>
        <v>2627.2048192771085</v>
      </c>
      <c r="FU29" s="7">
        <f t="shared" si="408"/>
        <v>1335.9012345679012</v>
      </c>
      <c r="FV29" s="7">
        <f t="shared" si="408"/>
        <v>2126.5010526315791</v>
      </c>
      <c r="FW29" s="7">
        <f t="shared" si="408"/>
        <v>929.80804953560369</v>
      </c>
      <c r="FX29" s="7">
        <f t="shared" si="408"/>
        <v>2039.6175824175825</v>
      </c>
      <c r="FY29" s="7">
        <f t="shared" si="408"/>
        <v>152.61538461538461</v>
      </c>
      <c r="FZ29" s="7">
        <f t="shared" si="408"/>
        <v>762.10752688172045</v>
      </c>
      <c r="GA29" s="7">
        <f t="shared" si="408"/>
        <v>1902.0322580645161</v>
      </c>
      <c r="GB29" s="7">
        <f t="shared" si="408"/>
        <v>2513.6019300361882</v>
      </c>
      <c r="GC29" s="7">
        <f t="shared" si="408"/>
        <v>3622.7298050139279</v>
      </c>
      <c r="GD29" s="7">
        <f t="shared" si="408"/>
        <v>2069.9628252788102</v>
      </c>
      <c r="GE29" s="7">
        <f t="shared" si="408"/>
        <v>2840.3027888446213</v>
      </c>
      <c r="GF29" s="7" t="str">
        <f t="shared" si="408"/>
        <v/>
      </c>
      <c r="GG29" s="7">
        <f t="shared" si="408"/>
        <v>2211.0133333333333</v>
      </c>
      <c r="GH29" s="7">
        <f t="shared" si="408"/>
        <v>1919.1151515151514</v>
      </c>
      <c r="GI29" s="7">
        <f t="shared" si="408"/>
        <v>1328.3515151515151</v>
      </c>
      <c r="GJ29" s="7">
        <f t="shared" si="408"/>
        <v>1341.7212121212121</v>
      </c>
      <c r="GK29" s="7">
        <f t="shared" si="408"/>
        <v>1988.8733264675595</v>
      </c>
      <c r="GL29" s="7">
        <f t="shared" si="408"/>
        <v>1538.0933333333332</v>
      </c>
      <c r="GM29" s="7">
        <f t="shared" ref="GM29" si="409">+IFERROR(GM28/GM27,"")</f>
        <v>247.17333333333335</v>
      </c>
      <c r="HR29" s="20"/>
      <c r="HS29" s="20"/>
      <c r="HT29" s="20"/>
      <c r="HU29" s="20"/>
      <c r="HV29" s="20"/>
      <c r="JI29" s="71"/>
      <c r="JJ29" s="117"/>
      <c r="LY29" s="83"/>
      <c r="LZ29" s="34"/>
      <c r="MA29" s="34"/>
      <c r="MB29" s="34"/>
      <c r="MC29" s="34"/>
      <c r="MD29" s="34"/>
      <c r="ME29" s="34"/>
      <c r="MF29" s="34"/>
      <c r="MG29" s="34"/>
      <c r="MH29" s="34"/>
      <c r="MI29" s="34"/>
      <c r="MJ29" s="34"/>
      <c r="MK29" s="34"/>
      <c r="ML29" s="34"/>
      <c r="MM29" s="34"/>
      <c r="MN29" s="34"/>
      <c r="MO29" s="34"/>
      <c r="MP29" s="34"/>
      <c r="MQ29" s="34"/>
      <c r="MR29" s="34"/>
      <c r="MS29" s="34"/>
      <c r="MV29" s="7"/>
    </row>
    <row r="30" spans="1:367">
      <c r="G30" s="20"/>
      <c r="AA30" s="28"/>
    </row>
    <row r="31" spans="1:367">
      <c r="U31" s="20"/>
      <c r="AA31" s="28"/>
      <c r="AI31" s="20"/>
    </row>
    <row r="32" spans="1:367">
      <c r="U32" s="20"/>
      <c r="AA32" s="28"/>
      <c r="AI32" s="20"/>
    </row>
    <row r="33" spans="21:36">
      <c r="U33" s="20"/>
      <c r="AA33" s="28"/>
      <c r="AI33" s="20"/>
    </row>
    <row r="34" spans="21:36">
      <c r="AA34" s="28"/>
    </row>
    <row r="35" spans="21:36">
      <c r="AA35" s="28"/>
      <c r="AJ35" s="20"/>
    </row>
    <row r="36" spans="21:36">
      <c r="AA36" s="28"/>
      <c r="AJ36" s="20"/>
    </row>
    <row r="37" spans="21:36">
      <c r="AA37" s="28"/>
      <c r="AJ37" s="20"/>
    </row>
    <row r="38" spans="21:36">
      <c r="AA38" s="28"/>
    </row>
    <row r="39" spans="21:36">
      <c r="AA39" s="28"/>
    </row>
    <row r="40" spans="21:36">
      <c r="AA40" s="28"/>
    </row>
    <row r="41" spans="21:36">
      <c r="AA41" s="28"/>
    </row>
    <row r="42" spans="21:36">
      <c r="AA42" s="28"/>
    </row>
    <row r="43" spans="21:36">
      <c r="AA43" s="28"/>
    </row>
    <row r="44" spans="21:36">
      <c r="AA44" s="28"/>
    </row>
    <row r="45" spans="21:36">
      <c r="AA45" s="28"/>
    </row>
    <row r="46" spans="21:36">
      <c r="AA46" s="28"/>
    </row>
    <row r="47" spans="21:36">
      <c r="AA47" s="28"/>
    </row>
    <row r="48" spans="21:36">
      <c r="AA48" s="28"/>
    </row>
    <row r="49" spans="27:27">
      <c r="AA49" s="28"/>
    </row>
    <row r="50" spans="27:27">
      <c r="AA50" s="28"/>
    </row>
    <row r="51" spans="27:27">
      <c r="AA51" s="28"/>
    </row>
    <row r="52" spans="27:27">
      <c r="AA52" s="28"/>
    </row>
    <row r="53" spans="27:27">
      <c r="AA53" s="28"/>
    </row>
    <row r="54" spans="27:27">
      <c r="AA54" s="28"/>
    </row>
    <row r="55" spans="27:27">
      <c r="AA55" s="28"/>
    </row>
    <row r="56" spans="27:27">
      <c r="AA56" s="28"/>
    </row>
    <row r="57" spans="27:27">
      <c r="AA57" s="28"/>
    </row>
    <row r="58" spans="27:27">
      <c r="AA58" s="28"/>
    </row>
    <row r="59" spans="27:27">
      <c r="AA59" s="28"/>
    </row>
    <row r="60" spans="27:27">
      <c r="AA60" s="28"/>
    </row>
    <row r="61" spans="27:27">
      <c r="AA61" s="28"/>
    </row>
    <row r="62" spans="27:27">
      <c r="AA62" s="28"/>
    </row>
    <row r="63" spans="27:27">
      <c r="AA63" s="28"/>
    </row>
    <row r="64" spans="27:27">
      <c r="AA64" s="28"/>
    </row>
    <row r="65" spans="27:27">
      <c r="AA65" s="28"/>
    </row>
    <row r="66" spans="27:27">
      <c r="AA66" s="28"/>
    </row>
    <row r="67" spans="27:27">
      <c r="AA67" s="28"/>
    </row>
    <row r="68" spans="27:27">
      <c r="AA68" s="28"/>
    </row>
    <row r="69" spans="27:27">
      <c r="AA69" s="28"/>
    </row>
    <row r="70" spans="27:27">
      <c r="AA70" s="28"/>
    </row>
    <row r="71" spans="27:27">
      <c r="AA71" s="28"/>
    </row>
    <row r="72" spans="27:27">
      <c r="AA72" s="28"/>
    </row>
    <row r="73" spans="27:27">
      <c r="AA73" s="28"/>
    </row>
    <row r="74" spans="27:27">
      <c r="AA74" s="28"/>
    </row>
    <row r="75" spans="27:27">
      <c r="AA75" s="28"/>
    </row>
    <row r="76" spans="27:27">
      <c r="AA76" s="28"/>
    </row>
    <row r="77" spans="27:27">
      <c r="AA77" s="28"/>
    </row>
    <row r="78" spans="27:27">
      <c r="AA78" s="28"/>
    </row>
    <row r="79" spans="27:27">
      <c r="AA79" s="28"/>
    </row>
    <row r="80" spans="27:27">
      <c r="AA80" s="28"/>
    </row>
    <row r="81" spans="27:27">
      <c r="AA81" s="28"/>
    </row>
    <row r="82" spans="27:27">
      <c r="AA82" s="28"/>
    </row>
    <row r="83" spans="27:27">
      <c r="AA83" s="28"/>
    </row>
    <row r="84" spans="27:27">
      <c r="AA84" s="28"/>
    </row>
    <row r="85" spans="27:27">
      <c r="AA85" s="28"/>
    </row>
    <row r="86" spans="27:27">
      <c r="AA86" s="28"/>
    </row>
    <row r="87" spans="27:27">
      <c r="AA87" s="28"/>
    </row>
    <row r="88" spans="27:27">
      <c r="AA88" s="28"/>
    </row>
    <row r="89" spans="27:27">
      <c r="AA89" s="28"/>
    </row>
    <row r="90" spans="27:27">
      <c r="AA90" s="28"/>
    </row>
    <row r="91" spans="27:27">
      <c r="AA91" s="28"/>
    </row>
    <row r="92" spans="27:27">
      <c r="AA92" s="28"/>
    </row>
    <row r="93" spans="27:27">
      <c r="AA93" s="28"/>
    </row>
    <row r="94" spans="27:27">
      <c r="AA94" s="28"/>
    </row>
    <row r="95" spans="27:27">
      <c r="AA95" s="28"/>
    </row>
    <row r="96" spans="27:27">
      <c r="AA96" s="28"/>
    </row>
    <row r="97" spans="27:27">
      <c r="AA97" s="28"/>
    </row>
    <row r="98" spans="27:27">
      <c r="AA98" s="28"/>
    </row>
    <row r="99" spans="27:27">
      <c r="AA99" s="28"/>
    </row>
    <row r="100" spans="27:27">
      <c r="AA100" s="28"/>
    </row>
    <row r="101" spans="27:27">
      <c r="AA101" s="28"/>
    </row>
    <row r="102" spans="27:27">
      <c r="AA102" s="28"/>
    </row>
    <row r="103" spans="27:27">
      <c r="AA103" s="28"/>
    </row>
    <row r="104" spans="27:27">
      <c r="AA104" s="28"/>
    </row>
    <row r="105" spans="27:27">
      <c r="AA105" s="28"/>
    </row>
    <row r="106" spans="27:27">
      <c r="AA106" s="28"/>
    </row>
    <row r="107" spans="27:27">
      <c r="AA107" s="28"/>
    </row>
    <row r="108" spans="27:27">
      <c r="AA108" s="28"/>
    </row>
    <row r="109" spans="27:27">
      <c r="AA109" s="28"/>
    </row>
    <row r="110" spans="27:27">
      <c r="AA110" s="28"/>
    </row>
    <row r="111" spans="27:27">
      <c r="AA111" s="28"/>
    </row>
    <row r="112" spans="27:27">
      <c r="AA112" s="28"/>
    </row>
    <row r="113" spans="27:27">
      <c r="AA113" s="28"/>
    </row>
    <row r="114" spans="27:27">
      <c r="AA114" s="28"/>
    </row>
    <row r="115" spans="27:27">
      <c r="AA115" s="28"/>
    </row>
    <row r="116" spans="27:27">
      <c r="AA116" s="28"/>
    </row>
    <row r="117" spans="27:27">
      <c r="AA117" s="28"/>
    </row>
    <row r="118" spans="27:27">
      <c r="AA118" s="28"/>
    </row>
    <row r="119" spans="27:27">
      <c r="AA119" s="28"/>
    </row>
    <row r="120" spans="27:27">
      <c r="AA120" s="28"/>
    </row>
    <row r="121" spans="27:27">
      <c r="AA121" s="28"/>
    </row>
    <row r="122" spans="27:27">
      <c r="AA122" s="28"/>
    </row>
    <row r="123" spans="27:27">
      <c r="AA123" s="28"/>
    </row>
    <row r="124" spans="27:27">
      <c r="AA124" s="28"/>
    </row>
    <row r="125" spans="27:27">
      <c r="AA125" s="28"/>
    </row>
    <row r="126" spans="27:27">
      <c r="AA126" s="28"/>
    </row>
    <row r="127" spans="27:27">
      <c r="AA127" s="28"/>
    </row>
    <row r="128" spans="27:27">
      <c r="AA128" s="28"/>
    </row>
    <row r="129" spans="27:27">
      <c r="AA129" s="28"/>
    </row>
    <row r="130" spans="27:27">
      <c r="AA130" s="28"/>
    </row>
    <row r="131" spans="27:27">
      <c r="AA131" s="28"/>
    </row>
    <row r="132" spans="27:27">
      <c r="AA132" s="28"/>
    </row>
    <row r="133" spans="27:27">
      <c r="AA133" s="28"/>
    </row>
    <row r="134" spans="27:27">
      <c r="AA134" s="28"/>
    </row>
    <row r="135" spans="27:27">
      <c r="AA135" s="28"/>
    </row>
    <row r="136" spans="27:27">
      <c r="AA136" s="28"/>
    </row>
    <row r="137" spans="27:27">
      <c r="AA137" s="28"/>
    </row>
    <row r="138" spans="27:27">
      <c r="AA138" s="28"/>
    </row>
    <row r="139" spans="27:27">
      <c r="AA139" s="28"/>
    </row>
    <row r="140" spans="27:27">
      <c r="AA140" s="28"/>
    </row>
    <row r="141" spans="27:27">
      <c r="AA141" s="28"/>
    </row>
    <row r="142" spans="27:27">
      <c r="AA142" s="28"/>
    </row>
    <row r="143" spans="27:27">
      <c r="AA143" s="28"/>
    </row>
    <row r="144" spans="27:27">
      <c r="AA144" s="28"/>
    </row>
    <row r="145" spans="27:27">
      <c r="AA145" s="28"/>
    </row>
    <row r="146" spans="27:27">
      <c r="AA146" s="28"/>
    </row>
    <row r="147" spans="27:27">
      <c r="AA147" s="28"/>
    </row>
    <row r="148" spans="27:27">
      <c r="AA148" s="28"/>
    </row>
    <row r="149" spans="27:27">
      <c r="AA149" s="28"/>
    </row>
    <row r="150" spans="27:27">
      <c r="AA150" s="28"/>
    </row>
    <row r="151" spans="27:27">
      <c r="AA151" s="28"/>
    </row>
    <row r="152" spans="27:27">
      <c r="AA152" s="28"/>
    </row>
    <row r="153" spans="27:27">
      <c r="AA153" s="28"/>
    </row>
    <row r="154" spans="27:27">
      <c r="AA154" s="28"/>
    </row>
    <row r="155" spans="27:27">
      <c r="AA155" s="28"/>
    </row>
    <row r="156" spans="27:27">
      <c r="AA156" s="28"/>
    </row>
    <row r="157" spans="27:27">
      <c r="AA157" s="28"/>
    </row>
    <row r="158" spans="27:27">
      <c r="AA158" s="28"/>
    </row>
    <row r="159" spans="27:27">
      <c r="AA159" s="28"/>
    </row>
    <row r="160" spans="27:27">
      <c r="AA160" s="28"/>
    </row>
    <row r="161" spans="27:27">
      <c r="AA161" s="28"/>
    </row>
    <row r="162" spans="27:27">
      <c r="AA162" s="28"/>
    </row>
    <row r="163" spans="27:27">
      <c r="AA163" s="28"/>
    </row>
    <row r="164" spans="27:27">
      <c r="AA164" s="28"/>
    </row>
    <row r="165" spans="27:27">
      <c r="AA165" s="28"/>
    </row>
    <row r="166" spans="27:27">
      <c r="AA166" s="28"/>
    </row>
    <row r="167" spans="27:27">
      <c r="AA167" s="28"/>
    </row>
    <row r="168" spans="27:27">
      <c r="AA168" s="28"/>
    </row>
    <row r="169" spans="27:27">
      <c r="AA169" s="28"/>
    </row>
    <row r="170" spans="27:27">
      <c r="AA170" s="28"/>
    </row>
    <row r="171" spans="27:27">
      <c r="AA171" s="28"/>
    </row>
    <row r="172" spans="27:27">
      <c r="AA172" s="28"/>
    </row>
    <row r="173" spans="27:27">
      <c r="AA173" s="28"/>
    </row>
    <row r="174" spans="27:27">
      <c r="AA174" s="28"/>
    </row>
    <row r="175" spans="27:27">
      <c r="AA175" s="28"/>
    </row>
    <row r="176" spans="27:27">
      <c r="AA176" s="28"/>
    </row>
    <row r="177" spans="27:27">
      <c r="AA177" s="28"/>
    </row>
    <row r="178" spans="27:27">
      <c r="AA178" s="28"/>
    </row>
    <row r="179" spans="27:27">
      <c r="AA179" s="28"/>
    </row>
    <row r="180" spans="27:27">
      <c r="AA180" s="28"/>
    </row>
    <row r="181" spans="27:27">
      <c r="AA181" s="28"/>
    </row>
    <row r="182" spans="27:27">
      <c r="AA182" s="28"/>
    </row>
    <row r="183" spans="27:27">
      <c r="AA183" s="28"/>
    </row>
    <row r="184" spans="27:27">
      <c r="AA184" s="28"/>
    </row>
    <row r="185" spans="27:27">
      <c r="AA185" s="28"/>
    </row>
    <row r="186" spans="27:27">
      <c r="AA186" s="28"/>
    </row>
    <row r="187" spans="27:27">
      <c r="AA187" s="28"/>
    </row>
    <row r="188" spans="27:27">
      <c r="AA188" s="28"/>
    </row>
    <row r="189" spans="27:27">
      <c r="AA189" s="28"/>
    </row>
    <row r="190" spans="27:27">
      <c r="AA190" s="28"/>
    </row>
    <row r="191" spans="27:27">
      <c r="AA191" s="28"/>
    </row>
    <row r="192" spans="27:27">
      <c r="AA192" s="28"/>
    </row>
    <row r="193" spans="27:27">
      <c r="AA193" s="28"/>
    </row>
    <row r="194" spans="27:27">
      <c r="AA194" s="28"/>
    </row>
    <row r="195" spans="27:27">
      <c r="AA195" s="28"/>
    </row>
    <row r="196" spans="27:27">
      <c r="AA196" s="28"/>
    </row>
    <row r="197" spans="27:27">
      <c r="AA197" s="28"/>
    </row>
    <row r="198" spans="27:27">
      <c r="AA198" s="28"/>
    </row>
    <row r="199" spans="27:27">
      <c r="AA199" s="28"/>
    </row>
    <row r="200" spans="27:27">
      <c r="AA200" s="28"/>
    </row>
    <row r="201" spans="27:27">
      <c r="AA201" s="28"/>
    </row>
    <row r="202" spans="27:27">
      <c r="AA202" s="28"/>
    </row>
    <row r="203" spans="27:27">
      <c r="AA203" s="28"/>
    </row>
    <row r="204" spans="27:27">
      <c r="AA204" s="28"/>
    </row>
    <row r="205" spans="27:27">
      <c r="AA205" s="28"/>
    </row>
    <row r="206" spans="27:27">
      <c r="AA206" s="28"/>
    </row>
    <row r="207" spans="27:27">
      <c r="AA207" s="28"/>
    </row>
    <row r="208" spans="27:27">
      <c r="AA208" s="28"/>
    </row>
    <row r="209" spans="27:27">
      <c r="AA209" s="28"/>
    </row>
    <row r="210" spans="27:27">
      <c r="AA210" s="28"/>
    </row>
    <row r="211" spans="27:27">
      <c r="AA211" s="28"/>
    </row>
    <row r="212" spans="27:27">
      <c r="AA212" s="28"/>
    </row>
    <row r="213" spans="27:27">
      <c r="AA213" s="28"/>
    </row>
    <row r="214" spans="27:27">
      <c r="AA214" s="28"/>
    </row>
    <row r="215" spans="27:27">
      <c r="AA215" s="28"/>
    </row>
    <row r="216" spans="27:27">
      <c r="AA216" s="28"/>
    </row>
    <row r="217" spans="27:27">
      <c r="AA217" s="28"/>
    </row>
    <row r="218" spans="27:27">
      <c r="AA218" s="28"/>
    </row>
    <row r="219" spans="27:27">
      <c r="AA219" s="28"/>
    </row>
    <row r="220" spans="27:27">
      <c r="AA220" s="28"/>
    </row>
    <row r="221" spans="27:27">
      <c r="AA221" s="28"/>
    </row>
    <row r="222" spans="27:27">
      <c r="AA222" s="28"/>
    </row>
    <row r="223" spans="27:27">
      <c r="AA223" s="28"/>
    </row>
    <row r="224" spans="27:27">
      <c r="AA224" s="28"/>
    </row>
    <row r="225" spans="27:27">
      <c r="AA225" s="28"/>
    </row>
    <row r="226" spans="27:27">
      <c r="AA226" s="28"/>
    </row>
    <row r="227" spans="27:27">
      <c r="AA227" s="28"/>
    </row>
    <row r="228" spans="27:27">
      <c r="AA228" s="28"/>
    </row>
    <row r="229" spans="27:27">
      <c r="AA229" s="28"/>
    </row>
    <row r="230" spans="27:27">
      <c r="AA230" s="28"/>
    </row>
    <row r="231" spans="27:27">
      <c r="AA231" s="28"/>
    </row>
    <row r="232" spans="27:27">
      <c r="AA232" s="28"/>
    </row>
    <row r="233" spans="27:27">
      <c r="AA233" s="28"/>
    </row>
    <row r="234" spans="27:27">
      <c r="AA234" s="28"/>
    </row>
    <row r="235" spans="27:27">
      <c r="AA235" s="28"/>
    </row>
    <row r="236" spans="27:27">
      <c r="AA236" s="28"/>
    </row>
    <row r="237" spans="27:27">
      <c r="AA237" s="28"/>
    </row>
    <row r="238" spans="27:27">
      <c r="AA238" s="28"/>
    </row>
    <row r="239" spans="27:27">
      <c r="AA239" s="28"/>
    </row>
    <row r="240" spans="27:27">
      <c r="AA240" s="28"/>
    </row>
    <row r="241" spans="27:27">
      <c r="AA241" s="28"/>
    </row>
    <row r="242" spans="27:27">
      <c r="AA242" s="28"/>
    </row>
    <row r="243" spans="27:27">
      <c r="AA243" s="28"/>
    </row>
    <row r="244" spans="27:27">
      <c r="AA244" s="28"/>
    </row>
    <row r="245" spans="27:27">
      <c r="AA245" s="28"/>
    </row>
    <row r="246" spans="27:27">
      <c r="AA246" s="28"/>
    </row>
    <row r="247" spans="27:27">
      <c r="AA247" s="28"/>
    </row>
    <row r="248" spans="27:27">
      <c r="AA248" s="28"/>
    </row>
    <row r="249" spans="27:27">
      <c r="AA249" s="28"/>
    </row>
    <row r="250" spans="27:27">
      <c r="AA250" s="28"/>
    </row>
    <row r="251" spans="27:27">
      <c r="AA251" s="28"/>
    </row>
    <row r="252" spans="27:27">
      <c r="AA252" s="28"/>
    </row>
    <row r="253" spans="27:27">
      <c r="AA253" s="28"/>
    </row>
    <row r="254" spans="27:27">
      <c r="AA254" s="28"/>
    </row>
    <row r="255" spans="27:27">
      <c r="AA255" s="28"/>
    </row>
    <row r="256" spans="27:27">
      <c r="AA256" s="28"/>
    </row>
    <row r="257" spans="27:27">
      <c r="AA257" s="28"/>
    </row>
    <row r="258" spans="27:27">
      <c r="AA258" s="28"/>
    </row>
    <row r="259" spans="27:27">
      <c r="AA259" s="28"/>
    </row>
    <row r="260" spans="27:27">
      <c r="AA260" s="28"/>
    </row>
    <row r="261" spans="27:27">
      <c r="AA261" s="28"/>
    </row>
    <row r="262" spans="27:27">
      <c r="AA262" s="28"/>
    </row>
    <row r="263" spans="27:27">
      <c r="AA263" s="28"/>
    </row>
    <row r="264" spans="27:27">
      <c r="AA264" s="28"/>
    </row>
    <row r="265" spans="27:27">
      <c r="AA265" s="28"/>
    </row>
    <row r="266" spans="27:27">
      <c r="AA266" s="28"/>
    </row>
    <row r="267" spans="27:27">
      <c r="AA267" s="28"/>
    </row>
    <row r="268" spans="27:27">
      <c r="AA268" s="28"/>
    </row>
    <row r="269" spans="27:27">
      <c r="AA269" s="28"/>
    </row>
    <row r="270" spans="27:27">
      <c r="AA270" s="28"/>
    </row>
    <row r="271" spans="27:27">
      <c r="AA271" s="28"/>
    </row>
    <row r="272" spans="27:27">
      <c r="AA272" s="28"/>
    </row>
    <row r="273" spans="27:27">
      <c r="AA273" s="28"/>
    </row>
    <row r="274" spans="27:27">
      <c r="AA274" s="28"/>
    </row>
    <row r="275" spans="27:27">
      <c r="AA275" s="28"/>
    </row>
    <row r="276" spans="27:27">
      <c r="AA276" s="28"/>
    </row>
    <row r="277" spans="27:27">
      <c r="AA277" s="28"/>
    </row>
    <row r="278" spans="27:27">
      <c r="AA278" s="28"/>
    </row>
    <row r="279" spans="27:27">
      <c r="AA279" s="28"/>
    </row>
    <row r="280" spans="27:27">
      <c r="AA280" s="28"/>
    </row>
    <row r="281" spans="27:27">
      <c r="AA281" s="28"/>
    </row>
    <row r="282" spans="27:27">
      <c r="AA282" s="28"/>
    </row>
    <row r="283" spans="27:27">
      <c r="AA283" s="28"/>
    </row>
    <row r="284" spans="27:27">
      <c r="AA284" s="28"/>
    </row>
    <row r="285" spans="27:27">
      <c r="AA285" s="28"/>
    </row>
    <row r="286" spans="27:27">
      <c r="AA286" s="28"/>
    </row>
    <row r="287" spans="27:27">
      <c r="AA287" s="28"/>
    </row>
    <row r="288" spans="27:27">
      <c r="AA288" s="28"/>
    </row>
    <row r="289" spans="27:27">
      <c r="AA289" s="28"/>
    </row>
    <row r="290" spans="27:27">
      <c r="AA290" s="28"/>
    </row>
    <row r="291" spans="27:27">
      <c r="AA291" s="28"/>
    </row>
    <row r="292" spans="27:27">
      <c r="AA292" s="28"/>
    </row>
    <row r="293" spans="27:27">
      <c r="AA293" s="28"/>
    </row>
    <row r="294" spans="27:27">
      <c r="AA294" s="28"/>
    </row>
    <row r="295" spans="27:27">
      <c r="AA295" s="28"/>
    </row>
    <row r="296" spans="27:27">
      <c r="AA296" s="28"/>
    </row>
    <row r="297" spans="27:27">
      <c r="AA297" s="28"/>
    </row>
    <row r="298" spans="27:27">
      <c r="AA298" s="28"/>
    </row>
    <row r="299" spans="27:27">
      <c r="AA299" s="28"/>
    </row>
    <row r="300" spans="27:27">
      <c r="AA300" s="28"/>
    </row>
    <row r="301" spans="27:27">
      <c r="AA301" s="28"/>
    </row>
    <row r="302" spans="27:27">
      <c r="AA302" s="28"/>
    </row>
    <row r="303" spans="27:27">
      <c r="AA303" s="28"/>
    </row>
    <row r="304" spans="27:27">
      <c r="AA304" s="28"/>
    </row>
    <row r="305" spans="27:27">
      <c r="AA305" s="28"/>
    </row>
    <row r="306" spans="27:27">
      <c r="AA306" s="28"/>
    </row>
    <row r="307" spans="27:27">
      <c r="AA307" s="28"/>
    </row>
    <row r="308" spans="27:27">
      <c r="AA308" s="28"/>
    </row>
    <row r="309" spans="27:27">
      <c r="AA309" s="28"/>
    </row>
    <row r="310" spans="27:27">
      <c r="AA310" s="28"/>
    </row>
    <row r="311" spans="27:27">
      <c r="AA311" s="28"/>
    </row>
    <row r="312" spans="27:27">
      <c r="AA312" s="28"/>
    </row>
    <row r="313" spans="27:27">
      <c r="AA313" s="28"/>
    </row>
    <row r="314" spans="27:27">
      <c r="AA314" s="28"/>
    </row>
    <row r="315" spans="27:27">
      <c r="AA315" s="28"/>
    </row>
    <row r="316" spans="27:27">
      <c r="AA316" s="28"/>
    </row>
    <row r="317" spans="27:27">
      <c r="AA317" s="28"/>
    </row>
    <row r="318" spans="27:27">
      <c r="AA318" s="28"/>
    </row>
    <row r="319" spans="27:27">
      <c r="AA319" s="28"/>
    </row>
    <row r="320" spans="27:27">
      <c r="AA320" s="28"/>
    </row>
    <row r="321" spans="27:27">
      <c r="AA321" s="28"/>
    </row>
    <row r="322" spans="27:27">
      <c r="AA322" s="28"/>
    </row>
    <row r="323" spans="27:27">
      <c r="AA323" s="28"/>
    </row>
    <row r="324" spans="27:27">
      <c r="AA324" s="28"/>
    </row>
    <row r="325" spans="27:27">
      <c r="AA325" s="28"/>
    </row>
    <row r="326" spans="27:27">
      <c r="AA326" s="28"/>
    </row>
    <row r="327" spans="27:27">
      <c r="AA327" s="28"/>
    </row>
    <row r="328" spans="27:27">
      <c r="AA328" s="28"/>
    </row>
    <row r="329" spans="27:27">
      <c r="AA329" s="28"/>
    </row>
    <row r="330" spans="27:27">
      <c r="AA330" s="28"/>
    </row>
    <row r="331" spans="27:27">
      <c r="AA331" s="28"/>
    </row>
    <row r="332" spans="27:27">
      <c r="AA332" s="28"/>
    </row>
    <row r="333" spans="27:27">
      <c r="AA333" s="28"/>
    </row>
    <row r="334" spans="27:27">
      <c r="AA334" s="28"/>
    </row>
    <row r="335" spans="27:27">
      <c r="AA335" s="28"/>
    </row>
    <row r="336" spans="27:27">
      <c r="AA336" s="28"/>
    </row>
    <row r="337" spans="27:27">
      <c r="AA337" s="28"/>
    </row>
    <row r="338" spans="27:27">
      <c r="AA338" s="28"/>
    </row>
    <row r="339" spans="27:27">
      <c r="AA339" s="28"/>
    </row>
    <row r="340" spans="27:27">
      <c r="AA340" s="28"/>
    </row>
    <row r="341" spans="27:27">
      <c r="AA341" s="28"/>
    </row>
    <row r="342" spans="27:27">
      <c r="AA342" s="28"/>
    </row>
    <row r="343" spans="27:27">
      <c r="AA343" s="28"/>
    </row>
    <row r="344" spans="27:27">
      <c r="AA344" s="28"/>
    </row>
    <row r="345" spans="27:27">
      <c r="AA345" s="28"/>
    </row>
    <row r="346" spans="27:27">
      <c r="AA346" s="28"/>
    </row>
    <row r="347" spans="27:27">
      <c r="AA347" s="28"/>
    </row>
    <row r="348" spans="27:27">
      <c r="AA348" s="28"/>
    </row>
    <row r="349" spans="27:27">
      <c r="AA349" s="28"/>
    </row>
    <row r="350" spans="27:27">
      <c r="AA350" s="28"/>
    </row>
    <row r="351" spans="27:27">
      <c r="AA351" s="28"/>
    </row>
    <row r="352" spans="27:27">
      <c r="AA352" s="28"/>
    </row>
    <row r="353" spans="27:27">
      <c r="AA353" s="28"/>
    </row>
    <row r="354" spans="27:27">
      <c r="AA354" s="28"/>
    </row>
    <row r="355" spans="27:27">
      <c r="AA355" s="28"/>
    </row>
    <row r="356" spans="27:27">
      <c r="AA356" s="28"/>
    </row>
    <row r="357" spans="27:27">
      <c r="AA357" s="28"/>
    </row>
    <row r="358" spans="27:27">
      <c r="AA358" s="28"/>
    </row>
    <row r="359" spans="27:27">
      <c r="AA359" s="28"/>
    </row>
    <row r="360" spans="27:27">
      <c r="AA360" s="28"/>
    </row>
    <row r="361" spans="27:27">
      <c r="AA361" s="28"/>
    </row>
    <row r="362" spans="27:27">
      <c r="AA362" s="28"/>
    </row>
    <row r="363" spans="27:27">
      <c r="AA363" s="28"/>
    </row>
    <row r="364" spans="27:27">
      <c r="AA364" s="28"/>
    </row>
    <row r="365" spans="27:27">
      <c r="AA365" s="28"/>
    </row>
    <row r="366" spans="27:27">
      <c r="AA366" s="28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888CD-1A8E-4577-8B2A-94E704F8FDFA}">
  <dimension ref="A1:NG27"/>
  <sheetViews>
    <sheetView showGridLines="0" topLeftCell="JM1" workbookViewId="0">
      <selection activeCell="JT12" sqref="JT12:JT17"/>
    </sheetView>
  </sheetViews>
  <sheetFormatPr defaultColWidth="8.88671875" defaultRowHeight="14.4"/>
  <cols>
    <col min="1" max="1" width="11.44140625" style="8" bestFit="1" customWidth="1"/>
    <col min="2" max="2" width="22.44140625" style="8" bestFit="1" customWidth="1"/>
    <col min="3" max="3" width="11.44140625" style="8" customWidth="1"/>
    <col min="4" max="4" width="11.33203125" style="8" customWidth="1"/>
    <col min="5" max="5" width="12.33203125" style="8" customWidth="1"/>
    <col min="6" max="6" width="12" style="8" customWidth="1"/>
    <col min="7" max="7" width="11.44140625" style="8" customWidth="1"/>
    <col min="8" max="8" width="11.109375" style="8" customWidth="1"/>
    <col min="9" max="9" width="11" style="8" customWidth="1"/>
    <col min="10" max="10" width="11.44140625" style="8" customWidth="1"/>
    <col min="11" max="11" width="11.33203125" style="8" customWidth="1"/>
    <col min="12" max="12" width="12.33203125" style="8" customWidth="1"/>
    <col min="13" max="13" width="12" style="8" customWidth="1"/>
    <col min="14" max="14" width="11.44140625" style="8" customWidth="1"/>
    <col min="15" max="15" width="11.109375" style="8" customWidth="1"/>
    <col min="16" max="16" width="11" style="8" customWidth="1"/>
    <col min="17" max="17" width="11.44140625" style="8" customWidth="1"/>
    <col min="18" max="18" width="11.33203125" style="8" customWidth="1"/>
    <col min="19" max="19" width="12.33203125" style="8" customWidth="1"/>
    <col min="20" max="20" width="12" style="8" customWidth="1"/>
    <col min="21" max="21" width="11.44140625" style="8" customWidth="1"/>
    <col min="22" max="22" width="11.109375" style="8" customWidth="1"/>
    <col min="23" max="23" width="11" style="8" customWidth="1"/>
    <col min="24" max="24" width="11.44140625" style="8" customWidth="1"/>
    <col min="25" max="25" width="11.33203125" style="8" customWidth="1"/>
    <col min="26" max="26" width="12.33203125" style="8" customWidth="1"/>
    <col min="27" max="27" width="12" style="8" customWidth="1"/>
    <col min="28" max="28" width="11.44140625" style="8" customWidth="1"/>
    <col min="29" max="29" width="11.109375" style="8" customWidth="1"/>
    <col min="30" max="30" width="11" style="8" customWidth="1"/>
    <col min="31" max="31" width="11.44140625" style="8" customWidth="1"/>
    <col min="32" max="32" width="11.33203125" style="8" customWidth="1"/>
    <col min="33" max="33" width="12.33203125" style="8" customWidth="1"/>
    <col min="34" max="34" width="12" style="8" customWidth="1"/>
    <col min="35" max="35" width="11.44140625" style="8" customWidth="1"/>
    <col min="36" max="36" width="11.109375" style="8" customWidth="1"/>
    <col min="37" max="37" width="11" style="8" customWidth="1"/>
    <col min="38" max="38" width="11.44140625" style="8" customWidth="1"/>
    <col min="39" max="39" width="11.33203125" style="8" customWidth="1"/>
    <col min="40" max="40" width="12.33203125" style="8" customWidth="1"/>
    <col min="41" max="41" width="12" style="8" customWidth="1"/>
    <col min="42" max="42" width="11.44140625" style="8" customWidth="1"/>
    <col min="43" max="43" width="11.109375" style="8" customWidth="1"/>
    <col min="44" max="44" width="11" style="8" customWidth="1"/>
    <col min="45" max="45" width="11.44140625" style="8" customWidth="1"/>
    <col min="46" max="46" width="11.33203125" style="8" customWidth="1"/>
    <col min="47" max="47" width="12.33203125" style="8" customWidth="1"/>
    <col min="48" max="48" width="12" style="8" customWidth="1"/>
    <col min="49" max="49" width="11.44140625" style="8" customWidth="1"/>
    <col min="50" max="50" width="11.109375" style="8" customWidth="1"/>
    <col min="51" max="51" width="11" style="8" customWidth="1"/>
    <col min="52" max="52" width="11.44140625" style="8" customWidth="1"/>
    <col min="53" max="53" width="11.33203125" style="8" customWidth="1"/>
    <col min="54" max="54" width="12.33203125" style="8" customWidth="1"/>
    <col min="55" max="55" width="12" style="8" customWidth="1"/>
    <col min="56" max="56" width="11.44140625" style="8" customWidth="1"/>
    <col min="57" max="57" width="11.109375" style="8" customWidth="1"/>
    <col min="58" max="58" width="11.33203125" style="8" customWidth="1"/>
    <col min="59" max="59" width="11.44140625" style="8" customWidth="1"/>
    <col min="60" max="60" width="11.33203125" style="8" customWidth="1"/>
    <col min="61" max="61" width="12.33203125" style="8" customWidth="1"/>
    <col min="62" max="62" width="12" style="8" customWidth="1"/>
    <col min="63" max="63" width="11.44140625" style="8" customWidth="1"/>
    <col min="64" max="64" width="12.109375" style="8" customWidth="1"/>
    <col min="65" max="65" width="12" style="8" customWidth="1"/>
    <col min="66" max="66" width="12.44140625" style="8" customWidth="1"/>
    <col min="67" max="67" width="12.33203125" style="8" customWidth="1"/>
    <col min="68" max="68" width="13.44140625" style="8" customWidth="1"/>
    <col min="69" max="69" width="13.109375" style="8" customWidth="1"/>
    <col min="70" max="70" width="12.44140625" style="8" customWidth="1"/>
    <col min="71" max="71" width="12.109375" style="8" customWidth="1"/>
    <col min="72" max="72" width="12" style="8" customWidth="1"/>
    <col min="73" max="73" width="12.44140625" style="8" customWidth="1"/>
    <col min="74" max="74" width="12.33203125" style="8" customWidth="1"/>
    <col min="75" max="75" width="13.44140625" style="8" customWidth="1"/>
    <col min="76" max="76" width="13.109375" style="8" customWidth="1"/>
    <col min="77" max="77" width="12.44140625" style="8" customWidth="1"/>
    <col min="78" max="78" width="12.109375" style="8" customWidth="1"/>
    <col min="79" max="79" width="12" style="8" customWidth="1"/>
    <col min="80" max="80" width="12.44140625" style="8" customWidth="1"/>
    <col min="81" max="81" width="12.33203125" style="8" customWidth="1"/>
    <col min="82" max="82" width="13.44140625" style="8" customWidth="1"/>
    <col min="83" max="83" width="13.109375" style="8" customWidth="1"/>
    <col min="84" max="84" width="12.44140625" style="8" customWidth="1"/>
    <col min="85" max="85" width="12.109375" style="8" customWidth="1"/>
    <col min="86" max="86" width="12" style="8" customWidth="1"/>
    <col min="87" max="87" width="12.44140625" style="8" customWidth="1"/>
    <col min="88" max="88" width="12.33203125" style="8" customWidth="1"/>
    <col min="89" max="89" width="13.44140625" style="8" customWidth="1"/>
    <col min="90" max="90" width="13.109375" style="8" customWidth="1"/>
    <col min="91" max="91" width="12.44140625" style="8" customWidth="1"/>
    <col min="92" max="92" width="12.109375" style="8" customWidth="1"/>
    <col min="93" max="93" width="12" style="8" customWidth="1"/>
    <col min="94" max="94" width="12.44140625" style="8" customWidth="1"/>
    <col min="95" max="95" width="12.33203125" style="8" customWidth="1"/>
    <col min="96" max="96" width="13.44140625" style="8" customWidth="1"/>
    <col min="97" max="97" width="13.109375" style="8" customWidth="1"/>
    <col min="98" max="98" width="12.44140625" style="8" customWidth="1"/>
    <col min="99" max="99" width="12.109375" style="8" customWidth="1"/>
    <col min="100" max="100" width="12" style="8" customWidth="1"/>
    <col min="101" max="101" width="12.44140625" style="8" customWidth="1"/>
    <col min="102" max="102" width="12.33203125" style="8" customWidth="1"/>
    <col min="103" max="103" width="13.44140625" style="8" customWidth="1"/>
    <col min="104" max="104" width="13.109375" style="8" customWidth="1"/>
    <col min="105" max="105" width="12.44140625" style="8" customWidth="1"/>
    <col min="106" max="106" width="12.109375" style="8" customWidth="1"/>
    <col min="107" max="107" width="12" style="8" customWidth="1"/>
    <col min="108" max="108" width="12.44140625" style="8" customWidth="1"/>
    <col min="109" max="109" width="12.33203125" style="8" customWidth="1"/>
    <col min="110" max="110" width="13.44140625" style="8" customWidth="1"/>
    <col min="111" max="111" width="13.109375" style="8" customWidth="1"/>
    <col min="112" max="112" width="12.44140625" style="8" customWidth="1"/>
    <col min="113" max="113" width="12.109375" style="8" customWidth="1"/>
    <col min="114" max="114" width="12" style="8" customWidth="1"/>
    <col min="115" max="115" width="12.44140625" style="8" customWidth="1"/>
    <col min="116" max="116" width="12.33203125" style="8" customWidth="1"/>
    <col min="117" max="117" width="13.44140625" style="8" customWidth="1"/>
    <col min="118" max="118" width="13.109375" style="8" customWidth="1"/>
    <col min="119" max="119" width="12.44140625" style="8" customWidth="1"/>
    <col min="120" max="120" width="12.109375" style="8" customWidth="1"/>
    <col min="121" max="121" width="12" style="8" customWidth="1"/>
    <col min="122" max="122" width="12.44140625" style="8" customWidth="1"/>
    <col min="123" max="123" width="12.33203125" style="8" customWidth="1"/>
    <col min="124" max="124" width="13.44140625" style="8" customWidth="1"/>
    <col min="125" max="125" width="13.109375" style="8" customWidth="1"/>
    <col min="126" max="126" width="12.44140625" style="8" customWidth="1"/>
    <col min="127" max="127" width="12.109375" style="8" customWidth="1"/>
    <col min="128" max="128" width="12" style="8" customWidth="1"/>
    <col min="129" max="129" width="12.44140625" style="8" customWidth="1"/>
    <col min="130" max="130" width="12.33203125" style="8" customWidth="1"/>
    <col min="131" max="131" width="13.44140625" style="8" customWidth="1"/>
    <col min="132" max="132" width="13.109375" style="8" customWidth="1"/>
    <col min="133" max="133" width="12.44140625" style="8" customWidth="1"/>
    <col min="134" max="134" width="12.109375" style="8" customWidth="1"/>
    <col min="135" max="135" width="12" style="8" customWidth="1"/>
    <col min="136" max="136" width="12.44140625" style="8" customWidth="1"/>
    <col min="137" max="137" width="12.33203125" style="8" customWidth="1"/>
    <col min="138" max="138" width="13.44140625" style="8" customWidth="1"/>
    <col min="139" max="139" width="13.109375" style="8" customWidth="1"/>
    <col min="140" max="140" width="12.44140625" style="8" customWidth="1"/>
    <col min="141" max="141" width="12.109375" style="8" customWidth="1"/>
    <col min="142" max="142" width="12" style="8" customWidth="1"/>
    <col min="143" max="143" width="12.44140625" style="8" customWidth="1"/>
    <col min="144" max="144" width="12.33203125" style="8" customWidth="1"/>
    <col min="145" max="145" width="13.44140625" style="8" customWidth="1"/>
    <col min="146" max="146" width="13.109375" style="8" customWidth="1"/>
    <col min="147" max="147" width="12.44140625" style="8" customWidth="1"/>
    <col min="148" max="148" width="12.109375" style="8" customWidth="1"/>
    <col min="149" max="149" width="12" style="8" customWidth="1"/>
    <col min="150" max="150" width="12.44140625" style="8" customWidth="1"/>
    <col min="151" max="151" width="12.33203125" style="8" customWidth="1"/>
    <col min="152" max="152" width="13.44140625" style="8" customWidth="1"/>
    <col min="153" max="153" width="13.109375" style="8" customWidth="1"/>
    <col min="154" max="154" width="12.44140625" style="8" customWidth="1"/>
    <col min="155" max="155" width="12.109375" style="8" customWidth="1"/>
    <col min="156" max="156" width="12" style="8" customWidth="1"/>
    <col min="157" max="157" width="12.44140625" style="8" customWidth="1"/>
    <col min="158" max="158" width="12.33203125" style="8" customWidth="1"/>
    <col min="159" max="159" width="13.44140625" style="8" customWidth="1"/>
    <col min="160" max="160" width="13.109375" style="8" customWidth="1"/>
    <col min="161" max="161" width="12.44140625" style="8" customWidth="1"/>
    <col min="162" max="162" width="12.109375" style="8" customWidth="1"/>
    <col min="163" max="163" width="12" style="8" customWidth="1"/>
    <col min="164" max="164" width="12.44140625" style="8" customWidth="1"/>
    <col min="165" max="165" width="12.33203125" style="8" customWidth="1"/>
    <col min="166" max="166" width="13.44140625" style="8" customWidth="1"/>
    <col min="167" max="167" width="13.109375" style="8" customWidth="1"/>
    <col min="168" max="168" width="12.44140625" style="8" customWidth="1"/>
    <col min="169" max="169" width="12.109375" style="8" customWidth="1"/>
    <col min="170" max="170" width="12" style="8" customWidth="1"/>
    <col min="171" max="171" width="12.44140625" style="8" customWidth="1"/>
    <col min="172" max="172" width="12.33203125" style="8" customWidth="1"/>
    <col min="173" max="173" width="13.44140625" style="8" customWidth="1"/>
    <col min="174" max="174" width="13.109375" style="8" customWidth="1"/>
    <col min="175" max="175" width="12.44140625" style="8" customWidth="1"/>
    <col min="176" max="176" width="12.109375" style="8" customWidth="1"/>
    <col min="177" max="177" width="12" style="8" customWidth="1"/>
    <col min="178" max="178" width="12.44140625" style="8" customWidth="1"/>
    <col min="179" max="179" width="12.33203125" style="8" customWidth="1"/>
    <col min="180" max="180" width="13.44140625" style="8" customWidth="1"/>
    <col min="181" max="181" width="13.109375" style="8" customWidth="1"/>
    <col min="182" max="182" width="12.44140625" style="8" customWidth="1"/>
    <col min="183" max="183" width="12.109375" style="8" customWidth="1"/>
    <col min="184" max="184" width="12" style="8" customWidth="1"/>
    <col min="185" max="185" width="12.44140625" style="8" customWidth="1"/>
    <col min="186" max="186" width="12.33203125" style="8" customWidth="1"/>
    <col min="187" max="187" width="13.44140625" style="8" customWidth="1"/>
    <col min="188" max="188" width="13.109375" style="8" customWidth="1"/>
    <col min="189" max="189" width="12.44140625" style="8" customWidth="1"/>
    <col min="190" max="190" width="12.109375" style="8" customWidth="1"/>
    <col min="191" max="191" width="12" style="8" customWidth="1"/>
    <col min="192" max="192" width="12.44140625" style="8" customWidth="1"/>
    <col min="193" max="193" width="12.33203125" style="8" customWidth="1"/>
    <col min="194" max="194" width="13.44140625" style="8" customWidth="1"/>
    <col min="195" max="195" width="13.109375" style="8" customWidth="1"/>
    <col min="196" max="196" width="12.44140625" style="8" customWidth="1"/>
    <col min="197" max="197" width="12.109375" style="8" customWidth="1"/>
    <col min="198" max="198" width="12" style="8" customWidth="1"/>
    <col min="199" max="199" width="12.44140625" style="8" customWidth="1"/>
    <col min="200" max="200" width="12.33203125" style="8" customWidth="1"/>
    <col min="201" max="201" width="13.44140625" style="8" customWidth="1"/>
    <col min="202" max="202" width="13.109375" style="8" customWidth="1"/>
    <col min="203" max="203" width="12.44140625" style="8" customWidth="1"/>
    <col min="204" max="204" width="12.109375" style="8" customWidth="1"/>
    <col min="205" max="205" width="12" style="8" customWidth="1"/>
    <col min="206" max="206" width="12.44140625" style="8" customWidth="1"/>
    <col min="207" max="207" width="12.33203125" style="8" customWidth="1"/>
    <col min="208" max="208" width="13.44140625" style="8" customWidth="1"/>
    <col min="209" max="209" width="13.109375" style="8" customWidth="1"/>
    <col min="210" max="210" width="12.44140625" style="8" customWidth="1"/>
    <col min="211" max="211" width="12.109375" style="8" customWidth="1"/>
    <col min="212" max="212" width="12" style="8" customWidth="1"/>
    <col min="213" max="213" width="12.44140625" style="8" customWidth="1"/>
    <col min="214" max="214" width="12.33203125" style="8" customWidth="1"/>
    <col min="215" max="215" width="13.44140625" style="8" customWidth="1"/>
    <col min="216" max="216" width="13.109375" style="8" customWidth="1"/>
    <col min="217" max="217" width="12.44140625" style="8" customWidth="1"/>
    <col min="218" max="218" width="12.109375" style="8" customWidth="1"/>
    <col min="219" max="219" width="12" style="8" customWidth="1"/>
    <col min="220" max="220" width="12.44140625" style="8" customWidth="1"/>
    <col min="221" max="221" width="12.33203125" style="8" customWidth="1"/>
    <col min="222" max="222" width="13.44140625" style="8" customWidth="1"/>
    <col min="223" max="223" width="13.109375" style="8" customWidth="1"/>
    <col min="224" max="224" width="12.44140625" style="8" customWidth="1"/>
    <col min="225" max="225" width="12.109375" style="8" customWidth="1"/>
    <col min="226" max="226" width="12" style="8" customWidth="1"/>
    <col min="227" max="227" width="12.44140625" style="8" customWidth="1"/>
    <col min="228" max="228" width="12.33203125" style="8" customWidth="1"/>
    <col min="229" max="229" width="13.44140625" style="8" customWidth="1"/>
    <col min="230" max="230" width="13.109375" style="8" customWidth="1"/>
    <col min="231" max="231" width="12.44140625" style="8" customWidth="1"/>
    <col min="232" max="232" width="12.109375" style="8" customWidth="1"/>
    <col min="233" max="233" width="12" style="8" customWidth="1"/>
    <col min="234" max="234" width="12.44140625" style="8" customWidth="1"/>
    <col min="235" max="235" width="12.33203125" style="8" customWidth="1"/>
    <col min="236" max="236" width="13.44140625" style="8" customWidth="1"/>
    <col min="237" max="237" width="13.109375" style="8" customWidth="1"/>
    <col min="238" max="238" width="12.44140625" style="8" customWidth="1"/>
    <col min="239" max="239" width="12.109375" style="8" customWidth="1"/>
    <col min="240" max="240" width="12" style="8" customWidth="1"/>
    <col min="241" max="241" width="12.44140625" style="8" customWidth="1"/>
    <col min="242" max="242" width="12.33203125" style="8" customWidth="1"/>
    <col min="243" max="243" width="13.44140625" style="8" customWidth="1"/>
    <col min="244" max="244" width="13.109375" style="8" customWidth="1"/>
    <col min="245" max="245" width="12.44140625" style="8" customWidth="1"/>
    <col min="246" max="246" width="12.109375" style="8" customWidth="1"/>
    <col min="247" max="247" width="12" style="8" customWidth="1"/>
    <col min="248" max="248" width="12.44140625" style="8" customWidth="1"/>
    <col min="249" max="249" width="12.33203125" style="8" customWidth="1"/>
    <col min="250" max="250" width="13.44140625" style="8" customWidth="1"/>
    <col min="251" max="251" width="13.109375" style="8" customWidth="1"/>
    <col min="252" max="252" width="12.44140625" style="8" customWidth="1"/>
    <col min="253" max="253" width="12.109375" style="8" customWidth="1"/>
    <col min="254" max="254" width="12" style="8" customWidth="1"/>
    <col min="255" max="255" width="12.44140625" style="8" customWidth="1"/>
    <col min="256" max="256" width="12.33203125" style="8" customWidth="1"/>
    <col min="257" max="257" width="13.44140625" style="8" customWidth="1"/>
    <col min="258" max="258" width="13.109375" style="8" customWidth="1"/>
    <col min="259" max="259" width="12.44140625" style="8" customWidth="1"/>
    <col min="260" max="260" width="12.109375" style="8" customWidth="1"/>
    <col min="261" max="261" width="12" style="8" customWidth="1"/>
    <col min="262" max="262" width="12.44140625" style="8" customWidth="1"/>
    <col min="263" max="263" width="12.33203125" style="8" customWidth="1"/>
    <col min="264" max="264" width="13.44140625" style="8" customWidth="1"/>
    <col min="265" max="265" width="13.109375" style="8" customWidth="1"/>
    <col min="266" max="266" width="12.44140625" style="8" customWidth="1"/>
    <col min="267" max="267" width="12.109375" style="8" customWidth="1"/>
    <col min="268" max="268" width="12" style="8" customWidth="1"/>
    <col min="269" max="269" width="12.44140625" style="8" customWidth="1"/>
    <col min="270" max="270" width="12.33203125" style="8" customWidth="1"/>
    <col min="271" max="271" width="13.44140625" style="8" customWidth="1"/>
    <col min="272" max="272" width="13.109375" style="8" customWidth="1"/>
    <col min="273" max="273" width="12.44140625" style="8" customWidth="1"/>
    <col min="274" max="274" width="12.109375" style="8" customWidth="1"/>
    <col min="275" max="275" width="12" style="8" customWidth="1"/>
    <col min="276" max="276" width="12.44140625" style="8" customWidth="1"/>
    <col min="277" max="277" width="12.33203125" style="8" customWidth="1"/>
    <col min="278" max="278" width="13.44140625" style="8" customWidth="1"/>
    <col min="279" max="279" width="13.109375" style="8" customWidth="1"/>
    <col min="280" max="280" width="12.44140625" style="8" customWidth="1"/>
    <col min="281" max="281" width="12.109375" style="8" customWidth="1"/>
    <col min="282" max="282" width="12" style="8" customWidth="1"/>
    <col min="283" max="283" width="12.44140625" style="8" customWidth="1"/>
    <col min="284" max="284" width="12.33203125" style="8" customWidth="1"/>
    <col min="285" max="285" width="13.44140625" style="8" customWidth="1"/>
    <col min="286" max="286" width="13.109375" style="8" customWidth="1"/>
    <col min="287" max="287" width="12.44140625" style="8" customWidth="1"/>
    <col min="288" max="288" width="12.109375" style="8" customWidth="1"/>
    <col min="289" max="289" width="12" style="8" customWidth="1"/>
    <col min="290" max="290" width="12.44140625" style="8" customWidth="1"/>
    <col min="291" max="291" width="12.33203125" style="8" customWidth="1"/>
    <col min="292" max="292" width="13.44140625" style="8" customWidth="1"/>
    <col min="293" max="293" width="13.109375" style="8" customWidth="1"/>
    <col min="294" max="294" width="12.44140625" style="8" customWidth="1"/>
    <col min="295" max="295" width="12.109375" style="8" customWidth="1"/>
    <col min="296" max="296" width="12" style="8" customWidth="1"/>
    <col min="297" max="297" width="12.44140625" style="8" customWidth="1"/>
    <col min="298" max="298" width="12.33203125" style="8" customWidth="1"/>
    <col min="299" max="299" width="13.44140625" style="8" customWidth="1"/>
    <col min="300" max="300" width="13.109375" style="8" customWidth="1"/>
    <col min="301" max="301" width="12.44140625" style="8" customWidth="1"/>
    <col min="302" max="302" width="12.109375" style="8" customWidth="1"/>
    <col min="303" max="303" width="12" style="8" customWidth="1"/>
    <col min="304" max="304" width="12.44140625" style="8" customWidth="1"/>
    <col min="305" max="305" width="12.33203125" style="8" customWidth="1"/>
    <col min="306" max="306" width="13.44140625" style="8" customWidth="1"/>
    <col min="307" max="307" width="13.109375" style="8" customWidth="1"/>
    <col min="308" max="308" width="12.44140625" style="8" customWidth="1"/>
    <col min="309" max="309" width="12.109375" style="8" customWidth="1"/>
    <col min="310" max="310" width="12" style="8" customWidth="1"/>
    <col min="311" max="311" width="12.44140625" style="8" customWidth="1"/>
    <col min="312" max="312" width="12.33203125" style="8" customWidth="1"/>
    <col min="313" max="313" width="13.44140625" style="8" customWidth="1"/>
    <col min="314" max="314" width="13.109375" style="8" customWidth="1"/>
    <col min="315" max="315" width="12.44140625" style="8" customWidth="1"/>
    <col min="316" max="316" width="12.109375" style="8" customWidth="1"/>
    <col min="317" max="317" width="12" style="8" customWidth="1"/>
    <col min="318" max="318" width="12.44140625" style="8" customWidth="1"/>
    <col min="319" max="319" width="12.33203125" style="8" customWidth="1"/>
    <col min="320" max="320" width="13.44140625" style="8" customWidth="1"/>
    <col min="321" max="321" width="13.109375" style="8" customWidth="1"/>
    <col min="322" max="322" width="12.44140625" style="8" customWidth="1"/>
    <col min="323" max="323" width="12.109375" style="8" customWidth="1"/>
    <col min="324" max="324" width="12" style="8" customWidth="1"/>
    <col min="325" max="325" width="12.44140625" style="8" customWidth="1"/>
    <col min="326" max="326" width="12.33203125" style="8" customWidth="1"/>
    <col min="327" max="327" width="13.44140625" style="8" customWidth="1"/>
    <col min="328" max="328" width="13.109375" style="8" customWidth="1"/>
    <col min="329" max="329" width="12.44140625" style="8" customWidth="1"/>
    <col min="330" max="330" width="12.109375" style="8" customWidth="1"/>
    <col min="331" max="331" width="12" style="8" customWidth="1"/>
    <col min="332" max="332" width="12.44140625" style="8" customWidth="1"/>
    <col min="333" max="333" width="12.33203125" style="8" customWidth="1"/>
    <col min="334" max="334" width="13.44140625" style="8" customWidth="1"/>
    <col min="335" max="335" width="13.109375" style="8" customWidth="1"/>
    <col min="336" max="336" width="12.44140625" style="8" customWidth="1"/>
    <col min="337" max="337" width="12.109375" style="8" customWidth="1"/>
    <col min="338" max="338" width="12" style="8" customWidth="1"/>
    <col min="339" max="339" width="12.44140625" style="8" customWidth="1"/>
    <col min="340" max="340" width="12.33203125" style="8" customWidth="1"/>
    <col min="341" max="341" width="13.44140625" style="8" customWidth="1"/>
    <col min="342" max="342" width="13.109375" style="8" customWidth="1"/>
    <col min="343" max="343" width="12.44140625" style="8" customWidth="1"/>
    <col min="344" max="344" width="12.109375" style="8" customWidth="1"/>
    <col min="345" max="345" width="12" style="8" customWidth="1"/>
    <col min="346" max="346" width="12.44140625" style="8" customWidth="1"/>
    <col min="347" max="347" width="12.33203125" style="8" customWidth="1"/>
    <col min="348" max="348" width="13.44140625" style="8" customWidth="1"/>
    <col min="349" max="349" width="13.109375" style="8" customWidth="1"/>
    <col min="350" max="350" width="12.44140625" style="8" customWidth="1"/>
    <col min="351" max="351" width="12.109375" style="8" bestFit="1" customWidth="1"/>
    <col min="352" max="352" width="12" style="8" bestFit="1" customWidth="1"/>
    <col min="353" max="353" width="12.44140625" style="8" bestFit="1" customWidth="1"/>
    <col min="354" max="354" width="12.33203125" style="8" bestFit="1" customWidth="1"/>
    <col min="355" max="355" width="13.44140625" style="8" bestFit="1" customWidth="1"/>
    <col min="356" max="356" width="13.109375" style="8" bestFit="1" customWidth="1"/>
    <col min="357" max="357" width="12.44140625" style="8" bestFit="1" customWidth="1"/>
    <col min="358" max="358" width="12.109375" style="8" bestFit="1" customWidth="1"/>
    <col min="359" max="359" width="12" style="8" bestFit="1" customWidth="1"/>
    <col min="360" max="360" width="12.44140625" style="8" bestFit="1" customWidth="1"/>
    <col min="361" max="361" width="12.33203125" style="8" bestFit="1" customWidth="1"/>
    <col min="362" max="362" width="13.44140625" style="8" bestFit="1" customWidth="1"/>
    <col min="363" max="363" width="13.109375" style="8" bestFit="1" customWidth="1"/>
    <col min="364" max="364" width="12.44140625" style="8" bestFit="1" customWidth="1"/>
    <col min="365" max="365" width="11.109375" style="8" bestFit="1" customWidth="1"/>
    <col min="366" max="366" width="11" style="8" bestFit="1" customWidth="1"/>
    <col min="367" max="367" width="11.44140625" style="8" bestFit="1" customWidth="1"/>
    <col min="368" max="16384" width="8.88671875" style="8"/>
  </cols>
  <sheetData>
    <row r="1" spans="1:371">
      <c r="A1" s="10" t="s">
        <v>57</v>
      </c>
      <c r="B1" s="10" t="s">
        <v>56</v>
      </c>
      <c r="C1" s="11">
        <v>45658</v>
      </c>
      <c r="D1" s="11">
        <v>45659</v>
      </c>
      <c r="E1" s="11">
        <v>45660</v>
      </c>
      <c r="F1" s="11">
        <v>45661</v>
      </c>
      <c r="G1" s="11">
        <v>45662</v>
      </c>
      <c r="H1" s="11">
        <v>45663</v>
      </c>
      <c r="I1" s="11">
        <v>45664</v>
      </c>
      <c r="J1" s="11">
        <v>45665</v>
      </c>
      <c r="K1" s="11">
        <v>45666</v>
      </c>
      <c r="L1" s="11">
        <v>45667</v>
      </c>
      <c r="M1" s="11">
        <v>45668</v>
      </c>
      <c r="N1" s="11">
        <v>45669</v>
      </c>
      <c r="O1" s="11">
        <v>45670</v>
      </c>
      <c r="P1" s="11">
        <v>45671</v>
      </c>
      <c r="Q1" s="11">
        <v>45672</v>
      </c>
      <c r="R1" s="11">
        <v>45673</v>
      </c>
      <c r="S1" s="11">
        <v>45674</v>
      </c>
      <c r="T1" s="11">
        <v>45675</v>
      </c>
      <c r="U1" s="11">
        <v>45676</v>
      </c>
      <c r="V1" s="11">
        <v>45677</v>
      </c>
      <c r="W1" s="11">
        <v>45678</v>
      </c>
      <c r="X1" s="11">
        <v>45679</v>
      </c>
      <c r="Y1" s="11">
        <v>45680</v>
      </c>
      <c r="Z1" s="11">
        <v>45681</v>
      </c>
      <c r="AA1" s="11">
        <v>45682</v>
      </c>
      <c r="AB1" s="11">
        <v>45683</v>
      </c>
      <c r="AC1" s="11">
        <v>45684</v>
      </c>
      <c r="AD1" s="11">
        <v>45685</v>
      </c>
      <c r="AE1" s="11">
        <v>45686</v>
      </c>
      <c r="AF1" s="11">
        <v>45687</v>
      </c>
      <c r="AG1" s="11">
        <v>45688</v>
      </c>
      <c r="AH1" s="11">
        <v>45689</v>
      </c>
      <c r="AI1" s="11">
        <v>45690</v>
      </c>
      <c r="AJ1" s="11">
        <v>45691</v>
      </c>
      <c r="AK1" s="11">
        <v>45692</v>
      </c>
      <c r="AL1" s="11">
        <v>45693</v>
      </c>
      <c r="AM1" s="11">
        <v>45694</v>
      </c>
      <c r="AN1" s="11">
        <v>45695</v>
      </c>
      <c r="AO1" s="11">
        <v>45696</v>
      </c>
      <c r="AP1" s="11">
        <v>45697</v>
      </c>
      <c r="AQ1" s="11">
        <v>45698</v>
      </c>
      <c r="AR1" s="11">
        <v>45699</v>
      </c>
      <c r="AS1" s="11">
        <v>45700</v>
      </c>
      <c r="AT1" s="11">
        <v>45701</v>
      </c>
      <c r="AU1" s="11">
        <v>45702</v>
      </c>
      <c r="AV1" s="11">
        <v>45703</v>
      </c>
      <c r="AW1" s="11">
        <v>45704</v>
      </c>
      <c r="AX1" s="11">
        <v>45705</v>
      </c>
      <c r="AY1" s="11">
        <v>45706</v>
      </c>
      <c r="AZ1" s="11">
        <v>45707</v>
      </c>
      <c r="BA1" s="11">
        <v>45708</v>
      </c>
      <c r="BB1" s="11">
        <v>45709</v>
      </c>
      <c r="BC1" s="11">
        <v>45710</v>
      </c>
      <c r="BD1" s="11">
        <v>45711</v>
      </c>
      <c r="BE1" s="11">
        <v>45712</v>
      </c>
      <c r="BF1" s="11">
        <v>45713</v>
      </c>
      <c r="BG1" s="11">
        <v>45714</v>
      </c>
      <c r="BH1" s="11">
        <v>45715</v>
      </c>
      <c r="BI1" s="11">
        <v>45716</v>
      </c>
      <c r="BJ1" s="11">
        <v>45717</v>
      </c>
      <c r="BK1" s="11">
        <v>45718</v>
      </c>
      <c r="BL1" s="11">
        <v>45719</v>
      </c>
      <c r="BM1" s="11">
        <v>45720</v>
      </c>
      <c r="BN1" s="11">
        <v>45721</v>
      </c>
      <c r="BO1" s="11">
        <v>45722</v>
      </c>
      <c r="BP1" s="11">
        <v>45723</v>
      </c>
      <c r="BQ1" s="11">
        <v>45724</v>
      </c>
      <c r="BR1" s="11">
        <v>45725</v>
      </c>
      <c r="BS1" s="11">
        <v>45726</v>
      </c>
      <c r="BT1" s="11">
        <v>45727</v>
      </c>
      <c r="BU1" s="11">
        <v>45728</v>
      </c>
      <c r="BV1" s="11">
        <v>45729</v>
      </c>
      <c r="BW1" s="11">
        <v>45730</v>
      </c>
      <c r="BX1" s="11">
        <v>45731</v>
      </c>
      <c r="BY1" s="11">
        <v>45732</v>
      </c>
      <c r="BZ1" s="11">
        <v>45733</v>
      </c>
      <c r="CA1" s="11">
        <v>45734</v>
      </c>
      <c r="CB1" s="11">
        <v>45735</v>
      </c>
      <c r="CC1" s="11">
        <v>45736</v>
      </c>
      <c r="CD1" s="11">
        <v>45737</v>
      </c>
      <c r="CE1" s="11">
        <v>45738</v>
      </c>
      <c r="CF1" s="11">
        <v>45739</v>
      </c>
      <c r="CG1" s="11">
        <v>45740</v>
      </c>
      <c r="CH1" s="11">
        <v>45741</v>
      </c>
      <c r="CI1" s="11">
        <v>45742</v>
      </c>
      <c r="CJ1" s="11">
        <v>45743</v>
      </c>
      <c r="CK1" s="11">
        <v>45744</v>
      </c>
      <c r="CL1" s="11">
        <v>45745</v>
      </c>
      <c r="CM1" s="11">
        <v>45746</v>
      </c>
      <c r="CN1" s="11">
        <v>45747</v>
      </c>
      <c r="CO1" s="11">
        <v>45748</v>
      </c>
      <c r="CP1" s="11">
        <v>45749</v>
      </c>
      <c r="CQ1" s="11">
        <v>45750</v>
      </c>
      <c r="CR1" s="11">
        <v>45751</v>
      </c>
      <c r="CS1" s="11">
        <v>45752</v>
      </c>
      <c r="CT1" s="11">
        <v>45753</v>
      </c>
      <c r="CU1" s="11">
        <v>45754</v>
      </c>
      <c r="CV1" s="11">
        <v>45755</v>
      </c>
      <c r="CW1" s="11">
        <v>45756</v>
      </c>
      <c r="CX1" s="11">
        <v>45757</v>
      </c>
      <c r="CY1" s="11">
        <v>45758</v>
      </c>
      <c r="CZ1" s="11">
        <v>45759</v>
      </c>
      <c r="DA1" s="11">
        <v>45760</v>
      </c>
      <c r="DB1" s="11">
        <v>45761</v>
      </c>
      <c r="DC1" s="11">
        <v>45762</v>
      </c>
      <c r="DD1" s="11">
        <v>45763</v>
      </c>
      <c r="DE1" s="11">
        <v>45764</v>
      </c>
      <c r="DF1" s="11">
        <v>45765</v>
      </c>
      <c r="DG1" s="11">
        <v>45766</v>
      </c>
      <c r="DH1" s="11">
        <v>45767</v>
      </c>
      <c r="DI1" s="11">
        <v>45768</v>
      </c>
      <c r="DJ1" s="11">
        <v>45769</v>
      </c>
      <c r="DK1" s="11">
        <v>45770</v>
      </c>
      <c r="DL1" s="11">
        <v>45771</v>
      </c>
      <c r="DM1" s="11">
        <v>45772</v>
      </c>
      <c r="DN1" s="11">
        <v>45773</v>
      </c>
      <c r="DO1" s="11">
        <v>45774</v>
      </c>
      <c r="DP1" s="11">
        <v>45775</v>
      </c>
      <c r="DQ1" s="11">
        <v>45776</v>
      </c>
      <c r="DR1" s="11">
        <v>45777</v>
      </c>
      <c r="DS1" s="11">
        <v>45778</v>
      </c>
      <c r="DT1" s="11">
        <v>45779</v>
      </c>
      <c r="DU1" s="11">
        <v>45780</v>
      </c>
      <c r="DV1" s="11">
        <v>45781</v>
      </c>
      <c r="DW1" s="11">
        <v>45782</v>
      </c>
      <c r="DX1" s="11">
        <v>45783</v>
      </c>
      <c r="DY1" s="11">
        <v>45784</v>
      </c>
      <c r="DZ1" s="11">
        <v>45785</v>
      </c>
      <c r="EA1" s="11">
        <v>45786</v>
      </c>
      <c r="EB1" s="11">
        <v>45787</v>
      </c>
      <c r="EC1" s="11">
        <v>45788</v>
      </c>
      <c r="ED1" s="11">
        <v>45789</v>
      </c>
      <c r="EE1" s="11">
        <v>45790</v>
      </c>
      <c r="EF1" s="11">
        <v>45791</v>
      </c>
      <c r="EG1" s="11">
        <v>45792</v>
      </c>
      <c r="EH1" s="11">
        <v>45793</v>
      </c>
      <c r="EI1" s="11">
        <v>45794</v>
      </c>
      <c r="EJ1" s="11">
        <v>45795</v>
      </c>
      <c r="EK1" s="11">
        <v>45796</v>
      </c>
      <c r="EL1" s="11">
        <v>45797</v>
      </c>
      <c r="EM1" s="11">
        <v>45798</v>
      </c>
      <c r="EN1" s="11">
        <v>45799</v>
      </c>
      <c r="EO1" s="11">
        <v>45800</v>
      </c>
      <c r="EP1" s="11">
        <v>45801</v>
      </c>
      <c r="EQ1" s="11">
        <v>45802</v>
      </c>
      <c r="ER1" s="11">
        <v>45803</v>
      </c>
      <c r="ES1" s="11">
        <v>45804</v>
      </c>
      <c r="ET1" s="11">
        <v>45805</v>
      </c>
      <c r="EU1" s="11">
        <v>45806</v>
      </c>
      <c r="EV1" s="11">
        <v>45807</v>
      </c>
      <c r="EW1" s="11">
        <v>45808</v>
      </c>
      <c r="EX1" s="11">
        <v>45809</v>
      </c>
      <c r="EY1" s="11">
        <v>45810</v>
      </c>
      <c r="EZ1" s="11">
        <v>45811</v>
      </c>
      <c r="FA1" s="11">
        <v>45812</v>
      </c>
      <c r="FB1" s="11">
        <v>45813</v>
      </c>
      <c r="FC1" s="11">
        <v>45814</v>
      </c>
      <c r="FD1" s="11">
        <v>45815</v>
      </c>
      <c r="FE1" s="11">
        <v>45816</v>
      </c>
      <c r="FF1" s="11">
        <v>45817</v>
      </c>
      <c r="FG1" s="11">
        <v>45818</v>
      </c>
      <c r="FH1" s="11">
        <v>45819</v>
      </c>
      <c r="FI1" s="11">
        <v>45820</v>
      </c>
      <c r="FJ1" s="11">
        <v>45821</v>
      </c>
      <c r="FK1" s="11">
        <v>45822</v>
      </c>
      <c r="FL1" s="11">
        <v>45823</v>
      </c>
      <c r="FM1" s="11">
        <v>45824</v>
      </c>
      <c r="FN1" s="11">
        <v>45825</v>
      </c>
      <c r="FO1" s="11">
        <v>45826</v>
      </c>
      <c r="FP1" s="11">
        <v>45827</v>
      </c>
      <c r="FQ1" s="11">
        <v>45828</v>
      </c>
      <c r="FR1" s="11">
        <v>45829</v>
      </c>
      <c r="FS1" s="11">
        <v>45830</v>
      </c>
      <c r="FT1" s="11">
        <v>45831</v>
      </c>
      <c r="FU1" s="11">
        <v>45832</v>
      </c>
      <c r="FV1" s="11">
        <v>45833</v>
      </c>
      <c r="FW1" s="11">
        <v>45834</v>
      </c>
      <c r="FX1" s="11">
        <v>45835</v>
      </c>
      <c r="FY1" s="11">
        <v>45836</v>
      </c>
      <c r="FZ1" s="11">
        <v>45837</v>
      </c>
      <c r="GA1" s="11">
        <v>45838</v>
      </c>
      <c r="GB1" s="11">
        <v>45839</v>
      </c>
      <c r="GC1" s="11">
        <v>45840</v>
      </c>
      <c r="GD1" s="11">
        <v>45841</v>
      </c>
      <c r="GE1" s="11">
        <v>45842</v>
      </c>
      <c r="GF1" s="11">
        <v>45843</v>
      </c>
      <c r="GG1" s="11">
        <v>45844</v>
      </c>
      <c r="GH1" s="11">
        <v>45845</v>
      </c>
      <c r="GI1" s="11">
        <v>45846</v>
      </c>
      <c r="GJ1" s="11">
        <v>45847</v>
      </c>
      <c r="GK1" s="11">
        <v>45848</v>
      </c>
      <c r="GL1" s="11">
        <v>45849</v>
      </c>
      <c r="GM1" s="11">
        <v>45850</v>
      </c>
      <c r="GN1" s="11">
        <v>45851</v>
      </c>
      <c r="GO1" s="11">
        <v>45852</v>
      </c>
      <c r="GP1" s="11">
        <v>45853</v>
      </c>
      <c r="GQ1" s="11">
        <v>45854</v>
      </c>
      <c r="GR1" s="11">
        <v>45855</v>
      </c>
      <c r="GS1" s="11">
        <v>45856</v>
      </c>
      <c r="GT1" s="11">
        <v>45857</v>
      </c>
      <c r="GU1" s="11">
        <v>45858</v>
      </c>
      <c r="GV1" s="11">
        <v>45859</v>
      </c>
      <c r="GW1" s="11">
        <v>45860</v>
      </c>
      <c r="GX1" s="11">
        <v>45861</v>
      </c>
      <c r="GY1" s="11">
        <v>45862</v>
      </c>
      <c r="GZ1" s="11">
        <v>45863</v>
      </c>
      <c r="HA1" s="11">
        <v>45864</v>
      </c>
      <c r="HB1" s="11">
        <v>45865</v>
      </c>
      <c r="HC1" s="11">
        <v>45866</v>
      </c>
      <c r="HD1" s="11">
        <v>45867</v>
      </c>
      <c r="HE1" s="11">
        <v>45868</v>
      </c>
      <c r="HF1" s="11">
        <v>45869</v>
      </c>
      <c r="HG1" s="11">
        <v>45870</v>
      </c>
      <c r="HH1" s="11">
        <v>45871</v>
      </c>
      <c r="HI1" s="11">
        <v>45872</v>
      </c>
      <c r="HJ1" s="11">
        <v>45873</v>
      </c>
      <c r="HK1" s="11">
        <v>45874</v>
      </c>
      <c r="HL1" s="11">
        <v>45875</v>
      </c>
      <c r="HM1" s="11">
        <v>45876</v>
      </c>
      <c r="HN1" s="11">
        <v>45877</v>
      </c>
      <c r="HO1" s="11">
        <v>45878</v>
      </c>
      <c r="HP1" s="11">
        <v>45879</v>
      </c>
      <c r="HQ1" s="11">
        <v>45880</v>
      </c>
      <c r="HR1" s="11">
        <v>45881</v>
      </c>
      <c r="HS1" s="11">
        <v>45882</v>
      </c>
      <c r="HT1" s="11">
        <v>45883</v>
      </c>
      <c r="HU1" s="11">
        <v>45884</v>
      </c>
      <c r="HV1" s="11">
        <v>45885</v>
      </c>
      <c r="HW1" s="11">
        <v>45886</v>
      </c>
      <c r="HX1" s="11">
        <v>45887</v>
      </c>
      <c r="HY1" s="11">
        <v>45888</v>
      </c>
      <c r="HZ1" s="11">
        <v>45889</v>
      </c>
      <c r="IA1" s="11">
        <v>45890</v>
      </c>
      <c r="IB1" s="11">
        <v>45891</v>
      </c>
      <c r="IC1" s="11">
        <v>45892</v>
      </c>
      <c r="ID1" s="11">
        <v>45893</v>
      </c>
      <c r="IE1" s="11">
        <v>45894</v>
      </c>
      <c r="IF1" s="11">
        <v>45895</v>
      </c>
      <c r="IG1" s="11">
        <v>45896</v>
      </c>
      <c r="IH1" s="11">
        <v>45897</v>
      </c>
      <c r="II1" s="11">
        <v>45898</v>
      </c>
      <c r="IJ1" s="11">
        <v>45899</v>
      </c>
      <c r="IK1" s="11">
        <v>45900</v>
      </c>
      <c r="IL1" s="11">
        <v>45901</v>
      </c>
      <c r="IM1" s="11">
        <v>45902</v>
      </c>
      <c r="IN1" s="11">
        <v>45903</v>
      </c>
      <c r="IO1" s="11">
        <v>45904</v>
      </c>
      <c r="IP1" s="11">
        <v>45905</v>
      </c>
      <c r="IQ1" s="11">
        <v>45906</v>
      </c>
      <c r="IR1" s="11">
        <v>45907</v>
      </c>
      <c r="IS1" s="11">
        <v>45908</v>
      </c>
      <c r="IT1" s="11">
        <v>45909</v>
      </c>
      <c r="IU1" s="11">
        <v>45910</v>
      </c>
      <c r="IV1" s="11">
        <v>45911</v>
      </c>
      <c r="IW1" s="11">
        <v>45912</v>
      </c>
      <c r="IX1" s="11">
        <v>45913</v>
      </c>
      <c r="IY1" s="11">
        <v>45914</v>
      </c>
      <c r="IZ1" s="11">
        <v>45915</v>
      </c>
      <c r="JA1" s="11">
        <v>45916</v>
      </c>
      <c r="JB1" s="11">
        <v>45917</v>
      </c>
      <c r="JC1" s="11">
        <v>45918</v>
      </c>
      <c r="JD1" s="11">
        <v>45919</v>
      </c>
      <c r="JE1" s="11">
        <v>45920</v>
      </c>
      <c r="JF1" s="11">
        <v>45921</v>
      </c>
      <c r="JG1" s="11">
        <v>45922</v>
      </c>
      <c r="JH1" s="11">
        <v>45923</v>
      </c>
      <c r="JI1" s="11">
        <v>45924</v>
      </c>
      <c r="JJ1" s="11">
        <v>45925</v>
      </c>
      <c r="JK1" s="11">
        <v>45926</v>
      </c>
      <c r="JL1" s="11">
        <v>45927</v>
      </c>
      <c r="JM1" s="11">
        <v>45928</v>
      </c>
      <c r="JN1" s="11">
        <v>45929</v>
      </c>
      <c r="JO1" s="11">
        <v>45930</v>
      </c>
      <c r="JP1" s="11">
        <v>45931</v>
      </c>
      <c r="JQ1" s="11">
        <v>45932</v>
      </c>
      <c r="JR1" s="11">
        <v>45933</v>
      </c>
      <c r="JS1" s="11">
        <v>45934</v>
      </c>
      <c r="JT1" s="11">
        <v>45935</v>
      </c>
      <c r="JU1" s="11">
        <v>45936</v>
      </c>
      <c r="JV1" s="11">
        <v>45937</v>
      </c>
      <c r="JW1" s="11">
        <v>45938</v>
      </c>
      <c r="JX1" s="11">
        <v>45939</v>
      </c>
      <c r="JY1" s="11">
        <v>45940</v>
      </c>
      <c r="JZ1" s="11">
        <v>45941</v>
      </c>
      <c r="KA1" s="11">
        <v>45942</v>
      </c>
      <c r="KB1" s="11">
        <v>45943</v>
      </c>
      <c r="KC1" s="11">
        <v>45944</v>
      </c>
      <c r="KD1" s="11">
        <v>45945</v>
      </c>
      <c r="KE1" s="11">
        <v>45946</v>
      </c>
      <c r="KF1" s="11">
        <v>45947</v>
      </c>
      <c r="KG1" s="11">
        <v>45948</v>
      </c>
      <c r="KH1" s="11">
        <v>45949</v>
      </c>
      <c r="KI1" s="11">
        <v>45950</v>
      </c>
      <c r="KJ1" s="11">
        <v>45951</v>
      </c>
      <c r="KK1" s="11">
        <v>45952</v>
      </c>
      <c r="KL1" s="11">
        <v>45953</v>
      </c>
      <c r="KM1" s="11">
        <v>45954</v>
      </c>
      <c r="KN1" s="11">
        <v>45955</v>
      </c>
      <c r="KO1" s="11">
        <v>45956</v>
      </c>
      <c r="KP1" s="11">
        <v>45957</v>
      </c>
      <c r="KQ1" s="11">
        <v>45958</v>
      </c>
      <c r="KR1" s="11">
        <v>45959</v>
      </c>
      <c r="KS1" s="11">
        <v>45960</v>
      </c>
      <c r="KT1" s="11">
        <v>45961</v>
      </c>
      <c r="KU1" s="11">
        <v>45962</v>
      </c>
      <c r="KV1" s="11">
        <v>45963</v>
      </c>
      <c r="KW1" s="11">
        <v>45964</v>
      </c>
      <c r="KX1" s="11">
        <v>45965</v>
      </c>
      <c r="KY1" s="11">
        <v>45966</v>
      </c>
      <c r="KZ1" s="11">
        <v>45967</v>
      </c>
      <c r="LA1" s="11">
        <v>45968</v>
      </c>
      <c r="LB1" s="11">
        <v>45969</v>
      </c>
      <c r="LC1" s="11">
        <v>45970</v>
      </c>
      <c r="LD1" s="11">
        <v>45971</v>
      </c>
      <c r="LE1" s="11">
        <v>45972</v>
      </c>
      <c r="LF1" s="11">
        <v>45973</v>
      </c>
      <c r="LG1" s="11">
        <v>45974</v>
      </c>
      <c r="LH1" s="11">
        <v>45975</v>
      </c>
      <c r="LI1" s="11">
        <v>45976</v>
      </c>
      <c r="LJ1" s="11">
        <v>45977</v>
      </c>
      <c r="LK1" s="11">
        <v>45978</v>
      </c>
      <c r="LL1" s="11">
        <v>45979</v>
      </c>
      <c r="LM1" s="11">
        <v>45980</v>
      </c>
      <c r="LN1" s="11">
        <v>45981</v>
      </c>
      <c r="LO1" s="11">
        <v>45982</v>
      </c>
      <c r="LP1" s="11">
        <v>45983</v>
      </c>
      <c r="LQ1" s="11">
        <v>45984</v>
      </c>
      <c r="LR1" s="11">
        <v>45985</v>
      </c>
      <c r="LS1" s="11">
        <v>45986</v>
      </c>
      <c r="LT1" s="11">
        <v>45987</v>
      </c>
      <c r="LU1" s="11">
        <v>45988</v>
      </c>
      <c r="LV1" s="11">
        <v>45989</v>
      </c>
      <c r="LW1" s="11">
        <v>45990</v>
      </c>
      <c r="LX1" s="11">
        <v>45991</v>
      </c>
      <c r="LY1" s="11">
        <v>45992</v>
      </c>
      <c r="LZ1" s="11">
        <v>45993</v>
      </c>
      <c r="MA1" s="11">
        <v>45994</v>
      </c>
      <c r="MB1" s="11">
        <v>45995</v>
      </c>
      <c r="MC1" s="11">
        <v>45996</v>
      </c>
      <c r="MD1" s="11">
        <v>45997</v>
      </c>
      <c r="ME1" s="11">
        <v>45998</v>
      </c>
      <c r="MF1" s="11">
        <v>45999</v>
      </c>
      <c r="MG1" s="11">
        <v>46000</v>
      </c>
      <c r="MH1" s="11">
        <v>46001</v>
      </c>
      <c r="MI1" s="11">
        <v>46002</v>
      </c>
      <c r="MJ1" s="11">
        <v>46003</v>
      </c>
      <c r="MK1" s="11">
        <v>46004</v>
      </c>
      <c r="ML1" s="11">
        <v>46005</v>
      </c>
      <c r="MM1" s="11">
        <v>46006</v>
      </c>
      <c r="MN1" s="11">
        <v>46007</v>
      </c>
      <c r="MO1" s="11">
        <v>46008</v>
      </c>
      <c r="MP1" s="11">
        <v>46009</v>
      </c>
      <c r="MQ1" s="11">
        <v>46010</v>
      </c>
      <c r="MR1" s="11">
        <v>46011</v>
      </c>
      <c r="MS1" s="11">
        <v>46012</v>
      </c>
      <c r="MT1" s="11">
        <v>46013</v>
      </c>
      <c r="MU1" s="11">
        <v>46014</v>
      </c>
      <c r="MV1" s="11">
        <v>46015</v>
      </c>
      <c r="MW1" s="11">
        <v>46016</v>
      </c>
      <c r="MX1" s="11">
        <v>46017</v>
      </c>
      <c r="MY1" s="11">
        <v>46018</v>
      </c>
      <c r="MZ1" s="11">
        <v>46019</v>
      </c>
      <c r="NA1" s="11">
        <v>46020</v>
      </c>
      <c r="NB1" s="11">
        <v>46021</v>
      </c>
      <c r="NC1" s="11">
        <v>46022</v>
      </c>
    </row>
    <row r="2" spans="1:371">
      <c r="B2" s="12" t="s">
        <v>10</v>
      </c>
      <c r="C2" s="8" t="s">
        <v>54</v>
      </c>
      <c r="D2" s="8" t="s">
        <v>54</v>
      </c>
      <c r="E2" s="8" t="s">
        <v>54</v>
      </c>
      <c r="F2" s="8" t="s">
        <v>54</v>
      </c>
      <c r="G2" s="8" t="s">
        <v>54</v>
      </c>
      <c r="H2" s="8" t="s">
        <v>425</v>
      </c>
      <c r="I2" s="8" t="s">
        <v>425</v>
      </c>
      <c r="J2" s="8" t="s">
        <v>425</v>
      </c>
      <c r="K2" s="8" t="s">
        <v>425</v>
      </c>
      <c r="L2" s="8" t="s">
        <v>425</v>
      </c>
      <c r="M2" s="8" t="s">
        <v>425</v>
      </c>
      <c r="N2" s="8" t="s">
        <v>425</v>
      </c>
      <c r="O2" s="8" t="s">
        <v>2</v>
      </c>
      <c r="P2" s="8" t="s">
        <v>2</v>
      </c>
      <c r="Q2" s="8" t="s">
        <v>2</v>
      </c>
      <c r="R2" s="8" t="s">
        <v>2</v>
      </c>
      <c r="S2" s="39" t="s">
        <v>2</v>
      </c>
      <c r="T2" s="8" t="s">
        <v>2</v>
      </c>
      <c r="U2" s="8" t="s">
        <v>2</v>
      </c>
      <c r="V2" s="8" t="s">
        <v>3</v>
      </c>
      <c r="W2" s="8" t="s">
        <v>3</v>
      </c>
      <c r="X2" s="8" t="s">
        <v>3</v>
      </c>
      <c r="Y2" s="8" t="s">
        <v>3</v>
      </c>
      <c r="Z2" s="8" t="s">
        <v>3</v>
      </c>
      <c r="AA2" s="8" t="s">
        <v>3</v>
      </c>
      <c r="AB2" s="8" t="s">
        <v>3</v>
      </c>
      <c r="AC2" s="8" t="s">
        <v>4</v>
      </c>
      <c r="AD2" s="8" t="s">
        <v>4</v>
      </c>
      <c r="AE2" s="8" t="s">
        <v>4</v>
      </c>
      <c r="AF2" s="8" t="s">
        <v>4</v>
      </c>
      <c r="AG2" s="8" t="s">
        <v>4</v>
      </c>
      <c r="AH2" s="8" t="s">
        <v>4</v>
      </c>
      <c r="AI2" s="8" t="s">
        <v>4</v>
      </c>
      <c r="AJ2" s="8" t="s">
        <v>5</v>
      </c>
      <c r="AK2" s="8" t="s">
        <v>5</v>
      </c>
      <c r="AL2" s="8" t="s">
        <v>5</v>
      </c>
      <c r="AM2" s="8" t="s">
        <v>5</v>
      </c>
      <c r="AN2" s="8" t="s">
        <v>5</v>
      </c>
      <c r="AO2" s="8" t="s">
        <v>5</v>
      </c>
      <c r="AP2" s="8" t="s">
        <v>5</v>
      </c>
      <c r="AQ2" s="8" t="s">
        <v>6</v>
      </c>
      <c r="AR2" s="8" t="s">
        <v>6</v>
      </c>
      <c r="AS2" s="8" t="s">
        <v>6</v>
      </c>
      <c r="AT2" s="8" t="s">
        <v>6</v>
      </c>
      <c r="AU2" s="8" t="s">
        <v>6</v>
      </c>
      <c r="AV2" s="8" t="s">
        <v>6</v>
      </c>
      <c r="AW2" s="8" t="s">
        <v>6</v>
      </c>
      <c r="AX2" s="8" t="s">
        <v>7</v>
      </c>
      <c r="AY2" s="8" t="s">
        <v>7</v>
      </c>
      <c r="AZ2" s="8" t="s">
        <v>7</v>
      </c>
      <c r="BA2" s="8" t="s">
        <v>7</v>
      </c>
      <c r="BB2" s="8" t="s">
        <v>7</v>
      </c>
      <c r="BC2" s="8" t="s">
        <v>7</v>
      </c>
      <c r="BD2" s="8" t="s">
        <v>7</v>
      </c>
      <c r="BE2" s="8" t="s">
        <v>8</v>
      </c>
      <c r="BF2" s="8" t="s">
        <v>8</v>
      </c>
      <c r="BG2" s="8" t="s">
        <v>8</v>
      </c>
      <c r="BH2" s="8" t="s">
        <v>8</v>
      </c>
      <c r="BI2" s="8" t="s">
        <v>8</v>
      </c>
      <c r="BJ2" s="8" t="s">
        <v>8</v>
      </c>
      <c r="BK2" s="8" t="s">
        <v>8</v>
      </c>
      <c r="BL2" s="8" t="s">
        <v>11</v>
      </c>
      <c r="BM2" s="8" t="s">
        <v>11</v>
      </c>
      <c r="BN2" s="8" t="s">
        <v>11</v>
      </c>
      <c r="BO2" s="8" t="s">
        <v>11</v>
      </c>
      <c r="BP2" s="8" t="s">
        <v>11</v>
      </c>
      <c r="BQ2" s="8" t="s">
        <v>11</v>
      </c>
      <c r="BR2" s="8" t="s">
        <v>11</v>
      </c>
      <c r="BS2" s="8" t="s">
        <v>12</v>
      </c>
      <c r="BT2" s="8" t="s">
        <v>12</v>
      </c>
      <c r="BU2" s="8" t="s">
        <v>12</v>
      </c>
      <c r="BV2" s="8" t="s">
        <v>12</v>
      </c>
      <c r="BW2" s="8" t="s">
        <v>12</v>
      </c>
      <c r="BX2" s="8" t="s">
        <v>12</v>
      </c>
      <c r="BY2" s="8" t="s">
        <v>12</v>
      </c>
      <c r="BZ2" s="8" t="s">
        <v>13</v>
      </c>
      <c r="CA2" s="8" t="s">
        <v>13</v>
      </c>
      <c r="CB2" s="8" t="s">
        <v>13</v>
      </c>
      <c r="CC2" s="8" t="s">
        <v>13</v>
      </c>
      <c r="CD2" s="8" t="s">
        <v>13</v>
      </c>
      <c r="CE2" s="8" t="s">
        <v>13</v>
      </c>
      <c r="CF2" s="8" t="s">
        <v>13</v>
      </c>
      <c r="CG2" s="8" t="s">
        <v>14</v>
      </c>
      <c r="CH2" s="8" t="s">
        <v>14</v>
      </c>
      <c r="CI2" s="8" t="s">
        <v>14</v>
      </c>
      <c r="CJ2" s="8" t="s">
        <v>14</v>
      </c>
      <c r="CK2" s="8" t="s">
        <v>14</v>
      </c>
      <c r="CL2" s="8" t="s">
        <v>14</v>
      </c>
      <c r="CM2" s="8" t="s">
        <v>14</v>
      </c>
      <c r="CN2" s="8" t="s">
        <v>15</v>
      </c>
      <c r="CO2" s="8" t="s">
        <v>15</v>
      </c>
      <c r="CP2" s="8" t="s">
        <v>15</v>
      </c>
      <c r="CQ2" s="8" t="s">
        <v>15</v>
      </c>
      <c r="CR2" s="8" t="s">
        <v>15</v>
      </c>
      <c r="CS2" s="8" t="s">
        <v>15</v>
      </c>
      <c r="CT2" s="8" t="s">
        <v>15</v>
      </c>
      <c r="CU2" s="8" t="s">
        <v>16</v>
      </c>
      <c r="CV2" s="8" t="s">
        <v>16</v>
      </c>
      <c r="CW2" s="8" t="s">
        <v>16</v>
      </c>
      <c r="CX2" s="8" t="s">
        <v>16</v>
      </c>
      <c r="CY2" s="8" t="s">
        <v>16</v>
      </c>
      <c r="CZ2" s="8" t="s">
        <v>16</v>
      </c>
      <c r="DA2" s="8" t="s">
        <v>16</v>
      </c>
      <c r="DB2" s="8" t="s">
        <v>17</v>
      </c>
      <c r="DC2" s="8" t="s">
        <v>17</v>
      </c>
      <c r="DD2" s="8" t="s">
        <v>17</v>
      </c>
      <c r="DE2" s="8" t="s">
        <v>17</v>
      </c>
      <c r="DF2" s="8" t="s">
        <v>17</v>
      </c>
      <c r="DG2" s="8" t="s">
        <v>17</v>
      </c>
      <c r="DH2" s="8" t="s">
        <v>17</v>
      </c>
      <c r="DI2" s="8" t="s">
        <v>18</v>
      </c>
      <c r="DJ2" s="8" t="s">
        <v>18</v>
      </c>
      <c r="DK2" s="8" t="s">
        <v>18</v>
      </c>
      <c r="DL2" s="8" t="s">
        <v>18</v>
      </c>
      <c r="DM2" s="8" t="s">
        <v>18</v>
      </c>
      <c r="DN2" s="8" t="s">
        <v>18</v>
      </c>
      <c r="DO2" s="8" t="s">
        <v>18</v>
      </c>
      <c r="DP2" s="8" t="s">
        <v>19</v>
      </c>
      <c r="DQ2" s="8" t="s">
        <v>19</v>
      </c>
      <c r="DR2" s="8" t="s">
        <v>19</v>
      </c>
      <c r="DS2" s="8" t="s">
        <v>19</v>
      </c>
      <c r="DT2" s="8" t="s">
        <v>19</v>
      </c>
      <c r="DU2" s="8" t="s">
        <v>19</v>
      </c>
      <c r="DV2" s="8" t="s">
        <v>19</v>
      </c>
      <c r="DW2" s="8" t="s">
        <v>20</v>
      </c>
      <c r="DX2" s="8" t="s">
        <v>20</v>
      </c>
      <c r="DY2" s="8" t="s">
        <v>20</v>
      </c>
      <c r="DZ2" s="8" t="s">
        <v>20</v>
      </c>
      <c r="EA2" s="8" t="s">
        <v>20</v>
      </c>
      <c r="EB2" s="8" t="s">
        <v>20</v>
      </c>
      <c r="EC2" s="8" t="s">
        <v>20</v>
      </c>
      <c r="ED2" s="8" t="s">
        <v>21</v>
      </c>
      <c r="EE2" s="8" t="s">
        <v>21</v>
      </c>
      <c r="EF2" s="8" t="s">
        <v>21</v>
      </c>
      <c r="EG2" s="8" t="s">
        <v>21</v>
      </c>
      <c r="EH2" s="8" t="s">
        <v>21</v>
      </c>
      <c r="EI2" s="8" t="s">
        <v>21</v>
      </c>
      <c r="EJ2" s="8" t="s">
        <v>21</v>
      </c>
      <c r="EK2" s="8" t="s">
        <v>22</v>
      </c>
      <c r="EL2" s="8" t="s">
        <v>22</v>
      </c>
      <c r="EM2" s="8" t="s">
        <v>22</v>
      </c>
      <c r="EN2" s="8" t="s">
        <v>22</v>
      </c>
      <c r="EO2" s="8" t="s">
        <v>22</v>
      </c>
      <c r="EP2" s="8" t="s">
        <v>22</v>
      </c>
      <c r="EQ2" s="8" t="s">
        <v>22</v>
      </c>
      <c r="ER2" s="8" t="s">
        <v>23</v>
      </c>
      <c r="ES2" s="8" t="s">
        <v>23</v>
      </c>
      <c r="ET2" s="8" t="s">
        <v>23</v>
      </c>
      <c r="EU2" s="8" t="s">
        <v>23</v>
      </c>
      <c r="EV2" s="8" t="s">
        <v>23</v>
      </c>
      <c r="EW2" s="8" t="s">
        <v>23</v>
      </c>
      <c r="EX2" s="8" t="s">
        <v>23</v>
      </c>
      <c r="EY2" s="8" t="s">
        <v>24</v>
      </c>
      <c r="EZ2" s="8" t="s">
        <v>24</v>
      </c>
      <c r="FA2" s="8" t="s">
        <v>24</v>
      </c>
      <c r="FB2" s="8" t="s">
        <v>24</v>
      </c>
      <c r="FC2" s="8" t="s">
        <v>24</v>
      </c>
      <c r="FD2" s="8" t="s">
        <v>24</v>
      </c>
      <c r="FE2" s="8" t="s">
        <v>24</v>
      </c>
      <c r="FF2" s="8" t="s">
        <v>25</v>
      </c>
      <c r="FG2" s="8" t="s">
        <v>25</v>
      </c>
      <c r="FH2" s="8" t="s">
        <v>25</v>
      </c>
      <c r="FI2" s="8" t="s">
        <v>25</v>
      </c>
      <c r="FJ2" s="8" t="s">
        <v>25</v>
      </c>
      <c r="FK2" s="8" t="s">
        <v>25</v>
      </c>
      <c r="FL2" s="8" t="s">
        <v>25</v>
      </c>
      <c r="FM2" s="8" t="s">
        <v>26</v>
      </c>
      <c r="FN2" s="8" t="s">
        <v>26</v>
      </c>
      <c r="FO2" s="8" t="s">
        <v>26</v>
      </c>
      <c r="FP2" s="8" t="s">
        <v>26</v>
      </c>
      <c r="FQ2" s="8" t="s">
        <v>26</v>
      </c>
      <c r="FR2" s="8" t="s">
        <v>26</v>
      </c>
      <c r="FS2" s="8" t="s">
        <v>26</v>
      </c>
      <c r="FT2" s="8" t="s">
        <v>27</v>
      </c>
      <c r="FU2" s="8" t="s">
        <v>27</v>
      </c>
      <c r="FV2" s="8" t="s">
        <v>27</v>
      </c>
      <c r="FW2" s="8" t="s">
        <v>27</v>
      </c>
      <c r="FX2" s="8" t="s">
        <v>27</v>
      </c>
      <c r="FY2" s="8" t="s">
        <v>27</v>
      </c>
      <c r="FZ2" s="8" t="s">
        <v>27</v>
      </c>
      <c r="GA2" s="8" t="s">
        <v>28</v>
      </c>
      <c r="GB2" s="8" t="s">
        <v>28</v>
      </c>
      <c r="GC2" s="8" t="s">
        <v>28</v>
      </c>
      <c r="GD2" s="8" t="s">
        <v>28</v>
      </c>
      <c r="GE2" s="8" t="s">
        <v>28</v>
      </c>
      <c r="GF2" s="8" t="s">
        <v>28</v>
      </c>
      <c r="GG2" s="8" t="s">
        <v>28</v>
      </c>
      <c r="GH2" s="8" t="s">
        <v>29</v>
      </c>
      <c r="GI2" s="8" t="s">
        <v>29</v>
      </c>
      <c r="GJ2" s="8" t="s">
        <v>29</v>
      </c>
      <c r="GK2" s="8" t="s">
        <v>29</v>
      </c>
      <c r="GL2" s="8" t="s">
        <v>29</v>
      </c>
      <c r="GM2" s="8" t="s">
        <v>29</v>
      </c>
      <c r="GN2" s="8" t="s">
        <v>29</v>
      </c>
      <c r="GO2" s="8" t="s">
        <v>30</v>
      </c>
      <c r="GP2" s="8" t="s">
        <v>30</v>
      </c>
      <c r="GQ2" s="8" t="s">
        <v>30</v>
      </c>
      <c r="GR2" s="8" t="s">
        <v>30</v>
      </c>
      <c r="GS2" s="8" t="s">
        <v>30</v>
      </c>
      <c r="GT2" s="8" t="s">
        <v>30</v>
      </c>
      <c r="GU2" s="8" t="s">
        <v>30</v>
      </c>
      <c r="GV2" s="8" t="s">
        <v>31</v>
      </c>
      <c r="GW2" s="8" t="s">
        <v>31</v>
      </c>
      <c r="GX2" s="8" t="s">
        <v>31</v>
      </c>
      <c r="GY2" s="8" t="s">
        <v>31</v>
      </c>
      <c r="GZ2" s="8" t="s">
        <v>31</v>
      </c>
      <c r="HA2" s="8" t="s">
        <v>31</v>
      </c>
      <c r="HB2" s="8" t="s">
        <v>31</v>
      </c>
      <c r="HC2" s="8" t="s">
        <v>32</v>
      </c>
      <c r="HD2" s="8" t="s">
        <v>32</v>
      </c>
      <c r="HE2" s="8" t="s">
        <v>32</v>
      </c>
      <c r="HF2" s="8" t="s">
        <v>32</v>
      </c>
      <c r="HG2" s="8" t="s">
        <v>32</v>
      </c>
      <c r="HH2" s="8" t="s">
        <v>32</v>
      </c>
      <c r="HI2" s="8" t="s">
        <v>32</v>
      </c>
      <c r="HJ2" s="8" t="s">
        <v>33</v>
      </c>
      <c r="HK2" s="8" t="s">
        <v>33</v>
      </c>
      <c r="HL2" s="8" t="s">
        <v>33</v>
      </c>
      <c r="HM2" s="8" t="s">
        <v>33</v>
      </c>
      <c r="HN2" s="8" t="s">
        <v>33</v>
      </c>
      <c r="HO2" s="8" t="s">
        <v>33</v>
      </c>
      <c r="HP2" s="8" t="s">
        <v>33</v>
      </c>
      <c r="HQ2" s="8" t="s">
        <v>34</v>
      </c>
      <c r="HR2" s="8" t="s">
        <v>34</v>
      </c>
      <c r="HS2" s="8" t="s">
        <v>34</v>
      </c>
      <c r="HT2" s="8" t="s">
        <v>34</v>
      </c>
      <c r="HU2" s="8" t="s">
        <v>34</v>
      </c>
      <c r="HV2" s="8" t="s">
        <v>34</v>
      </c>
      <c r="HW2" s="8" t="s">
        <v>34</v>
      </c>
      <c r="HX2" s="8" t="s">
        <v>35</v>
      </c>
      <c r="HY2" s="8" t="s">
        <v>35</v>
      </c>
      <c r="HZ2" s="8" t="s">
        <v>35</v>
      </c>
      <c r="IA2" s="8" t="s">
        <v>35</v>
      </c>
      <c r="IB2" s="8" t="s">
        <v>35</v>
      </c>
      <c r="IC2" s="8" t="s">
        <v>35</v>
      </c>
      <c r="ID2" s="8" t="s">
        <v>35</v>
      </c>
      <c r="IE2" s="8" t="s">
        <v>36</v>
      </c>
      <c r="IF2" s="8" t="s">
        <v>36</v>
      </c>
      <c r="IG2" s="8" t="s">
        <v>36</v>
      </c>
      <c r="IH2" s="8" t="s">
        <v>36</v>
      </c>
      <c r="II2" s="8" t="s">
        <v>36</v>
      </c>
      <c r="IJ2" s="8" t="s">
        <v>36</v>
      </c>
      <c r="IK2" s="8" t="s">
        <v>36</v>
      </c>
      <c r="IL2" s="8" t="s">
        <v>37</v>
      </c>
      <c r="IM2" s="8" t="s">
        <v>37</v>
      </c>
      <c r="IN2" s="8" t="s">
        <v>37</v>
      </c>
      <c r="IO2" s="8" t="s">
        <v>37</v>
      </c>
      <c r="IP2" s="8" t="s">
        <v>37</v>
      </c>
      <c r="IQ2" s="8" t="s">
        <v>37</v>
      </c>
      <c r="IR2" s="8" t="s">
        <v>37</v>
      </c>
      <c r="IS2" s="8" t="s">
        <v>38</v>
      </c>
      <c r="IT2" s="8" t="s">
        <v>38</v>
      </c>
      <c r="IU2" s="8" t="s">
        <v>38</v>
      </c>
      <c r="IV2" s="8" t="s">
        <v>38</v>
      </c>
      <c r="IW2" s="8" t="s">
        <v>38</v>
      </c>
      <c r="IX2" s="8" t="s">
        <v>38</v>
      </c>
      <c r="IY2" s="8" t="s">
        <v>38</v>
      </c>
      <c r="IZ2" s="8" t="s">
        <v>39</v>
      </c>
      <c r="JA2" s="8" t="s">
        <v>39</v>
      </c>
      <c r="JB2" s="8" t="s">
        <v>39</v>
      </c>
      <c r="JC2" s="8" t="s">
        <v>39</v>
      </c>
      <c r="JD2" s="8" t="s">
        <v>39</v>
      </c>
      <c r="JE2" s="8" t="s">
        <v>39</v>
      </c>
      <c r="JF2" s="8" t="s">
        <v>39</v>
      </c>
      <c r="JG2" s="8" t="s">
        <v>40</v>
      </c>
      <c r="JH2" s="8" t="s">
        <v>40</v>
      </c>
      <c r="JI2" s="8" t="s">
        <v>40</v>
      </c>
      <c r="JJ2" s="8" t="s">
        <v>40</v>
      </c>
      <c r="JK2" s="8" t="s">
        <v>40</v>
      </c>
      <c r="JL2" s="8" t="s">
        <v>40</v>
      </c>
      <c r="JM2" s="8" t="s">
        <v>40</v>
      </c>
      <c r="JN2" s="8" t="s">
        <v>41</v>
      </c>
      <c r="JO2" s="8" t="s">
        <v>41</v>
      </c>
      <c r="JP2" s="8" t="s">
        <v>41</v>
      </c>
      <c r="JQ2" s="8" t="s">
        <v>41</v>
      </c>
      <c r="JR2" s="8" t="s">
        <v>41</v>
      </c>
      <c r="JS2" s="8" t="s">
        <v>41</v>
      </c>
      <c r="JT2" s="8" t="s">
        <v>41</v>
      </c>
      <c r="JU2" s="8" t="s">
        <v>42</v>
      </c>
      <c r="JV2" s="8" t="s">
        <v>42</v>
      </c>
      <c r="JW2" s="8" t="s">
        <v>42</v>
      </c>
      <c r="JX2" s="8" t="s">
        <v>42</v>
      </c>
      <c r="JY2" s="8" t="s">
        <v>42</v>
      </c>
      <c r="JZ2" s="8" t="s">
        <v>42</v>
      </c>
      <c r="KA2" s="8" t="s">
        <v>42</v>
      </c>
      <c r="KB2" s="8" t="s">
        <v>43</v>
      </c>
      <c r="KC2" s="8" t="s">
        <v>43</v>
      </c>
      <c r="KD2" s="8" t="s">
        <v>43</v>
      </c>
      <c r="KE2" s="8" t="s">
        <v>43</v>
      </c>
      <c r="KF2" s="8" t="s">
        <v>43</v>
      </c>
      <c r="KG2" s="8" t="s">
        <v>43</v>
      </c>
      <c r="KH2" s="8" t="s">
        <v>43</v>
      </c>
      <c r="KI2" s="8" t="s">
        <v>44</v>
      </c>
      <c r="KJ2" s="8" t="s">
        <v>44</v>
      </c>
      <c r="KK2" s="8" t="s">
        <v>44</v>
      </c>
      <c r="KL2" s="8" t="s">
        <v>44</v>
      </c>
      <c r="KM2" s="8" t="s">
        <v>44</v>
      </c>
      <c r="KN2" s="8" t="s">
        <v>44</v>
      </c>
      <c r="KO2" s="8" t="s">
        <v>44</v>
      </c>
      <c r="KP2" s="8" t="s">
        <v>45</v>
      </c>
      <c r="KQ2" s="8" t="s">
        <v>45</v>
      </c>
      <c r="KR2" s="8" t="s">
        <v>45</v>
      </c>
      <c r="KS2" s="8" t="s">
        <v>45</v>
      </c>
      <c r="KT2" s="8" t="s">
        <v>45</v>
      </c>
      <c r="KU2" s="8" t="s">
        <v>45</v>
      </c>
      <c r="KV2" s="8" t="s">
        <v>45</v>
      </c>
      <c r="KW2" s="8" t="s">
        <v>46</v>
      </c>
      <c r="KX2" s="8" t="s">
        <v>46</v>
      </c>
      <c r="KY2" s="8" t="s">
        <v>46</v>
      </c>
      <c r="KZ2" s="8" t="s">
        <v>46</v>
      </c>
      <c r="LA2" s="8" t="s">
        <v>46</v>
      </c>
      <c r="LB2" s="8" t="s">
        <v>46</v>
      </c>
      <c r="LC2" s="8" t="s">
        <v>46</v>
      </c>
      <c r="LD2" s="8" t="s">
        <v>47</v>
      </c>
      <c r="LE2" s="8" t="s">
        <v>47</v>
      </c>
      <c r="LF2" s="8" t="s">
        <v>47</v>
      </c>
      <c r="LG2" s="8" t="s">
        <v>47</v>
      </c>
      <c r="LH2" s="8" t="s">
        <v>47</v>
      </c>
      <c r="LI2" s="8" t="s">
        <v>47</v>
      </c>
      <c r="LJ2" s="8" t="s">
        <v>47</v>
      </c>
      <c r="LK2" s="8" t="s">
        <v>48</v>
      </c>
      <c r="LL2" s="8" t="s">
        <v>48</v>
      </c>
      <c r="LM2" s="8" t="s">
        <v>48</v>
      </c>
      <c r="LN2" s="8" t="s">
        <v>48</v>
      </c>
      <c r="LO2" s="8" t="s">
        <v>48</v>
      </c>
      <c r="LP2" s="8" t="s">
        <v>48</v>
      </c>
      <c r="LQ2" s="8" t="s">
        <v>48</v>
      </c>
      <c r="LR2" s="8" t="s">
        <v>49</v>
      </c>
      <c r="LS2" s="8" t="s">
        <v>49</v>
      </c>
      <c r="LT2" s="8" t="s">
        <v>49</v>
      </c>
      <c r="LU2" s="8" t="s">
        <v>49</v>
      </c>
      <c r="LV2" s="8" t="s">
        <v>49</v>
      </c>
      <c r="LW2" s="8" t="s">
        <v>49</v>
      </c>
      <c r="LX2" s="8" t="s">
        <v>49</v>
      </c>
      <c r="LY2" s="8" t="s">
        <v>50</v>
      </c>
      <c r="LZ2" s="8" t="s">
        <v>50</v>
      </c>
      <c r="MA2" s="8" t="s">
        <v>50</v>
      </c>
      <c r="MB2" s="8" t="s">
        <v>50</v>
      </c>
      <c r="MC2" s="8" t="s">
        <v>50</v>
      </c>
      <c r="MD2" s="8" t="s">
        <v>50</v>
      </c>
      <c r="ME2" s="8" t="s">
        <v>50</v>
      </c>
      <c r="MF2" s="8" t="s">
        <v>51</v>
      </c>
      <c r="MG2" s="8" t="s">
        <v>51</v>
      </c>
      <c r="MH2" s="8" t="s">
        <v>51</v>
      </c>
      <c r="MI2" s="8" t="s">
        <v>51</v>
      </c>
      <c r="MJ2" s="8" t="s">
        <v>51</v>
      </c>
      <c r="MK2" s="8" t="s">
        <v>51</v>
      </c>
      <c r="ML2" s="8" t="s">
        <v>51</v>
      </c>
      <c r="MM2" s="8" t="s">
        <v>52</v>
      </c>
      <c r="MN2" s="8" t="s">
        <v>52</v>
      </c>
      <c r="MO2" s="8" t="s">
        <v>52</v>
      </c>
      <c r="MP2" s="8" t="s">
        <v>52</v>
      </c>
      <c r="MQ2" s="8" t="s">
        <v>52</v>
      </c>
      <c r="MR2" s="8" t="s">
        <v>52</v>
      </c>
      <c r="MS2" s="8" t="s">
        <v>52</v>
      </c>
      <c r="MT2" s="8" t="s">
        <v>53</v>
      </c>
      <c r="MU2" s="8" t="s">
        <v>53</v>
      </c>
      <c r="MV2" s="8" t="s">
        <v>53</v>
      </c>
      <c r="MW2" s="8" t="s">
        <v>53</v>
      </c>
      <c r="MX2" s="8" t="s">
        <v>53</v>
      </c>
      <c r="MY2" s="8" t="s">
        <v>53</v>
      </c>
      <c r="MZ2" s="8" t="s">
        <v>53</v>
      </c>
      <c r="NA2" s="8" t="s">
        <v>54</v>
      </c>
      <c r="NB2" s="8" t="s">
        <v>54</v>
      </c>
      <c r="NC2" s="8" t="s">
        <v>54</v>
      </c>
    </row>
    <row r="3" spans="1:371">
      <c r="A3" s="13">
        <f>SUM(4848,O3:NC3)</f>
        <v>124000.83333333336</v>
      </c>
      <c r="B3" s="14" t="s">
        <v>427</v>
      </c>
      <c r="C3" s="103"/>
      <c r="D3" s="2">
        <v>564</v>
      </c>
      <c r="E3" s="2">
        <v>547.5</v>
      </c>
      <c r="F3" s="2">
        <v>412.58333333333337</v>
      </c>
      <c r="G3" s="2">
        <v>244.41666666666669</v>
      </c>
      <c r="H3" s="2">
        <v>563.16666666666663</v>
      </c>
      <c r="I3" s="2">
        <v>460.16666666666674</v>
      </c>
      <c r="J3" s="2">
        <v>481.25</v>
      </c>
      <c r="K3" s="2">
        <v>375.33333333333326</v>
      </c>
      <c r="L3" s="2">
        <v>636.16666666666663</v>
      </c>
      <c r="M3" s="2">
        <v>272.33333333333331</v>
      </c>
      <c r="N3" s="2">
        <v>232.83333333333331</v>
      </c>
      <c r="O3" s="7">
        <v>355.41666666666674</v>
      </c>
      <c r="P3" s="7">
        <v>430.58333333333337</v>
      </c>
      <c r="Q3" s="7">
        <v>358.75</v>
      </c>
      <c r="R3" s="7">
        <v>274</v>
      </c>
      <c r="S3" s="7">
        <v>512.5</v>
      </c>
      <c r="T3" s="7">
        <v>277.5</v>
      </c>
      <c r="U3" s="7">
        <v>256.41666666666663</v>
      </c>
      <c r="V3" s="7">
        <v>439.16666666666674</v>
      </c>
      <c r="W3" s="7">
        <v>542.58333333333326</v>
      </c>
      <c r="X3" s="7">
        <v>541.08333333333337</v>
      </c>
      <c r="Y3" s="7">
        <v>548.16666666666674</v>
      </c>
      <c r="Z3" s="7">
        <v>460.5</v>
      </c>
      <c r="AA3" s="7">
        <v>280.41666666666663</v>
      </c>
      <c r="AB3" s="7">
        <v>247.91666666666663</v>
      </c>
      <c r="AC3" s="7">
        <v>540</v>
      </c>
      <c r="AD3" s="7">
        <v>355.91666666666674</v>
      </c>
      <c r="AE3" s="7">
        <v>272</v>
      </c>
      <c r="AF3" s="6">
        <v>307</v>
      </c>
      <c r="AG3" s="6">
        <v>312</v>
      </c>
      <c r="AH3" s="6">
        <v>233.41666666666666</v>
      </c>
      <c r="AI3" s="6">
        <v>240</v>
      </c>
      <c r="AJ3" s="6">
        <v>358.41666666666669</v>
      </c>
      <c r="AK3" s="6">
        <v>329.66666666666663</v>
      </c>
      <c r="AL3" s="6">
        <v>261.91666666666663</v>
      </c>
      <c r="AM3" s="6">
        <v>322.5</v>
      </c>
      <c r="AN3" s="6">
        <v>421.08333333333326</v>
      </c>
      <c r="AO3" s="6">
        <v>210</v>
      </c>
      <c r="AP3" s="6">
        <v>236.66666666666669</v>
      </c>
      <c r="AQ3" s="6">
        <v>293.58333333333337</v>
      </c>
      <c r="AR3" s="6">
        <v>276.25</v>
      </c>
      <c r="AS3" s="6">
        <v>469.41666666666663</v>
      </c>
      <c r="AT3" s="6">
        <v>448.58333333333331</v>
      </c>
      <c r="AU3" s="6">
        <v>435</v>
      </c>
      <c r="AV3" s="6">
        <v>152.41666666666669</v>
      </c>
      <c r="AW3" s="6">
        <v>246.25000000000006</v>
      </c>
      <c r="AX3" s="6">
        <v>403.83333333333337</v>
      </c>
      <c r="AY3" s="6">
        <v>448.41666666666669</v>
      </c>
      <c r="AZ3" s="6">
        <v>455.5</v>
      </c>
      <c r="BA3" s="6">
        <v>505.5</v>
      </c>
      <c r="BB3" s="6">
        <v>539</v>
      </c>
      <c r="BC3" s="6">
        <v>128</v>
      </c>
      <c r="BD3" s="6">
        <v>167.16666666666669</v>
      </c>
      <c r="BE3" s="6">
        <v>342.16666666666669</v>
      </c>
      <c r="BF3" s="6">
        <v>320.33333333333337</v>
      </c>
      <c r="BG3" s="6">
        <v>377.24999999999994</v>
      </c>
      <c r="BH3" s="6">
        <v>370.83333333333337</v>
      </c>
      <c r="BI3" s="6">
        <v>359.83333333333331</v>
      </c>
      <c r="BJ3" s="6">
        <v>157.58333333333334</v>
      </c>
      <c r="BK3" s="6">
        <v>124.5</v>
      </c>
      <c r="BL3" s="7">
        <v>275.91666666666663</v>
      </c>
      <c r="BM3" s="7">
        <v>285</v>
      </c>
      <c r="BN3" s="7">
        <v>379.16666666666669</v>
      </c>
      <c r="BO3" s="7">
        <v>306.41666666666669</v>
      </c>
      <c r="BP3" s="7">
        <v>454.5</v>
      </c>
      <c r="BQ3" s="7">
        <v>205.33333333333334</v>
      </c>
      <c r="BR3" s="7">
        <v>207.83333333333331</v>
      </c>
      <c r="BS3" s="7">
        <v>396.08333333333331</v>
      </c>
      <c r="BT3" s="7">
        <v>402.08333333333337</v>
      </c>
      <c r="BU3" s="7">
        <v>449.16666666666669</v>
      </c>
      <c r="BV3" s="7">
        <v>435.16666666666663</v>
      </c>
      <c r="BW3" s="7">
        <v>432.08333333333337</v>
      </c>
      <c r="BX3" s="7">
        <v>177.25</v>
      </c>
      <c r="BY3" s="7">
        <v>218.83333333333331</v>
      </c>
      <c r="BZ3" s="7">
        <v>447.58333333333331</v>
      </c>
      <c r="CA3" s="6">
        <v>445.91666666666663</v>
      </c>
      <c r="CB3" s="6">
        <v>388.66666666666663</v>
      </c>
      <c r="CC3" s="6">
        <v>439.16666666666669</v>
      </c>
      <c r="CD3" s="6">
        <v>508.5</v>
      </c>
      <c r="CE3" s="6">
        <v>472.16666666666669</v>
      </c>
      <c r="CF3" s="6">
        <v>346.25</v>
      </c>
      <c r="CG3" s="6">
        <v>318.91666666666669</v>
      </c>
      <c r="CH3" s="6">
        <v>360.16666666666657</v>
      </c>
      <c r="CI3" s="6">
        <v>330.5</v>
      </c>
      <c r="CJ3" s="6">
        <v>434.91666666666674</v>
      </c>
      <c r="CK3" s="6">
        <v>481.83333333333326</v>
      </c>
      <c r="CL3" s="6">
        <v>95.166666666666671</v>
      </c>
      <c r="CM3" s="102"/>
      <c r="CN3" s="102"/>
      <c r="CO3" s="102"/>
      <c r="CP3" s="6">
        <v>414.08333333333337</v>
      </c>
      <c r="CQ3" s="6">
        <v>432.16666666666669</v>
      </c>
      <c r="CR3" s="6">
        <v>432.5</v>
      </c>
      <c r="CS3" s="6">
        <v>196.41666666666666</v>
      </c>
      <c r="CT3" s="6">
        <v>195</v>
      </c>
      <c r="CU3" s="6">
        <v>365</v>
      </c>
      <c r="CV3" s="6">
        <v>295.33333333333331</v>
      </c>
      <c r="CW3" s="6">
        <v>344.83333333333337</v>
      </c>
      <c r="CX3" s="6">
        <v>289.5</v>
      </c>
      <c r="CY3" s="6">
        <v>323.5</v>
      </c>
      <c r="CZ3" s="6">
        <v>214.91666666666669</v>
      </c>
      <c r="DA3" s="6">
        <v>186.91666666666669</v>
      </c>
      <c r="DB3" s="6">
        <v>220.00000000000006</v>
      </c>
      <c r="DC3" s="6">
        <v>298.91666666666669</v>
      </c>
      <c r="DD3" s="6">
        <v>287.91666666666669</v>
      </c>
      <c r="DE3" s="6">
        <v>118.91666666666666</v>
      </c>
      <c r="DF3" s="6">
        <v>253.5</v>
      </c>
      <c r="DG3" s="6">
        <v>174.41666666666666</v>
      </c>
      <c r="DH3" s="6">
        <v>157.5</v>
      </c>
      <c r="DI3" s="6">
        <v>305</v>
      </c>
      <c r="DJ3" s="6">
        <v>314.24999999999994</v>
      </c>
      <c r="DK3" s="6">
        <v>47.5</v>
      </c>
      <c r="DL3" s="6"/>
      <c r="DM3" s="6">
        <v>307.58333333333331</v>
      </c>
      <c r="DN3" s="6">
        <v>316.83333333333337</v>
      </c>
      <c r="DO3" s="6">
        <v>250.91666666666669</v>
      </c>
      <c r="DP3" s="4">
        <v>308.66666666666669</v>
      </c>
      <c r="DQ3" s="4">
        <v>352.5</v>
      </c>
      <c r="DR3" s="4">
        <v>356.83333333333337</v>
      </c>
      <c r="DS3" s="4"/>
      <c r="DT3" s="4">
        <v>392.66666666666669</v>
      </c>
      <c r="DU3" s="4">
        <v>197.33333333333334</v>
      </c>
      <c r="DV3" s="4">
        <v>75</v>
      </c>
      <c r="DW3" s="51">
        <v>366.66666666666669</v>
      </c>
      <c r="DX3" s="51">
        <v>319.16666666666663</v>
      </c>
      <c r="DY3" s="51">
        <v>327.08333333333337</v>
      </c>
      <c r="DZ3" s="51">
        <v>352.16666666666663</v>
      </c>
      <c r="EA3" s="51">
        <v>359.08333333333331</v>
      </c>
      <c r="EB3" s="51">
        <v>233.50000000000003</v>
      </c>
      <c r="EC3" s="51">
        <v>162.25</v>
      </c>
      <c r="ED3" s="4">
        <v>627</v>
      </c>
      <c r="EE3" s="4">
        <v>678</v>
      </c>
      <c r="EF3" s="4">
        <v>484.16666666666674</v>
      </c>
      <c r="EG3" s="4">
        <v>404.58333333333331</v>
      </c>
      <c r="EH3" s="4">
        <v>378.58333333333337</v>
      </c>
      <c r="EI3" s="4">
        <v>181.58333333333334</v>
      </c>
      <c r="EJ3" s="4">
        <v>165</v>
      </c>
      <c r="EK3" s="4">
        <v>330</v>
      </c>
      <c r="EL3" s="4">
        <v>326.25</v>
      </c>
      <c r="EM3" s="4">
        <v>359.66666666666669</v>
      </c>
      <c r="EN3" s="4">
        <v>457.41666666666669</v>
      </c>
      <c r="EO3" s="4">
        <v>514.5</v>
      </c>
      <c r="EP3" s="4">
        <v>412.5</v>
      </c>
      <c r="EQ3" s="4">
        <v>157.08333333333331</v>
      </c>
      <c r="ER3" s="4">
        <v>442.5</v>
      </c>
      <c r="ES3" s="4">
        <v>366.25</v>
      </c>
      <c r="ET3" s="4">
        <v>294.16666666666669</v>
      </c>
      <c r="EU3" s="4">
        <v>368</v>
      </c>
      <c r="EV3" s="4">
        <v>206.5</v>
      </c>
      <c r="EW3" s="4">
        <v>202.5</v>
      </c>
      <c r="EX3" s="4">
        <v>193.16666666666666</v>
      </c>
      <c r="EY3" s="4">
        <v>143.16666666666669</v>
      </c>
      <c r="EZ3" s="4">
        <v>344.75</v>
      </c>
      <c r="FA3" s="4">
        <v>568.75</v>
      </c>
      <c r="FB3" s="4">
        <v>321.16666666666669</v>
      </c>
      <c r="FC3" s="4"/>
      <c r="FD3" s="4"/>
      <c r="FE3" s="4"/>
      <c r="FF3"/>
      <c r="FG3" s="4">
        <v>357.5</v>
      </c>
      <c r="FH3" s="4">
        <v>237.83333333333337</v>
      </c>
      <c r="FI3" s="4">
        <v>208.41666666666663</v>
      </c>
      <c r="FJ3" s="4">
        <v>267</v>
      </c>
      <c r="FK3" s="4">
        <v>199.16666666666663</v>
      </c>
      <c r="FL3" s="4">
        <v>212.5</v>
      </c>
      <c r="FM3" s="4">
        <v>179.08333333333331</v>
      </c>
      <c r="FN3" s="4">
        <v>239.91666666666669</v>
      </c>
      <c r="FO3" s="4">
        <v>341.41666666666669</v>
      </c>
      <c r="FP3" s="4">
        <v>288.16666666666669</v>
      </c>
      <c r="FQ3" s="4">
        <v>348.41666666666669</v>
      </c>
      <c r="FR3" s="4">
        <v>154.49999999999997</v>
      </c>
      <c r="FS3" s="4">
        <v>141.33333333333331</v>
      </c>
      <c r="FT3" s="4">
        <v>341.75</v>
      </c>
      <c r="FU3" s="4">
        <v>318.33333333333337</v>
      </c>
      <c r="FV3" s="4">
        <v>463.33333333333326</v>
      </c>
      <c r="FW3" s="4">
        <v>372.33333333333331</v>
      </c>
      <c r="FX3" s="4">
        <v>319.58333333333331</v>
      </c>
      <c r="FY3" s="4">
        <v>164.41666666666669</v>
      </c>
      <c r="FZ3" s="4">
        <v>105</v>
      </c>
      <c r="GA3" s="4">
        <v>203.74999999999994</v>
      </c>
      <c r="GB3" s="4">
        <v>267</v>
      </c>
      <c r="GC3" s="4">
        <v>232.5</v>
      </c>
      <c r="GD3" s="4">
        <v>256.83333333333337</v>
      </c>
      <c r="GE3" s="4">
        <v>308.16666666666669</v>
      </c>
      <c r="GF3" s="4">
        <v>139.33333333333334</v>
      </c>
      <c r="GG3" s="4">
        <v>152.5</v>
      </c>
      <c r="GH3" s="3">
        <v>359.58333333333331</v>
      </c>
      <c r="GI3" s="3">
        <v>442.5</v>
      </c>
      <c r="GJ3" s="3">
        <v>425.83333333333337</v>
      </c>
      <c r="GK3" s="3">
        <v>456.75</v>
      </c>
      <c r="GL3" s="3">
        <v>272.91666666666663</v>
      </c>
      <c r="GM3" s="3">
        <v>138.75</v>
      </c>
      <c r="GN3" s="3">
        <v>153.16666666666666</v>
      </c>
      <c r="GO3" s="3">
        <v>279.5</v>
      </c>
      <c r="GP3" s="3"/>
      <c r="GQ3" s="3">
        <v>345.33333333333331</v>
      </c>
      <c r="GR3" s="3">
        <v>331.08333333333337</v>
      </c>
      <c r="GS3" s="3">
        <v>276.91666666666663</v>
      </c>
      <c r="GT3" s="3">
        <v>208.66666666666666</v>
      </c>
      <c r="GU3" s="3">
        <v>231.74999999999997</v>
      </c>
      <c r="GV3" s="3">
        <v>284.99999999999994</v>
      </c>
      <c r="GW3" s="3">
        <v>288.25000000000006</v>
      </c>
      <c r="GX3" s="3">
        <v>313.83333333333331</v>
      </c>
      <c r="GY3" s="3">
        <v>441.16666666666669</v>
      </c>
      <c r="GZ3" s="3">
        <v>284.58333333333337</v>
      </c>
      <c r="HA3" s="3">
        <v>188.33333333333334</v>
      </c>
      <c r="HB3" s="3">
        <v>112.5</v>
      </c>
      <c r="HC3" s="3">
        <v>244.41666666666669</v>
      </c>
      <c r="HD3" s="3">
        <v>224</v>
      </c>
      <c r="HE3" s="3">
        <v>217</v>
      </c>
      <c r="HF3" s="3">
        <v>210.58333333333331</v>
      </c>
      <c r="HG3" s="3">
        <v>202.08333333333331</v>
      </c>
      <c r="HH3" s="3">
        <v>157.83333333333331</v>
      </c>
      <c r="HI3" s="3">
        <v>105</v>
      </c>
      <c r="HJ3" s="3">
        <v>198.5</v>
      </c>
      <c r="HK3" s="3">
        <v>181.33333333333337</v>
      </c>
      <c r="HL3" s="3">
        <v>153.08333333333334</v>
      </c>
      <c r="HM3" s="3">
        <v>149.83333333333331</v>
      </c>
      <c r="HN3" s="3">
        <v>200.58333333333331</v>
      </c>
      <c r="HO3" s="3">
        <v>169.66666666666666</v>
      </c>
      <c r="HP3" s="3">
        <v>80.999999999999986</v>
      </c>
      <c r="HQ3" s="3">
        <v>262.66666666666663</v>
      </c>
      <c r="HR3" s="3">
        <v>304.16666666666663</v>
      </c>
      <c r="HS3" s="3">
        <v>294.16666666666669</v>
      </c>
      <c r="HT3" s="3">
        <v>338</v>
      </c>
      <c r="HU3" s="3">
        <v>320.08333333333331</v>
      </c>
      <c r="HV3" s="3">
        <v>188.08333333333337</v>
      </c>
      <c r="HW3" s="3">
        <v>112.5</v>
      </c>
      <c r="HX3" s="3">
        <v>320.25</v>
      </c>
      <c r="HY3" s="3">
        <v>417</v>
      </c>
      <c r="HZ3" s="3">
        <v>205.25</v>
      </c>
      <c r="IA3" s="3">
        <v>360.49999999999994</v>
      </c>
      <c r="IB3" s="3">
        <v>359.25</v>
      </c>
      <c r="IC3" s="3">
        <v>353.83333333333331</v>
      </c>
      <c r="ID3" s="3">
        <v>262.5</v>
      </c>
      <c r="IE3" s="3">
        <v>262.5</v>
      </c>
      <c r="IF3" s="3">
        <v>224.83333333333331</v>
      </c>
      <c r="IG3" s="3">
        <v>452.75</v>
      </c>
      <c r="IH3" s="3">
        <v>344.99999999999994</v>
      </c>
      <c r="II3" s="3">
        <v>356.25</v>
      </c>
      <c r="IJ3" s="3">
        <v>97.083333333333329</v>
      </c>
      <c r="IK3" s="3">
        <v>220.33333333333331</v>
      </c>
      <c r="IL3" s="3">
        <v>304.16666666666669</v>
      </c>
      <c r="IM3" s="3">
        <v>296.83333333333331</v>
      </c>
      <c r="IN3" s="3">
        <v>372.16666666666669</v>
      </c>
      <c r="IO3" s="3">
        <v>357.24999999999994</v>
      </c>
      <c r="IP3" s="3">
        <v>385.08333333333331</v>
      </c>
      <c r="IQ3" s="3">
        <v>330</v>
      </c>
      <c r="IR3" s="3">
        <v>173.08333333333337</v>
      </c>
      <c r="IS3" s="3">
        <v>196.00000000000003</v>
      </c>
      <c r="IT3" s="3">
        <v>338.91666666666674</v>
      </c>
      <c r="IU3" s="3">
        <v>345.16666666666669</v>
      </c>
      <c r="IV3" s="3">
        <v>252</v>
      </c>
      <c r="IW3" s="3">
        <v>309</v>
      </c>
      <c r="IX3" s="3">
        <v>112.5</v>
      </c>
      <c r="IY3" s="3">
        <v>247.99999999999997</v>
      </c>
      <c r="IZ3" s="3">
        <v>319.66666666666669</v>
      </c>
      <c r="JA3" s="3">
        <v>366.41666666666669</v>
      </c>
      <c r="JB3" s="3">
        <v>367.5</v>
      </c>
      <c r="JC3" s="3">
        <v>382.16666666666669</v>
      </c>
      <c r="JD3" s="3">
        <v>380.75</v>
      </c>
      <c r="JE3" s="3">
        <v>116.91666666666669</v>
      </c>
      <c r="JF3" s="3">
        <v>230.33333333333334</v>
      </c>
      <c r="JG3" s="3">
        <v>367.5</v>
      </c>
      <c r="JH3" s="3">
        <v>397.83333333333331</v>
      </c>
      <c r="JI3" s="3">
        <v>408.83333333333337</v>
      </c>
      <c r="JJ3" s="3">
        <v>368.16666666666669</v>
      </c>
      <c r="JK3" s="3">
        <v>405</v>
      </c>
      <c r="JL3" s="3">
        <v>135.00000000000003</v>
      </c>
      <c r="JM3" s="3">
        <v>239.33333333333334</v>
      </c>
      <c r="JN3" s="3">
        <v>405</v>
      </c>
      <c r="JO3" s="3">
        <v>375.75</v>
      </c>
      <c r="JP3" s="3">
        <v>336.66666666666669</v>
      </c>
      <c r="JQ3" s="3">
        <v>361</v>
      </c>
      <c r="JR3" s="3">
        <v>343.66666666666663</v>
      </c>
      <c r="JS3" s="3">
        <v>102.25</v>
      </c>
      <c r="JT3" s="3">
        <v>216.16666666666666</v>
      </c>
      <c r="JU3" s="3">
        <v>366</v>
      </c>
      <c r="JV3" s="3">
        <v>398.5</v>
      </c>
      <c r="JW3" s="3">
        <v>625.5</v>
      </c>
      <c r="JX3" s="3">
        <v>719.16666666666663</v>
      </c>
      <c r="JY3" s="3">
        <v>713.83333333333337</v>
      </c>
      <c r="JZ3" s="3">
        <v>457.58333333333331</v>
      </c>
      <c r="KA3" s="3">
        <v>230.16666666666666</v>
      </c>
      <c r="KB3" s="3">
        <v>707</v>
      </c>
      <c r="KC3" s="3">
        <v>708</v>
      </c>
      <c r="KD3" s="3">
        <v>397.5</v>
      </c>
      <c r="KE3" s="3">
        <v>343.41666666666663</v>
      </c>
      <c r="KF3" s="3">
        <v>371</v>
      </c>
      <c r="KG3" s="3">
        <v>314.58333333333331</v>
      </c>
      <c r="KH3" s="3">
        <v>342.5</v>
      </c>
      <c r="KI3" s="3">
        <v>340.66666666666669</v>
      </c>
      <c r="KJ3" s="3">
        <v>442.25</v>
      </c>
      <c r="KK3" s="3">
        <v>442.5</v>
      </c>
      <c r="KL3" s="3">
        <v>422.75</v>
      </c>
      <c r="KM3" s="3">
        <v>407.25</v>
      </c>
      <c r="KN3" s="3">
        <v>157.49999999999997</v>
      </c>
      <c r="KO3" s="3">
        <v>252.25</v>
      </c>
      <c r="KP3" s="2">
        <v>327.58333333333331</v>
      </c>
      <c r="KQ3" s="2">
        <v>417</v>
      </c>
      <c r="KR3" s="2">
        <v>290.08333333333331</v>
      </c>
      <c r="KS3" s="2">
        <v>563.41666666666674</v>
      </c>
      <c r="KT3" s="2">
        <v>910</v>
      </c>
      <c r="KU3" s="2">
        <v>663.41666666666674</v>
      </c>
      <c r="KV3" s="2">
        <v>157.5</v>
      </c>
      <c r="KW3" s="3">
        <v>1032</v>
      </c>
      <c r="KX3" s="3">
        <v>983.58333333333348</v>
      </c>
      <c r="KY3" s="3">
        <v>768</v>
      </c>
      <c r="KZ3" s="3">
        <v>391.33333333333337</v>
      </c>
      <c r="LA3" s="3">
        <v>474.41666666666657</v>
      </c>
      <c r="LB3" s="3">
        <v>269.25</v>
      </c>
      <c r="LC3" s="3">
        <v>186.16666666666666</v>
      </c>
      <c r="LD3" s="3">
        <v>705</v>
      </c>
      <c r="LE3" s="3">
        <v>727.50000000000011</v>
      </c>
      <c r="LF3" s="3">
        <v>619.25</v>
      </c>
      <c r="LG3" s="3">
        <v>630</v>
      </c>
      <c r="LH3" s="3">
        <v>690</v>
      </c>
      <c r="LI3" s="3">
        <v>322.5</v>
      </c>
      <c r="LJ3" s="3">
        <v>162.5</v>
      </c>
      <c r="LK3" s="3">
        <v>471</v>
      </c>
      <c r="LL3" s="3">
        <v>741.58333333333326</v>
      </c>
      <c r="LM3" s="3">
        <v>529.16666666666663</v>
      </c>
      <c r="LN3" s="3">
        <v>740.91666666666663</v>
      </c>
      <c r="LO3" s="3">
        <v>966.41666666666663</v>
      </c>
      <c r="LP3" s="3">
        <v>403.83333333333337</v>
      </c>
      <c r="LQ3" s="3">
        <v>225</v>
      </c>
      <c r="LR3" s="3">
        <v>818.25</v>
      </c>
      <c r="LS3" s="3">
        <v>621.58333333333337</v>
      </c>
      <c r="LT3" s="3">
        <v>574.08333333333326</v>
      </c>
      <c r="LU3" s="3">
        <v>866.91666666666674</v>
      </c>
      <c r="LV3" s="3">
        <v>817.5</v>
      </c>
      <c r="LW3" s="3">
        <v>562.5</v>
      </c>
      <c r="LX3" s="3">
        <v>164.33333333333331</v>
      </c>
      <c r="LY3" s="3">
        <v>791.41666666666674</v>
      </c>
      <c r="LZ3" s="3">
        <v>772.5</v>
      </c>
      <c r="MA3" s="3">
        <v>667.16666666666674</v>
      </c>
      <c r="MB3" s="3">
        <v>646.58333333333326</v>
      </c>
      <c r="MC3" s="3">
        <v>584.41666666666674</v>
      </c>
      <c r="MD3" s="3">
        <v>577.5</v>
      </c>
      <c r="ME3" s="3">
        <v>170.66666666666666</v>
      </c>
      <c r="MF3" s="7">
        <v>356.25</v>
      </c>
      <c r="MG3" s="7">
        <v>301.41666666666674</v>
      </c>
      <c r="MH3" s="7">
        <v>320</v>
      </c>
      <c r="MI3" s="7">
        <v>323.58333333333337</v>
      </c>
      <c r="MJ3" s="7">
        <v>423.66666666666674</v>
      </c>
      <c r="MK3" s="7">
        <v>258.75</v>
      </c>
      <c r="ML3" s="7">
        <v>172.5</v>
      </c>
      <c r="MM3" s="3">
        <v>382</v>
      </c>
      <c r="MN3" s="3">
        <v>360</v>
      </c>
      <c r="MO3" s="3">
        <v>364.5</v>
      </c>
      <c r="MP3" s="3">
        <v>389.66666666666674</v>
      </c>
      <c r="MQ3" s="3">
        <v>363.75</v>
      </c>
      <c r="MR3" s="3">
        <v>337.5</v>
      </c>
      <c r="MS3" s="3">
        <v>352.16666666666663</v>
      </c>
      <c r="MT3" s="7">
        <v>375</v>
      </c>
      <c r="MU3" s="7">
        <v>397.5</v>
      </c>
      <c r="MV3" s="7">
        <v>402.33333333333326</v>
      </c>
      <c r="MW3" s="7">
        <v>380.75</v>
      </c>
      <c r="MX3" s="7">
        <v>381.91666666666674</v>
      </c>
      <c r="MY3" s="7">
        <v>206.25</v>
      </c>
      <c r="MZ3" s="7">
        <v>178.58333333333331</v>
      </c>
      <c r="NA3" s="7">
        <v>375</v>
      </c>
      <c r="NB3" s="7">
        <v>369.08333333333331</v>
      </c>
      <c r="NC3" s="7">
        <v>247.25</v>
      </c>
      <c r="ND3" s="3"/>
      <c r="NE3" s="3"/>
      <c r="NF3" s="3"/>
      <c r="NG3" s="3"/>
    </row>
    <row r="4" spans="1:371">
      <c r="A4" s="15">
        <f>SUM(818113,O4:NC4)</f>
        <v>45431120.990000002</v>
      </c>
      <c r="B4" s="16" t="s">
        <v>423</v>
      </c>
      <c r="C4" s="7"/>
      <c r="D4" s="2">
        <v>151104</v>
      </c>
      <c r="E4" s="2">
        <v>166819</v>
      </c>
      <c r="F4" s="2">
        <v>114960</v>
      </c>
      <c r="G4" s="2">
        <v>45981</v>
      </c>
      <c r="H4" s="2">
        <v>68834</v>
      </c>
      <c r="I4" s="2">
        <v>126293</v>
      </c>
      <c r="J4" s="2">
        <v>106651</v>
      </c>
      <c r="K4" s="2">
        <v>70771</v>
      </c>
      <c r="L4" s="2">
        <v>81078</v>
      </c>
      <c r="M4" s="2">
        <v>63535</v>
      </c>
      <c r="N4" s="2">
        <v>34705</v>
      </c>
      <c r="O4" s="7">
        <v>79666</v>
      </c>
      <c r="P4" s="7">
        <v>97673</v>
      </c>
      <c r="Q4" s="7">
        <v>71756</v>
      </c>
      <c r="R4" s="7">
        <v>110209</v>
      </c>
      <c r="S4" s="7">
        <v>110582</v>
      </c>
      <c r="T4" s="7">
        <v>96307</v>
      </c>
      <c r="U4" s="7">
        <v>57420</v>
      </c>
      <c r="V4" s="7">
        <v>136994</v>
      </c>
      <c r="W4" s="7">
        <v>147062</v>
      </c>
      <c r="X4" s="7">
        <v>133284</v>
      </c>
      <c r="Y4" s="7">
        <v>144660</v>
      </c>
      <c r="Z4" s="7">
        <v>98395</v>
      </c>
      <c r="AA4" s="7">
        <v>64292</v>
      </c>
      <c r="AB4" s="7">
        <v>19597</v>
      </c>
      <c r="AC4" s="7">
        <v>66353</v>
      </c>
      <c r="AD4" s="7">
        <v>87849</v>
      </c>
      <c r="AE4" s="7">
        <v>73009</v>
      </c>
      <c r="AF4" s="7">
        <v>76731</v>
      </c>
      <c r="AG4" s="7">
        <v>79001</v>
      </c>
      <c r="AH4" s="7">
        <v>56386</v>
      </c>
      <c r="AI4" s="7">
        <v>33728</v>
      </c>
      <c r="AJ4" s="7">
        <v>79397</v>
      </c>
      <c r="AK4" s="7">
        <v>101077</v>
      </c>
      <c r="AL4" s="7">
        <v>55678</v>
      </c>
      <c r="AM4" s="7">
        <v>120760</v>
      </c>
      <c r="AN4" s="7">
        <v>96738</v>
      </c>
      <c r="AO4" s="7">
        <v>51765</v>
      </c>
      <c r="AP4" s="7">
        <v>79555</v>
      </c>
      <c r="AQ4" s="7">
        <v>99545</v>
      </c>
      <c r="AR4" s="7">
        <v>132403</v>
      </c>
      <c r="AS4" s="7">
        <v>159322</v>
      </c>
      <c r="AT4" s="7">
        <v>158656</v>
      </c>
      <c r="AU4" s="7">
        <v>160913</v>
      </c>
      <c r="AV4" s="7">
        <v>69799</v>
      </c>
      <c r="AW4" s="7">
        <v>97429</v>
      </c>
      <c r="AX4" s="7">
        <v>135169</v>
      </c>
      <c r="AY4" s="7">
        <v>160741</v>
      </c>
      <c r="AZ4" s="7">
        <v>151202</v>
      </c>
      <c r="BA4" s="7">
        <v>175177</v>
      </c>
      <c r="BB4" s="7">
        <v>149641</v>
      </c>
      <c r="BC4" s="7">
        <v>54878</v>
      </c>
      <c r="BD4" s="7">
        <v>103303</v>
      </c>
      <c r="BE4" s="7">
        <v>133602</v>
      </c>
      <c r="BF4" s="7">
        <v>107918</v>
      </c>
      <c r="BG4" s="7">
        <v>121450</v>
      </c>
      <c r="BH4" s="7">
        <v>113970</v>
      </c>
      <c r="BI4" s="7">
        <v>99088</v>
      </c>
      <c r="BJ4" s="7">
        <v>59331</v>
      </c>
      <c r="BK4" s="7">
        <v>40768</v>
      </c>
      <c r="BL4" s="7">
        <v>79590</v>
      </c>
      <c r="BM4" s="7">
        <v>91062</v>
      </c>
      <c r="BN4" s="7">
        <v>112997.98999999999</v>
      </c>
      <c r="BO4" s="7">
        <v>58626</v>
      </c>
      <c r="BP4" s="7">
        <v>122049</v>
      </c>
      <c r="BQ4" s="7">
        <v>78929</v>
      </c>
      <c r="BR4" s="7">
        <v>14013</v>
      </c>
      <c r="BS4" s="7">
        <v>141815</v>
      </c>
      <c r="BT4" s="7">
        <v>212004</v>
      </c>
      <c r="BU4" s="7">
        <v>179113</v>
      </c>
      <c r="BV4" s="7">
        <v>183587</v>
      </c>
      <c r="BW4" s="7">
        <v>164083</v>
      </c>
      <c r="BX4" s="7">
        <v>60313</v>
      </c>
      <c r="BY4" s="7">
        <v>116370</v>
      </c>
      <c r="BZ4" s="7">
        <v>268892</v>
      </c>
      <c r="CA4" s="7">
        <v>269964</v>
      </c>
      <c r="CB4" s="7">
        <v>223808</v>
      </c>
      <c r="CC4" s="7">
        <v>268803</v>
      </c>
      <c r="CD4" s="7">
        <v>233877</v>
      </c>
      <c r="CE4" s="7">
        <v>251268</v>
      </c>
      <c r="CF4" s="7">
        <v>151399</v>
      </c>
      <c r="CG4" s="46">
        <v>150613</v>
      </c>
      <c r="CH4" s="46">
        <v>162445</v>
      </c>
      <c r="CI4" s="46">
        <v>216345</v>
      </c>
      <c r="CJ4" s="46">
        <v>220954</v>
      </c>
      <c r="CK4" s="46">
        <v>182777</v>
      </c>
      <c r="CL4" s="46">
        <v>27988</v>
      </c>
      <c r="CP4" s="46">
        <v>41436</v>
      </c>
      <c r="CQ4" s="46">
        <v>89151</v>
      </c>
      <c r="CR4" s="46">
        <v>54474</v>
      </c>
      <c r="CS4" s="46">
        <v>31577</v>
      </c>
      <c r="CT4" s="46">
        <v>10397</v>
      </c>
      <c r="CU4" s="46">
        <v>64366</v>
      </c>
      <c r="CV4" s="46">
        <v>93495</v>
      </c>
      <c r="CW4" s="46">
        <v>116339</v>
      </c>
      <c r="CX4" s="46">
        <v>96034</v>
      </c>
      <c r="CY4" s="46">
        <v>80411</v>
      </c>
      <c r="CZ4" s="46">
        <v>86893</v>
      </c>
      <c r="DA4" s="46">
        <v>69844</v>
      </c>
      <c r="DB4" s="46">
        <v>102675</v>
      </c>
      <c r="DC4" s="46">
        <v>143676</v>
      </c>
      <c r="DD4" s="46">
        <v>82825</v>
      </c>
      <c r="DE4" s="46">
        <v>59962</v>
      </c>
      <c r="DF4" s="46">
        <v>106376</v>
      </c>
      <c r="DG4" s="46">
        <v>80990</v>
      </c>
      <c r="DH4" s="46">
        <v>75969</v>
      </c>
      <c r="DI4" s="46">
        <v>114372</v>
      </c>
      <c r="DJ4" s="46">
        <v>141276</v>
      </c>
      <c r="DK4" s="46">
        <v>33562</v>
      </c>
      <c r="DL4" s="46"/>
      <c r="DM4" s="46">
        <v>114121</v>
      </c>
      <c r="DN4" s="46">
        <v>135657</v>
      </c>
      <c r="DO4" s="46">
        <v>68783</v>
      </c>
      <c r="DP4" s="46">
        <v>123562</v>
      </c>
      <c r="DQ4" s="46">
        <v>142537</v>
      </c>
      <c r="DR4" s="46">
        <v>141761</v>
      </c>
      <c r="DS4" s="46"/>
      <c r="DT4" s="46">
        <v>152946</v>
      </c>
      <c r="DU4" s="46">
        <v>81708</v>
      </c>
      <c r="DV4" s="46">
        <v>14603</v>
      </c>
      <c r="DW4" s="46">
        <v>263524</v>
      </c>
      <c r="DX4" s="46">
        <v>181553</v>
      </c>
      <c r="DY4" s="46">
        <v>198592</v>
      </c>
      <c r="DZ4" s="46">
        <v>165661</v>
      </c>
      <c r="EA4" s="46">
        <v>177178</v>
      </c>
      <c r="EB4" s="46">
        <v>99234</v>
      </c>
      <c r="EC4" s="46">
        <v>142977</v>
      </c>
      <c r="ED4" s="46">
        <v>300650</v>
      </c>
      <c r="EE4" s="46">
        <v>391764</v>
      </c>
      <c r="EF4" s="46">
        <v>284712</v>
      </c>
      <c r="EG4" s="46">
        <v>258860</v>
      </c>
      <c r="EH4" s="46">
        <v>206570</v>
      </c>
      <c r="EI4" s="46">
        <v>110121</v>
      </c>
      <c r="EJ4" s="46">
        <v>115460</v>
      </c>
      <c r="EK4" s="46">
        <v>161457</v>
      </c>
      <c r="EL4" s="46">
        <v>210665</v>
      </c>
      <c r="EM4" s="46">
        <v>284671</v>
      </c>
      <c r="EN4" s="46">
        <v>299559</v>
      </c>
      <c r="EO4" s="46">
        <v>250974</v>
      </c>
      <c r="EP4" s="46">
        <v>204076</v>
      </c>
      <c r="EQ4" s="46">
        <v>39446</v>
      </c>
      <c r="ER4" s="46">
        <v>212825</v>
      </c>
      <c r="ES4" s="46">
        <v>181407</v>
      </c>
      <c r="ET4" s="46">
        <v>258764</v>
      </c>
      <c r="EU4" s="46">
        <v>198490</v>
      </c>
      <c r="EV4" s="46">
        <v>98749</v>
      </c>
      <c r="EW4" s="46">
        <v>194028</v>
      </c>
      <c r="EX4" s="46">
        <v>52981</v>
      </c>
      <c r="EY4" s="46">
        <v>55162</v>
      </c>
      <c r="EZ4" s="46">
        <v>308704</v>
      </c>
      <c r="FA4" s="46">
        <v>321468</v>
      </c>
      <c r="FB4" s="46">
        <v>146101</v>
      </c>
      <c r="FG4" s="46">
        <v>197984</v>
      </c>
      <c r="FH4" s="46">
        <v>106107</v>
      </c>
      <c r="FI4" s="46">
        <v>88335</v>
      </c>
      <c r="FJ4" s="46">
        <v>72124</v>
      </c>
      <c r="FK4" s="46">
        <v>117334</v>
      </c>
      <c r="FL4" s="46">
        <v>126378</v>
      </c>
      <c r="FM4" s="46">
        <v>104729</v>
      </c>
      <c r="FN4" s="46">
        <v>174956</v>
      </c>
      <c r="FO4" s="46">
        <v>217318</v>
      </c>
      <c r="FP4" s="46">
        <v>185631</v>
      </c>
      <c r="FQ4" s="46">
        <v>194466</v>
      </c>
      <c r="FR4" s="46">
        <v>78193</v>
      </c>
      <c r="FS4" s="46">
        <v>58010</v>
      </c>
      <c r="FT4" s="46">
        <v>205533</v>
      </c>
      <c r="FU4" s="46">
        <v>194783</v>
      </c>
      <c r="FV4" s="46">
        <v>232434</v>
      </c>
      <c r="FW4" s="46">
        <v>194969</v>
      </c>
      <c r="FX4" s="46">
        <v>166409</v>
      </c>
      <c r="FY4" s="46">
        <v>100015</v>
      </c>
      <c r="FZ4" s="46">
        <v>67756</v>
      </c>
      <c r="GA4" s="46">
        <v>104460</v>
      </c>
      <c r="GB4" s="46">
        <v>145284</v>
      </c>
      <c r="GC4" s="46">
        <v>122730</v>
      </c>
      <c r="GD4" s="46">
        <v>119918</v>
      </c>
      <c r="GE4" s="46">
        <v>130671</v>
      </c>
      <c r="GF4" s="46">
        <v>52378</v>
      </c>
      <c r="GG4" s="46">
        <v>90778</v>
      </c>
      <c r="GH4" s="46">
        <v>135616</v>
      </c>
      <c r="GI4" s="46">
        <v>162329</v>
      </c>
      <c r="GJ4" s="46">
        <v>164661</v>
      </c>
      <c r="GK4" s="46">
        <v>207004</v>
      </c>
      <c r="GL4" s="46">
        <v>124777</v>
      </c>
      <c r="GM4" s="46">
        <v>72976</v>
      </c>
      <c r="GN4" s="46">
        <v>64682</v>
      </c>
      <c r="GO4" s="46">
        <v>109066</v>
      </c>
      <c r="GP4" s="46"/>
      <c r="GQ4" s="46">
        <v>141322</v>
      </c>
      <c r="GR4" s="46">
        <v>148001</v>
      </c>
      <c r="GS4" s="46">
        <v>98853</v>
      </c>
      <c r="GT4" s="46">
        <v>103801</v>
      </c>
      <c r="GU4" s="46">
        <v>62371</v>
      </c>
      <c r="GV4" s="46">
        <v>88775</v>
      </c>
      <c r="GW4" s="46">
        <v>106783</v>
      </c>
      <c r="GX4" s="46">
        <v>136597</v>
      </c>
      <c r="GY4" s="46">
        <v>220151</v>
      </c>
      <c r="GZ4" s="46">
        <v>133856</v>
      </c>
      <c r="HA4" s="46">
        <v>94661</v>
      </c>
      <c r="HB4" s="46">
        <v>51731</v>
      </c>
      <c r="HC4" s="46">
        <v>140630</v>
      </c>
      <c r="HD4" s="46">
        <v>108770</v>
      </c>
      <c r="HE4" s="46">
        <v>106193</v>
      </c>
      <c r="HF4" s="46">
        <v>105480</v>
      </c>
      <c r="HG4" s="46">
        <v>93175</v>
      </c>
      <c r="HH4" s="46">
        <v>73820</v>
      </c>
      <c r="HI4" s="46">
        <v>60640</v>
      </c>
      <c r="HJ4" s="46">
        <v>90474</v>
      </c>
      <c r="HK4" s="46">
        <v>92545</v>
      </c>
      <c r="HL4" s="46">
        <v>68059</v>
      </c>
      <c r="HM4" s="46">
        <v>70242</v>
      </c>
      <c r="HN4" s="46">
        <v>82864</v>
      </c>
      <c r="HO4" s="46">
        <v>63801</v>
      </c>
      <c r="HP4" s="46">
        <v>40269</v>
      </c>
      <c r="HQ4" s="46">
        <v>92807</v>
      </c>
      <c r="HR4" s="46">
        <v>136169</v>
      </c>
      <c r="HS4" s="46">
        <v>144616</v>
      </c>
      <c r="HT4" s="46">
        <v>136661</v>
      </c>
      <c r="HU4" s="46">
        <v>124823</v>
      </c>
      <c r="HV4" s="46">
        <v>63751</v>
      </c>
      <c r="HW4" s="46">
        <v>50836</v>
      </c>
      <c r="HX4" s="46">
        <v>125872</v>
      </c>
      <c r="HY4" s="46">
        <v>173124</v>
      </c>
      <c r="HZ4" s="46">
        <v>63020</v>
      </c>
      <c r="IA4" s="46">
        <v>123713</v>
      </c>
      <c r="IB4" s="46">
        <v>159395</v>
      </c>
      <c r="IC4" s="46">
        <v>157001</v>
      </c>
      <c r="ID4" s="46">
        <v>82575</v>
      </c>
      <c r="IE4" s="46">
        <v>81078</v>
      </c>
      <c r="IF4" s="46">
        <v>100135</v>
      </c>
      <c r="IG4" s="46">
        <v>182207</v>
      </c>
      <c r="IH4" s="46">
        <v>126798</v>
      </c>
      <c r="II4" s="46">
        <v>136150</v>
      </c>
      <c r="IJ4" s="46">
        <v>38456</v>
      </c>
      <c r="IK4" s="46">
        <v>71820</v>
      </c>
      <c r="IL4" s="46">
        <v>141383</v>
      </c>
      <c r="IM4" s="46">
        <v>112770</v>
      </c>
      <c r="IN4" s="46">
        <v>115289</v>
      </c>
      <c r="IO4" s="46">
        <v>112257</v>
      </c>
      <c r="IP4" s="46">
        <v>134452</v>
      </c>
      <c r="IQ4" s="46">
        <v>156399</v>
      </c>
      <c r="IR4" s="46">
        <v>50270</v>
      </c>
      <c r="IS4" s="46">
        <v>43599</v>
      </c>
      <c r="IT4" s="46">
        <v>136351</v>
      </c>
      <c r="IU4" s="46">
        <v>119963</v>
      </c>
      <c r="IV4" s="46">
        <v>101763</v>
      </c>
      <c r="IW4" s="46">
        <v>100178</v>
      </c>
      <c r="IX4" s="46">
        <v>69545</v>
      </c>
      <c r="IY4" s="46">
        <v>121544</v>
      </c>
      <c r="IZ4" s="46">
        <v>116722</v>
      </c>
      <c r="JA4" s="46">
        <v>125029</v>
      </c>
      <c r="JB4" s="46">
        <v>138937</v>
      </c>
      <c r="JC4" s="46">
        <v>153964</v>
      </c>
      <c r="JD4" s="46">
        <v>171866</v>
      </c>
      <c r="JE4" s="46">
        <v>57135</v>
      </c>
      <c r="JF4" s="46">
        <v>81682</v>
      </c>
      <c r="JG4" s="46">
        <v>145781</v>
      </c>
      <c r="JH4" s="46">
        <v>182382</v>
      </c>
      <c r="JI4" s="46">
        <v>174901</v>
      </c>
      <c r="JJ4" s="46">
        <v>122353</v>
      </c>
      <c r="JK4" s="46">
        <v>177268</v>
      </c>
      <c r="JL4" s="46">
        <v>86561</v>
      </c>
      <c r="JM4" s="46">
        <v>96015</v>
      </c>
      <c r="JN4" s="46">
        <v>195116</v>
      </c>
      <c r="JO4" s="46">
        <v>129595</v>
      </c>
      <c r="JP4" s="46">
        <v>98206</v>
      </c>
      <c r="JQ4" s="46">
        <v>174860</v>
      </c>
      <c r="JR4" s="46">
        <v>157041</v>
      </c>
      <c r="JS4" s="46">
        <v>64784</v>
      </c>
      <c r="JT4" s="46">
        <v>57454</v>
      </c>
      <c r="JU4" s="46">
        <v>164232</v>
      </c>
      <c r="JV4" s="46">
        <v>168022</v>
      </c>
      <c r="JW4" s="46">
        <v>195745</v>
      </c>
      <c r="JX4" s="46">
        <v>249652</v>
      </c>
      <c r="JY4" s="46">
        <v>219124</v>
      </c>
      <c r="JZ4" s="46">
        <v>110985</v>
      </c>
      <c r="KA4" s="46">
        <v>50224</v>
      </c>
      <c r="KB4" s="46">
        <v>223013</v>
      </c>
      <c r="KC4" s="46">
        <v>128066</v>
      </c>
      <c r="KD4" s="46">
        <v>129436</v>
      </c>
      <c r="KE4" s="46">
        <v>146506</v>
      </c>
      <c r="KF4" s="46">
        <v>155426</v>
      </c>
      <c r="KG4" s="46">
        <v>124207</v>
      </c>
      <c r="KH4" s="46">
        <v>156435</v>
      </c>
      <c r="KI4" s="46">
        <v>178306</v>
      </c>
      <c r="KJ4" s="46">
        <v>237565</v>
      </c>
      <c r="KK4" s="46">
        <v>193397</v>
      </c>
      <c r="KL4" s="46">
        <v>185659</v>
      </c>
      <c r="KM4" s="46">
        <v>149235</v>
      </c>
      <c r="KN4" s="46">
        <v>66409</v>
      </c>
      <c r="KO4" s="46">
        <v>104801</v>
      </c>
      <c r="KP4" s="46">
        <v>130494</v>
      </c>
      <c r="KQ4" s="46">
        <v>146547</v>
      </c>
      <c r="KR4" s="46">
        <v>63102</v>
      </c>
      <c r="KS4" s="46">
        <v>213493</v>
      </c>
      <c r="KT4" s="46">
        <v>272833</v>
      </c>
      <c r="KU4" s="46">
        <v>201068</v>
      </c>
      <c r="KV4" s="46">
        <v>78868</v>
      </c>
      <c r="KW4" s="46">
        <v>258043</v>
      </c>
      <c r="KX4" s="46">
        <v>248811</v>
      </c>
      <c r="KY4" s="46">
        <v>166087</v>
      </c>
      <c r="KZ4" s="46">
        <v>88606</v>
      </c>
      <c r="LA4" s="46">
        <v>136393</v>
      </c>
      <c r="LB4" s="46">
        <v>78885</v>
      </c>
      <c r="LC4" s="46">
        <v>40145</v>
      </c>
      <c r="LD4" s="46">
        <v>78491</v>
      </c>
      <c r="LE4" s="46">
        <v>163946</v>
      </c>
      <c r="LF4" s="46">
        <v>128559</v>
      </c>
      <c r="LG4" s="46">
        <v>129403</v>
      </c>
      <c r="LH4" s="46">
        <v>114360</v>
      </c>
      <c r="LI4" s="46">
        <v>94009</v>
      </c>
      <c r="LJ4" s="46">
        <v>32899</v>
      </c>
      <c r="LK4" s="46">
        <v>115188</v>
      </c>
      <c r="LL4" s="46">
        <v>147759</v>
      </c>
      <c r="LM4" s="46">
        <v>169057</v>
      </c>
      <c r="LN4" s="46">
        <v>182159</v>
      </c>
      <c r="LO4" s="46">
        <v>170261</v>
      </c>
      <c r="LP4" s="46">
        <v>113168</v>
      </c>
      <c r="LQ4" s="46">
        <v>70644</v>
      </c>
      <c r="LR4" s="46">
        <v>106493</v>
      </c>
      <c r="LS4" s="46">
        <v>183930</v>
      </c>
      <c r="LT4" s="46">
        <v>170512</v>
      </c>
      <c r="LU4" s="46">
        <v>165358</v>
      </c>
      <c r="LV4" s="46">
        <v>147600</v>
      </c>
      <c r="LW4" s="46">
        <v>123110</v>
      </c>
      <c r="LX4" s="46">
        <v>62144</v>
      </c>
      <c r="LY4" s="46">
        <v>136644</v>
      </c>
      <c r="LZ4" s="46">
        <v>201621</v>
      </c>
      <c r="MA4" s="46">
        <v>186920</v>
      </c>
      <c r="MB4" s="46">
        <v>164351</v>
      </c>
      <c r="MC4" s="46">
        <v>163046</v>
      </c>
      <c r="MD4" s="46">
        <v>121677</v>
      </c>
      <c r="ME4" s="46">
        <v>55241</v>
      </c>
      <c r="MF4" s="46">
        <v>133857</v>
      </c>
      <c r="MG4" s="46">
        <v>163810</v>
      </c>
      <c r="MH4" s="46">
        <v>184372</v>
      </c>
      <c r="MI4" s="46">
        <v>151751</v>
      </c>
      <c r="MJ4" s="46">
        <v>163407</v>
      </c>
      <c r="MK4" s="46">
        <v>123860</v>
      </c>
      <c r="ML4" s="46">
        <v>56591</v>
      </c>
      <c r="MM4" s="46">
        <v>169530</v>
      </c>
      <c r="MN4" s="46">
        <v>229492</v>
      </c>
      <c r="MO4" s="46">
        <v>167986</v>
      </c>
      <c r="MP4" s="46">
        <v>180803</v>
      </c>
      <c r="MQ4" s="46">
        <v>128626</v>
      </c>
      <c r="MR4" s="46">
        <v>166203</v>
      </c>
      <c r="MS4" s="46">
        <v>50313</v>
      </c>
      <c r="MT4" s="46">
        <v>82494</v>
      </c>
      <c r="MU4" s="46">
        <v>190472</v>
      </c>
      <c r="MV4" s="46">
        <v>166293</v>
      </c>
      <c r="MW4" s="46">
        <v>162733</v>
      </c>
      <c r="MX4" s="46">
        <v>144712</v>
      </c>
      <c r="MY4" s="46">
        <v>85184</v>
      </c>
      <c r="MZ4" s="46">
        <v>52569</v>
      </c>
      <c r="NA4" s="46">
        <v>108769</v>
      </c>
      <c r="NB4" s="46">
        <v>149381</v>
      </c>
      <c r="NC4" s="46">
        <v>90275</v>
      </c>
    </row>
    <row r="5" spans="1:371">
      <c r="A5" s="17">
        <f>A4/A3</f>
        <v>366.37754576918161</v>
      </c>
      <c r="B5" s="18" t="s">
        <v>424</v>
      </c>
      <c r="C5" s="7"/>
      <c r="D5" s="7">
        <f t="shared" ref="D5:N5" si="0">+D4/D3</f>
        <v>267.91489361702128</v>
      </c>
      <c r="E5" s="7">
        <f t="shared" si="0"/>
        <v>304.69223744292236</v>
      </c>
      <c r="F5" s="7">
        <f t="shared" si="0"/>
        <v>278.63461926883457</v>
      </c>
      <c r="G5" s="7">
        <f t="shared" si="0"/>
        <v>188.12546880327309</v>
      </c>
      <c r="H5" s="7">
        <f t="shared" si="0"/>
        <v>122.22669428825097</v>
      </c>
      <c r="I5" s="7">
        <f t="shared" si="0"/>
        <v>274.45056139080037</v>
      </c>
      <c r="J5" s="7">
        <f t="shared" si="0"/>
        <v>221.61246753246752</v>
      </c>
      <c r="K5" s="7">
        <f t="shared" si="0"/>
        <v>188.55506216696273</v>
      </c>
      <c r="L5" s="7">
        <f t="shared" si="0"/>
        <v>127.44773382237359</v>
      </c>
      <c r="M5" s="7">
        <f t="shared" si="0"/>
        <v>233.29865361077114</v>
      </c>
      <c r="N5" s="7">
        <f t="shared" si="0"/>
        <v>149.05511811023624</v>
      </c>
      <c r="O5" s="7">
        <f>+O4/O3</f>
        <v>224.148182883939</v>
      </c>
      <c r="P5" s="7">
        <f t="shared" ref="P5:CA5" si="1">+P4/P3</f>
        <v>226.83878459454226</v>
      </c>
      <c r="Q5" s="7">
        <f t="shared" si="1"/>
        <v>200.01672473867595</v>
      </c>
      <c r="R5" s="7">
        <f t="shared" si="1"/>
        <v>402.22262773722628</v>
      </c>
      <c r="S5" s="7">
        <f t="shared" si="1"/>
        <v>215.76975609756099</v>
      </c>
      <c r="T5" s="7">
        <f t="shared" si="1"/>
        <v>347.05225225225223</v>
      </c>
      <c r="U5" s="7">
        <f t="shared" si="1"/>
        <v>223.93240168995777</v>
      </c>
      <c r="V5" s="7">
        <f t="shared" si="1"/>
        <v>311.94079696394681</v>
      </c>
      <c r="W5" s="7">
        <f t="shared" si="1"/>
        <v>271.04039318077105</v>
      </c>
      <c r="X5" s="7">
        <f t="shared" si="1"/>
        <v>246.32804558755581</v>
      </c>
      <c r="Y5" s="7">
        <f t="shared" si="1"/>
        <v>263.89784128914562</v>
      </c>
      <c r="Z5" s="7">
        <f t="shared" si="1"/>
        <v>213.66992399565689</v>
      </c>
      <c r="AA5" s="7">
        <f t="shared" si="1"/>
        <v>229.27310549777121</v>
      </c>
      <c r="AB5" s="7">
        <f t="shared" si="1"/>
        <v>79.046722689075636</v>
      </c>
      <c r="AC5" s="7">
        <f t="shared" si="1"/>
        <v>122.87592592592593</v>
      </c>
      <c r="AD5" s="7">
        <f t="shared" si="1"/>
        <v>246.82463123390301</v>
      </c>
      <c r="AE5" s="7">
        <f t="shared" si="1"/>
        <v>268.41544117647061</v>
      </c>
      <c r="AF5" s="7">
        <f t="shared" si="1"/>
        <v>249.93811074918565</v>
      </c>
      <c r="AG5" s="7">
        <f t="shared" si="1"/>
        <v>253.20833333333334</v>
      </c>
      <c r="AH5" s="7">
        <f t="shared" si="1"/>
        <v>241.56801142449126</v>
      </c>
      <c r="AI5" s="7">
        <f t="shared" si="1"/>
        <v>140.53333333333333</v>
      </c>
      <c r="AJ5" s="7">
        <f t="shared" si="1"/>
        <v>221.52150662636595</v>
      </c>
      <c r="AK5" s="7">
        <f t="shared" si="1"/>
        <v>306.60364004044493</v>
      </c>
      <c r="AL5" s="7">
        <f t="shared" si="1"/>
        <v>212.57906458797331</v>
      </c>
      <c r="AM5" s="7">
        <f t="shared" si="1"/>
        <v>374.44961240310079</v>
      </c>
      <c r="AN5" s="7">
        <f t="shared" si="1"/>
        <v>229.73599841678214</v>
      </c>
      <c r="AO5" s="7">
        <f t="shared" si="1"/>
        <v>246.5</v>
      </c>
      <c r="AP5" s="7">
        <f t="shared" si="1"/>
        <v>336.14788732394362</v>
      </c>
      <c r="AQ5" s="7">
        <f t="shared" si="1"/>
        <v>339.0689753051376</v>
      </c>
      <c r="AR5" s="7">
        <f t="shared" si="1"/>
        <v>479.28687782805429</v>
      </c>
      <c r="AS5" s="7">
        <f t="shared" si="1"/>
        <v>339.40422510207708</v>
      </c>
      <c r="AT5" s="7">
        <f t="shared" si="1"/>
        <v>353.68233327141002</v>
      </c>
      <c r="AU5" s="7">
        <f t="shared" si="1"/>
        <v>369.91494252873565</v>
      </c>
      <c r="AV5" s="7">
        <f t="shared" si="1"/>
        <v>457.94860579551664</v>
      </c>
      <c r="AW5" s="7">
        <f t="shared" si="1"/>
        <v>395.65076142131971</v>
      </c>
      <c r="AX5" s="7">
        <f t="shared" si="1"/>
        <v>334.71481634337596</v>
      </c>
      <c r="AY5" s="7">
        <f t="shared" si="1"/>
        <v>358.46348262404757</v>
      </c>
      <c r="AZ5" s="7">
        <f t="shared" si="1"/>
        <v>331.94731064763994</v>
      </c>
      <c r="BA5" s="7">
        <f t="shared" si="1"/>
        <v>346.54203758654796</v>
      </c>
      <c r="BB5" s="7">
        <f t="shared" si="1"/>
        <v>277.62708719851577</v>
      </c>
      <c r="BC5" s="7">
        <f t="shared" si="1"/>
        <v>428.734375</v>
      </c>
      <c r="BD5" s="7">
        <f t="shared" si="1"/>
        <v>617.96410767696898</v>
      </c>
      <c r="BE5" s="7">
        <f t="shared" si="1"/>
        <v>390.45884072089621</v>
      </c>
      <c r="BF5" s="7">
        <f t="shared" si="1"/>
        <v>336.89281997918829</v>
      </c>
      <c r="BG5" s="7">
        <f t="shared" si="1"/>
        <v>321.93505632869454</v>
      </c>
      <c r="BH5" s="7">
        <f t="shared" si="1"/>
        <v>307.33483146067414</v>
      </c>
      <c r="BI5" s="7">
        <f t="shared" si="1"/>
        <v>275.37193144974526</v>
      </c>
      <c r="BJ5" s="7">
        <f t="shared" si="1"/>
        <v>376.5055526176626</v>
      </c>
      <c r="BK5" s="7">
        <f t="shared" si="1"/>
        <v>327.45381526104416</v>
      </c>
      <c r="BL5" s="7">
        <f t="shared" si="1"/>
        <v>288.45665961945036</v>
      </c>
      <c r="BM5" s="7">
        <f t="shared" si="1"/>
        <v>319.51578947368421</v>
      </c>
      <c r="BN5" s="7">
        <f t="shared" si="1"/>
        <v>298.01667692307689</v>
      </c>
      <c r="BO5" s="7">
        <f t="shared" si="1"/>
        <v>191.32771280935543</v>
      </c>
      <c r="BP5" s="7">
        <f t="shared" si="1"/>
        <v>268.53465346534654</v>
      </c>
      <c r="BQ5" s="7">
        <f t="shared" si="1"/>
        <v>384.39448051948051</v>
      </c>
      <c r="BR5" s="7">
        <f t="shared" si="1"/>
        <v>67.424218123496402</v>
      </c>
      <c r="BS5" s="7">
        <f t="shared" si="1"/>
        <v>358.04334104775933</v>
      </c>
      <c r="BT5" s="7">
        <f t="shared" si="1"/>
        <v>527.26383419689114</v>
      </c>
      <c r="BU5" s="7">
        <f t="shared" si="1"/>
        <v>398.76734693877552</v>
      </c>
      <c r="BV5" s="7">
        <f t="shared" si="1"/>
        <v>421.87744159325933</v>
      </c>
      <c r="BW5" s="7">
        <f t="shared" si="1"/>
        <v>379.74850530376079</v>
      </c>
      <c r="BX5" s="7">
        <f t="shared" si="1"/>
        <v>340.27080394922427</v>
      </c>
      <c r="BY5" s="7">
        <f t="shared" si="1"/>
        <v>531.77456207159184</v>
      </c>
      <c r="BZ5" s="7">
        <f t="shared" si="1"/>
        <v>600.76410351889785</v>
      </c>
      <c r="CA5" s="7">
        <f t="shared" si="1"/>
        <v>605.41356755746597</v>
      </c>
      <c r="CB5" s="7">
        <f t="shared" ref="CB5:CL5" si="2">+CB4/CB3</f>
        <v>575.83533447684397</v>
      </c>
      <c r="CC5" s="7">
        <f t="shared" si="2"/>
        <v>612.07514231499044</v>
      </c>
      <c r="CD5" s="7">
        <f t="shared" si="2"/>
        <v>459.93510324483776</v>
      </c>
      <c r="CE5" s="7">
        <f t="shared" si="2"/>
        <v>532.15954818213902</v>
      </c>
      <c r="CF5" s="7">
        <f t="shared" si="2"/>
        <v>437.2534296028881</v>
      </c>
      <c r="CG5" s="7">
        <f t="shared" si="2"/>
        <v>472.26443689574074</v>
      </c>
      <c r="CH5" s="7">
        <f t="shared" si="2"/>
        <v>451.02730217491916</v>
      </c>
      <c r="CI5" s="7">
        <f t="shared" si="2"/>
        <v>654.59909228441757</v>
      </c>
      <c r="CJ5" s="7">
        <f t="shared" si="2"/>
        <v>508.03755508718137</v>
      </c>
      <c r="CK5" s="7">
        <f t="shared" si="2"/>
        <v>379.33656174334146</v>
      </c>
      <c r="CL5" s="7">
        <f t="shared" si="2"/>
        <v>294.09457092819611</v>
      </c>
      <c r="CP5" s="7">
        <f t="shared" ref="CP5:FA5" si="3">+CP4/CP3</f>
        <v>100.0668142483397</v>
      </c>
      <c r="CQ5" s="7">
        <f t="shared" si="3"/>
        <v>206.28846895487851</v>
      </c>
      <c r="CR5" s="7">
        <f t="shared" si="3"/>
        <v>125.95144508670521</v>
      </c>
      <c r="CS5" s="7">
        <f t="shared" si="3"/>
        <v>160.76537971998303</v>
      </c>
      <c r="CT5" s="7">
        <f t="shared" si="3"/>
        <v>53.317948717948717</v>
      </c>
      <c r="CU5" s="7">
        <f t="shared" si="3"/>
        <v>176.34520547945206</v>
      </c>
      <c r="CV5" s="7">
        <f t="shared" si="3"/>
        <v>316.57449209932281</v>
      </c>
      <c r="CW5" s="7">
        <f t="shared" si="3"/>
        <v>337.37747704204924</v>
      </c>
      <c r="CX5" s="7">
        <f t="shared" si="3"/>
        <v>331.7236614853195</v>
      </c>
      <c r="CY5" s="7">
        <f t="shared" si="3"/>
        <v>248.56568778979909</v>
      </c>
      <c r="CZ5" s="7">
        <f t="shared" si="3"/>
        <v>404.31019775106626</v>
      </c>
      <c r="DA5" s="7">
        <f t="shared" si="3"/>
        <v>373.6638430673205</v>
      </c>
      <c r="DB5" s="7">
        <f t="shared" si="3"/>
        <v>466.70454545454533</v>
      </c>
      <c r="DC5" s="7">
        <f t="shared" si="3"/>
        <v>480.65570114301642</v>
      </c>
      <c r="DD5" s="7">
        <f t="shared" si="3"/>
        <v>287.67004341534005</v>
      </c>
      <c r="DE5" s="7">
        <f t="shared" si="3"/>
        <v>504.23545900490541</v>
      </c>
      <c r="DF5" s="7">
        <f t="shared" si="3"/>
        <v>419.62919132149904</v>
      </c>
      <c r="DG5" s="7">
        <f t="shared" si="3"/>
        <v>464.34782608695656</v>
      </c>
      <c r="DH5" s="7">
        <f t="shared" si="3"/>
        <v>482.34285714285716</v>
      </c>
      <c r="DI5" s="7">
        <f t="shared" si="3"/>
        <v>374.99016393442622</v>
      </c>
      <c r="DJ5" s="7">
        <f t="shared" si="3"/>
        <v>449.56563245823395</v>
      </c>
      <c r="DK5" s="7">
        <f t="shared" si="3"/>
        <v>706.56842105263161</v>
      </c>
      <c r="DL5" s="7"/>
      <c r="DM5" s="7">
        <f t="shared" si="3"/>
        <v>371.02465456515853</v>
      </c>
      <c r="DN5" s="7">
        <f t="shared" si="3"/>
        <v>428.16517622304048</v>
      </c>
      <c r="DO5" s="7">
        <f t="shared" si="3"/>
        <v>274.1268681501162</v>
      </c>
      <c r="DP5" s="7">
        <f t="shared" si="3"/>
        <v>400.30885529157666</v>
      </c>
      <c r="DQ5" s="7">
        <f t="shared" si="3"/>
        <v>404.36028368794325</v>
      </c>
      <c r="DR5" s="7">
        <f t="shared" si="3"/>
        <v>397.2751050910789</v>
      </c>
      <c r="DS5" s="7"/>
      <c r="DT5" s="7">
        <f t="shared" si="3"/>
        <v>389.5059422750424</v>
      </c>
      <c r="DU5" s="7">
        <f t="shared" si="3"/>
        <v>414.06081081081078</v>
      </c>
      <c r="DV5" s="7">
        <f t="shared" si="3"/>
        <v>194.70666666666668</v>
      </c>
      <c r="DW5" s="7">
        <f t="shared" si="3"/>
        <v>718.70181818181811</v>
      </c>
      <c r="DX5" s="7">
        <f t="shared" si="3"/>
        <v>568.83446475195831</v>
      </c>
      <c r="DY5" s="7">
        <f t="shared" si="3"/>
        <v>607.16025477707001</v>
      </c>
      <c r="DZ5" s="7">
        <f t="shared" si="3"/>
        <v>470.4051112162802</v>
      </c>
      <c r="EA5" s="7">
        <f t="shared" si="3"/>
        <v>493.41749825945698</v>
      </c>
      <c r="EB5" s="7">
        <f t="shared" si="3"/>
        <v>424.98501070663804</v>
      </c>
      <c r="EC5" s="7">
        <f t="shared" si="3"/>
        <v>881.21417565485365</v>
      </c>
      <c r="ED5" s="7">
        <f t="shared" si="3"/>
        <v>479.50558213716107</v>
      </c>
      <c r="EE5" s="7">
        <f t="shared" si="3"/>
        <v>577.82300884955748</v>
      </c>
      <c r="EF5" s="7">
        <f t="shared" si="3"/>
        <v>588.04543889845081</v>
      </c>
      <c r="EG5" s="7">
        <f t="shared" si="3"/>
        <v>639.81874356333685</v>
      </c>
      <c r="EH5" s="7">
        <f t="shared" si="3"/>
        <v>545.63944530046217</v>
      </c>
      <c r="EI5" s="7">
        <f t="shared" si="3"/>
        <v>606.44882973841209</v>
      </c>
      <c r="EJ5" s="7">
        <f t="shared" si="3"/>
        <v>699.75757575757575</v>
      </c>
      <c r="EK5" s="7">
        <f t="shared" si="3"/>
        <v>489.26363636363635</v>
      </c>
      <c r="EL5" s="7">
        <f t="shared" si="3"/>
        <v>645.71647509578543</v>
      </c>
      <c r="EM5" s="7">
        <f t="shared" si="3"/>
        <v>791.48563484708063</v>
      </c>
      <c r="EN5" s="7">
        <f t="shared" si="3"/>
        <v>654.89305884496264</v>
      </c>
      <c r="EO5" s="7">
        <f t="shared" si="3"/>
        <v>487.801749271137</v>
      </c>
      <c r="EP5" s="7">
        <f t="shared" si="3"/>
        <v>494.72969696969699</v>
      </c>
      <c r="EQ5" s="7">
        <f t="shared" si="3"/>
        <v>251.11511936339525</v>
      </c>
      <c r="ER5" s="7">
        <f t="shared" si="3"/>
        <v>480.96045197740114</v>
      </c>
      <c r="ES5" s="7">
        <f t="shared" si="3"/>
        <v>495.30921501706484</v>
      </c>
      <c r="ET5" s="7">
        <f t="shared" si="3"/>
        <v>879.65099150141634</v>
      </c>
      <c r="EU5" s="7">
        <f t="shared" si="3"/>
        <v>539.375</v>
      </c>
      <c r="EV5" s="7">
        <f t="shared" si="3"/>
        <v>478.20338983050846</v>
      </c>
      <c r="EW5" s="7">
        <f t="shared" si="3"/>
        <v>958.16296296296298</v>
      </c>
      <c r="EX5" s="7">
        <f t="shared" si="3"/>
        <v>274.2761000862813</v>
      </c>
      <c r="EY5" s="7">
        <f t="shared" si="3"/>
        <v>385.29918509895219</v>
      </c>
      <c r="EZ5" s="7">
        <f t="shared" si="3"/>
        <v>895.44307469180569</v>
      </c>
      <c r="FA5" s="7">
        <f t="shared" si="3"/>
        <v>565.2184615384615</v>
      </c>
      <c r="FB5" s="7">
        <f t="shared" ref="FB5" si="4">+FB4/FB3</f>
        <v>454.90710949662684</v>
      </c>
      <c r="FG5" s="7">
        <f t="shared" ref="FG5:HR5" si="5">+FG4/FG3</f>
        <v>553.80139860139855</v>
      </c>
      <c r="FH5" s="7">
        <f t="shared" si="5"/>
        <v>446.14015416958648</v>
      </c>
      <c r="FI5" s="7">
        <f t="shared" si="5"/>
        <v>423.83846461415442</v>
      </c>
      <c r="FJ5" s="7">
        <f t="shared" si="5"/>
        <v>270.12734082397003</v>
      </c>
      <c r="FK5" s="7">
        <f t="shared" si="5"/>
        <v>589.12468619246874</v>
      </c>
      <c r="FL5" s="7">
        <f t="shared" si="5"/>
        <v>594.72</v>
      </c>
      <c r="FM5" s="7">
        <f t="shared" si="5"/>
        <v>584.80595625872502</v>
      </c>
      <c r="FN5" s="7">
        <f t="shared" si="5"/>
        <v>729.23654046543936</v>
      </c>
      <c r="FO5" s="7">
        <f t="shared" si="5"/>
        <v>636.51842811813515</v>
      </c>
      <c r="FP5" s="7">
        <f t="shared" si="5"/>
        <v>644.17929438982071</v>
      </c>
      <c r="FQ5" s="7">
        <f t="shared" si="5"/>
        <v>558.14207127481461</v>
      </c>
      <c r="FR5" s="7">
        <f t="shared" si="5"/>
        <v>506.10355987055027</v>
      </c>
      <c r="FS5" s="7">
        <f t="shared" si="5"/>
        <v>410.44811320754724</v>
      </c>
      <c r="FT5" s="7">
        <f t="shared" si="5"/>
        <v>601.41331382589613</v>
      </c>
      <c r="FU5" s="7">
        <f t="shared" si="5"/>
        <v>611.88376963350777</v>
      </c>
      <c r="FV5" s="7">
        <f t="shared" si="5"/>
        <v>501.65611510791376</v>
      </c>
      <c r="FW5" s="7">
        <f t="shared" si="5"/>
        <v>523.64100268576544</v>
      </c>
      <c r="FX5" s="7">
        <f t="shared" si="5"/>
        <v>520.70612777053464</v>
      </c>
      <c r="FY5" s="7">
        <f t="shared" si="5"/>
        <v>608.30207805372527</v>
      </c>
      <c r="FZ5" s="7">
        <f t="shared" si="5"/>
        <v>645.29523809523812</v>
      </c>
      <c r="GA5" s="7">
        <f t="shared" si="5"/>
        <v>512.68711656441735</v>
      </c>
      <c r="GB5" s="7">
        <f t="shared" si="5"/>
        <v>544.13483146067415</v>
      </c>
      <c r="GC5" s="7">
        <f t="shared" si="5"/>
        <v>527.87096774193549</v>
      </c>
      <c r="GD5" s="7">
        <f t="shared" si="5"/>
        <v>466.90979883192728</v>
      </c>
      <c r="GE5" s="7">
        <f t="shared" si="5"/>
        <v>424.02704164413194</v>
      </c>
      <c r="GF5" s="7">
        <f t="shared" si="5"/>
        <v>375.91866028708131</v>
      </c>
      <c r="GG5" s="7">
        <f t="shared" si="5"/>
        <v>595.26557377049176</v>
      </c>
      <c r="GH5" s="7">
        <f t="shared" si="5"/>
        <v>377.1476245654693</v>
      </c>
      <c r="GI5" s="7">
        <f t="shared" si="5"/>
        <v>366.84519774011301</v>
      </c>
      <c r="GJ5" s="7">
        <f t="shared" si="5"/>
        <v>386.67945205479447</v>
      </c>
      <c r="GK5" s="7">
        <f t="shared" si="5"/>
        <v>453.21072796934868</v>
      </c>
      <c r="GL5" s="7">
        <f t="shared" si="5"/>
        <v>457.19816793893136</v>
      </c>
      <c r="GM5" s="7">
        <f t="shared" si="5"/>
        <v>525.95315315315315</v>
      </c>
      <c r="GN5" s="7">
        <f t="shared" si="5"/>
        <v>422.2981501632209</v>
      </c>
      <c r="GO5" s="7">
        <f t="shared" si="5"/>
        <v>390.21824686940965</v>
      </c>
      <c r="GP5" s="7"/>
      <c r="GQ5" s="7">
        <f t="shared" si="5"/>
        <v>409.23359073359075</v>
      </c>
      <c r="GR5" s="7">
        <f t="shared" si="5"/>
        <v>447.02038761641074</v>
      </c>
      <c r="GS5" s="7">
        <f t="shared" si="5"/>
        <v>356.97743003310268</v>
      </c>
      <c r="GT5" s="7">
        <f t="shared" si="5"/>
        <v>497.44888178913743</v>
      </c>
      <c r="GU5" s="7">
        <f t="shared" si="5"/>
        <v>269.13052858683932</v>
      </c>
      <c r="GV5" s="7">
        <f t="shared" si="5"/>
        <v>311.49122807017551</v>
      </c>
      <c r="GW5" s="7">
        <f t="shared" si="5"/>
        <v>370.45273200346912</v>
      </c>
      <c r="GX5" s="7">
        <f t="shared" si="5"/>
        <v>435.25331917153483</v>
      </c>
      <c r="GY5" s="7">
        <f t="shared" si="5"/>
        <v>499.02002266717034</v>
      </c>
      <c r="GZ5" s="7">
        <f t="shared" si="5"/>
        <v>470.35783308931178</v>
      </c>
      <c r="HA5" s="7">
        <f t="shared" si="5"/>
        <v>502.62477876106192</v>
      </c>
      <c r="HB5" s="7">
        <f t="shared" si="5"/>
        <v>459.83111111111111</v>
      </c>
      <c r="HC5" s="7">
        <f t="shared" si="5"/>
        <v>575.36992840095456</v>
      </c>
      <c r="HD5" s="7">
        <f t="shared" si="5"/>
        <v>485.58035714285717</v>
      </c>
      <c r="HE5" s="7">
        <f t="shared" si="5"/>
        <v>489.36866359447004</v>
      </c>
      <c r="HF5" s="7">
        <f t="shared" si="5"/>
        <v>500.89434111594778</v>
      </c>
      <c r="HG5" s="7">
        <f t="shared" si="5"/>
        <v>461.07216494845363</v>
      </c>
      <c r="HH5" s="7">
        <f t="shared" si="5"/>
        <v>467.70855332629361</v>
      </c>
      <c r="HI5" s="7">
        <f t="shared" si="5"/>
        <v>577.52380952380952</v>
      </c>
      <c r="HJ5" s="7">
        <f t="shared" si="5"/>
        <v>455.78841309823679</v>
      </c>
      <c r="HK5" s="7">
        <f t="shared" si="5"/>
        <v>510.35845588235281</v>
      </c>
      <c r="HL5" s="7">
        <f t="shared" si="5"/>
        <v>444.58791507893301</v>
      </c>
      <c r="HM5" s="7">
        <f t="shared" si="5"/>
        <v>468.80088987764191</v>
      </c>
      <c r="HN5" s="7">
        <f t="shared" si="5"/>
        <v>413.11508101371004</v>
      </c>
      <c r="HO5" s="7">
        <f t="shared" si="5"/>
        <v>376.03732809430255</v>
      </c>
      <c r="HP5" s="7">
        <f t="shared" si="5"/>
        <v>497.14814814814821</v>
      </c>
      <c r="HQ5" s="7">
        <f t="shared" si="5"/>
        <v>353.32614213197974</v>
      </c>
      <c r="HR5" s="7">
        <f t="shared" si="5"/>
        <v>447.6789041095891</v>
      </c>
      <c r="HS5" s="7">
        <f t="shared" ref="HS5:JM5" si="6">+HS4/HS3</f>
        <v>491.61246458923512</v>
      </c>
      <c r="HT5" s="7">
        <f t="shared" si="6"/>
        <v>404.32248520710061</v>
      </c>
      <c r="HU5" s="7">
        <f t="shared" si="6"/>
        <v>389.97032022910702</v>
      </c>
      <c r="HV5" s="7">
        <f t="shared" si="6"/>
        <v>338.9508196721311</v>
      </c>
      <c r="HW5" s="7">
        <f t="shared" si="6"/>
        <v>451.87555555555554</v>
      </c>
      <c r="HX5" s="7">
        <f t="shared" si="6"/>
        <v>393.04293520686963</v>
      </c>
      <c r="HY5" s="7">
        <f t="shared" si="6"/>
        <v>415.16546762589928</v>
      </c>
      <c r="HZ5" s="7">
        <f t="shared" si="6"/>
        <v>307.04019488428747</v>
      </c>
      <c r="IA5" s="7">
        <f t="shared" si="6"/>
        <v>343.17059639389743</v>
      </c>
      <c r="IB5" s="7">
        <f t="shared" si="6"/>
        <v>443.68823938761307</v>
      </c>
      <c r="IC5" s="7">
        <f t="shared" si="6"/>
        <v>443.71455487517665</v>
      </c>
      <c r="ID5" s="7">
        <f t="shared" si="6"/>
        <v>314.57142857142856</v>
      </c>
      <c r="IE5" s="7">
        <f t="shared" si="6"/>
        <v>308.86857142857144</v>
      </c>
      <c r="IF5" s="7">
        <f t="shared" si="6"/>
        <v>445.37435137138624</v>
      </c>
      <c r="IG5" s="7">
        <f t="shared" si="6"/>
        <v>402.44505797901712</v>
      </c>
      <c r="IH5" s="7">
        <f t="shared" si="6"/>
        <v>367.53043478260878</v>
      </c>
      <c r="II5" s="7">
        <f t="shared" si="6"/>
        <v>382.17543859649123</v>
      </c>
      <c r="IJ5" s="7">
        <f t="shared" si="6"/>
        <v>396.11330472103009</v>
      </c>
      <c r="IK5" s="7">
        <f t="shared" si="6"/>
        <v>325.96066565809383</v>
      </c>
      <c r="IL5" s="7">
        <f t="shared" si="6"/>
        <v>464.82082191780819</v>
      </c>
      <c r="IM5" s="7">
        <f t="shared" si="6"/>
        <v>379.9101628298709</v>
      </c>
      <c r="IN5" s="7">
        <f t="shared" si="6"/>
        <v>309.77787729511869</v>
      </c>
      <c r="IO5" s="7">
        <f t="shared" si="6"/>
        <v>314.22533240027997</v>
      </c>
      <c r="IP5" s="7">
        <f t="shared" si="6"/>
        <v>349.15040034624542</v>
      </c>
      <c r="IQ5" s="7">
        <f t="shared" si="6"/>
        <v>473.93636363636364</v>
      </c>
      <c r="IR5" s="7">
        <f t="shared" si="6"/>
        <v>290.43813192103988</v>
      </c>
      <c r="IS5" s="7">
        <f t="shared" si="6"/>
        <v>222.44387755102036</v>
      </c>
      <c r="IT5" s="7">
        <f t="shared" si="6"/>
        <v>402.31423653798862</v>
      </c>
      <c r="IU5" s="7">
        <f t="shared" si="6"/>
        <v>347.55094157411878</v>
      </c>
      <c r="IV5" s="7">
        <f t="shared" si="6"/>
        <v>403.82142857142856</v>
      </c>
      <c r="IW5" s="7">
        <f t="shared" si="6"/>
        <v>324.20064724919092</v>
      </c>
      <c r="IX5" s="7">
        <f t="shared" si="6"/>
        <v>618.17777777777781</v>
      </c>
      <c r="IY5" s="7">
        <f t="shared" si="6"/>
        <v>490.09677419354847</v>
      </c>
      <c r="IZ5" s="7">
        <f t="shared" si="6"/>
        <v>365.13660062565168</v>
      </c>
      <c r="JA5" s="7">
        <f t="shared" si="6"/>
        <v>341.22083238571753</v>
      </c>
      <c r="JB5" s="7">
        <f t="shared" si="6"/>
        <v>378.05986394557823</v>
      </c>
      <c r="JC5" s="7">
        <f t="shared" si="6"/>
        <v>402.87134757959006</v>
      </c>
      <c r="JD5" s="7">
        <f t="shared" si="6"/>
        <v>451.38804990151016</v>
      </c>
      <c r="JE5" s="7">
        <f t="shared" si="6"/>
        <v>488.68139700641473</v>
      </c>
      <c r="JF5" s="7">
        <f t="shared" si="6"/>
        <v>354.62518089725035</v>
      </c>
      <c r="JG5" s="7">
        <f t="shared" si="6"/>
        <v>396.6829931972789</v>
      </c>
      <c r="JH5" s="7">
        <f t="shared" si="6"/>
        <v>458.43820695433601</v>
      </c>
      <c r="JI5" s="7">
        <f t="shared" si="6"/>
        <v>427.80513656746837</v>
      </c>
      <c r="JJ5" s="7">
        <f t="shared" si="6"/>
        <v>332.33046627433225</v>
      </c>
      <c r="JK5" s="7">
        <f t="shared" si="6"/>
        <v>437.69876543209875</v>
      </c>
      <c r="JL5" s="7">
        <f t="shared" si="6"/>
        <v>641.1925925925924</v>
      </c>
      <c r="JM5" s="7">
        <f t="shared" si="6"/>
        <v>401.17688022284119</v>
      </c>
      <c r="JN5" s="47">
        <f>+JN4/JN3</f>
        <v>481.76790123456789</v>
      </c>
      <c r="JO5" s="47">
        <f t="shared" ref="JO5:LZ5" si="7">+JO4/JO3</f>
        <v>344.89687292082499</v>
      </c>
      <c r="JP5" s="47">
        <f t="shared" si="7"/>
        <v>291.70099009900986</v>
      </c>
      <c r="JQ5" s="47">
        <f t="shared" si="7"/>
        <v>484.37673130193906</v>
      </c>
      <c r="JR5" s="47">
        <f t="shared" si="7"/>
        <v>456.95732298739091</v>
      </c>
      <c r="JS5" s="47">
        <f t="shared" si="7"/>
        <v>633.58435207823959</v>
      </c>
      <c r="JT5" s="47">
        <f t="shared" si="7"/>
        <v>265.78565921356977</v>
      </c>
      <c r="JU5" s="47">
        <f t="shared" si="7"/>
        <v>448.72131147540983</v>
      </c>
      <c r="JV5" s="47">
        <f t="shared" si="7"/>
        <v>421.63613550815558</v>
      </c>
      <c r="JW5" s="47">
        <f t="shared" si="7"/>
        <v>312.94164668265387</v>
      </c>
      <c r="JX5" s="47">
        <f t="shared" si="7"/>
        <v>347.14067207415991</v>
      </c>
      <c r="JY5" s="47">
        <f t="shared" si="7"/>
        <v>306.96801307494746</v>
      </c>
      <c r="JZ5" s="47">
        <f t="shared" si="7"/>
        <v>242.54598433800766</v>
      </c>
      <c r="KA5" s="47">
        <f t="shared" si="7"/>
        <v>218.2070963070239</v>
      </c>
      <c r="KB5" s="47">
        <f t="shared" si="7"/>
        <v>315.43564356435644</v>
      </c>
      <c r="KC5" s="47">
        <f t="shared" si="7"/>
        <v>180.88418079096044</v>
      </c>
      <c r="KD5" s="47">
        <f t="shared" si="7"/>
        <v>325.6251572327044</v>
      </c>
      <c r="KE5" s="47">
        <f t="shared" si="7"/>
        <v>426.61295801989814</v>
      </c>
      <c r="KF5" s="47">
        <f t="shared" si="7"/>
        <v>418.9380053908356</v>
      </c>
      <c r="KG5" s="47">
        <f t="shared" si="7"/>
        <v>394.83019867549672</v>
      </c>
      <c r="KH5" s="47">
        <f t="shared" si="7"/>
        <v>456.74452554744528</v>
      </c>
      <c r="KI5" s="47">
        <f t="shared" si="7"/>
        <v>523.40313111545981</v>
      </c>
      <c r="KJ5" s="47">
        <f t="shared" si="7"/>
        <v>537.17354437535334</v>
      </c>
      <c r="KK5" s="47">
        <f t="shared" si="7"/>
        <v>437.0553672316384</v>
      </c>
      <c r="KL5" s="47">
        <f t="shared" si="7"/>
        <v>439.16972205795389</v>
      </c>
      <c r="KM5" s="47">
        <f t="shared" si="7"/>
        <v>366.44567219152856</v>
      </c>
      <c r="KN5" s="47">
        <f t="shared" si="7"/>
        <v>421.6444444444445</v>
      </c>
      <c r="KO5" s="47">
        <f t="shared" si="7"/>
        <v>415.46481665014863</v>
      </c>
      <c r="KP5" s="47">
        <f t="shared" si="7"/>
        <v>398.35359959297892</v>
      </c>
      <c r="KQ5" s="47">
        <f t="shared" si="7"/>
        <v>351.43165467625897</v>
      </c>
      <c r="KR5" s="47">
        <f t="shared" si="7"/>
        <v>217.53059465670785</v>
      </c>
      <c r="KS5" s="47">
        <f t="shared" si="7"/>
        <v>378.92560272149086</v>
      </c>
      <c r="KT5" s="47">
        <f t="shared" si="7"/>
        <v>299.81648351648352</v>
      </c>
      <c r="KU5" s="47">
        <f t="shared" si="7"/>
        <v>303.0795126240422</v>
      </c>
      <c r="KV5" s="47">
        <f t="shared" si="7"/>
        <v>500.74920634920636</v>
      </c>
      <c r="KW5" s="47">
        <f t="shared" si="7"/>
        <v>250.04166666666666</v>
      </c>
      <c r="KX5" s="47">
        <f t="shared" si="7"/>
        <v>252.96382275692616</v>
      </c>
      <c r="KY5" s="47">
        <f t="shared" si="7"/>
        <v>216.25911458333334</v>
      </c>
      <c r="KZ5" s="47">
        <f t="shared" si="7"/>
        <v>226.42078364565586</v>
      </c>
      <c r="LA5" s="47">
        <f t="shared" si="7"/>
        <v>287.49622343228532</v>
      </c>
      <c r="LB5" s="47">
        <f t="shared" si="7"/>
        <v>292.98050139275767</v>
      </c>
      <c r="LC5" s="47">
        <f t="shared" si="7"/>
        <v>215.64010743061775</v>
      </c>
      <c r="LD5" s="47">
        <f t="shared" si="7"/>
        <v>111.33475177304965</v>
      </c>
      <c r="LE5" s="47">
        <f t="shared" si="7"/>
        <v>225.35532646048105</v>
      </c>
      <c r="LF5" s="47">
        <f t="shared" si="7"/>
        <v>207.60436011303997</v>
      </c>
      <c r="LG5" s="47">
        <f t="shared" si="7"/>
        <v>205.40158730158731</v>
      </c>
      <c r="LH5" s="47">
        <f t="shared" si="7"/>
        <v>165.7391304347826</v>
      </c>
      <c r="LI5" s="47">
        <f t="shared" si="7"/>
        <v>291.50077519379846</v>
      </c>
      <c r="LJ5" s="47">
        <f t="shared" si="7"/>
        <v>202.45538461538462</v>
      </c>
      <c r="LK5" s="47">
        <f t="shared" si="7"/>
        <v>244.56050955414014</v>
      </c>
      <c r="LL5" s="47">
        <f t="shared" si="7"/>
        <v>199.2480053938645</v>
      </c>
      <c r="LM5" s="47">
        <f t="shared" si="7"/>
        <v>319.47779527559055</v>
      </c>
      <c r="LN5" s="47">
        <f t="shared" si="7"/>
        <v>245.85625913845462</v>
      </c>
      <c r="LO5" s="47">
        <f t="shared" si="7"/>
        <v>176.17763214624472</v>
      </c>
      <c r="LP5" s="47">
        <f t="shared" si="7"/>
        <v>280.2344201403219</v>
      </c>
      <c r="LQ5" s="47">
        <f t="shared" si="7"/>
        <v>313.97333333333336</v>
      </c>
      <c r="LR5" s="47">
        <f t="shared" si="7"/>
        <v>130.14726550565231</v>
      </c>
      <c r="LS5" s="47">
        <f t="shared" si="7"/>
        <v>295.90561737498325</v>
      </c>
      <c r="LT5" s="47">
        <f t="shared" si="7"/>
        <v>297.01611264334451</v>
      </c>
      <c r="LU5" s="47">
        <f t="shared" si="7"/>
        <v>190.74267038354319</v>
      </c>
      <c r="LV5" s="47">
        <f t="shared" si="7"/>
        <v>180.55045871559633</v>
      </c>
      <c r="LW5" s="47">
        <f t="shared" si="7"/>
        <v>218.86222222222221</v>
      </c>
      <c r="LX5" s="47">
        <f t="shared" si="7"/>
        <v>378.15821501014204</v>
      </c>
      <c r="LY5" s="47">
        <f t="shared" si="7"/>
        <v>172.65747078024637</v>
      </c>
      <c r="LZ5" s="47">
        <f t="shared" si="7"/>
        <v>260.9980582524272</v>
      </c>
      <c r="MA5" s="47">
        <f t="shared" ref="MA5:NC5" si="8">+MA4/MA3</f>
        <v>280.16987259555333</v>
      </c>
      <c r="MB5" s="47">
        <f t="shared" si="8"/>
        <v>254.18378657043436</v>
      </c>
      <c r="MC5" s="47">
        <f t="shared" si="8"/>
        <v>278.98930557535999</v>
      </c>
      <c r="MD5" s="47">
        <f t="shared" si="8"/>
        <v>210.69610389610389</v>
      </c>
      <c r="ME5" s="47">
        <f t="shared" si="8"/>
        <v>323.677734375</v>
      </c>
      <c r="MF5" s="47">
        <f t="shared" si="8"/>
        <v>375.73894736842107</v>
      </c>
      <c r="MG5" s="47">
        <f t="shared" si="8"/>
        <v>543.46696157036206</v>
      </c>
      <c r="MH5" s="47">
        <f t="shared" si="8"/>
        <v>576.16250000000002</v>
      </c>
      <c r="MI5" s="47">
        <f t="shared" si="8"/>
        <v>468.97038372392473</v>
      </c>
      <c r="MJ5" s="47">
        <f t="shared" si="8"/>
        <v>385.69708890637287</v>
      </c>
      <c r="MK5" s="47">
        <f t="shared" si="8"/>
        <v>478.68599033816423</v>
      </c>
      <c r="ML5" s="47">
        <f t="shared" si="8"/>
        <v>328.06376811594203</v>
      </c>
      <c r="MM5" s="47">
        <f t="shared" si="8"/>
        <v>443.79581151832463</v>
      </c>
      <c r="MN5" s="47">
        <f t="shared" si="8"/>
        <v>637.47777777777776</v>
      </c>
      <c r="MO5" s="47">
        <f t="shared" si="8"/>
        <v>460.86694101508914</v>
      </c>
      <c r="MP5" s="47">
        <f t="shared" si="8"/>
        <v>463.99401197604783</v>
      </c>
      <c r="MQ5" s="47">
        <f t="shared" si="8"/>
        <v>353.61099656357391</v>
      </c>
      <c r="MR5" s="47">
        <f t="shared" si="8"/>
        <v>492.45333333333332</v>
      </c>
      <c r="MS5" s="47">
        <f t="shared" si="8"/>
        <v>142.86701372456224</v>
      </c>
      <c r="MT5" s="47">
        <f t="shared" si="8"/>
        <v>219.98400000000001</v>
      </c>
      <c r="MU5" s="47">
        <f t="shared" si="8"/>
        <v>479.17484276729562</v>
      </c>
      <c r="MV5" s="47">
        <f t="shared" si="8"/>
        <v>413.32145816072915</v>
      </c>
      <c r="MW5" s="47">
        <f t="shared" si="8"/>
        <v>427.4011818778726</v>
      </c>
      <c r="MX5" s="47">
        <f t="shared" si="8"/>
        <v>378.90988435522576</v>
      </c>
      <c r="MY5" s="47">
        <f t="shared" si="8"/>
        <v>413.01333333333332</v>
      </c>
      <c r="MZ5" s="47">
        <f t="shared" si="8"/>
        <v>294.3667755482968</v>
      </c>
      <c r="NA5" s="47">
        <f t="shared" si="8"/>
        <v>290.05066666666664</v>
      </c>
      <c r="NB5" s="47">
        <f t="shared" si="8"/>
        <v>404.73515466245203</v>
      </c>
      <c r="NC5" s="47">
        <f t="shared" si="8"/>
        <v>365.11627906976742</v>
      </c>
    </row>
    <row r="6" spans="1:371">
      <c r="ED6" s="46"/>
      <c r="EE6" s="46"/>
      <c r="EF6" s="46"/>
      <c r="EG6" s="46"/>
      <c r="EH6" s="46"/>
      <c r="EI6" s="46"/>
      <c r="EJ6" s="46"/>
      <c r="GO6" s="46"/>
      <c r="GP6" s="46"/>
      <c r="GQ6" s="46"/>
      <c r="GR6" s="46"/>
      <c r="GS6" s="46"/>
      <c r="GT6" s="46"/>
      <c r="GU6" s="46"/>
      <c r="HC6" s="46"/>
      <c r="HD6" s="46"/>
      <c r="HE6" s="46"/>
      <c r="HF6" s="46"/>
      <c r="HG6" s="46"/>
      <c r="HH6" s="46"/>
      <c r="HI6" s="46"/>
      <c r="LD6" s="20"/>
      <c r="LE6" s="20"/>
      <c r="LF6" s="20"/>
      <c r="LG6" s="20"/>
      <c r="LH6" s="20"/>
      <c r="LI6" s="20"/>
      <c r="LJ6" s="20"/>
      <c r="LY6" s="20"/>
      <c r="MF6" s="20"/>
      <c r="MG6" s="20"/>
      <c r="MH6" s="20"/>
      <c r="MI6" s="20"/>
      <c r="MJ6" s="20"/>
      <c r="MK6" s="20"/>
      <c r="MM6" s="20"/>
      <c r="MT6" s="20"/>
    </row>
    <row r="7" spans="1:371">
      <c r="A7" s="10" t="s">
        <v>57</v>
      </c>
      <c r="B7" s="10" t="s">
        <v>56</v>
      </c>
      <c r="C7" s="11">
        <v>46023</v>
      </c>
      <c r="D7" s="11">
        <f>+C7+1</f>
        <v>46024</v>
      </c>
      <c r="E7" s="11">
        <f t="shared" ref="E7:BP7" si="9">+D7+1</f>
        <v>46025</v>
      </c>
      <c r="F7" s="11">
        <f t="shared" si="9"/>
        <v>46026</v>
      </c>
      <c r="G7" s="11">
        <f t="shared" si="9"/>
        <v>46027</v>
      </c>
      <c r="H7" s="11">
        <f t="shared" si="9"/>
        <v>46028</v>
      </c>
      <c r="I7" s="11">
        <f t="shared" si="9"/>
        <v>46029</v>
      </c>
      <c r="J7" s="11">
        <f t="shared" si="9"/>
        <v>46030</v>
      </c>
      <c r="K7" s="11">
        <f t="shared" si="9"/>
        <v>46031</v>
      </c>
      <c r="L7" s="11">
        <f t="shared" si="9"/>
        <v>46032</v>
      </c>
      <c r="M7" s="11">
        <f t="shared" si="9"/>
        <v>46033</v>
      </c>
      <c r="N7" s="11">
        <f t="shared" si="9"/>
        <v>46034</v>
      </c>
      <c r="O7" s="11">
        <f t="shared" si="9"/>
        <v>46035</v>
      </c>
      <c r="P7" s="11">
        <f t="shared" si="9"/>
        <v>46036</v>
      </c>
      <c r="Q7" s="11">
        <f t="shared" si="9"/>
        <v>46037</v>
      </c>
      <c r="R7" s="11">
        <f t="shared" si="9"/>
        <v>46038</v>
      </c>
      <c r="S7" s="11">
        <f t="shared" si="9"/>
        <v>46039</v>
      </c>
      <c r="T7" s="11">
        <f t="shared" si="9"/>
        <v>46040</v>
      </c>
      <c r="U7" s="11">
        <f t="shared" si="9"/>
        <v>46041</v>
      </c>
      <c r="V7" s="11">
        <f t="shared" si="9"/>
        <v>46042</v>
      </c>
      <c r="W7" s="11">
        <f t="shared" si="9"/>
        <v>46043</v>
      </c>
      <c r="X7" s="11">
        <f t="shared" si="9"/>
        <v>46044</v>
      </c>
      <c r="Y7" s="11">
        <f t="shared" si="9"/>
        <v>46045</v>
      </c>
      <c r="Z7" s="11">
        <f t="shared" si="9"/>
        <v>46046</v>
      </c>
      <c r="AA7" s="11">
        <f t="shared" si="9"/>
        <v>46047</v>
      </c>
      <c r="AB7" s="11">
        <f t="shared" si="9"/>
        <v>46048</v>
      </c>
      <c r="AC7" s="11">
        <f t="shared" si="9"/>
        <v>46049</v>
      </c>
      <c r="AD7" s="11">
        <f t="shared" si="9"/>
        <v>46050</v>
      </c>
      <c r="AE7" s="11">
        <f t="shared" si="9"/>
        <v>46051</v>
      </c>
      <c r="AF7" s="11">
        <f t="shared" si="9"/>
        <v>46052</v>
      </c>
      <c r="AG7" s="11">
        <f t="shared" si="9"/>
        <v>46053</v>
      </c>
      <c r="AH7" s="11">
        <f t="shared" si="9"/>
        <v>46054</v>
      </c>
      <c r="AI7" s="11">
        <f t="shared" si="9"/>
        <v>46055</v>
      </c>
      <c r="AJ7" s="11">
        <f t="shared" si="9"/>
        <v>46056</v>
      </c>
      <c r="AK7" s="11">
        <f t="shared" si="9"/>
        <v>46057</v>
      </c>
      <c r="AL7" s="11">
        <f t="shared" si="9"/>
        <v>46058</v>
      </c>
      <c r="AM7" s="11">
        <f t="shared" si="9"/>
        <v>46059</v>
      </c>
      <c r="AN7" s="11">
        <f t="shared" si="9"/>
        <v>46060</v>
      </c>
      <c r="AO7" s="11">
        <f t="shared" si="9"/>
        <v>46061</v>
      </c>
      <c r="AP7" s="11">
        <f t="shared" si="9"/>
        <v>46062</v>
      </c>
      <c r="AQ7" s="11">
        <f t="shared" si="9"/>
        <v>46063</v>
      </c>
      <c r="AR7" s="11">
        <f t="shared" si="9"/>
        <v>46064</v>
      </c>
      <c r="AS7" s="11">
        <f t="shared" si="9"/>
        <v>46065</v>
      </c>
      <c r="AT7" s="11">
        <f t="shared" si="9"/>
        <v>46066</v>
      </c>
      <c r="AU7" s="11">
        <f t="shared" si="9"/>
        <v>46067</v>
      </c>
      <c r="AV7" s="11">
        <f t="shared" si="9"/>
        <v>46068</v>
      </c>
      <c r="AW7" s="11">
        <f t="shared" si="9"/>
        <v>46069</v>
      </c>
      <c r="AX7" s="11">
        <f t="shared" si="9"/>
        <v>46070</v>
      </c>
      <c r="AY7" s="11">
        <f t="shared" si="9"/>
        <v>46071</v>
      </c>
      <c r="AZ7" s="11">
        <f t="shared" si="9"/>
        <v>46072</v>
      </c>
      <c r="BA7" s="11">
        <f t="shared" si="9"/>
        <v>46073</v>
      </c>
      <c r="BB7" s="11">
        <f t="shared" si="9"/>
        <v>46074</v>
      </c>
      <c r="BC7" s="11">
        <f t="shared" si="9"/>
        <v>46075</v>
      </c>
      <c r="BD7" s="11">
        <f t="shared" si="9"/>
        <v>46076</v>
      </c>
      <c r="BE7" s="11">
        <f t="shared" si="9"/>
        <v>46077</v>
      </c>
      <c r="BF7" s="11">
        <f t="shared" si="9"/>
        <v>46078</v>
      </c>
      <c r="BG7" s="11">
        <f t="shared" si="9"/>
        <v>46079</v>
      </c>
      <c r="BH7" s="11">
        <f t="shared" si="9"/>
        <v>46080</v>
      </c>
      <c r="BI7" s="11">
        <f t="shared" si="9"/>
        <v>46081</v>
      </c>
      <c r="BJ7" s="11">
        <f t="shared" si="9"/>
        <v>46082</v>
      </c>
      <c r="BK7" s="11">
        <f t="shared" si="9"/>
        <v>46083</v>
      </c>
      <c r="BL7" s="11">
        <f t="shared" si="9"/>
        <v>46084</v>
      </c>
      <c r="BM7" s="11">
        <f t="shared" si="9"/>
        <v>46085</v>
      </c>
      <c r="BN7" s="11">
        <f t="shared" si="9"/>
        <v>46086</v>
      </c>
      <c r="BO7" s="11">
        <f t="shared" si="9"/>
        <v>46087</v>
      </c>
      <c r="BP7" s="11">
        <f t="shared" si="9"/>
        <v>46088</v>
      </c>
      <c r="BQ7" s="11">
        <f t="shared" ref="BQ7:EB7" si="10">+BP7+1</f>
        <v>46089</v>
      </c>
      <c r="BR7" s="11">
        <f t="shared" si="10"/>
        <v>46090</v>
      </c>
      <c r="BS7" s="11">
        <f t="shared" si="10"/>
        <v>46091</v>
      </c>
      <c r="BT7" s="11">
        <f t="shared" si="10"/>
        <v>46092</v>
      </c>
      <c r="BU7" s="11">
        <f t="shared" si="10"/>
        <v>46093</v>
      </c>
      <c r="BV7" s="11">
        <f t="shared" si="10"/>
        <v>46094</v>
      </c>
      <c r="BW7" s="11">
        <f t="shared" si="10"/>
        <v>46095</v>
      </c>
      <c r="BX7" s="11">
        <f t="shared" si="10"/>
        <v>46096</v>
      </c>
      <c r="BY7" s="11">
        <f t="shared" si="10"/>
        <v>46097</v>
      </c>
      <c r="BZ7" s="11">
        <f t="shared" si="10"/>
        <v>46098</v>
      </c>
      <c r="CA7" s="11">
        <f t="shared" si="10"/>
        <v>46099</v>
      </c>
      <c r="CB7" s="11">
        <f t="shared" si="10"/>
        <v>46100</v>
      </c>
      <c r="CC7" s="11">
        <f t="shared" si="10"/>
        <v>46101</v>
      </c>
      <c r="CD7" s="11">
        <f t="shared" si="10"/>
        <v>46102</v>
      </c>
      <c r="CE7" s="11">
        <f t="shared" si="10"/>
        <v>46103</v>
      </c>
      <c r="CF7" s="11">
        <f t="shared" si="10"/>
        <v>46104</v>
      </c>
      <c r="CG7" s="11">
        <f t="shared" si="10"/>
        <v>46105</v>
      </c>
      <c r="CH7" s="11">
        <f t="shared" si="10"/>
        <v>46106</v>
      </c>
      <c r="CI7" s="11">
        <f t="shared" si="10"/>
        <v>46107</v>
      </c>
      <c r="CJ7" s="11">
        <f t="shared" si="10"/>
        <v>46108</v>
      </c>
      <c r="CK7" s="11">
        <f t="shared" si="10"/>
        <v>46109</v>
      </c>
      <c r="CL7" s="11">
        <f t="shared" si="10"/>
        <v>46110</v>
      </c>
      <c r="CM7" s="11">
        <f t="shared" si="10"/>
        <v>46111</v>
      </c>
      <c r="CN7" s="11">
        <f t="shared" si="10"/>
        <v>46112</v>
      </c>
      <c r="CO7" s="11">
        <f t="shared" si="10"/>
        <v>46113</v>
      </c>
      <c r="CP7" s="11">
        <f t="shared" si="10"/>
        <v>46114</v>
      </c>
      <c r="CQ7" s="11">
        <f t="shared" si="10"/>
        <v>46115</v>
      </c>
      <c r="CR7" s="11">
        <f t="shared" si="10"/>
        <v>46116</v>
      </c>
      <c r="CS7" s="11">
        <f t="shared" si="10"/>
        <v>46117</v>
      </c>
      <c r="CT7" s="11">
        <f t="shared" si="10"/>
        <v>46118</v>
      </c>
      <c r="CU7" s="11">
        <f t="shared" si="10"/>
        <v>46119</v>
      </c>
      <c r="CV7" s="11">
        <f t="shared" si="10"/>
        <v>46120</v>
      </c>
      <c r="CW7" s="11">
        <f t="shared" si="10"/>
        <v>46121</v>
      </c>
      <c r="CX7" s="11">
        <f t="shared" si="10"/>
        <v>46122</v>
      </c>
      <c r="CY7" s="11">
        <f t="shared" si="10"/>
        <v>46123</v>
      </c>
      <c r="CZ7" s="11">
        <f t="shared" si="10"/>
        <v>46124</v>
      </c>
      <c r="DA7" s="11">
        <f t="shared" si="10"/>
        <v>46125</v>
      </c>
      <c r="DB7" s="11">
        <f t="shared" si="10"/>
        <v>46126</v>
      </c>
      <c r="DC7" s="11">
        <f t="shared" si="10"/>
        <v>46127</v>
      </c>
      <c r="DD7" s="11">
        <f t="shared" si="10"/>
        <v>46128</v>
      </c>
      <c r="DE7" s="11">
        <f t="shared" si="10"/>
        <v>46129</v>
      </c>
      <c r="DF7" s="11">
        <f t="shared" si="10"/>
        <v>46130</v>
      </c>
      <c r="DG7" s="11">
        <f t="shared" si="10"/>
        <v>46131</v>
      </c>
      <c r="DH7" s="11">
        <f t="shared" si="10"/>
        <v>46132</v>
      </c>
      <c r="DI7" s="11">
        <f t="shared" si="10"/>
        <v>46133</v>
      </c>
      <c r="DJ7" s="11">
        <f t="shared" si="10"/>
        <v>46134</v>
      </c>
      <c r="DK7" s="11">
        <f t="shared" si="10"/>
        <v>46135</v>
      </c>
      <c r="DL7" s="11">
        <f t="shared" si="10"/>
        <v>46136</v>
      </c>
      <c r="DM7" s="11">
        <f t="shared" si="10"/>
        <v>46137</v>
      </c>
      <c r="DN7" s="11">
        <f t="shared" si="10"/>
        <v>46138</v>
      </c>
      <c r="DO7" s="11">
        <f t="shared" si="10"/>
        <v>46139</v>
      </c>
      <c r="DP7" s="11">
        <f t="shared" si="10"/>
        <v>46140</v>
      </c>
      <c r="DQ7" s="11">
        <f t="shared" si="10"/>
        <v>46141</v>
      </c>
      <c r="DR7" s="11">
        <f t="shared" si="10"/>
        <v>46142</v>
      </c>
      <c r="DS7" s="11">
        <f t="shared" si="10"/>
        <v>46143</v>
      </c>
      <c r="DT7" s="11">
        <f t="shared" si="10"/>
        <v>46144</v>
      </c>
      <c r="DU7" s="11">
        <f t="shared" si="10"/>
        <v>46145</v>
      </c>
      <c r="DV7" s="11">
        <f t="shared" si="10"/>
        <v>46146</v>
      </c>
      <c r="DW7" s="11">
        <f t="shared" si="10"/>
        <v>46147</v>
      </c>
      <c r="DX7" s="11">
        <f t="shared" si="10"/>
        <v>46148</v>
      </c>
      <c r="DY7" s="11">
        <f t="shared" si="10"/>
        <v>46149</v>
      </c>
      <c r="DZ7" s="11">
        <f t="shared" si="10"/>
        <v>46150</v>
      </c>
      <c r="EA7" s="11">
        <f t="shared" si="10"/>
        <v>46151</v>
      </c>
      <c r="EB7" s="11">
        <f t="shared" si="10"/>
        <v>46152</v>
      </c>
      <c r="EC7" s="11">
        <f t="shared" ref="EC7:GN7" si="11">+EB7+1</f>
        <v>46153</v>
      </c>
      <c r="ED7" s="11">
        <f t="shared" si="11"/>
        <v>46154</v>
      </c>
      <c r="EE7" s="11">
        <f t="shared" si="11"/>
        <v>46155</v>
      </c>
      <c r="EF7" s="11">
        <f t="shared" si="11"/>
        <v>46156</v>
      </c>
      <c r="EG7" s="11">
        <f t="shared" si="11"/>
        <v>46157</v>
      </c>
      <c r="EH7" s="11">
        <f t="shared" si="11"/>
        <v>46158</v>
      </c>
      <c r="EI7" s="11">
        <f t="shared" si="11"/>
        <v>46159</v>
      </c>
      <c r="EJ7" s="11">
        <f t="shared" si="11"/>
        <v>46160</v>
      </c>
      <c r="EK7" s="11">
        <f t="shared" si="11"/>
        <v>46161</v>
      </c>
      <c r="EL7" s="11">
        <f t="shared" si="11"/>
        <v>46162</v>
      </c>
      <c r="EM7" s="11">
        <f t="shared" si="11"/>
        <v>46163</v>
      </c>
      <c r="EN7" s="11">
        <f t="shared" si="11"/>
        <v>46164</v>
      </c>
      <c r="EO7" s="11">
        <f t="shared" si="11"/>
        <v>46165</v>
      </c>
      <c r="EP7" s="11">
        <f t="shared" si="11"/>
        <v>46166</v>
      </c>
      <c r="EQ7" s="11">
        <f t="shared" si="11"/>
        <v>46167</v>
      </c>
      <c r="ER7" s="11">
        <f t="shared" si="11"/>
        <v>46168</v>
      </c>
      <c r="ES7" s="11">
        <f t="shared" si="11"/>
        <v>46169</v>
      </c>
      <c r="ET7" s="11">
        <f t="shared" si="11"/>
        <v>46170</v>
      </c>
      <c r="EU7" s="11">
        <f t="shared" si="11"/>
        <v>46171</v>
      </c>
      <c r="EV7" s="11">
        <f t="shared" si="11"/>
        <v>46172</v>
      </c>
      <c r="EW7" s="11">
        <f t="shared" si="11"/>
        <v>46173</v>
      </c>
      <c r="EX7" s="11">
        <f t="shared" si="11"/>
        <v>46174</v>
      </c>
      <c r="EY7" s="11">
        <f t="shared" si="11"/>
        <v>46175</v>
      </c>
      <c r="EZ7" s="11">
        <f t="shared" si="11"/>
        <v>46176</v>
      </c>
      <c r="FA7" s="11">
        <f t="shared" si="11"/>
        <v>46177</v>
      </c>
      <c r="FB7" s="11">
        <f t="shared" si="11"/>
        <v>46178</v>
      </c>
      <c r="FC7" s="11">
        <f t="shared" si="11"/>
        <v>46179</v>
      </c>
      <c r="FD7" s="11">
        <f t="shared" si="11"/>
        <v>46180</v>
      </c>
      <c r="FE7" s="11">
        <f t="shared" si="11"/>
        <v>46181</v>
      </c>
      <c r="FF7" s="11">
        <f t="shared" si="11"/>
        <v>46182</v>
      </c>
      <c r="FG7" s="11">
        <f t="shared" si="11"/>
        <v>46183</v>
      </c>
      <c r="FH7" s="11">
        <f t="shared" si="11"/>
        <v>46184</v>
      </c>
      <c r="FI7" s="11">
        <f t="shared" si="11"/>
        <v>46185</v>
      </c>
      <c r="FJ7" s="11">
        <f t="shared" si="11"/>
        <v>46186</v>
      </c>
      <c r="FK7" s="11">
        <f t="shared" si="11"/>
        <v>46187</v>
      </c>
      <c r="FL7" s="11">
        <f t="shared" si="11"/>
        <v>46188</v>
      </c>
      <c r="FM7" s="11">
        <f t="shared" si="11"/>
        <v>46189</v>
      </c>
      <c r="FN7" s="11">
        <f t="shared" si="11"/>
        <v>46190</v>
      </c>
      <c r="FO7" s="11">
        <f t="shared" si="11"/>
        <v>46191</v>
      </c>
      <c r="FP7" s="11">
        <f t="shared" si="11"/>
        <v>46192</v>
      </c>
      <c r="FQ7" s="11">
        <f t="shared" si="11"/>
        <v>46193</v>
      </c>
      <c r="FR7" s="11">
        <f t="shared" si="11"/>
        <v>46194</v>
      </c>
      <c r="FS7" s="11">
        <f t="shared" si="11"/>
        <v>46195</v>
      </c>
      <c r="FT7" s="11">
        <f t="shared" si="11"/>
        <v>46196</v>
      </c>
      <c r="FU7" s="11">
        <f t="shared" si="11"/>
        <v>46197</v>
      </c>
      <c r="FV7" s="11">
        <f t="shared" si="11"/>
        <v>46198</v>
      </c>
      <c r="FW7" s="11">
        <f t="shared" si="11"/>
        <v>46199</v>
      </c>
      <c r="FX7" s="11">
        <f t="shared" si="11"/>
        <v>46200</v>
      </c>
      <c r="FY7" s="11">
        <f t="shared" si="11"/>
        <v>46201</v>
      </c>
      <c r="FZ7" s="11">
        <f t="shared" si="11"/>
        <v>46202</v>
      </c>
      <c r="GA7" s="11">
        <f t="shared" si="11"/>
        <v>46203</v>
      </c>
      <c r="GB7" s="11">
        <f t="shared" si="11"/>
        <v>46204</v>
      </c>
      <c r="GC7" s="11">
        <f t="shared" si="11"/>
        <v>46205</v>
      </c>
      <c r="GD7" s="11">
        <f t="shared" si="11"/>
        <v>46206</v>
      </c>
      <c r="GE7" s="11">
        <f t="shared" si="11"/>
        <v>46207</v>
      </c>
      <c r="GF7" s="11">
        <f t="shared" si="11"/>
        <v>46208</v>
      </c>
      <c r="GG7" s="11">
        <f t="shared" si="11"/>
        <v>46209</v>
      </c>
      <c r="GH7" s="11">
        <f t="shared" si="11"/>
        <v>46210</v>
      </c>
      <c r="GI7" s="11">
        <f t="shared" si="11"/>
        <v>46211</v>
      </c>
      <c r="GJ7" s="11">
        <f t="shared" si="11"/>
        <v>46212</v>
      </c>
      <c r="GK7" s="11">
        <f t="shared" si="11"/>
        <v>46213</v>
      </c>
      <c r="GL7" s="11">
        <f t="shared" si="11"/>
        <v>46214</v>
      </c>
      <c r="GM7" s="11">
        <f t="shared" si="11"/>
        <v>46215</v>
      </c>
      <c r="GN7" s="11">
        <f t="shared" si="11"/>
        <v>46216</v>
      </c>
      <c r="GO7" s="11">
        <f t="shared" ref="GO7:IZ7" si="12">+GN7+1</f>
        <v>46217</v>
      </c>
      <c r="GP7" s="11">
        <f t="shared" si="12"/>
        <v>46218</v>
      </c>
      <c r="GQ7" s="11">
        <f t="shared" si="12"/>
        <v>46219</v>
      </c>
      <c r="GR7" s="11">
        <f t="shared" si="12"/>
        <v>46220</v>
      </c>
      <c r="GS7" s="11">
        <f t="shared" si="12"/>
        <v>46221</v>
      </c>
      <c r="GT7" s="11">
        <f t="shared" si="12"/>
        <v>46222</v>
      </c>
      <c r="GU7" s="11">
        <f t="shared" si="12"/>
        <v>46223</v>
      </c>
      <c r="GV7" s="11">
        <f t="shared" si="12"/>
        <v>46224</v>
      </c>
      <c r="GW7" s="11">
        <f t="shared" si="12"/>
        <v>46225</v>
      </c>
      <c r="GX7" s="11">
        <f t="shared" si="12"/>
        <v>46226</v>
      </c>
      <c r="GY7" s="11">
        <f t="shared" si="12"/>
        <v>46227</v>
      </c>
      <c r="GZ7" s="11">
        <f t="shared" si="12"/>
        <v>46228</v>
      </c>
      <c r="HA7" s="11">
        <f t="shared" si="12"/>
        <v>46229</v>
      </c>
      <c r="HB7" s="11">
        <f t="shared" si="12"/>
        <v>46230</v>
      </c>
      <c r="HC7" s="11">
        <f t="shared" si="12"/>
        <v>46231</v>
      </c>
      <c r="HD7" s="11">
        <f t="shared" si="12"/>
        <v>46232</v>
      </c>
      <c r="HE7" s="11">
        <f t="shared" si="12"/>
        <v>46233</v>
      </c>
      <c r="HF7" s="11">
        <f t="shared" si="12"/>
        <v>46234</v>
      </c>
      <c r="HG7" s="11">
        <f t="shared" si="12"/>
        <v>46235</v>
      </c>
      <c r="HH7" s="11">
        <f t="shared" si="12"/>
        <v>46236</v>
      </c>
      <c r="HI7" s="11">
        <f t="shared" si="12"/>
        <v>46237</v>
      </c>
      <c r="HJ7" s="11">
        <f t="shared" si="12"/>
        <v>46238</v>
      </c>
      <c r="HK7" s="11">
        <f t="shared" si="12"/>
        <v>46239</v>
      </c>
      <c r="HL7" s="11">
        <f t="shared" si="12"/>
        <v>46240</v>
      </c>
      <c r="HM7" s="11">
        <f t="shared" si="12"/>
        <v>46241</v>
      </c>
      <c r="HN7" s="11">
        <f t="shared" si="12"/>
        <v>46242</v>
      </c>
      <c r="HO7" s="11">
        <f t="shared" si="12"/>
        <v>46243</v>
      </c>
      <c r="HP7" s="11">
        <f t="shared" si="12"/>
        <v>46244</v>
      </c>
      <c r="HQ7" s="11">
        <f t="shared" si="12"/>
        <v>46245</v>
      </c>
      <c r="HR7" s="11">
        <f t="shared" si="12"/>
        <v>46246</v>
      </c>
      <c r="HS7" s="11">
        <f t="shared" si="12"/>
        <v>46247</v>
      </c>
      <c r="HT7" s="11">
        <f t="shared" si="12"/>
        <v>46248</v>
      </c>
      <c r="HU7" s="11">
        <f t="shared" si="12"/>
        <v>46249</v>
      </c>
      <c r="HV7" s="11">
        <f t="shared" si="12"/>
        <v>46250</v>
      </c>
      <c r="HW7" s="11">
        <f t="shared" si="12"/>
        <v>46251</v>
      </c>
      <c r="HX7" s="11">
        <f t="shared" si="12"/>
        <v>46252</v>
      </c>
      <c r="HY7" s="11">
        <f t="shared" si="12"/>
        <v>46253</v>
      </c>
      <c r="HZ7" s="11">
        <f t="shared" si="12"/>
        <v>46254</v>
      </c>
      <c r="IA7" s="11">
        <f t="shared" si="12"/>
        <v>46255</v>
      </c>
      <c r="IB7" s="11">
        <f t="shared" si="12"/>
        <v>46256</v>
      </c>
      <c r="IC7" s="11">
        <f t="shared" si="12"/>
        <v>46257</v>
      </c>
      <c r="ID7" s="11">
        <f t="shared" si="12"/>
        <v>46258</v>
      </c>
      <c r="IE7" s="11">
        <f t="shared" si="12"/>
        <v>46259</v>
      </c>
      <c r="IF7" s="11">
        <f t="shared" si="12"/>
        <v>46260</v>
      </c>
      <c r="IG7" s="11">
        <f t="shared" si="12"/>
        <v>46261</v>
      </c>
      <c r="IH7" s="11">
        <f t="shared" si="12"/>
        <v>46262</v>
      </c>
      <c r="II7" s="11">
        <f t="shared" si="12"/>
        <v>46263</v>
      </c>
      <c r="IJ7" s="11">
        <f t="shared" si="12"/>
        <v>46264</v>
      </c>
      <c r="IK7" s="11">
        <f t="shared" si="12"/>
        <v>46265</v>
      </c>
      <c r="IL7" s="11">
        <f t="shared" si="12"/>
        <v>46266</v>
      </c>
      <c r="IM7" s="11">
        <f t="shared" si="12"/>
        <v>46267</v>
      </c>
      <c r="IN7" s="11">
        <f t="shared" si="12"/>
        <v>46268</v>
      </c>
      <c r="IO7" s="11">
        <f t="shared" si="12"/>
        <v>46269</v>
      </c>
      <c r="IP7" s="11">
        <f t="shared" si="12"/>
        <v>46270</v>
      </c>
      <c r="IQ7" s="11">
        <f t="shared" si="12"/>
        <v>46271</v>
      </c>
      <c r="IR7" s="11">
        <f t="shared" si="12"/>
        <v>46272</v>
      </c>
      <c r="IS7" s="11">
        <f t="shared" si="12"/>
        <v>46273</v>
      </c>
      <c r="IT7" s="11">
        <f t="shared" si="12"/>
        <v>46274</v>
      </c>
      <c r="IU7" s="11">
        <f t="shared" si="12"/>
        <v>46275</v>
      </c>
      <c r="IV7" s="11">
        <f t="shared" si="12"/>
        <v>46276</v>
      </c>
      <c r="IW7" s="11">
        <f t="shared" si="12"/>
        <v>46277</v>
      </c>
      <c r="IX7" s="11">
        <f t="shared" si="12"/>
        <v>46278</v>
      </c>
      <c r="IY7" s="11">
        <f t="shared" si="12"/>
        <v>46279</v>
      </c>
      <c r="IZ7" s="11">
        <f t="shared" si="12"/>
        <v>46280</v>
      </c>
      <c r="JA7" s="11">
        <f t="shared" ref="JA7:LL7" si="13">+IZ7+1</f>
        <v>46281</v>
      </c>
      <c r="JB7" s="11">
        <f t="shared" si="13"/>
        <v>46282</v>
      </c>
      <c r="JC7" s="11">
        <f t="shared" si="13"/>
        <v>46283</v>
      </c>
      <c r="JD7" s="11">
        <f t="shared" si="13"/>
        <v>46284</v>
      </c>
      <c r="JE7" s="11">
        <f t="shared" si="13"/>
        <v>46285</v>
      </c>
      <c r="JF7" s="11">
        <f t="shared" si="13"/>
        <v>46286</v>
      </c>
      <c r="JG7" s="11">
        <f t="shared" si="13"/>
        <v>46287</v>
      </c>
      <c r="JH7" s="11">
        <f t="shared" si="13"/>
        <v>46288</v>
      </c>
      <c r="JI7" s="11">
        <f t="shared" si="13"/>
        <v>46289</v>
      </c>
      <c r="JJ7" s="11">
        <f t="shared" si="13"/>
        <v>46290</v>
      </c>
      <c r="JK7" s="11">
        <f t="shared" si="13"/>
        <v>46291</v>
      </c>
      <c r="JL7" s="11">
        <f t="shared" si="13"/>
        <v>46292</v>
      </c>
      <c r="JM7" s="11">
        <f t="shared" si="13"/>
        <v>46293</v>
      </c>
      <c r="JN7" s="11">
        <f t="shared" si="13"/>
        <v>46294</v>
      </c>
      <c r="JO7" s="11">
        <f t="shared" si="13"/>
        <v>46295</v>
      </c>
      <c r="JP7" s="11">
        <f t="shared" si="13"/>
        <v>46296</v>
      </c>
      <c r="JQ7" s="11">
        <f t="shared" si="13"/>
        <v>46297</v>
      </c>
      <c r="JR7" s="11">
        <f t="shared" si="13"/>
        <v>46298</v>
      </c>
      <c r="JS7" s="11">
        <f t="shared" si="13"/>
        <v>46299</v>
      </c>
      <c r="JT7" s="11">
        <f t="shared" si="13"/>
        <v>46300</v>
      </c>
      <c r="JU7" s="11">
        <f t="shared" si="13"/>
        <v>46301</v>
      </c>
      <c r="JV7" s="11">
        <f t="shared" si="13"/>
        <v>46302</v>
      </c>
      <c r="JW7" s="11">
        <f t="shared" si="13"/>
        <v>46303</v>
      </c>
      <c r="JX7" s="11">
        <f t="shared" si="13"/>
        <v>46304</v>
      </c>
      <c r="JY7" s="11">
        <f t="shared" si="13"/>
        <v>46305</v>
      </c>
      <c r="JZ7" s="11">
        <f t="shared" si="13"/>
        <v>46306</v>
      </c>
      <c r="KA7" s="11">
        <f t="shared" si="13"/>
        <v>46307</v>
      </c>
      <c r="KB7" s="11">
        <f t="shared" si="13"/>
        <v>46308</v>
      </c>
      <c r="KC7" s="11">
        <f t="shared" si="13"/>
        <v>46309</v>
      </c>
      <c r="KD7" s="11">
        <f t="shared" si="13"/>
        <v>46310</v>
      </c>
      <c r="KE7" s="11">
        <f t="shared" si="13"/>
        <v>46311</v>
      </c>
      <c r="KF7" s="11">
        <f t="shared" si="13"/>
        <v>46312</v>
      </c>
      <c r="KG7" s="11">
        <f t="shared" si="13"/>
        <v>46313</v>
      </c>
      <c r="KH7" s="11">
        <f t="shared" si="13"/>
        <v>46314</v>
      </c>
      <c r="KI7" s="11">
        <f t="shared" si="13"/>
        <v>46315</v>
      </c>
      <c r="KJ7" s="11">
        <f t="shared" si="13"/>
        <v>46316</v>
      </c>
      <c r="KK7" s="11">
        <f t="shared" si="13"/>
        <v>46317</v>
      </c>
      <c r="KL7" s="11">
        <f t="shared" si="13"/>
        <v>46318</v>
      </c>
      <c r="KM7" s="11">
        <f t="shared" si="13"/>
        <v>46319</v>
      </c>
      <c r="KN7" s="11">
        <f t="shared" si="13"/>
        <v>46320</v>
      </c>
      <c r="KO7" s="11">
        <f t="shared" si="13"/>
        <v>46321</v>
      </c>
      <c r="KP7" s="11">
        <f t="shared" si="13"/>
        <v>46322</v>
      </c>
      <c r="KQ7" s="11">
        <f t="shared" si="13"/>
        <v>46323</v>
      </c>
      <c r="KR7" s="11">
        <f t="shared" si="13"/>
        <v>46324</v>
      </c>
      <c r="KS7" s="11">
        <f t="shared" si="13"/>
        <v>46325</v>
      </c>
      <c r="KT7" s="11">
        <f t="shared" si="13"/>
        <v>46326</v>
      </c>
      <c r="KU7" s="11">
        <f t="shared" si="13"/>
        <v>46327</v>
      </c>
      <c r="KV7" s="11">
        <f t="shared" si="13"/>
        <v>46328</v>
      </c>
      <c r="KW7" s="11">
        <f t="shared" si="13"/>
        <v>46329</v>
      </c>
      <c r="KX7" s="11">
        <f t="shared" si="13"/>
        <v>46330</v>
      </c>
      <c r="KY7" s="11">
        <f t="shared" si="13"/>
        <v>46331</v>
      </c>
      <c r="KZ7" s="11">
        <f t="shared" si="13"/>
        <v>46332</v>
      </c>
      <c r="LA7" s="11">
        <f t="shared" si="13"/>
        <v>46333</v>
      </c>
      <c r="LB7" s="11">
        <f t="shared" si="13"/>
        <v>46334</v>
      </c>
      <c r="LC7" s="11">
        <f t="shared" si="13"/>
        <v>46335</v>
      </c>
      <c r="LD7" s="11">
        <f t="shared" si="13"/>
        <v>46336</v>
      </c>
      <c r="LE7" s="11">
        <f t="shared" si="13"/>
        <v>46337</v>
      </c>
      <c r="LF7" s="11">
        <f t="shared" si="13"/>
        <v>46338</v>
      </c>
      <c r="LG7" s="11">
        <f t="shared" si="13"/>
        <v>46339</v>
      </c>
      <c r="LH7" s="11">
        <f t="shared" si="13"/>
        <v>46340</v>
      </c>
      <c r="LI7" s="11">
        <f t="shared" si="13"/>
        <v>46341</v>
      </c>
      <c r="LJ7" s="11">
        <f t="shared" si="13"/>
        <v>46342</v>
      </c>
      <c r="LK7" s="11">
        <f t="shared" si="13"/>
        <v>46343</v>
      </c>
      <c r="LL7" s="11">
        <f t="shared" si="13"/>
        <v>46344</v>
      </c>
      <c r="LM7" s="11">
        <f t="shared" ref="LM7:NC7" si="14">+LL7+1</f>
        <v>46345</v>
      </c>
      <c r="LN7" s="11">
        <f t="shared" si="14"/>
        <v>46346</v>
      </c>
      <c r="LO7" s="11">
        <f t="shared" si="14"/>
        <v>46347</v>
      </c>
      <c r="LP7" s="11">
        <f t="shared" si="14"/>
        <v>46348</v>
      </c>
      <c r="LQ7" s="11">
        <f t="shared" si="14"/>
        <v>46349</v>
      </c>
      <c r="LR7" s="11">
        <f t="shared" si="14"/>
        <v>46350</v>
      </c>
      <c r="LS7" s="11">
        <f t="shared" si="14"/>
        <v>46351</v>
      </c>
      <c r="LT7" s="11">
        <f t="shared" si="14"/>
        <v>46352</v>
      </c>
      <c r="LU7" s="11">
        <f t="shared" si="14"/>
        <v>46353</v>
      </c>
      <c r="LV7" s="11">
        <f t="shared" si="14"/>
        <v>46354</v>
      </c>
      <c r="LW7" s="11">
        <f t="shared" si="14"/>
        <v>46355</v>
      </c>
      <c r="LX7" s="11">
        <f t="shared" si="14"/>
        <v>46356</v>
      </c>
      <c r="LY7" s="11">
        <f t="shared" si="14"/>
        <v>46357</v>
      </c>
      <c r="LZ7" s="11">
        <f t="shared" si="14"/>
        <v>46358</v>
      </c>
      <c r="MA7" s="11">
        <f t="shared" si="14"/>
        <v>46359</v>
      </c>
      <c r="MB7" s="11">
        <f t="shared" si="14"/>
        <v>46360</v>
      </c>
      <c r="MC7" s="11">
        <f t="shared" si="14"/>
        <v>46361</v>
      </c>
      <c r="MD7" s="11">
        <f t="shared" si="14"/>
        <v>46362</v>
      </c>
      <c r="ME7" s="11">
        <f t="shared" si="14"/>
        <v>46363</v>
      </c>
      <c r="MF7" s="11">
        <f t="shared" si="14"/>
        <v>46364</v>
      </c>
      <c r="MG7" s="11">
        <f t="shared" si="14"/>
        <v>46365</v>
      </c>
      <c r="MH7" s="11">
        <f t="shared" si="14"/>
        <v>46366</v>
      </c>
      <c r="MI7" s="11">
        <f t="shared" si="14"/>
        <v>46367</v>
      </c>
      <c r="MJ7" s="11">
        <f t="shared" si="14"/>
        <v>46368</v>
      </c>
      <c r="MK7" s="11">
        <f t="shared" si="14"/>
        <v>46369</v>
      </c>
      <c r="ML7" s="11">
        <f t="shared" si="14"/>
        <v>46370</v>
      </c>
      <c r="MM7" s="11">
        <f t="shared" si="14"/>
        <v>46371</v>
      </c>
      <c r="MN7" s="11">
        <f t="shared" si="14"/>
        <v>46372</v>
      </c>
      <c r="MO7" s="11">
        <f t="shared" si="14"/>
        <v>46373</v>
      </c>
      <c r="MP7" s="11">
        <f t="shared" si="14"/>
        <v>46374</v>
      </c>
      <c r="MQ7" s="11">
        <f t="shared" si="14"/>
        <v>46375</v>
      </c>
      <c r="MR7" s="11">
        <f t="shared" si="14"/>
        <v>46376</v>
      </c>
      <c r="MS7" s="11">
        <f t="shared" si="14"/>
        <v>46377</v>
      </c>
      <c r="MT7" s="11">
        <f t="shared" si="14"/>
        <v>46378</v>
      </c>
      <c r="MU7" s="11">
        <f t="shared" si="14"/>
        <v>46379</v>
      </c>
      <c r="MV7" s="11">
        <f t="shared" si="14"/>
        <v>46380</v>
      </c>
      <c r="MW7" s="11">
        <f t="shared" si="14"/>
        <v>46381</v>
      </c>
      <c r="MX7" s="11">
        <f t="shared" si="14"/>
        <v>46382</v>
      </c>
      <c r="MY7" s="11">
        <f t="shared" si="14"/>
        <v>46383</v>
      </c>
      <c r="MZ7" s="11">
        <f t="shared" si="14"/>
        <v>46384</v>
      </c>
      <c r="NA7" s="11">
        <f t="shared" si="14"/>
        <v>46385</v>
      </c>
      <c r="NB7" s="11">
        <f t="shared" si="14"/>
        <v>46386</v>
      </c>
      <c r="NC7" s="11">
        <f t="shared" si="14"/>
        <v>46387</v>
      </c>
    </row>
    <row r="8" spans="1:371">
      <c r="A8" s="12"/>
      <c r="B8" s="12" t="s">
        <v>10</v>
      </c>
      <c r="C8" s="8" t="s">
        <v>54</v>
      </c>
      <c r="D8" s="8" t="s">
        <v>54</v>
      </c>
      <c r="E8" s="8" t="s">
        <v>54</v>
      </c>
      <c r="F8" s="8" t="s">
        <v>54</v>
      </c>
      <c r="G8" s="8" t="s">
        <v>425</v>
      </c>
      <c r="H8" s="8" t="s">
        <v>425</v>
      </c>
      <c r="I8" s="8" t="s">
        <v>425</v>
      </c>
      <c r="J8" s="8" t="s">
        <v>425</v>
      </c>
      <c r="K8" s="8" t="s">
        <v>425</v>
      </c>
      <c r="L8" s="8" t="s">
        <v>425</v>
      </c>
      <c r="M8" s="8" t="s">
        <v>425</v>
      </c>
      <c r="N8" s="8" t="s">
        <v>2</v>
      </c>
      <c r="O8" s="8" t="s">
        <v>2</v>
      </c>
      <c r="P8" s="8" t="s">
        <v>2</v>
      </c>
      <c r="Q8" s="8" t="s">
        <v>2</v>
      </c>
      <c r="R8" s="8" t="s">
        <v>2</v>
      </c>
      <c r="S8" s="8" t="s">
        <v>2</v>
      </c>
      <c r="T8" s="8" t="s">
        <v>2</v>
      </c>
      <c r="U8" s="8" t="s">
        <v>3</v>
      </c>
      <c r="V8" s="8" t="s">
        <v>3</v>
      </c>
      <c r="W8" s="8" t="s">
        <v>3</v>
      </c>
      <c r="X8" s="8" t="s">
        <v>3</v>
      </c>
      <c r="Y8" s="8" t="s">
        <v>3</v>
      </c>
      <c r="Z8" s="8" t="s">
        <v>3</v>
      </c>
      <c r="AA8" s="8" t="s">
        <v>3</v>
      </c>
      <c r="AB8" s="8" t="s">
        <v>4</v>
      </c>
      <c r="AC8" s="8" t="s">
        <v>4</v>
      </c>
      <c r="AD8" s="8" t="s">
        <v>4</v>
      </c>
      <c r="AE8" s="8" t="s">
        <v>4</v>
      </c>
      <c r="AF8" s="8" t="s">
        <v>4</v>
      </c>
      <c r="AG8" s="8" t="s">
        <v>4</v>
      </c>
      <c r="AH8" s="8" t="s">
        <v>4</v>
      </c>
      <c r="AI8" s="8" t="s">
        <v>5</v>
      </c>
      <c r="AJ8" s="8" t="s">
        <v>5</v>
      </c>
      <c r="AK8" s="8" t="s">
        <v>5</v>
      </c>
      <c r="AL8" s="8" t="s">
        <v>5</v>
      </c>
      <c r="AM8" s="8" t="s">
        <v>5</v>
      </c>
      <c r="AN8" s="8" t="s">
        <v>5</v>
      </c>
      <c r="AO8" s="8" t="s">
        <v>5</v>
      </c>
      <c r="AP8" s="8" t="s">
        <v>6</v>
      </c>
      <c r="AQ8" s="8" t="s">
        <v>6</v>
      </c>
      <c r="AR8" s="8" t="s">
        <v>6</v>
      </c>
      <c r="AS8" s="8" t="s">
        <v>6</v>
      </c>
      <c r="AT8" s="8" t="s">
        <v>6</v>
      </c>
      <c r="AU8" s="8" t="s">
        <v>6</v>
      </c>
      <c r="AV8" s="8" t="s">
        <v>6</v>
      </c>
      <c r="AW8" s="8" t="s">
        <v>7</v>
      </c>
      <c r="AX8" s="8" t="s">
        <v>7</v>
      </c>
      <c r="AY8" s="8" t="s">
        <v>7</v>
      </c>
      <c r="AZ8" s="8" t="s">
        <v>7</v>
      </c>
      <c r="BA8" s="8" t="s">
        <v>7</v>
      </c>
      <c r="BB8" s="8" t="s">
        <v>7</v>
      </c>
      <c r="BC8" s="8" t="s">
        <v>7</v>
      </c>
      <c r="BD8" s="8" t="s">
        <v>8</v>
      </c>
      <c r="BE8" s="8" t="s">
        <v>8</v>
      </c>
      <c r="BF8" s="8" t="s">
        <v>8</v>
      </c>
      <c r="BG8" s="8" t="s">
        <v>8</v>
      </c>
      <c r="BH8" s="8" t="s">
        <v>8</v>
      </c>
      <c r="BI8" s="8" t="s">
        <v>8</v>
      </c>
      <c r="BJ8" s="8" t="s">
        <v>8</v>
      </c>
      <c r="BK8" s="8" t="s">
        <v>11</v>
      </c>
      <c r="BL8" s="8" t="s">
        <v>11</v>
      </c>
      <c r="BM8" s="8" t="s">
        <v>11</v>
      </c>
      <c r="BN8" s="8" t="s">
        <v>11</v>
      </c>
      <c r="BO8" s="8" t="s">
        <v>11</v>
      </c>
      <c r="BP8" s="8" t="s">
        <v>11</v>
      </c>
      <c r="BQ8" s="8" t="s">
        <v>11</v>
      </c>
      <c r="BR8" s="8" t="s">
        <v>12</v>
      </c>
      <c r="BS8" s="8" t="s">
        <v>12</v>
      </c>
      <c r="BT8" s="8" t="s">
        <v>12</v>
      </c>
      <c r="BU8" s="8" t="s">
        <v>12</v>
      </c>
      <c r="BV8" s="8" t="s">
        <v>12</v>
      </c>
      <c r="BW8" s="8" t="s">
        <v>12</v>
      </c>
      <c r="BX8" s="8" t="s">
        <v>12</v>
      </c>
      <c r="BY8" s="8" t="s">
        <v>13</v>
      </c>
      <c r="BZ8" s="8" t="s">
        <v>13</v>
      </c>
      <c r="CA8" s="8" t="s">
        <v>13</v>
      </c>
      <c r="CB8" s="8" t="s">
        <v>13</v>
      </c>
      <c r="CC8" s="8" t="s">
        <v>13</v>
      </c>
      <c r="CD8" s="8" t="s">
        <v>13</v>
      </c>
      <c r="CE8" s="8" t="s">
        <v>13</v>
      </c>
      <c r="CF8" s="8" t="s">
        <v>14</v>
      </c>
      <c r="CG8" s="8" t="s">
        <v>14</v>
      </c>
      <c r="CH8" s="8" t="s">
        <v>14</v>
      </c>
      <c r="CI8" s="8" t="s">
        <v>14</v>
      </c>
      <c r="CJ8" s="8" t="s">
        <v>14</v>
      </c>
      <c r="CK8" s="8" t="s">
        <v>14</v>
      </c>
      <c r="CL8" s="8" t="s">
        <v>14</v>
      </c>
      <c r="CM8" s="8" t="s">
        <v>15</v>
      </c>
      <c r="CN8" s="8" t="s">
        <v>15</v>
      </c>
      <c r="CO8" s="8" t="s">
        <v>15</v>
      </c>
      <c r="CP8" s="8" t="s">
        <v>15</v>
      </c>
      <c r="CQ8" s="8" t="s">
        <v>15</v>
      </c>
      <c r="CR8" s="8" t="s">
        <v>15</v>
      </c>
      <c r="CS8" s="8" t="s">
        <v>15</v>
      </c>
      <c r="CT8" s="8" t="s">
        <v>16</v>
      </c>
      <c r="CU8" s="8" t="s">
        <v>16</v>
      </c>
      <c r="CV8" s="8" t="s">
        <v>16</v>
      </c>
      <c r="CW8" s="8" t="s">
        <v>16</v>
      </c>
      <c r="CX8" s="8" t="s">
        <v>16</v>
      </c>
      <c r="CY8" s="8" t="s">
        <v>16</v>
      </c>
      <c r="CZ8" s="8" t="s">
        <v>16</v>
      </c>
      <c r="DA8" s="8" t="s">
        <v>17</v>
      </c>
      <c r="DB8" s="8" t="s">
        <v>17</v>
      </c>
      <c r="DC8" s="8" t="s">
        <v>17</v>
      </c>
      <c r="DD8" s="8" t="s">
        <v>17</v>
      </c>
      <c r="DE8" s="8" t="s">
        <v>17</v>
      </c>
      <c r="DF8" s="8" t="s">
        <v>17</v>
      </c>
      <c r="DG8" s="8" t="s">
        <v>17</v>
      </c>
      <c r="DH8" s="8" t="s">
        <v>18</v>
      </c>
      <c r="DI8" s="8" t="s">
        <v>18</v>
      </c>
      <c r="DJ8" s="8" t="s">
        <v>18</v>
      </c>
      <c r="DK8" s="8" t="s">
        <v>18</v>
      </c>
      <c r="DL8" s="8" t="s">
        <v>18</v>
      </c>
      <c r="DM8" s="8" t="s">
        <v>18</v>
      </c>
      <c r="DN8" s="8" t="s">
        <v>18</v>
      </c>
      <c r="DO8" s="8" t="s">
        <v>19</v>
      </c>
      <c r="DP8" s="8" t="s">
        <v>19</v>
      </c>
      <c r="DQ8" s="8" t="s">
        <v>19</v>
      </c>
      <c r="DR8" s="8" t="s">
        <v>19</v>
      </c>
      <c r="DS8" s="8" t="s">
        <v>19</v>
      </c>
      <c r="DT8" s="8" t="s">
        <v>19</v>
      </c>
      <c r="DU8" s="8" t="s">
        <v>19</v>
      </c>
      <c r="DV8" s="8" t="s">
        <v>20</v>
      </c>
      <c r="DW8" s="8" t="s">
        <v>20</v>
      </c>
      <c r="DX8" s="8" t="s">
        <v>20</v>
      </c>
      <c r="DY8" s="8" t="s">
        <v>20</v>
      </c>
      <c r="DZ8" s="8" t="s">
        <v>20</v>
      </c>
      <c r="EA8" s="8" t="s">
        <v>20</v>
      </c>
      <c r="EB8" s="8" t="s">
        <v>20</v>
      </c>
      <c r="EC8" s="8" t="s">
        <v>21</v>
      </c>
      <c r="ED8" s="8" t="s">
        <v>21</v>
      </c>
      <c r="EE8" s="8" t="s">
        <v>21</v>
      </c>
      <c r="EF8" s="8" t="s">
        <v>21</v>
      </c>
      <c r="EG8" s="8" t="s">
        <v>21</v>
      </c>
      <c r="EH8" s="8" t="s">
        <v>21</v>
      </c>
      <c r="EI8" s="8" t="s">
        <v>21</v>
      </c>
      <c r="EJ8" s="8" t="s">
        <v>22</v>
      </c>
      <c r="EK8" s="8" t="s">
        <v>22</v>
      </c>
      <c r="EL8" s="8" t="s">
        <v>22</v>
      </c>
      <c r="EM8" s="8" t="s">
        <v>22</v>
      </c>
      <c r="EN8" s="8" t="s">
        <v>22</v>
      </c>
      <c r="EO8" s="8" t="s">
        <v>22</v>
      </c>
      <c r="EP8" s="8" t="s">
        <v>22</v>
      </c>
      <c r="EQ8" s="8" t="s">
        <v>23</v>
      </c>
      <c r="ER8" s="8" t="s">
        <v>23</v>
      </c>
      <c r="ES8" s="8" t="s">
        <v>23</v>
      </c>
      <c r="ET8" s="8" t="s">
        <v>23</v>
      </c>
      <c r="EU8" s="8" t="s">
        <v>23</v>
      </c>
      <c r="EV8" s="8" t="s">
        <v>23</v>
      </c>
      <c r="EW8" s="8" t="s">
        <v>23</v>
      </c>
      <c r="EX8" s="8" t="s">
        <v>24</v>
      </c>
      <c r="EY8" s="8" t="s">
        <v>24</v>
      </c>
      <c r="EZ8" s="8" t="s">
        <v>24</v>
      </c>
      <c r="FA8" s="8" t="s">
        <v>24</v>
      </c>
      <c r="FB8" s="8" t="s">
        <v>24</v>
      </c>
      <c r="FC8" s="8" t="s">
        <v>24</v>
      </c>
      <c r="FD8" s="8" t="s">
        <v>24</v>
      </c>
      <c r="FE8" s="8" t="s">
        <v>25</v>
      </c>
      <c r="FF8" s="8" t="s">
        <v>25</v>
      </c>
      <c r="FG8" s="8" t="s">
        <v>25</v>
      </c>
      <c r="FH8" s="8" t="s">
        <v>25</v>
      </c>
      <c r="FI8" s="8" t="s">
        <v>25</v>
      </c>
      <c r="FJ8" s="8" t="s">
        <v>25</v>
      </c>
      <c r="FK8" s="8" t="s">
        <v>25</v>
      </c>
      <c r="FL8" s="8" t="s">
        <v>26</v>
      </c>
      <c r="FM8" s="8" t="s">
        <v>26</v>
      </c>
      <c r="FN8" s="8" t="s">
        <v>26</v>
      </c>
      <c r="FO8" s="8" t="s">
        <v>26</v>
      </c>
      <c r="FP8" s="8" t="s">
        <v>26</v>
      </c>
      <c r="FQ8" s="8" t="s">
        <v>26</v>
      </c>
      <c r="FR8" s="8" t="s">
        <v>26</v>
      </c>
      <c r="FS8" s="8" t="s">
        <v>27</v>
      </c>
      <c r="FT8" s="8" t="s">
        <v>27</v>
      </c>
      <c r="FU8" s="8" t="s">
        <v>27</v>
      </c>
      <c r="FV8" s="8" t="s">
        <v>27</v>
      </c>
      <c r="FW8" s="8" t="s">
        <v>27</v>
      </c>
      <c r="FX8" s="8" t="s">
        <v>27</v>
      </c>
      <c r="FY8" s="8" t="s">
        <v>27</v>
      </c>
      <c r="FZ8" s="8" t="s">
        <v>28</v>
      </c>
      <c r="GA8" s="8" t="s">
        <v>28</v>
      </c>
      <c r="GB8" s="8" t="s">
        <v>28</v>
      </c>
      <c r="GC8" s="8" t="s">
        <v>28</v>
      </c>
      <c r="GD8" s="8" t="s">
        <v>28</v>
      </c>
      <c r="GE8" s="8" t="s">
        <v>28</v>
      </c>
      <c r="GF8" s="8" t="s">
        <v>28</v>
      </c>
      <c r="GG8" s="8" t="s">
        <v>29</v>
      </c>
      <c r="GH8" s="8" t="s">
        <v>29</v>
      </c>
      <c r="GI8" s="8" t="s">
        <v>29</v>
      </c>
      <c r="GJ8" s="8" t="s">
        <v>29</v>
      </c>
      <c r="GK8" s="8" t="s">
        <v>29</v>
      </c>
      <c r="GL8" s="8" t="s">
        <v>29</v>
      </c>
      <c r="GM8" s="8" t="s">
        <v>29</v>
      </c>
      <c r="GN8" s="8" t="s">
        <v>30</v>
      </c>
      <c r="GO8" s="8" t="s">
        <v>30</v>
      </c>
      <c r="GP8" s="8" t="s">
        <v>30</v>
      </c>
      <c r="GQ8" s="8" t="s">
        <v>30</v>
      </c>
      <c r="GR8" s="8" t="s">
        <v>30</v>
      </c>
      <c r="GS8" s="8" t="s">
        <v>30</v>
      </c>
      <c r="GT8" s="8" t="s">
        <v>30</v>
      </c>
      <c r="GU8" s="8" t="s">
        <v>31</v>
      </c>
      <c r="GV8" s="8" t="s">
        <v>31</v>
      </c>
      <c r="GW8" s="8" t="s">
        <v>31</v>
      </c>
      <c r="GX8" s="8" t="s">
        <v>31</v>
      </c>
      <c r="GY8" s="8" t="s">
        <v>31</v>
      </c>
      <c r="GZ8" s="8" t="s">
        <v>31</v>
      </c>
      <c r="HA8" s="8" t="s">
        <v>31</v>
      </c>
      <c r="HB8" s="8" t="s">
        <v>32</v>
      </c>
      <c r="HC8" s="8" t="s">
        <v>32</v>
      </c>
      <c r="HD8" s="8" t="s">
        <v>32</v>
      </c>
      <c r="HE8" s="8" t="s">
        <v>32</v>
      </c>
      <c r="HF8" s="8" t="s">
        <v>32</v>
      </c>
      <c r="HG8" s="8" t="s">
        <v>32</v>
      </c>
      <c r="HH8" s="8" t="s">
        <v>32</v>
      </c>
      <c r="HI8" s="8" t="s">
        <v>33</v>
      </c>
      <c r="HJ8" s="8" t="s">
        <v>33</v>
      </c>
      <c r="HK8" s="8" t="s">
        <v>33</v>
      </c>
      <c r="HL8" s="8" t="s">
        <v>33</v>
      </c>
      <c r="HM8" s="8" t="s">
        <v>33</v>
      </c>
      <c r="HN8" s="8" t="s">
        <v>33</v>
      </c>
      <c r="HO8" s="8" t="s">
        <v>33</v>
      </c>
      <c r="HP8" s="8" t="s">
        <v>34</v>
      </c>
      <c r="HQ8" s="8" t="s">
        <v>34</v>
      </c>
      <c r="HR8" s="8" t="s">
        <v>34</v>
      </c>
      <c r="HS8" s="8" t="s">
        <v>34</v>
      </c>
      <c r="HT8" s="8" t="s">
        <v>34</v>
      </c>
      <c r="HU8" s="8" t="s">
        <v>34</v>
      </c>
      <c r="HV8" s="8" t="s">
        <v>34</v>
      </c>
      <c r="HW8" s="8" t="s">
        <v>35</v>
      </c>
      <c r="HX8" s="8" t="s">
        <v>35</v>
      </c>
      <c r="HY8" s="8" t="s">
        <v>35</v>
      </c>
      <c r="HZ8" s="8" t="s">
        <v>35</v>
      </c>
      <c r="IA8" s="8" t="s">
        <v>35</v>
      </c>
      <c r="IB8" s="8" t="s">
        <v>35</v>
      </c>
      <c r="IC8" s="8" t="s">
        <v>35</v>
      </c>
      <c r="ID8" s="8" t="s">
        <v>36</v>
      </c>
      <c r="IE8" s="8" t="s">
        <v>36</v>
      </c>
      <c r="IF8" s="8" t="s">
        <v>36</v>
      </c>
      <c r="IG8" s="8" t="s">
        <v>36</v>
      </c>
      <c r="IH8" s="8" t="s">
        <v>36</v>
      </c>
      <c r="II8" s="8" t="s">
        <v>36</v>
      </c>
      <c r="IJ8" s="8" t="s">
        <v>36</v>
      </c>
      <c r="IK8" s="8" t="s">
        <v>37</v>
      </c>
      <c r="IL8" s="8" t="s">
        <v>37</v>
      </c>
      <c r="IM8" s="8" t="s">
        <v>37</v>
      </c>
      <c r="IN8" s="8" t="s">
        <v>37</v>
      </c>
      <c r="IO8" s="8" t="s">
        <v>37</v>
      </c>
      <c r="IP8" s="8" t="s">
        <v>37</v>
      </c>
      <c r="IQ8" s="8" t="s">
        <v>37</v>
      </c>
      <c r="IR8" s="8" t="s">
        <v>38</v>
      </c>
      <c r="IS8" s="8" t="s">
        <v>38</v>
      </c>
      <c r="IT8" s="8" t="s">
        <v>38</v>
      </c>
      <c r="IU8" s="8" t="s">
        <v>38</v>
      </c>
      <c r="IV8" s="8" t="s">
        <v>38</v>
      </c>
      <c r="IW8" s="8" t="s">
        <v>38</v>
      </c>
      <c r="IX8" s="8" t="s">
        <v>38</v>
      </c>
      <c r="IY8" s="8" t="s">
        <v>39</v>
      </c>
      <c r="IZ8" s="8" t="s">
        <v>39</v>
      </c>
      <c r="JA8" s="8" t="s">
        <v>39</v>
      </c>
      <c r="JB8" s="8" t="s">
        <v>39</v>
      </c>
      <c r="JC8" s="8" t="s">
        <v>39</v>
      </c>
      <c r="JD8" s="8" t="s">
        <v>39</v>
      </c>
      <c r="JE8" s="8" t="s">
        <v>39</v>
      </c>
      <c r="JF8" s="8" t="s">
        <v>40</v>
      </c>
      <c r="JG8" s="8" t="s">
        <v>40</v>
      </c>
      <c r="JH8" s="8" t="s">
        <v>40</v>
      </c>
      <c r="JI8" s="8" t="s">
        <v>40</v>
      </c>
      <c r="JJ8" s="8" t="s">
        <v>40</v>
      </c>
      <c r="JK8" s="8" t="s">
        <v>40</v>
      </c>
      <c r="JL8" s="8" t="s">
        <v>40</v>
      </c>
      <c r="JM8" s="8" t="s">
        <v>41</v>
      </c>
      <c r="JN8" s="8" t="s">
        <v>41</v>
      </c>
      <c r="JO8" s="8" t="s">
        <v>41</v>
      </c>
      <c r="JP8" s="8" t="s">
        <v>41</v>
      </c>
      <c r="JQ8" s="8" t="s">
        <v>41</v>
      </c>
      <c r="JR8" s="8" t="s">
        <v>41</v>
      </c>
      <c r="JS8" s="8" t="s">
        <v>41</v>
      </c>
      <c r="JT8" s="8" t="s">
        <v>42</v>
      </c>
      <c r="JU8" s="8" t="s">
        <v>42</v>
      </c>
      <c r="JV8" s="8" t="s">
        <v>42</v>
      </c>
      <c r="JW8" s="8" t="s">
        <v>42</v>
      </c>
      <c r="JX8" s="8" t="s">
        <v>42</v>
      </c>
      <c r="JY8" s="8" t="s">
        <v>42</v>
      </c>
      <c r="JZ8" s="8" t="s">
        <v>42</v>
      </c>
      <c r="KB8" s="20"/>
      <c r="KI8" s="20"/>
      <c r="KU8" s="36"/>
      <c r="LE8" s="20"/>
      <c r="LF8" s="20"/>
      <c r="LK8" s="20"/>
      <c r="LR8" s="20"/>
      <c r="LY8" s="20"/>
      <c r="LZ8" s="1"/>
      <c r="MA8" s="1"/>
      <c r="MB8" s="1"/>
      <c r="MC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34"/>
      <c r="MQ8" s="1"/>
      <c r="MR8" s="1"/>
      <c r="MS8" s="1"/>
      <c r="MT8" s="20"/>
    </row>
    <row r="9" spans="1:371">
      <c r="A9" s="13">
        <f>+SUM(C9:NC9)</f>
        <v>112538.4583333334</v>
      </c>
      <c r="B9" s="14" t="s">
        <v>427</v>
      </c>
      <c r="C9" s="2"/>
      <c r="D9" s="2">
        <v>349.33333333333331</v>
      </c>
      <c r="E9" s="2">
        <v>370.16666666666663</v>
      </c>
      <c r="F9" s="2"/>
      <c r="G9" s="7">
        <v>483.08333333333331</v>
      </c>
      <c r="H9" s="7">
        <v>405</v>
      </c>
      <c r="I9" s="7">
        <v>374.66666666666663</v>
      </c>
      <c r="J9" s="7">
        <v>366.16666666666663</v>
      </c>
      <c r="K9" s="7">
        <v>458.16666666666663</v>
      </c>
      <c r="L9" s="7">
        <v>465</v>
      </c>
      <c r="M9" s="2"/>
      <c r="N9" s="3">
        <v>382.5</v>
      </c>
      <c r="O9" s="3">
        <v>408.66666666666663</v>
      </c>
      <c r="P9" s="3">
        <v>379.41666666666674</v>
      </c>
      <c r="Q9" s="3">
        <v>673</v>
      </c>
      <c r="R9" s="3">
        <v>751</v>
      </c>
      <c r="S9" s="3">
        <v>705</v>
      </c>
      <c r="U9" s="3">
        <v>415.41666666666663</v>
      </c>
      <c r="V9" s="3">
        <v>463.08333333333331</v>
      </c>
      <c r="W9" s="3">
        <v>435</v>
      </c>
      <c r="X9" s="3">
        <v>427.75</v>
      </c>
      <c r="Y9" s="3">
        <v>420.83333333333331</v>
      </c>
      <c r="Z9" s="3">
        <v>417.83333333333337</v>
      </c>
      <c r="AA9" s="3">
        <v>0</v>
      </c>
      <c r="AB9" s="7">
        <v>457</v>
      </c>
      <c r="AC9" s="7">
        <v>474.91666666666663</v>
      </c>
      <c r="AD9" s="7">
        <v>391.625</v>
      </c>
      <c r="AE9" s="7">
        <v>454.20833333333326</v>
      </c>
      <c r="AF9" s="7">
        <v>551.625</v>
      </c>
      <c r="AG9" s="7">
        <v>336.66666666666669</v>
      </c>
      <c r="AI9" s="3">
        <v>532.5</v>
      </c>
      <c r="AJ9" s="3">
        <v>622.5</v>
      </c>
      <c r="AK9" s="3">
        <v>457</v>
      </c>
      <c r="AL9" s="3">
        <v>452.58333333333331</v>
      </c>
      <c r="AM9" s="3">
        <v>435.08333333333337</v>
      </c>
      <c r="AN9" s="3">
        <v>500</v>
      </c>
      <c r="AO9" s="3"/>
      <c r="AP9" s="7">
        <v>559.33333333333337</v>
      </c>
      <c r="AQ9" s="7">
        <v>679.58333333333326</v>
      </c>
      <c r="AR9" s="7">
        <v>493.16666666666663</v>
      </c>
      <c r="AS9" s="7">
        <v>555.91666666666674</v>
      </c>
      <c r="AT9" s="7">
        <v>604.5</v>
      </c>
      <c r="AU9" s="7">
        <v>492.41666666666669</v>
      </c>
      <c r="AV9" s="7"/>
      <c r="AW9" s="3">
        <v>587.08333333333326</v>
      </c>
      <c r="AX9" s="3">
        <v>552.66666666666674</v>
      </c>
      <c r="AY9" s="3">
        <v>458.66666666666669</v>
      </c>
      <c r="AZ9" s="8">
        <v>439.58333333333331</v>
      </c>
      <c r="BA9" s="8">
        <v>457.25</v>
      </c>
      <c r="BB9" s="8">
        <v>459</v>
      </c>
      <c r="BD9" s="2">
        <v>449.41666666666669</v>
      </c>
      <c r="BE9" s="2">
        <v>445.5</v>
      </c>
      <c r="BF9" s="2">
        <v>465</v>
      </c>
      <c r="BG9" s="7">
        <v>514</v>
      </c>
      <c r="BH9" s="7">
        <v>719.41666666666674</v>
      </c>
      <c r="BI9" s="7">
        <v>810.25</v>
      </c>
      <c r="BK9" s="7">
        <v>501.08333333333337</v>
      </c>
      <c r="BL9" s="7">
        <v>438</v>
      </c>
      <c r="BM9" s="7">
        <v>435</v>
      </c>
      <c r="BN9" s="7">
        <v>442.5</v>
      </c>
      <c r="BO9" s="7">
        <v>485</v>
      </c>
      <c r="BP9" s="7">
        <v>675</v>
      </c>
      <c r="BQ9" s="206"/>
      <c r="BR9" s="2">
        <v>577.5</v>
      </c>
      <c r="BS9" s="2">
        <v>507</v>
      </c>
      <c r="BT9" s="2">
        <v>530.75</v>
      </c>
      <c r="BU9" s="2">
        <v>527</v>
      </c>
      <c r="BV9" s="2">
        <v>652</v>
      </c>
      <c r="BW9" s="2">
        <v>626.41666666666663</v>
      </c>
      <c r="BX9" s="2">
        <v>458.33333333333337</v>
      </c>
      <c r="BY9" s="7">
        <v>252.24999999999994</v>
      </c>
      <c r="BZ9" s="7">
        <v>309.33333333333331</v>
      </c>
      <c r="CA9" s="7">
        <v>453.83333333333331</v>
      </c>
      <c r="CB9" s="7">
        <v>142.5</v>
      </c>
      <c r="CC9" s="7"/>
      <c r="CD9" s="7"/>
      <c r="CE9" s="7"/>
      <c r="CF9" s="3">
        <v>281.25</v>
      </c>
      <c r="CG9" s="3">
        <v>172.25</v>
      </c>
      <c r="CH9" s="3">
        <v>225</v>
      </c>
      <c r="CI9" s="3">
        <v>328.83333333333337</v>
      </c>
      <c r="CJ9" s="3">
        <v>390</v>
      </c>
      <c r="CK9" s="3">
        <v>427</v>
      </c>
      <c r="CL9" s="3"/>
      <c r="CM9" s="3">
        <v>479.08333333333331</v>
      </c>
      <c r="CN9" s="3">
        <v>476.25</v>
      </c>
      <c r="CO9" s="3">
        <v>479.75</v>
      </c>
      <c r="CP9" s="3">
        <v>559.16666666666674</v>
      </c>
      <c r="CQ9" s="3">
        <v>462</v>
      </c>
      <c r="CR9" s="3">
        <v>337.50000000000006</v>
      </c>
      <c r="CS9" s="3"/>
      <c r="CT9" s="3">
        <v>359.75</v>
      </c>
      <c r="CU9" s="3">
        <v>540</v>
      </c>
      <c r="CV9" s="3">
        <v>426.08333333333331</v>
      </c>
      <c r="CW9" s="3">
        <v>476.58333333333331</v>
      </c>
      <c r="CX9" s="3">
        <v>447.58333333333331</v>
      </c>
      <c r="CY9" s="3">
        <v>398.75</v>
      </c>
      <c r="CZ9" s="3"/>
      <c r="DA9" s="2">
        <v>502.08333333333331</v>
      </c>
      <c r="DB9" s="2">
        <v>577.25</v>
      </c>
      <c r="DC9" s="2">
        <v>476.41666666666663</v>
      </c>
      <c r="DD9" s="2">
        <v>442.5</v>
      </c>
      <c r="DE9" s="2">
        <v>419.16666666666669</v>
      </c>
      <c r="DF9" s="2">
        <v>442.16666666666663</v>
      </c>
      <c r="DG9" s="2">
        <v>320.33333333333337</v>
      </c>
      <c r="DH9" s="2">
        <v>206.99999999999994</v>
      </c>
      <c r="DI9" s="2">
        <v>576.08333333333337</v>
      </c>
      <c r="DJ9" s="2">
        <v>641.41666666666663</v>
      </c>
      <c r="DK9" s="2">
        <v>493.41666666666663</v>
      </c>
      <c r="DL9" s="2">
        <v>398.58333333333337</v>
      </c>
      <c r="DM9" s="2">
        <v>664.5</v>
      </c>
      <c r="DN9" s="2"/>
      <c r="DO9" s="7">
        <v>516.75</v>
      </c>
      <c r="DP9" s="7">
        <v>558.83333333333326</v>
      </c>
      <c r="DQ9" s="7">
        <v>608.75</v>
      </c>
      <c r="DR9" s="7">
        <v>374.66666666666669</v>
      </c>
      <c r="DS9" s="7">
        <v>0</v>
      </c>
      <c r="DT9" s="7">
        <v>404.25</v>
      </c>
      <c r="DU9" s="7">
        <v>322.25</v>
      </c>
      <c r="DV9" s="7">
        <v>374.75</v>
      </c>
      <c r="DW9" s="7">
        <v>636.25</v>
      </c>
      <c r="DX9" s="7">
        <v>409.08333333333331</v>
      </c>
      <c r="DY9" s="7">
        <v>231.08333333333331</v>
      </c>
      <c r="DZ9" s="7">
        <v>396.08333333333337</v>
      </c>
      <c r="EA9" s="7">
        <v>314.66666666666669</v>
      </c>
      <c r="EB9" s="7"/>
      <c r="EC9" s="7">
        <v>344.08333333333331</v>
      </c>
      <c r="ED9" s="7">
        <v>440.41666666666669</v>
      </c>
      <c r="EE9" s="7">
        <v>579.91666666666663</v>
      </c>
      <c r="EF9" s="7">
        <v>539.66666666666663</v>
      </c>
      <c r="EG9" s="7">
        <v>600.08333333333337</v>
      </c>
      <c r="EH9" s="7">
        <v>526.66666666666663</v>
      </c>
      <c r="EI9" s="7">
        <v>329.66666666666663</v>
      </c>
      <c r="EJ9" s="7">
        <v>209.25</v>
      </c>
      <c r="EK9" s="7">
        <v>381.5</v>
      </c>
      <c r="EL9" s="7">
        <v>367.33333333333331</v>
      </c>
      <c r="EM9" s="7">
        <v>470.41666666666663</v>
      </c>
      <c r="EN9" s="7">
        <v>462.83333333333331</v>
      </c>
      <c r="EO9" s="7">
        <v>465.58333333333326</v>
      </c>
      <c r="EP9" s="7"/>
      <c r="EQ9" s="7">
        <v>315.75</v>
      </c>
      <c r="ER9" s="7">
        <v>136.33333333333334</v>
      </c>
      <c r="ES9" s="7"/>
      <c r="ET9" s="7"/>
      <c r="EU9" s="7"/>
      <c r="EV9" s="7">
        <v>347.83333333333331</v>
      </c>
      <c r="EW9" s="7"/>
      <c r="EX9" s="7">
        <v>195.16666666666669</v>
      </c>
      <c r="EY9" s="7">
        <v>292.08333333333331</v>
      </c>
      <c r="EZ9" s="7">
        <v>412.08333333333337</v>
      </c>
      <c r="FA9" s="7">
        <v>482.66666666666669</v>
      </c>
      <c r="FB9" s="7">
        <v>455</v>
      </c>
      <c r="FC9" s="7">
        <v>492.83333333333331</v>
      </c>
      <c r="FD9" s="7"/>
      <c r="FE9" s="7">
        <v>577.25</v>
      </c>
      <c r="FF9" s="7">
        <v>661.58333333333326</v>
      </c>
      <c r="FG9" s="7">
        <v>557</v>
      </c>
      <c r="FH9" s="7">
        <v>549.33333333333326</v>
      </c>
      <c r="FI9" s="7">
        <v>652.58333333333337</v>
      </c>
      <c r="FJ9" s="7">
        <v>591.66666666666674</v>
      </c>
      <c r="FK9" s="7">
        <v>336.91666666666663</v>
      </c>
      <c r="FL9" s="3">
        <v>374.66666666666663</v>
      </c>
      <c r="FM9" s="3">
        <v>623.25</v>
      </c>
      <c r="FN9" s="3">
        <v>593.66666666666663</v>
      </c>
      <c r="FO9" s="3">
        <v>518.75</v>
      </c>
      <c r="FP9" s="3">
        <v>541.41666666666674</v>
      </c>
      <c r="FQ9" s="3">
        <v>322.66666666666663</v>
      </c>
      <c r="FR9" s="3"/>
      <c r="FS9" s="7">
        <v>568.16666666666663</v>
      </c>
      <c r="FT9" s="7">
        <v>414.41666666666663</v>
      </c>
      <c r="FU9" s="7">
        <v>544.91666666666663</v>
      </c>
      <c r="FV9" s="7">
        <v>435</v>
      </c>
      <c r="FW9" s="7">
        <v>452.33333333333337</v>
      </c>
      <c r="FX9" s="7">
        <v>334.5</v>
      </c>
      <c r="FY9" s="7">
        <v>219</v>
      </c>
      <c r="FZ9" s="7">
        <v>175.16666666666663</v>
      </c>
      <c r="GA9" s="7">
        <v>402.25</v>
      </c>
      <c r="GB9" s="7">
        <v>541.08333333333337</v>
      </c>
      <c r="GC9" s="7">
        <v>595</v>
      </c>
      <c r="GD9" s="7">
        <v>541.41666666666674</v>
      </c>
      <c r="GE9" s="7">
        <v>475.16666666666669</v>
      </c>
      <c r="GF9" s="7"/>
      <c r="GG9" s="2">
        <v>490.5</v>
      </c>
      <c r="GH9" s="2">
        <v>482.66666666666663</v>
      </c>
      <c r="GI9" s="2">
        <v>448.5</v>
      </c>
      <c r="GJ9" s="2">
        <v>470.25</v>
      </c>
      <c r="GK9" s="2">
        <v>375.83333333333331</v>
      </c>
      <c r="GL9" s="2">
        <v>290.08333333333331</v>
      </c>
      <c r="GM9" s="2">
        <v>184.91666666666666</v>
      </c>
      <c r="GN9" s="3">
        <v>182.08333333333331</v>
      </c>
      <c r="GO9" s="3">
        <v>417.66666666666669</v>
      </c>
      <c r="GP9" s="3">
        <v>322.16666666666663</v>
      </c>
      <c r="GQ9" s="3">
        <v>271.25000000000006</v>
      </c>
      <c r="GR9" s="3">
        <v>370.41666666666669</v>
      </c>
      <c r="GS9" s="3">
        <v>350.41666666666669</v>
      </c>
      <c r="GT9" s="7"/>
      <c r="GU9" s="7">
        <v>436.16666666666663</v>
      </c>
      <c r="GV9" s="7">
        <v>370.08333333333337</v>
      </c>
      <c r="GW9" s="7">
        <v>345.25</v>
      </c>
      <c r="GX9" s="7">
        <v>316.75</v>
      </c>
      <c r="GY9" s="7">
        <v>342</v>
      </c>
      <c r="GZ9" s="7">
        <v>279</v>
      </c>
      <c r="HA9" s="7">
        <v>262.5</v>
      </c>
      <c r="HB9" s="7">
        <v>222</v>
      </c>
      <c r="HC9" s="7">
        <v>343.75</v>
      </c>
      <c r="HD9" s="7">
        <v>390.08333333333331</v>
      </c>
      <c r="HE9" s="7">
        <v>365.66666666666669</v>
      </c>
      <c r="HF9" s="7">
        <v>435.08333333333331</v>
      </c>
      <c r="HG9" s="7">
        <v>582.08333333333337</v>
      </c>
      <c r="HI9" s="2">
        <v>338.58333333333331</v>
      </c>
      <c r="HJ9" s="2">
        <v>337.25</v>
      </c>
      <c r="HK9" s="2">
        <v>364.25</v>
      </c>
      <c r="HL9" s="2">
        <v>398.58333333333331</v>
      </c>
      <c r="HM9" s="2">
        <v>381.66666666666669</v>
      </c>
      <c r="HN9" s="2">
        <v>358.33333333333337</v>
      </c>
      <c r="HO9" s="2">
        <v>150</v>
      </c>
      <c r="HP9" s="2">
        <v>189</v>
      </c>
      <c r="HQ9" s="2">
        <v>368.16666666666663</v>
      </c>
      <c r="HR9" s="2">
        <v>508.58333333333326</v>
      </c>
      <c r="HS9" s="2">
        <v>469.66666666666669</v>
      </c>
      <c r="HT9" s="2">
        <v>365.75</v>
      </c>
      <c r="HU9" s="2">
        <v>416.75</v>
      </c>
      <c r="HV9" s="20"/>
      <c r="HW9" s="3">
        <v>270</v>
      </c>
      <c r="HX9" s="3">
        <v>420</v>
      </c>
      <c r="HY9" s="3">
        <v>502.5</v>
      </c>
      <c r="HZ9" s="3">
        <v>582.16666666666674</v>
      </c>
      <c r="IA9" s="3">
        <v>514.58333333333326</v>
      </c>
      <c r="IB9" s="3">
        <v>456</v>
      </c>
      <c r="IC9" s="3">
        <v>267.66666666666663</v>
      </c>
      <c r="ID9" s="7">
        <v>248.83333333333331</v>
      </c>
      <c r="IE9" s="7">
        <v>472.5</v>
      </c>
      <c r="IF9" s="7">
        <v>501</v>
      </c>
      <c r="IG9" s="7">
        <v>508.25</v>
      </c>
      <c r="IH9" s="7">
        <v>450.75</v>
      </c>
      <c r="II9" s="7">
        <v>381.16666666666669</v>
      </c>
      <c r="IK9" s="7">
        <v>342.75</v>
      </c>
      <c r="IL9" s="7">
        <v>498</v>
      </c>
      <c r="IM9" s="7">
        <v>496.5</v>
      </c>
      <c r="IN9" s="7">
        <v>455.41666666666663</v>
      </c>
      <c r="IO9" s="7">
        <v>482.83333333333337</v>
      </c>
      <c r="IP9" s="7">
        <v>437.91666666666663</v>
      </c>
      <c r="IQ9" s="7">
        <v>247.5</v>
      </c>
      <c r="IR9" s="3">
        <v>280.66666666666663</v>
      </c>
      <c r="IS9" s="3">
        <v>465</v>
      </c>
      <c r="IT9" s="3">
        <v>415.33333333333337</v>
      </c>
      <c r="IU9" s="3">
        <v>427.5</v>
      </c>
      <c r="IV9" s="3">
        <v>438.83333333333326</v>
      </c>
      <c r="IW9" s="3">
        <v>427.41666666666674</v>
      </c>
      <c r="IY9" s="3">
        <v>606</v>
      </c>
      <c r="IZ9" s="3">
        <v>490.5</v>
      </c>
      <c r="JA9" s="3">
        <v>570.75</v>
      </c>
      <c r="JB9" s="3">
        <v>469.66666666666674</v>
      </c>
      <c r="JC9" s="3">
        <v>515.5</v>
      </c>
      <c r="JD9" s="3">
        <v>647.58333333333337</v>
      </c>
      <c r="JF9" s="3">
        <v>591.91666666666674</v>
      </c>
      <c r="JG9" s="3">
        <v>546.66666666666663</v>
      </c>
      <c r="JH9" s="3">
        <v>667.5</v>
      </c>
      <c r="JI9" s="3">
        <v>527.25000000000011</v>
      </c>
      <c r="JJ9" s="3">
        <v>706.08333333333337</v>
      </c>
      <c r="JK9" s="3">
        <v>708.91666666666674</v>
      </c>
      <c r="JM9" s="7">
        <v>523.25</v>
      </c>
      <c r="JN9" s="7">
        <v>636.91666666666663</v>
      </c>
      <c r="JO9" s="7">
        <v>622.5</v>
      </c>
      <c r="JP9" s="7">
        <v>604.25</v>
      </c>
      <c r="JQ9" s="7">
        <v>712.5</v>
      </c>
      <c r="JR9" s="7">
        <v>674.33333333333326</v>
      </c>
      <c r="JT9" s="47">
        <v>793</v>
      </c>
      <c r="JU9" s="47">
        <v>652.5</v>
      </c>
      <c r="JV9" s="47">
        <v>619.66666666666663</v>
      </c>
      <c r="JW9" s="7">
        <v>652.5</v>
      </c>
      <c r="JX9" s="7">
        <v>712.5</v>
      </c>
      <c r="JY9" s="7">
        <v>706.83333333333337</v>
      </c>
      <c r="KU9" s="36"/>
      <c r="LE9" s="20"/>
      <c r="LF9" s="20"/>
      <c r="LY9" s="20"/>
      <c r="LZ9" s="62"/>
      <c r="MA9" s="62"/>
      <c r="MB9" s="62"/>
      <c r="MC9" s="62"/>
      <c r="MF9"/>
      <c r="MG9"/>
      <c r="MH9"/>
      <c r="MI9"/>
      <c r="MJ9"/>
      <c r="MK9"/>
      <c r="ML9"/>
      <c r="MM9" s="62"/>
      <c r="MN9" s="62"/>
      <c r="MO9" s="62"/>
      <c r="MP9" s="34"/>
      <c r="MQ9" s="62"/>
      <c r="MR9" s="62"/>
      <c r="MS9" s="62"/>
    </row>
    <row r="10" spans="1:371">
      <c r="A10" s="15">
        <f>+SUM(C10:NC10)</f>
        <v>39154574</v>
      </c>
      <c r="B10" s="16" t="s">
        <v>423</v>
      </c>
      <c r="C10" s="2"/>
      <c r="D10" s="2">
        <v>125493</v>
      </c>
      <c r="E10" s="2">
        <v>135640</v>
      </c>
      <c r="F10" s="2"/>
      <c r="G10" s="2">
        <v>128740</v>
      </c>
      <c r="H10" s="2">
        <v>124406</v>
      </c>
      <c r="I10" s="2">
        <v>129565</v>
      </c>
      <c r="J10" s="2">
        <v>148914</v>
      </c>
      <c r="K10" s="2">
        <v>159287</v>
      </c>
      <c r="L10" s="2">
        <v>179106</v>
      </c>
      <c r="M10" s="2"/>
      <c r="N10" s="2">
        <v>99566</v>
      </c>
      <c r="O10" s="2">
        <v>175493</v>
      </c>
      <c r="P10" s="2">
        <v>172280</v>
      </c>
      <c r="Q10" s="2">
        <v>178342</v>
      </c>
      <c r="R10" s="2">
        <v>155036</v>
      </c>
      <c r="S10" s="2">
        <v>180494</v>
      </c>
      <c r="U10" s="2">
        <v>156492</v>
      </c>
      <c r="V10" s="2">
        <v>164718</v>
      </c>
      <c r="W10" s="2">
        <v>163064</v>
      </c>
      <c r="X10" s="2">
        <v>119331</v>
      </c>
      <c r="Y10" s="2">
        <v>121449</v>
      </c>
      <c r="Z10" s="2">
        <v>119102</v>
      </c>
      <c r="AA10" s="2"/>
      <c r="AB10" s="2">
        <v>138933</v>
      </c>
      <c r="AC10" s="2">
        <v>158470</v>
      </c>
      <c r="AD10" s="2">
        <v>74898</v>
      </c>
      <c r="AE10" s="2">
        <v>127996</v>
      </c>
      <c r="AF10" s="2">
        <v>128517</v>
      </c>
      <c r="AG10" s="2">
        <v>109298</v>
      </c>
      <c r="AH10" s="2"/>
      <c r="AI10" s="2">
        <v>120283</v>
      </c>
      <c r="AJ10" s="2">
        <v>194729</v>
      </c>
      <c r="AK10" s="2">
        <v>105178</v>
      </c>
      <c r="AL10" s="2">
        <v>102441</v>
      </c>
      <c r="AM10" s="2">
        <v>127963</v>
      </c>
      <c r="AN10" s="2">
        <v>132304</v>
      </c>
      <c r="AP10" s="7">
        <v>152847</v>
      </c>
      <c r="AQ10" s="7">
        <v>200881</v>
      </c>
      <c r="AR10" s="7">
        <v>161296</v>
      </c>
      <c r="AS10" s="7">
        <v>159352</v>
      </c>
      <c r="AT10" s="7">
        <v>174174</v>
      </c>
      <c r="AU10" s="7">
        <v>151377</v>
      </c>
      <c r="AV10" s="7"/>
      <c r="AW10" s="7">
        <v>210453</v>
      </c>
      <c r="AX10" s="7">
        <v>188798</v>
      </c>
      <c r="AY10" s="7">
        <v>174574</v>
      </c>
      <c r="AZ10" s="7">
        <v>151046</v>
      </c>
      <c r="BA10" s="7">
        <v>138961</v>
      </c>
      <c r="BB10" s="7">
        <v>152331</v>
      </c>
      <c r="BC10" s="7"/>
      <c r="BD10" s="7">
        <v>153644</v>
      </c>
      <c r="BE10" s="7">
        <v>154605</v>
      </c>
      <c r="BF10" s="7">
        <v>161095</v>
      </c>
      <c r="BG10" s="7">
        <v>171068</v>
      </c>
      <c r="BH10" s="7">
        <v>215746</v>
      </c>
      <c r="BI10" s="7">
        <v>253438</v>
      </c>
      <c r="BK10" s="7">
        <v>162547</v>
      </c>
      <c r="BL10" s="7">
        <v>169281</v>
      </c>
      <c r="BM10" s="7">
        <v>133313</v>
      </c>
      <c r="BN10" s="7">
        <v>161957</v>
      </c>
      <c r="BO10" s="7">
        <v>169074</v>
      </c>
      <c r="BP10" s="7">
        <v>227318</v>
      </c>
      <c r="BQ10" s="206"/>
      <c r="BR10" s="7">
        <v>192112</v>
      </c>
      <c r="BS10" s="7">
        <v>205729</v>
      </c>
      <c r="BT10" s="7">
        <v>223317</v>
      </c>
      <c r="BU10" s="7">
        <v>211644</v>
      </c>
      <c r="BV10" s="7">
        <v>215622</v>
      </c>
      <c r="BW10" s="7">
        <v>221765</v>
      </c>
      <c r="BX10" s="7">
        <v>168609</v>
      </c>
      <c r="BY10" s="7">
        <v>100383</v>
      </c>
      <c r="BZ10" s="7">
        <v>121614</v>
      </c>
      <c r="CA10" s="7">
        <v>139414</v>
      </c>
      <c r="CB10" s="7">
        <v>35953</v>
      </c>
      <c r="CF10" s="46">
        <v>111466</v>
      </c>
      <c r="CG10" s="46">
        <v>67681</v>
      </c>
      <c r="CH10" s="46">
        <v>79441</v>
      </c>
      <c r="CI10" s="46">
        <v>125425</v>
      </c>
      <c r="CJ10" s="46">
        <v>135191</v>
      </c>
      <c r="CK10" s="46">
        <v>152299</v>
      </c>
      <c r="CM10" s="46">
        <v>174557</v>
      </c>
      <c r="CN10" s="46">
        <v>179428</v>
      </c>
      <c r="CO10" s="46">
        <v>173202</v>
      </c>
      <c r="CP10" s="46">
        <v>196556</v>
      </c>
      <c r="CQ10" s="46">
        <v>152497</v>
      </c>
      <c r="CR10" s="46">
        <v>142866</v>
      </c>
      <c r="CT10" s="46">
        <v>129720</v>
      </c>
      <c r="CU10" s="46">
        <v>191195</v>
      </c>
      <c r="CV10" s="46">
        <v>154556</v>
      </c>
      <c r="CW10" s="46">
        <v>196295</v>
      </c>
      <c r="CX10" s="46">
        <v>165723</v>
      </c>
      <c r="CY10" s="46">
        <v>162002</v>
      </c>
      <c r="DA10" s="46">
        <v>178984</v>
      </c>
      <c r="DB10" s="46">
        <v>204884</v>
      </c>
      <c r="DC10" s="46">
        <v>189297</v>
      </c>
      <c r="DD10" s="46">
        <v>166214</v>
      </c>
      <c r="DE10" s="46">
        <v>149434</v>
      </c>
      <c r="DF10" s="46">
        <v>163456</v>
      </c>
      <c r="DG10" s="46">
        <v>95008</v>
      </c>
      <c r="DH10" s="46">
        <v>88000</v>
      </c>
      <c r="DI10" s="46">
        <v>200491</v>
      </c>
      <c r="DJ10" s="46">
        <v>233262</v>
      </c>
      <c r="DK10" s="46">
        <v>164458</v>
      </c>
      <c r="DL10" s="46">
        <v>124517</v>
      </c>
      <c r="DM10" s="46">
        <v>226831</v>
      </c>
      <c r="DO10" s="2">
        <v>175368</v>
      </c>
      <c r="DP10" s="2">
        <v>210873</v>
      </c>
      <c r="DQ10" s="2">
        <v>224039</v>
      </c>
      <c r="DR10" s="2">
        <v>122803</v>
      </c>
      <c r="DS10" s="2"/>
      <c r="DT10" s="2">
        <v>131604</v>
      </c>
      <c r="DU10" s="2">
        <v>116048</v>
      </c>
      <c r="DV10" s="2">
        <v>164237</v>
      </c>
      <c r="DW10" s="2">
        <v>236391</v>
      </c>
      <c r="DX10" s="2">
        <v>161229</v>
      </c>
      <c r="DY10" s="2">
        <v>84043</v>
      </c>
      <c r="DZ10" s="2">
        <v>161380</v>
      </c>
      <c r="EA10" s="2">
        <v>129003</v>
      </c>
      <c r="EC10" s="7">
        <v>124156</v>
      </c>
      <c r="ED10" s="7">
        <v>178733</v>
      </c>
      <c r="EE10" s="7">
        <v>237680</v>
      </c>
      <c r="EF10" s="7">
        <v>199033</v>
      </c>
      <c r="EG10" s="7">
        <v>241276</v>
      </c>
      <c r="EH10" s="7">
        <v>207937</v>
      </c>
      <c r="EI10" s="7">
        <v>113173</v>
      </c>
      <c r="EJ10" s="7">
        <v>91931</v>
      </c>
      <c r="EK10" s="7">
        <v>171732</v>
      </c>
      <c r="EL10" s="7">
        <v>159814</v>
      </c>
      <c r="EM10" s="7">
        <v>189920</v>
      </c>
      <c r="EN10" s="7">
        <v>184296</v>
      </c>
      <c r="EO10" s="7">
        <v>193999</v>
      </c>
      <c r="EP10" s="7"/>
      <c r="EQ10" s="7">
        <v>119462</v>
      </c>
      <c r="ER10" s="7">
        <v>49985</v>
      </c>
      <c r="ES10" s="7"/>
      <c r="ET10" s="7"/>
      <c r="EU10" s="7"/>
      <c r="EV10" s="7">
        <v>108216</v>
      </c>
      <c r="EW10" s="7"/>
      <c r="EX10" s="101">
        <v>115692</v>
      </c>
      <c r="EY10" s="101">
        <v>112490</v>
      </c>
      <c r="EZ10" s="101">
        <v>163085</v>
      </c>
      <c r="FA10" s="101">
        <v>179583</v>
      </c>
      <c r="FB10" s="101">
        <v>187234</v>
      </c>
      <c r="FC10" s="101">
        <v>199687</v>
      </c>
      <c r="FE10" s="46">
        <v>211806</v>
      </c>
      <c r="FF10" s="46">
        <v>272805</v>
      </c>
      <c r="FG10" s="46">
        <v>223720</v>
      </c>
      <c r="FH10" s="46">
        <v>208274</v>
      </c>
      <c r="FI10" s="46">
        <v>237449</v>
      </c>
      <c r="FJ10" s="46">
        <v>222093</v>
      </c>
      <c r="FK10" s="46">
        <v>115550</v>
      </c>
      <c r="FL10" s="46">
        <v>144866</v>
      </c>
      <c r="FM10" s="46">
        <v>260695</v>
      </c>
      <c r="FN10" s="46">
        <v>236851</v>
      </c>
      <c r="FO10" s="46">
        <v>200738</v>
      </c>
      <c r="FP10" s="46">
        <v>206148</v>
      </c>
      <c r="FQ10" s="46">
        <v>119207</v>
      </c>
      <c r="FS10" s="7">
        <v>196317</v>
      </c>
      <c r="FT10" s="7">
        <v>154756</v>
      </c>
      <c r="FU10" s="7">
        <v>193834</v>
      </c>
      <c r="FV10" s="7">
        <v>127701</v>
      </c>
      <c r="FW10" s="7">
        <v>146510</v>
      </c>
      <c r="FX10" s="7">
        <v>119962</v>
      </c>
      <c r="FY10" s="7">
        <v>81330</v>
      </c>
      <c r="FZ10" s="7">
        <v>52101</v>
      </c>
      <c r="GA10" s="7">
        <v>140314</v>
      </c>
      <c r="GB10" s="7">
        <v>160709</v>
      </c>
      <c r="GC10" s="7">
        <v>175531</v>
      </c>
      <c r="GD10" s="7">
        <v>180000</v>
      </c>
      <c r="GE10" s="7">
        <v>152885</v>
      </c>
      <c r="GG10" s="7">
        <v>157250</v>
      </c>
      <c r="GH10" s="7">
        <v>164742</v>
      </c>
      <c r="GI10" s="7">
        <v>138518</v>
      </c>
      <c r="GJ10" s="7">
        <v>149392</v>
      </c>
      <c r="GK10" s="7">
        <v>120089</v>
      </c>
      <c r="GL10" s="7">
        <v>107397</v>
      </c>
      <c r="GM10" s="7">
        <v>67743</v>
      </c>
      <c r="GN10" s="7">
        <v>53699</v>
      </c>
      <c r="GO10" s="7">
        <v>103630</v>
      </c>
      <c r="GP10" s="7">
        <v>124687</v>
      </c>
      <c r="GQ10" s="7">
        <v>87642</v>
      </c>
      <c r="GR10" s="7">
        <v>128166</v>
      </c>
      <c r="GS10" s="7">
        <v>141006</v>
      </c>
      <c r="GT10" s="7"/>
      <c r="GU10" s="7">
        <v>179256</v>
      </c>
      <c r="GV10" s="7">
        <v>165481</v>
      </c>
      <c r="GW10" s="7">
        <v>158226</v>
      </c>
      <c r="GX10" s="7">
        <v>133583</v>
      </c>
      <c r="GY10" s="7">
        <v>147695</v>
      </c>
      <c r="GZ10" s="7">
        <v>142413</v>
      </c>
      <c r="HA10" s="7">
        <v>102371</v>
      </c>
      <c r="HB10" s="78">
        <v>68747</v>
      </c>
      <c r="HC10" s="78">
        <v>182057</v>
      </c>
      <c r="HD10" s="78">
        <v>178491</v>
      </c>
      <c r="HE10" s="78">
        <v>176912</v>
      </c>
      <c r="HF10" s="78">
        <v>187768</v>
      </c>
      <c r="HG10" s="78">
        <v>218150</v>
      </c>
      <c r="HI10" s="78">
        <v>155855</v>
      </c>
      <c r="HJ10" s="78">
        <v>141969</v>
      </c>
      <c r="HK10" s="78">
        <v>158250</v>
      </c>
      <c r="HL10" s="78">
        <v>166793</v>
      </c>
      <c r="HM10" s="78">
        <v>163083</v>
      </c>
      <c r="HN10" s="78">
        <v>161983</v>
      </c>
      <c r="HO10" s="78">
        <v>64160</v>
      </c>
      <c r="HP10" s="78">
        <v>72592</v>
      </c>
      <c r="HQ10" s="78">
        <v>127895</v>
      </c>
      <c r="HR10" s="78">
        <v>156524</v>
      </c>
      <c r="HS10" s="78">
        <v>138210</v>
      </c>
      <c r="HT10" s="78">
        <v>104198</v>
      </c>
      <c r="HU10" s="78">
        <v>130105</v>
      </c>
      <c r="HW10" s="7">
        <v>70343</v>
      </c>
      <c r="HX10" s="7">
        <v>142107</v>
      </c>
      <c r="HY10" s="7">
        <v>181926</v>
      </c>
      <c r="HZ10" s="7">
        <v>217667</v>
      </c>
      <c r="IA10" s="7">
        <v>170068</v>
      </c>
      <c r="IB10" s="7">
        <v>183518</v>
      </c>
      <c r="IC10" s="7">
        <v>101063</v>
      </c>
      <c r="ID10" s="7">
        <v>78108</v>
      </c>
      <c r="IE10" s="7">
        <v>173573</v>
      </c>
      <c r="IF10" s="7">
        <v>179830</v>
      </c>
      <c r="IG10" s="7">
        <v>170905</v>
      </c>
      <c r="IH10" s="7">
        <v>114229</v>
      </c>
      <c r="II10" s="7">
        <v>126324</v>
      </c>
      <c r="IK10" s="7">
        <v>116054</v>
      </c>
      <c r="IL10" s="7">
        <v>168664</v>
      </c>
      <c r="IM10" s="7">
        <v>177318</v>
      </c>
      <c r="IN10" s="7">
        <v>123941</v>
      </c>
      <c r="IO10" s="7">
        <v>123133</v>
      </c>
      <c r="IP10" s="7">
        <v>139136</v>
      </c>
      <c r="IQ10" s="7">
        <v>82619</v>
      </c>
      <c r="IR10" s="7">
        <v>88823</v>
      </c>
      <c r="IS10" s="7">
        <v>161615</v>
      </c>
      <c r="IT10" s="7">
        <v>152946</v>
      </c>
      <c r="IU10" s="7">
        <v>169226</v>
      </c>
      <c r="IV10" s="7">
        <v>158095</v>
      </c>
      <c r="IW10" s="7">
        <v>156800</v>
      </c>
      <c r="IY10" s="78">
        <v>221774</v>
      </c>
      <c r="IZ10" s="78">
        <v>162823</v>
      </c>
      <c r="JA10" s="78">
        <v>202332</v>
      </c>
      <c r="JB10" s="78">
        <v>132799</v>
      </c>
      <c r="JC10" s="78">
        <v>168820</v>
      </c>
      <c r="JD10" s="78">
        <v>187057</v>
      </c>
      <c r="JF10" s="78">
        <v>202988</v>
      </c>
      <c r="JG10" s="78">
        <v>199324</v>
      </c>
      <c r="JH10" s="78">
        <v>220086</v>
      </c>
      <c r="JI10" s="78">
        <v>160481</v>
      </c>
      <c r="JJ10" s="78">
        <v>195042</v>
      </c>
      <c r="JK10" s="78">
        <v>227750</v>
      </c>
      <c r="JM10" s="78">
        <v>146196</v>
      </c>
      <c r="JN10" s="78">
        <v>175318</v>
      </c>
      <c r="JO10" s="78">
        <v>193005</v>
      </c>
      <c r="JP10" s="78">
        <v>201993</v>
      </c>
      <c r="JQ10" s="78">
        <v>239868</v>
      </c>
      <c r="JR10" s="78">
        <v>235277</v>
      </c>
      <c r="JT10" s="78">
        <v>244120</v>
      </c>
      <c r="JU10" s="78">
        <v>204295</v>
      </c>
      <c r="JV10" s="78">
        <v>209272</v>
      </c>
      <c r="JW10" s="78">
        <v>213354</v>
      </c>
      <c r="JX10" s="78">
        <v>221275</v>
      </c>
      <c r="JY10" s="78">
        <v>228480</v>
      </c>
      <c r="KB10" s="20"/>
      <c r="LE10" s="20"/>
      <c r="LY10" s="2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V10" s="7"/>
    </row>
    <row r="11" spans="1:371">
      <c r="A11" s="17">
        <f>+A10/A9</f>
        <v>347.92172009346416</v>
      </c>
      <c r="B11" s="18" t="s">
        <v>424</v>
      </c>
      <c r="C11" s="2"/>
      <c r="D11" s="2">
        <f t="shared" ref="D11:BO11" si="15">+IFERROR(D10/D9,"")</f>
        <v>359.23568702290078</v>
      </c>
      <c r="E11" s="2">
        <f t="shared" si="15"/>
        <v>366.42953624493475</v>
      </c>
      <c r="F11" s="2"/>
      <c r="G11" s="2">
        <f t="shared" si="15"/>
        <v>266.49646368811455</v>
      </c>
      <c r="H11" s="2">
        <f t="shared" si="15"/>
        <v>307.17530864197533</v>
      </c>
      <c r="I11" s="2">
        <f t="shared" si="15"/>
        <v>345.81405693950182</v>
      </c>
      <c r="J11" s="2">
        <f t="shared" si="15"/>
        <v>406.68365953573056</v>
      </c>
      <c r="K11" s="2">
        <f t="shared" si="15"/>
        <v>347.66169516187705</v>
      </c>
      <c r="L11" s="2">
        <f t="shared" si="15"/>
        <v>385.17419354838711</v>
      </c>
      <c r="N11" s="2">
        <f t="shared" si="15"/>
        <v>260.30326797385624</v>
      </c>
      <c r="O11" s="2">
        <f t="shared" si="15"/>
        <v>429.42822185970641</v>
      </c>
      <c r="P11" s="2">
        <f t="shared" si="15"/>
        <v>454.06545135075766</v>
      </c>
      <c r="Q11" s="2">
        <f t="shared" si="15"/>
        <v>264.99554234769687</v>
      </c>
      <c r="R11" s="2">
        <f t="shared" si="15"/>
        <v>206.43941411451399</v>
      </c>
      <c r="S11" s="2">
        <f t="shared" si="15"/>
        <v>256.01985815602836</v>
      </c>
      <c r="T11" s="2" t="str">
        <f t="shared" si="15"/>
        <v/>
      </c>
      <c r="U11" s="2">
        <f t="shared" si="15"/>
        <v>376.71093279839522</v>
      </c>
      <c r="V11" s="2">
        <f t="shared" si="15"/>
        <v>355.69839841641175</v>
      </c>
      <c r="W11" s="2">
        <f t="shared" si="15"/>
        <v>374.85977011494253</v>
      </c>
      <c r="X11" s="2">
        <f t="shared" si="15"/>
        <v>278.97369959088252</v>
      </c>
      <c r="Y11" s="2">
        <f t="shared" si="15"/>
        <v>288.59168316831682</v>
      </c>
      <c r="Z11" s="2">
        <f t="shared" si="15"/>
        <v>285.04666932588748</v>
      </c>
      <c r="AA11" s="2" t="str">
        <f t="shared" si="15"/>
        <v/>
      </c>
      <c r="AB11" s="2">
        <f t="shared" si="15"/>
        <v>304.01094091903718</v>
      </c>
      <c r="AC11" s="2">
        <f t="shared" si="15"/>
        <v>333.67959291103705</v>
      </c>
      <c r="AD11" s="2">
        <f t="shared" si="15"/>
        <v>191.24928183849346</v>
      </c>
      <c r="AE11" s="2">
        <f t="shared" si="15"/>
        <v>281.80020181634717</v>
      </c>
      <c r="AF11" s="2">
        <f t="shared" si="15"/>
        <v>232.97892590074778</v>
      </c>
      <c r="AG11" s="2">
        <f t="shared" si="15"/>
        <v>324.64752475247525</v>
      </c>
      <c r="AH11" s="2" t="str">
        <f t="shared" si="15"/>
        <v/>
      </c>
      <c r="AI11" s="2">
        <f t="shared" si="15"/>
        <v>225.88356807511738</v>
      </c>
      <c r="AJ11" s="2">
        <f t="shared" si="15"/>
        <v>312.81767068273092</v>
      </c>
      <c r="AK11" s="2">
        <f t="shared" si="15"/>
        <v>230.14879649890591</v>
      </c>
      <c r="AL11" s="2">
        <f t="shared" si="15"/>
        <v>226.34726569692506</v>
      </c>
      <c r="AM11" s="2">
        <f t="shared" si="15"/>
        <v>294.11147289791228</v>
      </c>
      <c r="AN11" s="2">
        <f t="shared" si="15"/>
        <v>264.608</v>
      </c>
      <c r="AO11" s="2" t="str">
        <f t="shared" si="15"/>
        <v/>
      </c>
      <c r="AP11" s="2">
        <f t="shared" si="15"/>
        <v>273.26638855780692</v>
      </c>
      <c r="AQ11" s="2">
        <f t="shared" si="15"/>
        <v>295.59435928877991</v>
      </c>
      <c r="AR11" s="2">
        <f t="shared" si="15"/>
        <v>327.06184521797906</v>
      </c>
      <c r="AS11" s="2">
        <f t="shared" si="15"/>
        <v>286.64727926847547</v>
      </c>
      <c r="AT11" s="2">
        <f t="shared" si="15"/>
        <v>288.12903225806451</v>
      </c>
      <c r="AU11" s="2">
        <f t="shared" si="15"/>
        <v>307.41648333051279</v>
      </c>
      <c r="AV11" s="2" t="str">
        <f t="shared" si="15"/>
        <v/>
      </c>
      <c r="AW11" s="2">
        <f t="shared" si="15"/>
        <v>358.47210787792767</v>
      </c>
      <c r="AX11" s="2">
        <f t="shared" si="15"/>
        <v>341.61278648974661</v>
      </c>
      <c r="AY11" s="2">
        <f t="shared" si="15"/>
        <v>380.61191860465112</v>
      </c>
      <c r="AZ11" s="2">
        <f t="shared" si="15"/>
        <v>343.6117535545024</v>
      </c>
      <c r="BA11" s="2">
        <f t="shared" si="15"/>
        <v>303.90595954073262</v>
      </c>
      <c r="BB11" s="2">
        <f t="shared" si="15"/>
        <v>331.87581699346407</v>
      </c>
      <c r="BC11" s="2" t="str">
        <f t="shared" si="15"/>
        <v/>
      </c>
      <c r="BD11" s="2">
        <f t="shared" si="15"/>
        <v>341.8742814759874</v>
      </c>
      <c r="BE11" s="2">
        <f t="shared" si="15"/>
        <v>347.03703703703701</v>
      </c>
      <c r="BF11" s="2">
        <f t="shared" si="15"/>
        <v>346.44086021505376</v>
      </c>
      <c r="BG11" s="2">
        <f t="shared" si="15"/>
        <v>332.8171206225681</v>
      </c>
      <c r="BH11" s="2">
        <f t="shared" si="15"/>
        <v>299.89018881037873</v>
      </c>
      <c r="BI11" s="2">
        <f t="shared" si="15"/>
        <v>312.78987966676954</v>
      </c>
      <c r="BJ11" s="2" t="str">
        <f t="shared" si="15"/>
        <v/>
      </c>
      <c r="BK11" s="2">
        <f t="shared" si="15"/>
        <v>324.39115250291036</v>
      </c>
      <c r="BL11" s="2">
        <f t="shared" si="15"/>
        <v>386.48630136986299</v>
      </c>
      <c r="BM11" s="2">
        <f t="shared" si="15"/>
        <v>306.46666666666664</v>
      </c>
      <c r="BN11" s="2">
        <f t="shared" si="15"/>
        <v>366.00451977401127</v>
      </c>
      <c r="BO11" s="2">
        <f t="shared" si="15"/>
        <v>348.6061855670103</v>
      </c>
      <c r="BP11" s="2">
        <f t="shared" ref="BP11:EB11" si="16">+IFERROR(BP10/BP9,"")</f>
        <v>336.7674074074074</v>
      </c>
      <c r="BQ11" s="2" t="str">
        <f t="shared" si="16"/>
        <v/>
      </c>
      <c r="BR11" s="2">
        <f t="shared" si="16"/>
        <v>332.66147186147185</v>
      </c>
      <c r="BS11" s="2">
        <f t="shared" si="16"/>
        <v>405.77712031558184</v>
      </c>
      <c r="BT11" s="2">
        <f t="shared" si="16"/>
        <v>420.75741874705608</v>
      </c>
      <c r="BU11" s="2">
        <f t="shared" si="16"/>
        <v>401.60151802656549</v>
      </c>
      <c r="BV11" s="2">
        <f t="shared" si="16"/>
        <v>330.70858895705521</v>
      </c>
      <c r="BW11" s="2">
        <f t="shared" si="16"/>
        <v>354.02155115072503</v>
      </c>
      <c r="BX11" s="2">
        <f t="shared" si="16"/>
        <v>367.8741818181818</v>
      </c>
      <c r="BY11" s="2">
        <f t="shared" si="16"/>
        <v>397.95044598612498</v>
      </c>
      <c r="BZ11" s="2">
        <f t="shared" si="16"/>
        <v>393.14870689655174</v>
      </c>
      <c r="CA11" s="2">
        <f t="shared" si="16"/>
        <v>307.19206757253033</v>
      </c>
      <c r="CB11" s="2">
        <f t="shared" si="16"/>
        <v>252.3017543859649</v>
      </c>
      <c r="CC11" s="2" t="str">
        <f t="shared" si="16"/>
        <v/>
      </c>
      <c r="CD11" s="2" t="str">
        <f t="shared" si="16"/>
        <v/>
      </c>
      <c r="CE11" s="2" t="str">
        <f t="shared" si="16"/>
        <v/>
      </c>
      <c r="CF11" s="2">
        <f t="shared" si="16"/>
        <v>396.32355555555557</v>
      </c>
      <c r="CG11" s="2">
        <f t="shared" si="16"/>
        <v>392.92307692307691</v>
      </c>
      <c r="CH11" s="2">
        <f t="shared" si="16"/>
        <v>353.07111111111112</v>
      </c>
      <c r="CI11" s="2">
        <f t="shared" si="16"/>
        <v>381.42422706538264</v>
      </c>
      <c r="CJ11" s="2">
        <f t="shared" si="16"/>
        <v>346.64358974358976</v>
      </c>
      <c r="CK11" s="2">
        <f t="shared" si="16"/>
        <v>356.67213114754099</v>
      </c>
      <c r="CL11" s="2" t="str">
        <f t="shared" si="16"/>
        <v/>
      </c>
      <c r="CM11" s="2">
        <f t="shared" si="16"/>
        <v>364.35623586710733</v>
      </c>
      <c r="CN11" s="2">
        <f t="shared" si="16"/>
        <v>376.75170603674542</v>
      </c>
      <c r="CO11" s="2">
        <f t="shared" si="16"/>
        <v>361.02553413236058</v>
      </c>
      <c r="CP11" s="2">
        <f t="shared" si="16"/>
        <v>351.51594634873317</v>
      </c>
      <c r="CQ11" s="2">
        <f t="shared" si="16"/>
        <v>330.08008658008657</v>
      </c>
      <c r="CR11" s="2">
        <f t="shared" si="16"/>
        <v>423.30666666666662</v>
      </c>
      <c r="CS11" s="2" t="str">
        <f t="shared" si="16"/>
        <v/>
      </c>
      <c r="CT11" s="2">
        <f t="shared" si="16"/>
        <v>360.58373870743571</v>
      </c>
      <c r="CU11" s="2">
        <f t="shared" si="16"/>
        <v>354.06481481481484</v>
      </c>
      <c r="CV11" s="2">
        <f t="shared" si="16"/>
        <v>362.73655388226092</v>
      </c>
      <c r="CW11" s="2">
        <f t="shared" si="16"/>
        <v>411.87969924812029</v>
      </c>
      <c r="CX11" s="2">
        <f t="shared" si="16"/>
        <v>370.26177620554836</v>
      </c>
      <c r="CY11" s="2">
        <f t="shared" si="16"/>
        <v>406.27460815047021</v>
      </c>
      <c r="CZ11" s="2" t="str">
        <f t="shared" si="16"/>
        <v/>
      </c>
      <c r="DA11" s="2">
        <f t="shared" si="16"/>
        <v>356.48265560165976</v>
      </c>
      <c r="DB11" s="2">
        <f t="shared" si="16"/>
        <v>354.93113902122133</v>
      </c>
      <c r="DC11" s="2">
        <f t="shared" si="16"/>
        <v>397.3349658912017</v>
      </c>
      <c r="DD11" s="2">
        <f t="shared" si="16"/>
        <v>375.62485875706216</v>
      </c>
      <c r="DE11" s="2">
        <f t="shared" si="16"/>
        <v>356.50258449304175</v>
      </c>
      <c r="DF11" s="2">
        <f t="shared" si="16"/>
        <v>369.6705616283453</v>
      </c>
      <c r="DG11" s="2">
        <f t="shared" si="16"/>
        <v>296.59105098855355</v>
      </c>
      <c r="DH11" s="2">
        <f t="shared" si="16"/>
        <v>425.12077294686003</v>
      </c>
      <c r="DI11" s="2">
        <f t="shared" si="16"/>
        <v>348.02430203963547</v>
      </c>
      <c r="DJ11" s="2">
        <f t="shared" si="16"/>
        <v>363.66688320124729</v>
      </c>
      <c r="DK11" s="2">
        <f t="shared" si="16"/>
        <v>333.30450937341669</v>
      </c>
      <c r="DL11" s="2">
        <f t="shared" si="16"/>
        <v>312.39891281622408</v>
      </c>
      <c r="DM11" s="2">
        <f t="shared" si="16"/>
        <v>341.35590669676446</v>
      </c>
      <c r="DN11" s="2" t="str">
        <f t="shared" si="16"/>
        <v/>
      </c>
      <c r="DO11" s="2">
        <f t="shared" si="16"/>
        <v>339.36719883889697</v>
      </c>
      <c r="DP11" s="2">
        <f t="shared" si="16"/>
        <v>377.34506412168213</v>
      </c>
      <c r="DQ11" s="2">
        <f t="shared" si="16"/>
        <v>368.03121149897328</v>
      </c>
      <c r="DR11" s="2">
        <f t="shared" si="16"/>
        <v>327.76601423487546</v>
      </c>
      <c r="DS11" s="2" t="str">
        <f t="shared" si="16"/>
        <v/>
      </c>
      <c r="DT11" s="2">
        <f t="shared" si="16"/>
        <v>325.55102040816325</v>
      </c>
      <c r="DU11" s="2">
        <f t="shared" si="16"/>
        <v>360.11792086889062</v>
      </c>
      <c r="DV11" s="2">
        <f t="shared" si="16"/>
        <v>438.25750500333555</v>
      </c>
      <c r="DW11" s="2">
        <f t="shared" si="16"/>
        <v>371.53791748526521</v>
      </c>
      <c r="DX11" s="2">
        <f t="shared" si="16"/>
        <v>394.12263190059076</v>
      </c>
      <c r="DY11" s="2">
        <f t="shared" si="16"/>
        <v>363.69130905156874</v>
      </c>
      <c r="DZ11" s="2">
        <f t="shared" si="16"/>
        <v>407.43951188722906</v>
      </c>
      <c r="EA11" s="2">
        <f t="shared" si="16"/>
        <v>409.96716101694915</v>
      </c>
      <c r="EB11" s="2" t="str">
        <f t="shared" si="16"/>
        <v/>
      </c>
      <c r="EC11" s="2">
        <f t="shared" ref="EC11:GN11" si="17">+IFERROR(EC10/EC9,"")</f>
        <v>360.8311939937031</v>
      </c>
      <c r="ED11" s="2">
        <f t="shared" si="17"/>
        <v>405.82705771050138</v>
      </c>
      <c r="EE11" s="2">
        <f t="shared" si="17"/>
        <v>409.85199022848116</v>
      </c>
      <c r="EF11" s="2">
        <f t="shared" si="17"/>
        <v>368.80728844966029</v>
      </c>
      <c r="EG11" s="2">
        <f t="shared" si="17"/>
        <v>402.07082349673652</v>
      </c>
      <c r="EH11" s="2">
        <f t="shared" si="17"/>
        <v>394.81708860759494</v>
      </c>
      <c r="EI11" s="2">
        <f t="shared" si="17"/>
        <v>343.29524772497479</v>
      </c>
      <c r="EJ11" s="2">
        <f t="shared" si="17"/>
        <v>439.3357228195938</v>
      </c>
      <c r="EK11" s="2">
        <f t="shared" si="17"/>
        <v>450.1494102228047</v>
      </c>
      <c r="EL11" s="2">
        <f t="shared" si="17"/>
        <v>435.06533575317604</v>
      </c>
      <c r="EM11" s="2">
        <f t="shared" si="17"/>
        <v>403.72719220549163</v>
      </c>
      <c r="EN11" s="2">
        <f t="shared" si="17"/>
        <v>398.1908534389629</v>
      </c>
      <c r="EO11" s="2">
        <f t="shared" si="17"/>
        <v>416.6794344012888</v>
      </c>
      <c r="EP11" s="2" t="str">
        <f t="shared" si="17"/>
        <v/>
      </c>
      <c r="EQ11" s="2">
        <f t="shared" si="17"/>
        <v>378.34362628661916</v>
      </c>
      <c r="ER11" s="2">
        <f t="shared" si="17"/>
        <v>366.63814180929091</v>
      </c>
      <c r="ES11" s="2" t="str">
        <f t="shared" si="17"/>
        <v/>
      </c>
      <c r="ET11" s="2" t="str">
        <f t="shared" si="17"/>
        <v/>
      </c>
      <c r="EU11" s="2" t="str">
        <f t="shared" si="17"/>
        <v/>
      </c>
      <c r="EV11" s="2">
        <f t="shared" si="17"/>
        <v>311.11451844753236</v>
      </c>
      <c r="EW11" s="2" t="str">
        <f t="shared" si="17"/>
        <v/>
      </c>
      <c r="EX11" s="2">
        <f t="shared" si="17"/>
        <v>592.78565328778814</v>
      </c>
      <c r="EY11" s="2">
        <f t="shared" si="17"/>
        <v>385.12981455064198</v>
      </c>
      <c r="EZ11" s="2">
        <f t="shared" si="17"/>
        <v>395.75733063700704</v>
      </c>
      <c r="FA11" s="2">
        <f t="shared" si="17"/>
        <v>372.06422651933701</v>
      </c>
      <c r="FB11" s="2">
        <f t="shared" si="17"/>
        <v>411.50329670329671</v>
      </c>
      <c r="FC11" s="2">
        <f t="shared" si="17"/>
        <v>405.18160297598922</v>
      </c>
      <c r="FD11" s="2" t="str">
        <f t="shared" si="17"/>
        <v/>
      </c>
      <c r="FE11" s="2">
        <f t="shared" si="17"/>
        <v>366.92247726288434</v>
      </c>
      <c r="FF11" s="2">
        <f t="shared" si="17"/>
        <v>412.35168157198643</v>
      </c>
      <c r="FG11" s="2">
        <f t="shared" si="17"/>
        <v>401.6517055655296</v>
      </c>
      <c r="FH11" s="2">
        <f t="shared" si="17"/>
        <v>379.13956310679617</v>
      </c>
      <c r="FI11" s="2">
        <f t="shared" si="17"/>
        <v>363.86004341718808</v>
      </c>
      <c r="FJ11" s="2">
        <f t="shared" si="17"/>
        <v>375.36845070422532</v>
      </c>
      <c r="FK11" s="2">
        <f t="shared" si="17"/>
        <v>342.9631461785803</v>
      </c>
      <c r="FL11" s="2">
        <f t="shared" si="17"/>
        <v>386.65302491103205</v>
      </c>
      <c r="FM11" s="2">
        <f t="shared" si="17"/>
        <v>418.28319294023265</v>
      </c>
      <c r="FN11" s="2">
        <f t="shared" si="17"/>
        <v>398.96294216732173</v>
      </c>
      <c r="FO11" s="2">
        <f t="shared" si="17"/>
        <v>386.96481927710846</v>
      </c>
      <c r="FP11" s="2">
        <f t="shared" si="17"/>
        <v>380.75665691857773</v>
      </c>
      <c r="FQ11" s="2">
        <f t="shared" si="17"/>
        <v>369.44318181818187</v>
      </c>
      <c r="FR11" s="2" t="str">
        <f t="shared" si="17"/>
        <v/>
      </c>
      <c r="FS11" s="2">
        <f t="shared" si="17"/>
        <v>345.52713405690821</v>
      </c>
      <c r="FT11" s="2">
        <f t="shared" si="17"/>
        <v>373.43092700583151</v>
      </c>
      <c r="FU11" s="2">
        <f t="shared" si="17"/>
        <v>355.71310597950759</v>
      </c>
      <c r="FV11" s="2">
        <f t="shared" si="17"/>
        <v>293.56551724137933</v>
      </c>
      <c r="FW11" s="2">
        <f t="shared" si="17"/>
        <v>323.89830508474574</v>
      </c>
      <c r="FX11" s="2">
        <f t="shared" si="17"/>
        <v>358.63079222720478</v>
      </c>
      <c r="FY11" s="2">
        <f t="shared" si="17"/>
        <v>371.36986301369865</v>
      </c>
      <c r="FZ11" s="2">
        <f t="shared" si="17"/>
        <v>297.43672692673653</v>
      </c>
      <c r="GA11" s="2">
        <f t="shared" si="17"/>
        <v>348.82287134866374</v>
      </c>
      <c r="GB11" s="2">
        <f t="shared" si="17"/>
        <v>297.01339904512548</v>
      </c>
      <c r="GC11" s="2">
        <f t="shared" si="17"/>
        <v>295.01008403361345</v>
      </c>
      <c r="GD11" s="2">
        <f t="shared" si="17"/>
        <v>332.46113590888098</v>
      </c>
      <c r="GE11" s="2">
        <f t="shared" si="17"/>
        <v>321.75026306559101</v>
      </c>
      <c r="GF11" s="2" t="str">
        <f t="shared" si="17"/>
        <v/>
      </c>
      <c r="GG11" s="2">
        <f t="shared" si="17"/>
        <v>320.59123343527011</v>
      </c>
      <c r="GH11" s="2">
        <f t="shared" si="17"/>
        <v>341.31629834254147</v>
      </c>
      <c r="GI11" s="2">
        <f t="shared" si="17"/>
        <v>308.84726867335564</v>
      </c>
      <c r="GJ11" s="2">
        <f t="shared" si="17"/>
        <v>317.6863370547581</v>
      </c>
      <c r="GK11" s="2">
        <f t="shared" si="17"/>
        <v>319.52727272727276</v>
      </c>
      <c r="GL11" s="2">
        <f t="shared" si="17"/>
        <v>370.22809537489229</v>
      </c>
      <c r="GM11" s="2">
        <f t="shared" si="17"/>
        <v>366.34339792699416</v>
      </c>
      <c r="GN11" s="2">
        <f t="shared" si="17"/>
        <v>294.91441647597259</v>
      </c>
      <c r="GO11" s="2">
        <f t="shared" ref="GO11:IZ11" si="18">+IFERROR(GO10/GO9,"")</f>
        <v>248.11652035115722</v>
      </c>
      <c r="GP11" s="2">
        <f t="shared" si="18"/>
        <v>387.02638385928611</v>
      </c>
      <c r="GQ11" s="2">
        <f t="shared" si="18"/>
        <v>323.10414746543773</v>
      </c>
      <c r="GR11" s="2">
        <f t="shared" si="18"/>
        <v>346.00494938132732</v>
      </c>
      <c r="GS11" s="2">
        <f t="shared" si="18"/>
        <v>402.39524375743161</v>
      </c>
      <c r="GT11" s="2" t="str">
        <f t="shared" si="18"/>
        <v/>
      </c>
      <c r="GU11" s="2">
        <f t="shared" si="18"/>
        <v>410.98051203668325</v>
      </c>
      <c r="GV11" s="2">
        <f t="shared" si="18"/>
        <v>447.14523755910824</v>
      </c>
      <c r="GW11" s="2">
        <f t="shared" si="18"/>
        <v>458.29398986241853</v>
      </c>
      <c r="GX11" s="2">
        <f t="shared" si="18"/>
        <v>421.73007103393843</v>
      </c>
      <c r="GY11" s="2">
        <f t="shared" si="18"/>
        <v>431.85672514619881</v>
      </c>
      <c r="GZ11" s="2">
        <f t="shared" si="18"/>
        <v>510.44086021505376</v>
      </c>
      <c r="HA11" s="2">
        <f t="shared" si="18"/>
        <v>389.98476190476191</v>
      </c>
      <c r="HB11" s="2">
        <f t="shared" si="18"/>
        <v>309.67117117117118</v>
      </c>
      <c r="HC11" s="2">
        <f t="shared" si="18"/>
        <v>529.62036363636366</v>
      </c>
      <c r="HD11" s="2">
        <f t="shared" si="18"/>
        <v>457.57145908993806</v>
      </c>
      <c r="HE11" s="2">
        <f t="shared" si="18"/>
        <v>483.80674567000909</v>
      </c>
      <c r="HF11" s="2">
        <f t="shared" si="18"/>
        <v>431.56789886994829</v>
      </c>
      <c r="HG11" s="2">
        <f t="shared" si="18"/>
        <v>374.77451682176087</v>
      </c>
      <c r="HH11" s="2" t="str">
        <f t="shared" si="18"/>
        <v/>
      </c>
      <c r="HI11" s="2">
        <f t="shared" si="18"/>
        <v>460.31503814915089</v>
      </c>
      <c r="HJ11" s="2">
        <f t="shared" si="18"/>
        <v>420.96071163825053</v>
      </c>
      <c r="HK11" s="2">
        <f t="shared" si="18"/>
        <v>434.45435827041865</v>
      </c>
      <c r="HL11" s="2">
        <f t="shared" si="18"/>
        <v>418.46456199038261</v>
      </c>
      <c r="HM11" s="2">
        <f t="shared" si="18"/>
        <v>427.29170305676854</v>
      </c>
      <c r="HN11" s="2">
        <f t="shared" si="18"/>
        <v>452.04558139534879</v>
      </c>
      <c r="HO11" s="2">
        <f t="shared" si="18"/>
        <v>427.73333333333335</v>
      </c>
      <c r="HP11" s="2">
        <f t="shared" si="18"/>
        <v>384.0846560846561</v>
      </c>
      <c r="HQ11" s="2">
        <f t="shared" si="18"/>
        <v>347.38343141693076</v>
      </c>
      <c r="HR11" s="2">
        <f t="shared" si="18"/>
        <v>307.76470588235298</v>
      </c>
      <c r="HS11" s="2">
        <f t="shared" si="18"/>
        <v>294.27253371185236</v>
      </c>
      <c r="HT11" s="2">
        <f t="shared" si="18"/>
        <v>284.88858509911142</v>
      </c>
      <c r="HU11" s="2">
        <f t="shared" si="18"/>
        <v>312.18956208758249</v>
      </c>
      <c r="HV11" s="2" t="str">
        <f t="shared" si="18"/>
        <v/>
      </c>
      <c r="HW11" s="2">
        <f t="shared" si="18"/>
        <v>260.52962962962965</v>
      </c>
      <c r="HX11" s="2">
        <f t="shared" si="18"/>
        <v>338.35</v>
      </c>
      <c r="HY11" s="2">
        <f t="shared" si="18"/>
        <v>362.04179104477612</v>
      </c>
      <c r="HZ11" s="2">
        <f t="shared" si="18"/>
        <v>373.89121099341537</v>
      </c>
      <c r="IA11" s="2">
        <f t="shared" si="18"/>
        <v>330.49651821862352</v>
      </c>
      <c r="IB11" s="2">
        <f t="shared" si="18"/>
        <v>402.45175438596493</v>
      </c>
      <c r="IC11" s="2">
        <f t="shared" si="18"/>
        <v>377.57036114570366</v>
      </c>
      <c r="ID11" s="2">
        <f t="shared" si="18"/>
        <v>313.8968519758875</v>
      </c>
      <c r="IE11" s="2">
        <f t="shared" si="18"/>
        <v>367.35026455026457</v>
      </c>
      <c r="IF11" s="2">
        <f t="shared" si="18"/>
        <v>358.94211576846305</v>
      </c>
      <c r="IG11" s="2">
        <f t="shared" si="18"/>
        <v>336.26168224299067</v>
      </c>
      <c r="IH11" s="2">
        <f t="shared" si="18"/>
        <v>253.41985579589573</v>
      </c>
      <c r="II11" s="2">
        <f t="shared" si="18"/>
        <v>331.41407958023609</v>
      </c>
      <c r="IJ11" s="2" t="str">
        <f t="shared" si="18"/>
        <v/>
      </c>
      <c r="IK11" s="2">
        <f t="shared" si="18"/>
        <v>338.59664478482858</v>
      </c>
      <c r="IL11" s="2">
        <f t="shared" si="18"/>
        <v>338.68273092369481</v>
      </c>
      <c r="IM11" s="2">
        <f t="shared" si="18"/>
        <v>357.1359516616314</v>
      </c>
      <c r="IN11" s="2">
        <f t="shared" si="18"/>
        <v>272.14858188472095</v>
      </c>
      <c r="IO11" s="2">
        <f t="shared" si="18"/>
        <v>255.02174663444941</v>
      </c>
      <c r="IP11" s="2">
        <f t="shared" si="18"/>
        <v>317.72254995242628</v>
      </c>
      <c r="IQ11" s="2">
        <f t="shared" si="18"/>
        <v>333.81414141414143</v>
      </c>
      <c r="IR11" s="2">
        <f t="shared" si="18"/>
        <v>316.47149643705467</v>
      </c>
      <c r="IS11" s="2">
        <f t="shared" si="18"/>
        <v>347.55913978494624</v>
      </c>
      <c r="IT11" s="2">
        <f t="shared" si="18"/>
        <v>368.24879614767252</v>
      </c>
      <c r="IU11" s="2">
        <f t="shared" si="18"/>
        <v>395.85029239766084</v>
      </c>
      <c r="IV11" s="2">
        <f t="shared" si="18"/>
        <v>360.2620584884163</v>
      </c>
      <c r="IW11" s="2">
        <f t="shared" si="18"/>
        <v>366.85513745369462</v>
      </c>
      <c r="IX11" s="2" t="str">
        <f t="shared" si="18"/>
        <v/>
      </c>
      <c r="IY11" s="2">
        <f t="shared" si="18"/>
        <v>365.96369636963698</v>
      </c>
      <c r="IZ11" s="2">
        <f t="shared" si="18"/>
        <v>331.95310907237513</v>
      </c>
      <c r="JA11" s="2">
        <f t="shared" ref="JA11:JZ11" si="19">+IFERROR(JA10/JA9,"")</f>
        <v>354.50197109067017</v>
      </c>
      <c r="JB11" s="2">
        <f t="shared" si="19"/>
        <v>282.75159687721782</v>
      </c>
      <c r="JC11" s="2">
        <f t="shared" si="19"/>
        <v>327.48787584869058</v>
      </c>
      <c r="JD11" s="2">
        <f t="shared" si="19"/>
        <v>288.85394415133186</v>
      </c>
      <c r="JE11" s="2" t="str">
        <f t="shared" si="19"/>
        <v/>
      </c>
      <c r="JF11" s="2">
        <f t="shared" si="19"/>
        <v>342.93340841897788</v>
      </c>
      <c r="JG11" s="2">
        <f t="shared" si="19"/>
        <v>364.61707317073171</v>
      </c>
      <c r="JH11" s="2">
        <f t="shared" si="19"/>
        <v>329.71685393258429</v>
      </c>
      <c r="JI11" s="2">
        <f t="shared" si="19"/>
        <v>304.37363679468933</v>
      </c>
      <c r="JJ11" s="2">
        <f t="shared" si="19"/>
        <v>276.2308509382745</v>
      </c>
      <c r="JK11" s="2">
        <f t="shared" si="19"/>
        <v>321.26484071940752</v>
      </c>
      <c r="JL11" s="2" t="str">
        <f t="shared" si="19"/>
        <v/>
      </c>
      <c r="JM11" s="2">
        <f t="shared" si="19"/>
        <v>279.3999044433827</v>
      </c>
      <c r="JN11" s="2">
        <f t="shared" si="19"/>
        <v>275.26049980374199</v>
      </c>
      <c r="JO11" s="2">
        <f t="shared" si="19"/>
        <v>310.04819277108436</v>
      </c>
      <c r="JP11" s="2">
        <f t="shared" si="19"/>
        <v>334.28713280926769</v>
      </c>
      <c r="JQ11" s="2">
        <f t="shared" si="19"/>
        <v>336.65684210526314</v>
      </c>
      <c r="JR11" s="2">
        <f t="shared" si="19"/>
        <v>348.90311418685127</v>
      </c>
      <c r="JS11" s="2" t="str">
        <f t="shared" si="19"/>
        <v/>
      </c>
      <c r="JT11" s="2">
        <f t="shared" si="19"/>
        <v>307.84363177805801</v>
      </c>
      <c r="JU11" s="2">
        <f t="shared" si="19"/>
        <v>313.09578544061304</v>
      </c>
      <c r="JV11" s="2">
        <f t="shared" si="19"/>
        <v>337.71705217859068</v>
      </c>
      <c r="JW11" s="2">
        <f t="shared" si="19"/>
        <v>326.97931034482758</v>
      </c>
      <c r="JX11" s="2">
        <f t="shared" si="19"/>
        <v>310.56140350877195</v>
      </c>
      <c r="JY11" s="2">
        <f t="shared" si="19"/>
        <v>323.24451780240508</v>
      </c>
      <c r="JZ11" s="2" t="str">
        <f t="shared" si="19"/>
        <v/>
      </c>
      <c r="KA11" s="2" t="str">
        <f t="shared" ref="KA11:LL11" si="20">+IFERROR(KA10/KA9,"")</f>
        <v/>
      </c>
      <c r="KB11" s="2" t="str">
        <f t="shared" si="20"/>
        <v/>
      </c>
      <c r="KC11" s="2" t="str">
        <f t="shared" si="20"/>
        <v/>
      </c>
      <c r="KD11" s="2" t="str">
        <f t="shared" si="20"/>
        <v/>
      </c>
      <c r="KE11" s="2" t="str">
        <f t="shared" si="20"/>
        <v/>
      </c>
      <c r="KF11" s="2" t="str">
        <f t="shared" si="20"/>
        <v/>
      </c>
      <c r="KG11" s="2" t="str">
        <f t="shared" si="20"/>
        <v/>
      </c>
      <c r="KH11" s="2" t="str">
        <f t="shared" si="20"/>
        <v/>
      </c>
      <c r="KI11" s="2" t="str">
        <f t="shared" si="20"/>
        <v/>
      </c>
      <c r="KJ11" s="2" t="str">
        <f t="shared" si="20"/>
        <v/>
      </c>
      <c r="KK11" s="2" t="str">
        <f t="shared" si="20"/>
        <v/>
      </c>
      <c r="KL11" s="2" t="str">
        <f t="shared" si="20"/>
        <v/>
      </c>
      <c r="KM11" s="2" t="str">
        <f t="shared" si="20"/>
        <v/>
      </c>
      <c r="KN11" s="2" t="str">
        <f t="shared" si="20"/>
        <v/>
      </c>
      <c r="KO11" s="2" t="str">
        <f t="shared" si="20"/>
        <v/>
      </c>
      <c r="KP11" s="2" t="str">
        <f t="shared" si="20"/>
        <v/>
      </c>
      <c r="KQ11" s="2" t="str">
        <f t="shared" si="20"/>
        <v/>
      </c>
      <c r="KR11" s="2" t="str">
        <f t="shared" si="20"/>
        <v/>
      </c>
      <c r="KS11" s="2" t="str">
        <f t="shared" si="20"/>
        <v/>
      </c>
      <c r="KT11" s="2" t="str">
        <f t="shared" si="20"/>
        <v/>
      </c>
      <c r="KU11" s="2" t="str">
        <f t="shared" si="20"/>
        <v/>
      </c>
      <c r="KV11" s="2" t="str">
        <f t="shared" si="20"/>
        <v/>
      </c>
      <c r="KW11" s="2" t="str">
        <f t="shared" si="20"/>
        <v/>
      </c>
      <c r="KX11" s="2" t="str">
        <f t="shared" si="20"/>
        <v/>
      </c>
      <c r="KY11" s="2" t="str">
        <f t="shared" si="20"/>
        <v/>
      </c>
      <c r="KZ11" s="2" t="str">
        <f t="shared" si="20"/>
        <v/>
      </c>
      <c r="LA11" s="2" t="str">
        <f t="shared" si="20"/>
        <v/>
      </c>
      <c r="LB11" s="2" t="str">
        <f t="shared" si="20"/>
        <v/>
      </c>
      <c r="LC11" s="2" t="str">
        <f t="shared" si="20"/>
        <v/>
      </c>
      <c r="LD11" s="2" t="str">
        <f t="shared" si="20"/>
        <v/>
      </c>
      <c r="LE11" s="2" t="str">
        <f t="shared" si="20"/>
        <v/>
      </c>
      <c r="LF11" s="2" t="str">
        <f t="shared" si="20"/>
        <v/>
      </c>
      <c r="LG11" s="2" t="str">
        <f t="shared" si="20"/>
        <v/>
      </c>
      <c r="LH11" s="2" t="str">
        <f t="shared" si="20"/>
        <v/>
      </c>
      <c r="LI11" s="2" t="str">
        <f t="shared" si="20"/>
        <v/>
      </c>
      <c r="LJ11" s="2" t="str">
        <f t="shared" si="20"/>
        <v/>
      </c>
      <c r="LK11" s="2" t="str">
        <f t="shared" si="20"/>
        <v/>
      </c>
      <c r="LL11" s="2" t="str">
        <f t="shared" si="20"/>
        <v/>
      </c>
      <c r="LM11" s="2" t="str">
        <f t="shared" ref="LM11:NC11" si="21">+IFERROR(LM10/LM9,"")</f>
        <v/>
      </c>
      <c r="LN11" s="2" t="str">
        <f t="shared" si="21"/>
        <v/>
      </c>
      <c r="LO11" s="2" t="str">
        <f t="shared" si="21"/>
        <v/>
      </c>
      <c r="LP11" s="2" t="str">
        <f t="shared" si="21"/>
        <v/>
      </c>
      <c r="LQ11" s="2" t="str">
        <f t="shared" si="21"/>
        <v/>
      </c>
      <c r="LR11" s="2" t="str">
        <f t="shared" si="21"/>
        <v/>
      </c>
      <c r="LS11" s="2" t="str">
        <f t="shared" si="21"/>
        <v/>
      </c>
      <c r="LT11" s="2" t="str">
        <f t="shared" si="21"/>
        <v/>
      </c>
      <c r="LU11" s="2" t="str">
        <f t="shared" si="21"/>
        <v/>
      </c>
      <c r="LV11" s="2" t="str">
        <f t="shared" si="21"/>
        <v/>
      </c>
      <c r="LW11" s="2" t="str">
        <f t="shared" si="21"/>
        <v/>
      </c>
      <c r="LX11" s="2" t="str">
        <f t="shared" si="21"/>
        <v/>
      </c>
      <c r="LY11" s="2" t="str">
        <f t="shared" si="21"/>
        <v/>
      </c>
      <c r="LZ11" s="2" t="str">
        <f t="shared" si="21"/>
        <v/>
      </c>
      <c r="MA11" s="2" t="str">
        <f t="shared" si="21"/>
        <v/>
      </c>
      <c r="MB11" s="2" t="str">
        <f t="shared" si="21"/>
        <v/>
      </c>
      <c r="MC11" s="2" t="str">
        <f t="shared" si="21"/>
        <v/>
      </c>
      <c r="MD11" s="2" t="str">
        <f t="shared" si="21"/>
        <v/>
      </c>
      <c r="ME11" s="2" t="str">
        <f t="shared" si="21"/>
        <v/>
      </c>
      <c r="MF11" s="2" t="str">
        <f t="shared" si="21"/>
        <v/>
      </c>
      <c r="MG11" s="2" t="str">
        <f t="shared" si="21"/>
        <v/>
      </c>
      <c r="MH11" s="2" t="str">
        <f t="shared" si="21"/>
        <v/>
      </c>
      <c r="MI11" s="2" t="str">
        <f t="shared" si="21"/>
        <v/>
      </c>
      <c r="MJ11" s="2" t="str">
        <f t="shared" si="21"/>
        <v/>
      </c>
      <c r="MK11" s="2" t="str">
        <f t="shared" si="21"/>
        <v/>
      </c>
      <c r="ML11" s="2" t="str">
        <f t="shared" si="21"/>
        <v/>
      </c>
      <c r="MM11" s="2" t="str">
        <f t="shared" si="21"/>
        <v/>
      </c>
      <c r="MN11" s="2" t="str">
        <f t="shared" si="21"/>
        <v/>
      </c>
      <c r="MO11" s="2" t="str">
        <f t="shared" si="21"/>
        <v/>
      </c>
      <c r="MP11" s="2" t="str">
        <f t="shared" si="21"/>
        <v/>
      </c>
      <c r="MQ11" s="2" t="str">
        <f t="shared" si="21"/>
        <v/>
      </c>
      <c r="MR11" s="2" t="str">
        <f t="shared" si="21"/>
        <v/>
      </c>
      <c r="MS11" s="2" t="str">
        <f t="shared" si="21"/>
        <v/>
      </c>
      <c r="MT11" s="2" t="str">
        <f t="shared" si="21"/>
        <v/>
      </c>
      <c r="MU11" s="2" t="str">
        <f t="shared" si="21"/>
        <v/>
      </c>
      <c r="MV11" s="2" t="str">
        <f t="shared" si="21"/>
        <v/>
      </c>
      <c r="MW11" s="2" t="str">
        <f t="shared" si="21"/>
        <v/>
      </c>
      <c r="MX11" s="2" t="str">
        <f t="shared" si="21"/>
        <v/>
      </c>
      <c r="MY11" s="2" t="str">
        <f t="shared" si="21"/>
        <v/>
      </c>
      <c r="MZ11" s="2" t="str">
        <f t="shared" si="21"/>
        <v/>
      </c>
      <c r="NA11" s="2" t="str">
        <f t="shared" si="21"/>
        <v/>
      </c>
      <c r="NB11" s="2" t="str">
        <f t="shared" si="21"/>
        <v/>
      </c>
      <c r="NC11" s="2" t="str">
        <f t="shared" si="21"/>
        <v/>
      </c>
    </row>
    <row r="12" spans="1:371">
      <c r="G12" s="20"/>
      <c r="H12" s="7"/>
      <c r="N12" s="20"/>
      <c r="AB12" s="20"/>
      <c r="AP12" s="20"/>
      <c r="AX12" s="7"/>
      <c r="BK12" s="20"/>
      <c r="BQ12" s="206"/>
      <c r="BY12" s="20"/>
      <c r="CF12" s="20"/>
      <c r="CG12" s="7"/>
      <c r="CM12" s="20"/>
      <c r="CT12" s="20"/>
      <c r="DA12" s="20"/>
      <c r="DH12" s="20"/>
      <c r="DO12" s="20"/>
      <c r="DV12" s="20"/>
      <c r="EC12" s="20"/>
      <c r="EJ12" s="20"/>
      <c r="EQ12" s="20"/>
      <c r="EX12" s="20"/>
      <c r="FL12" s="20"/>
      <c r="FS12" s="20"/>
      <c r="FZ12" s="20"/>
      <c r="GG12" s="20"/>
      <c r="GN12" s="20"/>
      <c r="GU12" s="20"/>
      <c r="HB12" s="20"/>
      <c r="HI12" s="20"/>
      <c r="HP12" s="20"/>
      <c r="HW12" s="20"/>
      <c r="ID12" s="20"/>
      <c r="IK12" s="20"/>
      <c r="IR12" s="20"/>
      <c r="IY12" s="20"/>
      <c r="JF12" s="20"/>
      <c r="JG12" s="82"/>
      <c r="JI12" s="71"/>
      <c r="JJ12" s="82"/>
      <c r="JM12" s="20"/>
      <c r="JT12" s="20"/>
      <c r="LY12" s="83"/>
      <c r="LZ12" s="26"/>
      <c r="ML12" s="7"/>
      <c r="MM12" s="68"/>
      <c r="MN12" s="26"/>
      <c r="MV12" s="7"/>
    </row>
    <row r="13" spans="1:371">
      <c r="G13" s="20"/>
      <c r="H13" s="2"/>
      <c r="N13" s="20"/>
      <c r="O13" s="20"/>
      <c r="P13" s="20"/>
      <c r="Q13"/>
      <c r="R13"/>
      <c r="S13"/>
      <c r="U13" s="20"/>
      <c r="AB13" s="20"/>
      <c r="AI13" s="20"/>
      <c r="AP13" s="20"/>
      <c r="AW13" s="20"/>
      <c r="BD13" s="20"/>
      <c r="BK13" s="20"/>
      <c r="BQ13" s="206"/>
      <c r="BY13" s="20"/>
      <c r="CF13" s="20"/>
      <c r="CG13" s="7"/>
      <c r="CM13" s="20"/>
      <c r="CT13" s="20"/>
      <c r="DA13" s="20"/>
      <c r="DB13" s="6"/>
      <c r="DH13" s="20"/>
      <c r="DO13" s="20"/>
      <c r="DV13" s="20"/>
      <c r="EC13" s="20"/>
      <c r="EJ13" s="20"/>
      <c r="EQ13" s="20"/>
      <c r="EX13" s="20"/>
      <c r="FL13" s="20"/>
      <c r="FS13" s="20"/>
      <c r="FZ13" s="20"/>
      <c r="GG13" s="20"/>
      <c r="GN13" s="20"/>
      <c r="GU13" s="20"/>
      <c r="HB13" s="20"/>
      <c r="HI13" s="20"/>
      <c r="HP13" s="20"/>
      <c r="HW13" s="20"/>
      <c r="ID13" s="20"/>
      <c r="IK13" s="20"/>
      <c r="IR13" s="20"/>
      <c r="IY13" s="20"/>
      <c r="IZ13" s="190"/>
      <c r="JA13" s="190"/>
      <c r="JB13" s="190"/>
      <c r="JC13" s="78"/>
      <c r="JF13" s="20"/>
      <c r="JG13" s="82"/>
      <c r="JI13" s="71"/>
      <c r="JJ13" s="82"/>
      <c r="JM13" s="20"/>
      <c r="JT13" s="20"/>
      <c r="LY13" s="83"/>
      <c r="LZ13" s="26"/>
      <c r="ML13" s="7"/>
      <c r="MM13" s="68"/>
      <c r="MN13" s="26"/>
      <c r="MV13" s="7"/>
    </row>
    <row r="14" spans="1:371">
      <c r="G14" s="20"/>
      <c r="H14" s="2"/>
      <c r="N14" s="20"/>
      <c r="O14" s="20"/>
      <c r="P14"/>
      <c r="Q14"/>
      <c r="R14"/>
      <c r="S14"/>
      <c r="U14" s="20"/>
      <c r="V14" s="20"/>
      <c r="AB14" s="20"/>
      <c r="AC14" s="20"/>
      <c r="AI14" s="20"/>
      <c r="AP14" s="20"/>
      <c r="AS14" s="20"/>
      <c r="AW14" s="20"/>
      <c r="BD14" s="20"/>
      <c r="BK14" s="20"/>
      <c r="BQ14" s="206"/>
      <c r="BY14" s="20"/>
      <c r="CF14" s="20"/>
      <c r="CM14" s="20"/>
      <c r="CT14" s="20"/>
      <c r="DA14" s="20"/>
      <c r="DB14" s="6"/>
      <c r="DH14" s="20"/>
      <c r="DO14" s="20"/>
      <c r="DV14" s="22"/>
      <c r="EC14" s="20"/>
      <c r="EJ14" s="20"/>
      <c r="EQ14" s="20"/>
      <c r="EX14" s="20"/>
      <c r="EZ14" s="77"/>
      <c r="FA14" s="78"/>
      <c r="FJ14" s="218"/>
      <c r="FK14" s="74"/>
      <c r="FL14" s="20"/>
      <c r="FS14" s="20"/>
      <c r="FZ14" s="20"/>
      <c r="GG14" s="20"/>
      <c r="GN14" s="20"/>
      <c r="GU14" s="20"/>
      <c r="HB14" s="20"/>
      <c r="HI14" s="20"/>
      <c r="HP14" s="20"/>
      <c r="HW14" s="20"/>
      <c r="ID14" s="20"/>
      <c r="IK14" s="20"/>
      <c r="IR14" s="20"/>
      <c r="IY14" s="219"/>
      <c r="IZ14" s="190"/>
      <c r="JA14" s="190"/>
      <c r="JB14" s="190"/>
      <c r="JC14" s="78"/>
      <c r="JF14" s="236"/>
      <c r="JG14" s="82"/>
      <c r="JM14" s="20"/>
      <c r="JT14" s="20"/>
      <c r="LY14" s="83"/>
      <c r="LZ14" s="26"/>
      <c r="ML14" s="7"/>
      <c r="MM14" s="68"/>
      <c r="MN14" s="26"/>
      <c r="MV14" s="7"/>
    </row>
    <row r="15" spans="1:371">
      <c r="G15" s="20"/>
      <c r="H15" s="2"/>
      <c r="N15" s="20"/>
      <c r="O15" s="20"/>
      <c r="Q15" s="20"/>
      <c r="R15" s="20"/>
      <c r="S15" s="20"/>
      <c r="V15" s="20"/>
      <c r="AC15" s="20"/>
      <c r="AI15" s="20"/>
      <c r="AS15" s="20"/>
      <c r="AW15" s="20"/>
      <c r="BD15" s="20"/>
      <c r="DI15" s="31"/>
      <c r="EZ15" s="77"/>
      <c r="FA15" s="78"/>
      <c r="FJ15" s="218"/>
      <c r="FK15" s="74"/>
      <c r="FS15" s="20"/>
      <c r="GG15" s="218"/>
      <c r="GH15" s="74"/>
      <c r="IY15" s="77"/>
      <c r="IZ15" s="190"/>
      <c r="JA15" s="190"/>
      <c r="JB15" s="190"/>
      <c r="JC15" s="78"/>
      <c r="ML15" s="7"/>
      <c r="MM15" s="68"/>
      <c r="MN15" s="26"/>
      <c r="MV15" s="7"/>
    </row>
    <row r="16" spans="1:371">
      <c r="G16" s="28"/>
      <c r="H16" s="7"/>
      <c r="V16" s="20"/>
      <c r="AI16" s="20"/>
      <c r="AJ16" s="2"/>
      <c r="AS16" s="20"/>
      <c r="AV16" s="7"/>
      <c r="DA16" s="6"/>
      <c r="EZ16" s="77"/>
      <c r="FA16" s="78"/>
      <c r="FJ16" s="218"/>
      <c r="FK16" s="74"/>
      <c r="GG16" s="218"/>
      <c r="GH16" s="74"/>
      <c r="IY16" s="77"/>
      <c r="IZ16" s="190"/>
      <c r="JA16" s="190"/>
      <c r="JB16" s="190"/>
      <c r="JC16" s="78"/>
      <c r="MM16" s="82"/>
      <c r="MN16" s="82"/>
    </row>
    <row r="17" spans="17:263">
      <c r="AJ17" s="2"/>
      <c r="AV17" s="7"/>
      <c r="BE17"/>
      <c r="BF17"/>
      <c r="BG17"/>
      <c r="BH17"/>
      <c r="BI17"/>
      <c r="BJ17"/>
      <c r="DA17" s="6"/>
      <c r="EZ17" s="77"/>
      <c r="FA17" s="78"/>
      <c r="GG17" s="218"/>
      <c r="GH17" s="74"/>
      <c r="HA17"/>
      <c r="HB17"/>
      <c r="HC17"/>
      <c r="HD17"/>
      <c r="HE17"/>
      <c r="IY17" s="77"/>
      <c r="IZ17" s="190"/>
      <c r="JA17" s="190"/>
      <c r="JB17" s="190"/>
      <c r="JC17" s="78"/>
    </row>
    <row r="18" spans="17:263">
      <c r="Q18" s="2"/>
      <c r="R18" s="2"/>
      <c r="AJ18" s="2"/>
      <c r="AV18" s="7"/>
      <c r="BE18"/>
      <c r="BF18"/>
      <c r="BG18"/>
      <c r="BH18"/>
      <c r="BI18"/>
      <c r="BJ18"/>
      <c r="EZ18" s="77"/>
      <c r="FA18" s="78"/>
      <c r="GG18" s="218"/>
      <c r="GH18" s="74"/>
      <c r="HA18"/>
      <c r="HB18"/>
      <c r="HC18"/>
      <c r="HD18"/>
      <c r="HE18"/>
      <c r="IY18" s="77"/>
      <c r="IZ18" s="190"/>
      <c r="JA18" s="190"/>
      <c r="JB18" s="190"/>
      <c r="JC18" s="78"/>
    </row>
    <row r="19" spans="17:263">
      <c r="Q19" s="2"/>
      <c r="R19" s="2"/>
      <c r="S19"/>
      <c r="AJ19" s="2"/>
      <c r="AV19" s="7"/>
      <c r="BE19"/>
      <c r="BF19"/>
      <c r="BG19"/>
      <c r="BH19"/>
      <c r="BI19"/>
      <c r="BJ19"/>
      <c r="EZ19" s="77"/>
      <c r="FA19" s="78"/>
      <c r="HA19" s="77"/>
      <c r="HB19" s="190"/>
      <c r="HC19" s="190"/>
      <c r="HD19" s="190"/>
      <c r="HE19" s="78"/>
    </row>
    <row r="20" spans="17:263">
      <c r="Q20" s="2"/>
      <c r="R20" s="2"/>
      <c r="AF20" s="2"/>
      <c r="AJ20" s="2"/>
      <c r="AV20" s="7"/>
      <c r="BE20"/>
      <c r="BF20"/>
      <c r="BG20"/>
      <c r="BH20"/>
      <c r="BI20"/>
      <c r="BJ20"/>
      <c r="HA20" s="77"/>
      <c r="HB20" s="190"/>
      <c r="HC20" s="190"/>
      <c r="HD20" s="190"/>
      <c r="HE20" s="78"/>
    </row>
    <row r="21" spans="17:263">
      <c r="Q21" s="2"/>
      <c r="R21" s="2"/>
      <c r="AF21" s="2"/>
      <c r="AJ21" s="2"/>
      <c r="AV21" s="7"/>
      <c r="BE21"/>
      <c r="BF21"/>
      <c r="BG21"/>
      <c r="BH21"/>
      <c r="BI21"/>
      <c r="BJ21"/>
      <c r="HA21" s="77"/>
      <c r="HB21" s="190"/>
      <c r="HC21" s="190"/>
      <c r="HD21" s="190"/>
      <c r="HE21" s="78"/>
    </row>
    <row r="22" spans="17:263">
      <c r="Q22" s="2"/>
      <c r="R22" s="2"/>
      <c r="AF22" s="2"/>
      <c r="BE22"/>
      <c r="BF22"/>
      <c r="BG22"/>
      <c r="BH22"/>
      <c r="BI22"/>
      <c r="BJ22"/>
      <c r="HA22" s="77"/>
      <c r="HB22" s="190"/>
      <c r="HC22" s="190"/>
      <c r="HD22" s="190"/>
      <c r="HE22" s="78"/>
    </row>
    <row r="23" spans="17:263">
      <c r="Q23" s="2"/>
      <c r="R23" s="2"/>
      <c r="AF23" s="2"/>
      <c r="BE23"/>
      <c r="BF23"/>
      <c r="BG23"/>
      <c r="BH23"/>
      <c r="BI23"/>
      <c r="BJ23"/>
      <c r="HA23" s="77"/>
      <c r="HB23" s="190"/>
      <c r="HC23" s="190"/>
      <c r="HD23" s="190"/>
      <c r="HE23" s="78"/>
    </row>
    <row r="24" spans="17:263">
      <c r="AF24" s="2"/>
      <c r="BE24"/>
      <c r="BF24"/>
      <c r="BG24"/>
      <c r="BH24"/>
      <c r="BI24"/>
      <c r="BJ24"/>
      <c r="HA24" s="77"/>
      <c r="HB24" s="190"/>
      <c r="HC24" s="190"/>
      <c r="HD24" s="190"/>
      <c r="HE24" s="78"/>
    </row>
    <row r="25" spans="17:263">
      <c r="AF25" s="2"/>
      <c r="BE25"/>
      <c r="BF25"/>
      <c r="BG25"/>
      <c r="BH25"/>
      <c r="BI25"/>
      <c r="BJ25"/>
    </row>
    <row r="26" spans="17:263">
      <c r="BE26"/>
      <c r="BF26"/>
      <c r="BG26"/>
      <c r="BH26"/>
      <c r="BI26"/>
      <c r="BJ26"/>
    </row>
    <row r="27" spans="17:263">
      <c r="BE27"/>
      <c r="BF27"/>
      <c r="BG27"/>
      <c r="BH27"/>
      <c r="BI27"/>
      <c r="BJ27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90CFC-7C07-41CE-BEBD-52EB46D349B2}">
  <dimension ref="A1:LX14"/>
  <sheetViews>
    <sheetView workbookViewId="0">
      <selection activeCell="A14" sqref="A14:XFD14"/>
    </sheetView>
  </sheetViews>
  <sheetFormatPr defaultRowHeight="14.4"/>
  <sheetData>
    <row r="1" spans="1:336">
      <c r="A1" s="120" t="s">
        <v>1886</v>
      </c>
      <c r="B1" s="121" t="s">
        <v>1887</v>
      </c>
      <c r="C1" s="122" t="s">
        <v>1888</v>
      </c>
      <c r="D1" s="122" t="s">
        <v>1889</v>
      </c>
      <c r="E1" s="123" t="s">
        <v>1890</v>
      </c>
      <c r="F1" s="123" t="s">
        <v>1891</v>
      </c>
      <c r="G1" s="122" t="s">
        <v>1892</v>
      </c>
      <c r="H1" s="122" t="s">
        <v>1893</v>
      </c>
      <c r="I1" s="122" t="s">
        <v>1894</v>
      </c>
      <c r="J1" s="122" t="s">
        <v>1895</v>
      </c>
      <c r="K1" s="122" t="s">
        <v>1896</v>
      </c>
      <c r="L1" s="123" t="s">
        <v>1897</v>
      </c>
      <c r="M1" s="123" t="s">
        <v>1898</v>
      </c>
      <c r="N1" s="122" t="s">
        <v>1899</v>
      </c>
      <c r="O1" s="122" t="s">
        <v>1900</v>
      </c>
      <c r="P1" s="122" t="s">
        <v>1901</v>
      </c>
      <c r="Q1" s="122" t="s">
        <v>1902</v>
      </c>
      <c r="R1" s="122" t="s">
        <v>1903</v>
      </c>
      <c r="S1" s="123" t="s">
        <v>1904</v>
      </c>
      <c r="T1" s="123" t="s">
        <v>1905</v>
      </c>
      <c r="U1" s="122" t="s">
        <v>1906</v>
      </c>
      <c r="V1" s="122" t="s">
        <v>1907</v>
      </c>
      <c r="W1" s="122" t="s">
        <v>1908</v>
      </c>
      <c r="X1" s="122" t="s">
        <v>1909</v>
      </c>
      <c r="Y1" s="122" t="s">
        <v>1910</v>
      </c>
      <c r="Z1" s="123" t="s">
        <v>1911</v>
      </c>
      <c r="AA1" s="123" t="s">
        <v>1912</v>
      </c>
      <c r="AB1" s="122" t="s">
        <v>1913</v>
      </c>
      <c r="AC1" s="122" t="s">
        <v>1914</v>
      </c>
      <c r="AD1" s="122" t="s">
        <v>1915</v>
      </c>
      <c r="AE1" s="122" t="s">
        <v>1916</v>
      </c>
      <c r="AF1" s="122" t="s">
        <v>1917</v>
      </c>
      <c r="AG1" s="124" t="s">
        <v>1918</v>
      </c>
      <c r="AH1" s="124" t="s">
        <v>1919</v>
      </c>
      <c r="AI1" s="122" t="s">
        <v>1920</v>
      </c>
      <c r="AJ1" s="122" t="s">
        <v>1921</v>
      </c>
      <c r="AK1" s="122" t="s">
        <v>1922</v>
      </c>
      <c r="AL1" s="122" t="s">
        <v>1923</v>
      </c>
      <c r="AM1" s="122" t="s">
        <v>1924</v>
      </c>
      <c r="AN1" s="124" t="s">
        <v>1925</v>
      </c>
      <c r="AO1" s="124" t="s">
        <v>1926</v>
      </c>
      <c r="AP1" s="122" t="s">
        <v>1927</v>
      </c>
      <c r="AQ1" s="122" t="s">
        <v>1928</v>
      </c>
      <c r="AR1" s="122" t="s">
        <v>1929</v>
      </c>
      <c r="AS1" s="122" t="s">
        <v>1930</v>
      </c>
      <c r="AT1" s="122" t="s">
        <v>1931</v>
      </c>
      <c r="AU1" s="124" t="s">
        <v>1932</v>
      </c>
      <c r="AV1" s="124" t="s">
        <v>1933</v>
      </c>
      <c r="AW1" s="122" t="s">
        <v>1934</v>
      </c>
      <c r="AX1" s="122" t="s">
        <v>1935</v>
      </c>
      <c r="AY1" s="122" t="s">
        <v>1936</v>
      </c>
      <c r="AZ1" s="122" t="s">
        <v>1937</v>
      </c>
      <c r="BA1" s="122" t="s">
        <v>1938</v>
      </c>
      <c r="BB1" s="124" t="s">
        <v>1939</v>
      </c>
      <c r="BC1" s="124" t="s">
        <v>1940</v>
      </c>
      <c r="BD1" s="122" t="s">
        <v>1941</v>
      </c>
      <c r="BE1" s="122" t="s">
        <v>1942</v>
      </c>
      <c r="BF1" s="122" t="s">
        <v>1943</v>
      </c>
      <c r="BG1" s="122" t="s">
        <v>1944</v>
      </c>
      <c r="BH1" s="122" t="s">
        <v>1945</v>
      </c>
      <c r="BI1" s="125" t="s">
        <v>1946</v>
      </c>
      <c r="BJ1" s="125" t="s">
        <v>1947</v>
      </c>
      <c r="BK1" s="125" t="s">
        <v>1948</v>
      </c>
      <c r="BL1" s="125" t="s">
        <v>1949</v>
      </c>
      <c r="BM1" s="125" t="s">
        <v>1950</v>
      </c>
      <c r="BN1" s="125" t="s">
        <v>1951</v>
      </c>
      <c r="BO1" s="125" t="s">
        <v>1952</v>
      </c>
      <c r="BP1" s="125" t="s">
        <v>1953</v>
      </c>
      <c r="BQ1" s="125" t="s">
        <v>1954</v>
      </c>
      <c r="BR1" s="125" t="s">
        <v>1955</v>
      </c>
      <c r="BS1" s="125" t="s">
        <v>1956</v>
      </c>
      <c r="BT1" s="125" t="s">
        <v>1957</v>
      </c>
      <c r="BU1" s="125" t="s">
        <v>1958</v>
      </c>
      <c r="BV1" s="125" t="s">
        <v>1959</v>
      </c>
      <c r="BW1" s="125" t="s">
        <v>1960</v>
      </c>
      <c r="BX1" s="125" t="s">
        <v>1961</v>
      </c>
      <c r="BY1" s="125" t="s">
        <v>1962</v>
      </c>
      <c r="BZ1" s="125" t="s">
        <v>1963</v>
      </c>
      <c r="CA1" s="125" t="s">
        <v>1964</v>
      </c>
      <c r="CB1" s="125" t="s">
        <v>1965</v>
      </c>
      <c r="CC1" s="125" t="s">
        <v>1966</v>
      </c>
      <c r="CD1" s="125" t="s">
        <v>1967</v>
      </c>
      <c r="CE1" s="125" t="s">
        <v>1968</v>
      </c>
      <c r="CF1" s="125" t="s">
        <v>1969</v>
      </c>
      <c r="CG1" s="125" t="s">
        <v>1970</v>
      </c>
      <c r="CH1" s="125" t="s">
        <v>1971</v>
      </c>
      <c r="CI1" s="125" t="s">
        <v>1972</v>
      </c>
      <c r="CJ1" s="125" t="s">
        <v>1973</v>
      </c>
      <c r="CK1" s="125" t="s">
        <v>1974</v>
      </c>
      <c r="CL1" s="125" t="s">
        <v>1975</v>
      </c>
      <c r="CM1" s="125" t="s">
        <v>1976</v>
      </c>
      <c r="CN1" s="122" t="s">
        <v>1977</v>
      </c>
      <c r="CO1" s="122" t="s">
        <v>1978</v>
      </c>
      <c r="CP1" s="122" t="s">
        <v>1979</v>
      </c>
      <c r="CQ1" s="122" t="s">
        <v>1980</v>
      </c>
      <c r="CR1" s="126" t="s">
        <v>1981</v>
      </c>
      <c r="CS1" s="126" t="s">
        <v>1982</v>
      </c>
      <c r="CT1" s="122" t="s">
        <v>1983</v>
      </c>
      <c r="CU1" s="122" t="s">
        <v>1984</v>
      </c>
      <c r="CV1" s="122" t="s">
        <v>1985</v>
      </c>
      <c r="CW1" s="122" t="s">
        <v>1986</v>
      </c>
      <c r="CX1" s="122" t="s">
        <v>1987</v>
      </c>
      <c r="CY1" s="126" t="s">
        <v>1988</v>
      </c>
      <c r="CZ1" s="126" t="s">
        <v>1989</v>
      </c>
      <c r="DA1" s="122" t="s">
        <v>1990</v>
      </c>
      <c r="DB1" s="122" t="s">
        <v>1991</v>
      </c>
      <c r="DC1" s="122" t="s">
        <v>1992</v>
      </c>
      <c r="DD1" s="122" t="s">
        <v>1993</v>
      </c>
      <c r="DE1" s="122" t="s">
        <v>1994</v>
      </c>
      <c r="DF1" s="126" t="s">
        <v>1995</v>
      </c>
      <c r="DG1" s="126" t="s">
        <v>1996</v>
      </c>
      <c r="DH1" s="122" t="s">
        <v>1997</v>
      </c>
      <c r="DI1" s="122" t="s">
        <v>1998</v>
      </c>
      <c r="DJ1" s="122" t="s">
        <v>1999</v>
      </c>
      <c r="DK1" s="122" t="s">
        <v>2000</v>
      </c>
      <c r="DL1" s="122" t="s">
        <v>2001</v>
      </c>
      <c r="DM1" s="126" t="s">
        <v>2002</v>
      </c>
      <c r="DN1" s="126" t="s">
        <v>2003</v>
      </c>
      <c r="DO1" s="122" t="s">
        <v>2004</v>
      </c>
      <c r="DP1" s="122" t="s">
        <v>2005</v>
      </c>
      <c r="DQ1" s="122" t="s">
        <v>2006</v>
      </c>
      <c r="DR1" s="127" t="s">
        <v>2007</v>
      </c>
      <c r="DS1" s="125" t="s">
        <v>2008</v>
      </c>
      <c r="DT1" s="128" t="s">
        <v>2009</v>
      </c>
      <c r="DU1" s="128" t="s">
        <v>2010</v>
      </c>
      <c r="DV1" s="125" t="s">
        <v>2011</v>
      </c>
      <c r="DW1" s="125" t="s">
        <v>2012</v>
      </c>
      <c r="DX1" s="125" t="s">
        <v>2013</v>
      </c>
      <c r="DY1" s="125" t="s">
        <v>2014</v>
      </c>
      <c r="DZ1" s="125" t="s">
        <v>2015</v>
      </c>
      <c r="EA1" s="128" t="s">
        <v>2016</v>
      </c>
      <c r="EB1" s="128" t="s">
        <v>2017</v>
      </c>
      <c r="EC1" s="125" t="s">
        <v>2018</v>
      </c>
      <c r="ED1" s="125" t="s">
        <v>2019</v>
      </c>
      <c r="EE1" s="125" t="s">
        <v>2020</v>
      </c>
      <c r="EF1" s="125" t="s">
        <v>2021</v>
      </c>
      <c r="EG1" s="125" t="s">
        <v>2022</v>
      </c>
      <c r="EH1" s="128" t="s">
        <v>2023</v>
      </c>
      <c r="EI1" s="128" t="s">
        <v>2024</v>
      </c>
      <c r="EJ1" s="127" t="s">
        <v>2025</v>
      </c>
      <c r="EK1" s="125" t="s">
        <v>2026</v>
      </c>
      <c r="EL1" s="125" t="s">
        <v>2027</v>
      </c>
      <c r="EM1" s="125" t="s">
        <v>2028</v>
      </c>
      <c r="EN1" s="125" t="s">
        <v>2029</v>
      </c>
      <c r="EO1" s="128" t="s">
        <v>2030</v>
      </c>
      <c r="EP1" s="128" t="s">
        <v>2031</v>
      </c>
      <c r="EQ1" s="125" t="s">
        <v>2032</v>
      </c>
      <c r="ER1" s="125" t="s">
        <v>2033</v>
      </c>
      <c r="ES1" s="125" t="s">
        <v>2034</v>
      </c>
      <c r="ET1" s="125" t="s">
        <v>2035</v>
      </c>
      <c r="EU1" s="125" t="s">
        <v>2036</v>
      </c>
      <c r="EV1" s="128" t="s">
        <v>2037</v>
      </c>
      <c r="EW1" t="s">
        <v>2038</v>
      </c>
      <c r="EX1" t="s">
        <v>2039</v>
      </c>
      <c r="EY1" t="s">
        <v>2040</v>
      </c>
      <c r="EZ1" t="s">
        <v>2041</v>
      </c>
      <c r="FA1" t="s">
        <v>2042</v>
      </c>
      <c r="FB1" t="s">
        <v>2043</v>
      </c>
      <c r="FC1" t="s">
        <v>2044</v>
      </c>
      <c r="FD1" t="s">
        <v>2045</v>
      </c>
      <c r="FE1" t="s">
        <v>2046</v>
      </c>
      <c r="FF1" t="s">
        <v>2047</v>
      </c>
      <c r="FG1" t="s">
        <v>2048</v>
      </c>
      <c r="FH1" t="s">
        <v>2049</v>
      </c>
      <c r="FI1" t="s">
        <v>2050</v>
      </c>
      <c r="FJ1" t="s">
        <v>2051</v>
      </c>
      <c r="FK1" t="s">
        <v>2052</v>
      </c>
      <c r="FL1" t="s">
        <v>2053</v>
      </c>
      <c r="FM1" t="s">
        <v>2054</v>
      </c>
      <c r="FN1" t="s">
        <v>2055</v>
      </c>
      <c r="FO1" t="s">
        <v>2056</v>
      </c>
      <c r="FP1" t="s">
        <v>2057</v>
      </c>
      <c r="FQ1" t="s">
        <v>2058</v>
      </c>
      <c r="FR1" t="s">
        <v>2059</v>
      </c>
      <c r="FS1" t="s">
        <v>2060</v>
      </c>
      <c r="FT1" t="s">
        <v>2061</v>
      </c>
      <c r="FU1" t="s">
        <v>2062</v>
      </c>
      <c r="FV1" t="s">
        <v>2063</v>
      </c>
      <c r="FW1" t="s">
        <v>2064</v>
      </c>
      <c r="FX1" t="s">
        <v>2065</v>
      </c>
      <c r="FY1" t="s">
        <v>2066</v>
      </c>
      <c r="FZ1" t="s">
        <v>2067</v>
      </c>
      <c r="GA1" t="s">
        <v>2068</v>
      </c>
      <c r="GB1" t="s">
        <v>2069</v>
      </c>
      <c r="GC1" t="s">
        <v>2070</v>
      </c>
      <c r="GD1" t="s">
        <v>2071</v>
      </c>
      <c r="GE1" t="s">
        <v>2072</v>
      </c>
      <c r="GF1" t="s">
        <v>2073</v>
      </c>
      <c r="GG1" t="s">
        <v>2074</v>
      </c>
      <c r="GH1" t="s">
        <v>2075</v>
      </c>
      <c r="GI1" t="s">
        <v>2076</v>
      </c>
      <c r="GJ1" t="s">
        <v>2077</v>
      </c>
      <c r="GK1" t="s">
        <v>2078</v>
      </c>
      <c r="GL1" t="s">
        <v>2079</v>
      </c>
      <c r="GM1" t="s">
        <v>2080</v>
      </c>
      <c r="GN1" t="s">
        <v>2081</v>
      </c>
      <c r="GO1" t="s">
        <v>2082</v>
      </c>
      <c r="GP1" t="s">
        <v>2083</v>
      </c>
      <c r="GQ1" t="s">
        <v>2084</v>
      </c>
      <c r="GR1" t="s">
        <v>2085</v>
      </c>
      <c r="GS1" t="s">
        <v>2086</v>
      </c>
      <c r="GT1" t="s">
        <v>2087</v>
      </c>
      <c r="GU1" t="s">
        <v>2088</v>
      </c>
      <c r="GV1" t="s">
        <v>2089</v>
      </c>
      <c r="GW1" t="s">
        <v>2090</v>
      </c>
      <c r="GX1" t="s">
        <v>2091</v>
      </c>
      <c r="GY1" t="s">
        <v>2092</v>
      </c>
      <c r="GZ1" t="s">
        <v>2093</v>
      </c>
      <c r="HA1" t="s">
        <v>2094</v>
      </c>
      <c r="HB1" t="s">
        <v>2095</v>
      </c>
      <c r="HC1" t="s">
        <v>2096</v>
      </c>
      <c r="HD1" t="s">
        <v>2097</v>
      </c>
      <c r="HE1" t="s">
        <v>2098</v>
      </c>
      <c r="HF1" s="129" t="s">
        <v>2099</v>
      </c>
      <c r="HG1" s="129" t="s">
        <v>2100</v>
      </c>
      <c r="HH1" s="129" t="s">
        <v>2101</v>
      </c>
      <c r="HI1" s="129" t="s">
        <v>2102</v>
      </c>
      <c r="HJ1" s="129" t="s">
        <v>2103</v>
      </c>
      <c r="HK1" s="129" t="s">
        <v>2104</v>
      </c>
      <c r="HL1" s="129" t="s">
        <v>2105</v>
      </c>
      <c r="HM1" s="129" t="s">
        <v>2106</v>
      </c>
      <c r="HN1" s="129" t="s">
        <v>2107</v>
      </c>
      <c r="HO1" s="129" t="s">
        <v>2108</v>
      </c>
      <c r="HP1" s="129" t="s">
        <v>2109</v>
      </c>
      <c r="HQ1" s="129" t="s">
        <v>2110</v>
      </c>
      <c r="HR1" s="129" t="s">
        <v>2111</v>
      </c>
      <c r="HS1" s="129" t="s">
        <v>2112</v>
      </c>
      <c r="HT1" s="129" t="s">
        <v>2113</v>
      </c>
      <c r="HU1" s="129" t="s">
        <v>2114</v>
      </c>
      <c r="HV1" s="129" t="s">
        <v>2115</v>
      </c>
      <c r="HW1" s="129" t="s">
        <v>2116</v>
      </c>
      <c r="HX1" s="129" t="s">
        <v>2117</v>
      </c>
      <c r="HY1" s="129" t="s">
        <v>2118</v>
      </c>
      <c r="HZ1" s="129" t="s">
        <v>2119</v>
      </c>
      <c r="IA1" s="129" t="s">
        <v>2120</v>
      </c>
      <c r="IB1" s="129" t="s">
        <v>2121</v>
      </c>
      <c r="IC1" s="129" t="s">
        <v>2122</v>
      </c>
      <c r="ID1" s="129" t="s">
        <v>2123</v>
      </c>
      <c r="IE1" s="129" t="s">
        <v>2124</v>
      </c>
      <c r="IF1" s="129" t="s">
        <v>2125</v>
      </c>
      <c r="IG1" s="129" t="s">
        <v>2126</v>
      </c>
      <c r="IH1" s="129" t="s">
        <v>2127</v>
      </c>
      <c r="II1" s="129" t="s">
        <v>2128</v>
      </c>
      <c r="IJ1" s="129" t="s">
        <v>2129</v>
      </c>
      <c r="IK1" s="130" t="s">
        <v>2130</v>
      </c>
      <c r="IL1" s="130" t="s">
        <v>2131</v>
      </c>
      <c r="IM1" s="130" t="s">
        <v>2132</v>
      </c>
      <c r="IN1" s="131" t="s">
        <v>2133</v>
      </c>
      <c r="IO1" s="131" t="s">
        <v>2134</v>
      </c>
      <c r="IP1" s="130" t="s">
        <v>2135</v>
      </c>
      <c r="IQ1" s="130" t="s">
        <v>2136</v>
      </c>
      <c r="IR1" s="130" t="s">
        <v>2137</v>
      </c>
      <c r="IS1" s="130" t="s">
        <v>2138</v>
      </c>
      <c r="IT1" s="130" t="s">
        <v>2139</v>
      </c>
      <c r="IU1" s="131" t="s">
        <v>2140</v>
      </c>
      <c r="IV1" s="131" t="s">
        <v>2141</v>
      </c>
      <c r="IW1" s="130" t="s">
        <v>2142</v>
      </c>
      <c r="IX1" s="130" t="s">
        <v>2143</v>
      </c>
      <c r="IY1" s="130" t="s">
        <v>2144</v>
      </c>
      <c r="IZ1" s="130" t="s">
        <v>2145</v>
      </c>
      <c r="JA1" s="130" t="s">
        <v>2146</v>
      </c>
      <c r="JB1" s="131" t="s">
        <v>2147</v>
      </c>
      <c r="JC1" s="131" t="s">
        <v>2148</v>
      </c>
      <c r="JD1" s="130" t="s">
        <v>2149</v>
      </c>
      <c r="JE1" s="130" t="s">
        <v>2150</v>
      </c>
      <c r="JF1" s="130" t="s">
        <v>2151</v>
      </c>
      <c r="JG1" s="130" t="s">
        <v>2152</v>
      </c>
      <c r="JH1" s="130" t="s">
        <v>2153</v>
      </c>
      <c r="JI1" s="131" t="s">
        <v>2154</v>
      </c>
      <c r="JJ1" s="131" t="s">
        <v>2155</v>
      </c>
      <c r="JK1" s="130" t="s">
        <v>2156</v>
      </c>
      <c r="JL1" s="132" t="s">
        <v>2157</v>
      </c>
      <c r="JM1" s="132" t="s">
        <v>2158</v>
      </c>
      <c r="JN1" s="130" t="s">
        <v>2159</v>
      </c>
      <c r="JO1" s="130" t="s">
        <v>2160</v>
      </c>
      <c r="JP1" s="133" t="s">
        <v>2161</v>
      </c>
      <c r="JQ1" s="133" t="s">
        <v>2162</v>
      </c>
      <c r="JR1" s="125" t="s">
        <v>2163</v>
      </c>
      <c r="JS1" s="125" t="s">
        <v>2164</v>
      </c>
      <c r="JT1" s="125" t="s">
        <v>2165</v>
      </c>
      <c r="JU1" s="125" t="s">
        <v>2166</v>
      </c>
      <c r="JV1" s="125" t="s">
        <v>2167</v>
      </c>
      <c r="JW1" s="133" t="s">
        <v>2168</v>
      </c>
      <c r="JX1" s="133" t="s">
        <v>2169</v>
      </c>
      <c r="JY1" s="125" t="s">
        <v>2170</v>
      </c>
      <c r="JZ1" s="125" t="s">
        <v>2171</v>
      </c>
      <c r="KA1" s="125" t="s">
        <v>2172</v>
      </c>
      <c r="KB1" s="125" t="s">
        <v>2173</v>
      </c>
      <c r="KC1" s="125" t="s">
        <v>2174</v>
      </c>
      <c r="KD1" s="133" t="s">
        <v>2175</v>
      </c>
      <c r="KE1" s="133" t="s">
        <v>2176</v>
      </c>
      <c r="KF1" s="125" t="s">
        <v>2177</v>
      </c>
      <c r="KG1" s="125" t="s">
        <v>2178</v>
      </c>
      <c r="KH1" s="125" t="s">
        <v>2179</v>
      </c>
      <c r="KI1" s="125" t="s">
        <v>2180</v>
      </c>
      <c r="KJ1" s="125" t="s">
        <v>2181</v>
      </c>
      <c r="KK1" s="133" t="s">
        <v>2182</v>
      </c>
      <c r="KL1" s="133" t="s">
        <v>2183</v>
      </c>
      <c r="KM1" s="125" t="s">
        <v>2184</v>
      </c>
      <c r="KN1" s="125" t="s">
        <v>2185</v>
      </c>
      <c r="KO1" s="125" t="s">
        <v>2186</v>
      </c>
      <c r="KP1" s="125" t="s">
        <v>2187</v>
      </c>
      <c r="KQ1" s="125" t="s">
        <v>2188</v>
      </c>
      <c r="KR1" s="133" t="s">
        <v>2189</v>
      </c>
      <c r="KS1" s="133" t="s">
        <v>2190</v>
      </c>
      <c r="KT1" s="134" t="s">
        <v>2191</v>
      </c>
      <c r="KU1" s="134" t="s">
        <v>2192</v>
      </c>
      <c r="KV1" s="134" t="s">
        <v>2193</v>
      </c>
      <c r="KW1" s="134" t="s">
        <v>2194</v>
      </c>
      <c r="KX1" s="134" t="s">
        <v>2195</v>
      </c>
      <c r="KY1" s="135" t="s">
        <v>2196</v>
      </c>
      <c r="KZ1" s="135" t="s">
        <v>2197</v>
      </c>
      <c r="LA1" s="134" t="s">
        <v>2198</v>
      </c>
      <c r="LB1" s="134" t="s">
        <v>2199</v>
      </c>
      <c r="LC1" s="134" t="s">
        <v>2200</v>
      </c>
      <c r="LD1" s="134" t="s">
        <v>2201</v>
      </c>
      <c r="LE1" s="134" t="s">
        <v>2202</v>
      </c>
      <c r="LF1" s="135" t="s">
        <v>2203</v>
      </c>
      <c r="LG1" s="135" t="s">
        <v>2204</v>
      </c>
      <c r="LH1" s="134" t="s">
        <v>2205</v>
      </c>
      <c r="LI1" s="134" t="s">
        <v>2206</v>
      </c>
      <c r="LJ1" s="134" t="s">
        <v>2207</v>
      </c>
      <c r="LK1" s="134" t="s">
        <v>2208</v>
      </c>
      <c r="LL1" s="134" t="s">
        <v>2209</v>
      </c>
      <c r="LM1" s="135" t="s">
        <v>2210</v>
      </c>
      <c r="LN1" s="135" t="s">
        <v>2211</v>
      </c>
      <c r="LO1" s="134" t="s">
        <v>2212</v>
      </c>
      <c r="LP1" s="134" t="s">
        <v>2213</v>
      </c>
      <c r="LQ1" s="134" t="s">
        <v>2214</v>
      </c>
      <c r="LR1" s="134" t="s">
        <v>2215</v>
      </c>
      <c r="LS1" s="134" t="s">
        <v>2216</v>
      </c>
      <c r="LT1" s="135" t="s">
        <v>2217</v>
      </c>
      <c r="LU1" s="135" t="s">
        <v>2218</v>
      </c>
      <c r="LV1" s="134" t="s">
        <v>2219</v>
      </c>
      <c r="LW1" s="134" t="s">
        <v>2220</v>
      </c>
      <c r="LX1" s="134" t="s">
        <v>2221</v>
      </c>
    </row>
    <row r="2" spans="1:336">
      <c r="A2" s="136" t="s">
        <v>2222</v>
      </c>
      <c r="B2">
        <f>+SUMIFS([1]Sayfa2!G:G,[1]Sayfa2!$C:$C,'[1]tüm birimler'!$A2)</f>
        <v>0</v>
      </c>
      <c r="C2">
        <f>+SUMIFS([1]Sayfa2!H:H,[1]Sayfa2!$C:$C,'[1]tüm birimler'!$A2)</f>
        <v>90</v>
      </c>
      <c r="D2">
        <f>+SUMIFS([1]Sayfa2!I:I,[1]Sayfa2!$C:$C,'[1]tüm birimler'!$A2)</f>
        <v>82.5</v>
      </c>
      <c r="E2">
        <f>+SUMIFS([1]Sayfa2!J:J,[1]Sayfa2!$C:$C,'[1]tüm birimler'!$A2)</f>
        <v>42.25</v>
      </c>
      <c r="F2">
        <f>+SUMIFS([1]Sayfa2!K:K,[1]Sayfa2!$C:$C,'[1]tüm birimler'!$A2)</f>
        <v>37.5</v>
      </c>
      <c r="G2">
        <f>+SUMIFS([1]Sayfa2!L:L,[1]Sayfa2!$C:$C,'[1]tüm birimler'!$A2)</f>
        <v>79.166666666666671</v>
      </c>
      <c r="H2">
        <f>+SUMIFS([1]Sayfa2!M:M,[1]Sayfa2!$C:$C,'[1]tüm birimler'!$A2)</f>
        <v>90</v>
      </c>
      <c r="I2">
        <f>+SUMIFS([1]Sayfa2!N:N,[1]Sayfa2!$C:$C,'[1]tüm birimler'!$A2)</f>
        <v>84.75</v>
      </c>
      <c r="J2">
        <f>+SUMIFS([1]Sayfa2!O:O,[1]Sayfa2!$C:$C,'[1]tüm birimler'!$A2)</f>
        <v>89</v>
      </c>
      <c r="K2">
        <f>+SUMIFS([1]Sayfa2!P:P,[1]Sayfa2!$C:$C,'[1]tüm birimler'!$A2)</f>
        <v>88.666666666666671</v>
      </c>
      <c r="L2">
        <f>+SUMIFS([1]Sayfa2!Q:Q,[1]Sayfa2!$C:$C,'[1]tüm birimler'!$A2)</f>
        <v>42.25</v>
      </c>
      <c r="M2">
        <f>+SUMIFS([1]Sayfa2!R:R,[1]Sayfa2!$C:$C,'[1]tüm birimler'!$A2)</f>
        <v>45</v>
      </c>
      <c r="N2">
        <f>+SUMIFS([1]Sayfa2!S:S,[1]Sayfa2!$C:$C,'[1]tüm birimler'!$A2)</f>
        <v>82.5</v>
      </c>
      <c r="O2">
        <f>+SUMIFS([1]Sayfa2!T:T,[1]Sayfa2!$C:$C,'[1]tüm birimler'!$A2)</f>
        <v>87.583333333333343</v>
      </c>
      <c r="P2">
        <f>+SUMIFS([1]Sayfa2!U:U,[1]Sayfa2!$C:$C,'[1]tüm birimler'!$A2)</f>
        <v>82.5</v>
      </c>
      <c r="Q2">
        <f>+SUMIFS([1]Sayfa2!V:V,[1]Sayfa2!$C:$C,'[1]tüm birimler'!$A2)</f>
        <v>87.583333333333343</v>
      </c>
      <c r="R2">
        <f>+SUMIFS([1]Sayfa2!W:W,[1]Sayfa2!$C:$C,'[1]tüm birimler'!$A2)</f>
        <v>87.416666666666657</v>
      </c>
      <c r="S2">
        <f>+SUMIFS([1]Sayfa2!X:X,[1]Sayfa2!$C:$C,'[1]tüm birimler'!$A2)</f>
        <v>37.25</v>
      </c>
      <c r="T2">
        <f>+SUMIFS([1]Sayfa2!Y:Y,[1]Sayfa2!$C:$C,'[1]tüm birimler'!$A2)</f>
        <v>45</v>
      </c>
      <c r="U2">
        <f>+SUMIFS([1]Sayfa2!Z:Z,[1]Sayfa2!$C:$C,'[1]tüm birimler'!$A2)</f>
        <v>89.333333333333343</v>
      </c>
      <c r="V2">
        <f>+SUMIFS([1]Sayfa2!AA:AA,[1]Sayfa2!$C:$C,'[1]tüm birimler'!$A2)</f>
        <v>89.666666666666671</v>
      </c>
      <c r="W2">
        <f>+SUMIFS([1]Sayfa2!AB:AB,[1]Sayfa2!$C:$C,'[1]tüm birimler'!$A2)</f>
        <v>89.333333333333343</v>
      </c>
      <c r="X2">
        <f>+SUMIFS([1]Sayfa2!AC:AC,[1]Sayfa2!$C:$C,'[1]tüm birimler'!$A2)</f>
        <v>80.75</v>
      </c>
      <c r="Y2">
        <f>+SUMIFS([1]Sayfa2!AD:AD,[1]Sayfa2!$C:$C,'[1]tüm birimler'!$A2)</f>
        <v>74.833333333333329</v>
      </c>
      <c r="Z2">
        <f>+SUMIFS([1]Sayfa2!AE:AE,[1]Sayfa2!$C:$C,'[1]tüm birimler'!$A2)</f>
        <v>37.5</v>
      </c>
      <c r="AA2">
        <f>+SUMIFS([1]Sayfa2!AF:AF,[1]Sayfa2!$C:$C,'[1]tüm birimler'!$A2)</f>
        <v>45</v>
      </c>
      <c r="AB2">
        <f>+SUMIFS([1]Sayfa2!AG:AG,[1]Sayfa2!$C:$C,'[1]tüm birimler'!$A2)</f>
        <v>90</v>
      </c>
      <c r="AC2">
        <f>+SUMIFS([1]Sayfa2!AH:AH,[1]Sayfa2!$C:$C,'[1]tüm birimler'!$A2)</f>
        <v>89.666666666666657</v>
      </c>
      <c r="AD2">
        <f>+SUMIFS([1]Sayfa2!AI:AI,[1]Sayfa2!$C:$C,'[1]tüm birimler'!$A2)</f>
        <v>82.5</v>
      </c>
      <c r="AE2">
        <f>+SUMIFS([1]Sayfa2!AJ:AJ,[1]Sayfa2!$C:$C,'[1]tüm birimler'!$A2)</f>
        <v>78.416666666666657</v>
      </c>
      <c r="AF2">
        <f>+SUMIFS([1]Sayfa2!AK:AK,[1]Sayfa2!$C:$C,'[1]tüm birimler'!$A2)</f>
        <v>88.583333333333343</v>
      </c>
      <c r="AG2">
        <v>45</v>
      </c>
      <c r="AH2">
        <v>29.75</v>
      </c>
      <c r="AI2">
        <v>82.5</v>
      </c>
      <c r="AJ2">
        <v>82.5</v>
      </c>
      <c r="AK2">
        <v>75</v>
      </c>
      <c r="AL2">
        <v>82.5</v>
      </c>
      <c r="AM2">
        <v>82.5</v>
      </c>
      <c r="AN2">
        <v>44.75</v>
      </c>
      <c r="AO2">
        <v>37.5</v>
      </c>
      <c r="AP2">
        <v>67.5</v>
      </c>
      <c r="AQ2">
        <v>82.5</v>
      </c>
      <c r="AR2">
        <v>81.75</v>
      </c>
      <c r="AS2">
        <v>79.833333333333329</v>
      </c>
      <c r="AT2">
        <v>71.333333333333329</v>
      </c>
      <c r="AU2">
        <v>45</v>
      </c>
      <c r="AV2">
        <v>37.5</v>
      </c>
      <c r="AW2">
        <v>67.5</v>
      </c>
      <c r="AX2">
        <v>82.083333333333343</v>
      </c>
      <c r="AY2">
        <v>82.5</v>
      </c>
      <c r="AZ2">
        <v>74.5</v>
      </c>
      <c r="BA2">
        <v>74.75</v>
      </c>
      <c r="BB2">
        <v>19</v>
      </c>
      <c r="BC2">
        <v>37.5</v>
      </c>
      <c r="BD2">
        <v>82.5</v>
      </c>
      <c r="BE2">
        <v>74.666666666666657</v>
      </c>
      <c r="BF2">
        <v>72.25</v>
      </c>
      <c r="BG2">
        <v>74.083333333333343</v>
      </c>
      <c r="BH2">
        <v>72.5</v>
      </c>
      <c r="BI2">
        <v>37.5</v>
      </c>
      <c r="BJ2">
        <v>15</v>
      </c>
      <c r="BK2">
        <v>67.5</v>
      </c>
      <c r="BL2">
        <v>82.25</v>
      </c>
      <c r="BM2">
        <v>82.5</v>
      </c>
      <c r="BN2">
        <v>82.5</v>
      </c>
      <c r="BO2">
        <v>82.083333333333343</v>
      </c>
      <c r="BP2">
        <v>45</v>
      </c>
      <c r="BQ2">
        <v>37.5</v>
      </c>
      <c r="BR2">
        <v>82.5</v>
      </c>
      <c r="BS2">
        <v>82.5</v>
      </c>
      <c r="BT2">
        <v>82.5</v>
      </c>
      <c r="BU2">
        <v>82.5</v>
      </c>
      <c r="BV2">
        <v>82.5</v>
      </c>
      <c r="BW2">
        <v>45</v>
      </c>
      <c r="BX2">
        <v>37.5</v>
      </c>
      <c r="BY2">
        <v>90</v>
      </c>
      <c r="BZ2">
        <v>89.333333333333329</v>
      </c>
      <c r="CA2">
        <v>90</v>
      </c>
      <c r="CB2">
        <v>90</v>
      </c>
      <c r="CC2">
        <v>90</v>
      </c>
      <c r="CD2">
        <v>82.5</v>
      </c>
      <c r="CE2">
        <v>84.333333333333343</v>
      </c>
      <c r="CF2">
        <v>90</v>
      </c>
      <c r="CG2">
        <v>90</v>
      </c>
      <c r="CH2">
        <v>90</v>
      </c>
      <c r="CI2">
        <v>87.583333333333329</v>
      </c>
      <c r="CJ2">
        <v>86.75</v>
      </c>
      <c r="CK2">
        <v>23.666666666666668</v>
      </c>
      <c r="CL2">
        <v>0</v>
      </c>
      <c r="CM2">
        <v>0</v>
      </c>
      <c r="CN2">
        <v>0</v>
      </c>
      <c r="CO2">
        <v>82.5</v>
      </c>
      <c r="CP2">
        <v>82.166666666666657</v>
      </c>
      <c r="CQ2">
        <v>82.5</v>
      </c>
      <c r="CR2">
        <v>36.833333333333329</v>
      </c>
      <c r="CS2">
        <v>45</v>
      </c>
      <c r="CT2">
        <v>82.5</v>
      </c>
      <c r="CU2">
        <v>82.5</v>
      </c>
      <c r="CV2">
        <v>82.5</v>
      </c>
      <c r="CW2">
        <v>80.166666666666671</v>
      </c>
      <c r="CX2">
        <v>75</v>
      </c>
      <c r="CY2">
        <v>45</v>
      </c>
      <c r="CZ2">
        <v>37.5</v>
      </c>
      <c r="DA2">
        <v>89.75</v>
      </c>
      <c r="DB2">
        <v>82.5</v>
      </c>
      <c r="DC2">
        <v>82.5</v>
      </c>
      <c r="DD2">
        <v>82.5</v>
      </c>
      <c r="DE2">
        <v>82.5</v>
      </c>
      <c r="DF2">
        <v>30</v>
      </c>
      <c r="DG2">
        <v>45</v>
      </c>
      <c r="DH2">
        <v>82.5</v>
      </c>
      <c r="DI2">
        <v>82.5</v>
      </c>
      <c r="DJ2">
        <v>37.5</v>
      </c>
      <c r="DK2">
        <v>0</v>
      </c>
      <c r="DL2">
        <v>73.416666666666671</v>
      </c>
      <c r="DM2">
        <v>74.416666666666657</v>
      </c>
      <c r="DN2">
        <v>81.833333333333329</v>
      </c>
      <c r="DO2">
        <v>82.5</v>
      </c>
      <c r="DP2">
        <v>90</v>
      </c>
      <c r="DQ2">
        <v>87.583333333333343</v>
      </c>
      <c r="DR2">
        <v>0</v>
      </c>
      <c r="DS2">
        <v>82.5</v>
      </c>
      <c r="DT2">
        <v>45</v>
      </c>
      <c r="DU2">
        <v>37.5</v>
      </c>
      <c r="DV2">
        <v>75</v>
      </c>
      <c r="DW2">
        <v>75</v>
      </c>
      <c r="DX2">
        <v>75</v>
      </c>
      <c r="DY2">
        <v>82.5</v>
      </c>
      <c r="DZ2">
        <v>75</v>
      </c>
      <c r="EA2">
        <v>30</v>
      </c>
      <c r="EB2">
        <v>44.666666666666664</v>
      </c>
      <c r="EC2">
        <v>82.5</v>
      </c>
      <c r="ED2">
        <v>75</v>
      </c>
      <c r="EE2">
        <v>82.5</v>
      </c>
      <c r="EF2">
        <v>74.75</v>
      </c>
      <c r="EG2">
        <v>82.5</v>
      </c>
      <c r="EH2">
        <v>50.5</v>
      </c>
      <c r="EI2">
        <v>45</v>
      </c>
      <c r="EJ2">
        <v>89.666666666666657</v>
      </c>
      <c r="EK2">
        <v>89.666666666666657</v>
      </c>
      <c r="EL2">
        <v>89.666666666666671</v>
      </c>
      <c r="EM2">
        <v>90</v>
      </c>
      <c r="EN2">
        <v>90</v>
      </c>
      <c r="EO2">
        <v>45</v>
      </c>
      <c r="EP2">
        <v>44.333333333333329</v>
      </c>
      <c r="EQ2">
        <v>87</v>
      </c>
      <c r="ER2">
        <v>90</v>
      </c>
      <c r="ES2">
        <v>89.75</v>
      </c>
      <c r="ET2">
        <v>90</v>
      </c>
      <c r="EU2">
        <v>89.666666666666657</v>
      </c>
      <c r="EV2">
        <v>89.666666666666657</v>
      </c>
      <c r="EW2">
        <v>90</v>
      </c>
      <c r="EX2">
        <v>87.416666666666657</v>
      </c>
      <c r="EY2">
        <v>90</v>
      </c>
      <c r="EZ2">
        <v>89.25</v>
      </c>
      <c r="FA2">
        <v>41.416666666666671</v>
      </c>
      <c r="FB2">
        <v>0</v>
      </c>
      <c r="FC2">
        <v>0</v>
      </c>
      <c r="FD2">
        <v>0</v>
      </c>
      <c r="FE2">
        <v>0</v>
      </c>
      <c r="FF2">
        <v>82.166666666666657</v>
      </c>
      <c r="FG2">
        <v>82.5</v>
      </c>
      <c r="FH2">
        <v>82.5</v>
      </c>
      <c r="FI2">
        <v>81.833333333333343</v>
      </c>
      <c r="FJ2">
        <v>82.666666666666671</v>
      </c>
      <c r="FK2">
        <v>87.333333333333329</v>
      </c>
      <c r="FL2">
        <v>90</v>
      </c>
      <c r="FM2">
        <v>82.5</v>
      </c>
      <c r="FN2">
        <v>67.5</v>
      </c>
      <c r="FO2">
        <v>87</v>
      </c>
      <c r="FP2">
        <v>82.166666666666671</v>
      </c>
      <c r="FQ2">
        <v>45</v>
      </c>
      <c r="FR2">
        <v>45</v>
      </c>
      <c r="FS2">
        <v>82.5</v>
      </c>
      <c r="FT2">
        <v>82.166666666666657</v>
      </c>
      <c r="FU2">
        <v>82.166666666666657</v>
      </c>
      <c r="FV2">
        <v>75</v>
      </c>
      <c r="FW2">
        <v>75</v>
      </c>
      <c r="FX2">
        <v>37.166666666666664</v>
      </c>
      <c r="FY2">
        <v>37.5</v>
      </c>
      <c r="FZ2">
        <v>81.583333333333329</v>
      </c>
      <c r="GA2">
        <v>81.75</v>
      </c>
      <c r="GB2">
        <v>82.083333333333343</v>
      </c>
      <c r="GC2">
        <v>82.083333333333343</v>
      </c>
      <c r="GD2">
        <v>82.5</v>
      </c>
      <c r="GE2">
        <v>42.25</v>
      </c>
      <c r="GF2">
        <v>34.25</v>
      </c>
      <c r="GG2">
        <v>90</v>
      </c>
      <c r="GH2">
        <v>88.083333333333343</v>
      </c>
      <c r="GI2">
        <v>90</v>
      </c>
      <c r="GJ2">
        <v>86.75</v>
      </c>
      <c r="GK2">
        <v>79.333333333333329</v>
      </c>
      <c r="GL2">
        <v>45</v>
      </c>
      <c r="GM2">
        <v>45</v>
      </c>
      <c r="GN2">
        <v>82.5</v>
      </c>
      <c r="GO2">
        <v>0</v>
      </c>
      <c r="GP2">
        <v>89</v>
      </c>
      <c r="GQ2">
        <v>89.75</v>
      </c>
      <c r="GR2">
        <v>89.75</v>
      </c>
      <c r="GS2">
        <v>79.416666666666657</v>
      </c>
      <c r="GT2">
        <v>74.25</v>
      </c>
      <c r="GU2">
        <v>82</v>
      </c>
      <c r="GV2">
        <v>72.166666666666671</v>
      </c>
      <c r="GW2">
        <v>74.333333333333329</v>
      </c>
      <c r="GX2">
        <v>59.666666666666657</v>
      </c>
      <c r="GY2">
        <v>66.5</v>
      </c>
      <c r="GZ2">
        <v>29.666666666666664</v>
      </c>
      <c r="HA2">
        <v>44.5</v>
      </c>
      <c r="HB2">
        <v>89.75</v>
      </c>
      <c r="HC2">
        <v>89.083333333333329</v>
      </c>
      <c r="HD2">
        <v>89.75</v>
      </c>
      <c r="HE2">
        <v>88.250000000000014</v>
      </c>
      <c r="HF2">
        <v>75</v>
      </c>
      <c r="HG2">
        <v>45</v>
      </c>
      <c r="HH2">
        <v>20.083333333333332</v>
      </c>
      <c r="HI2">
        <v>67.5</v>
      </c>
      <c r="HJ2">
        <v>59.25</v>
      </c>
      <c r="HK2">
        <v>65.416666666666657</v>
      </c>
      <c r="HL2">
        <v>64.166666666666671</v>
      </c>
      <c r="HM2">
        <v>58</v>
      </c>
      <c r="HN2">
        <v>41.833333333333329</v>
      </c>
      <c r="HO2">
        <v>14.5</v>
      </c>
      <c r="HP2">
        <v>67.5</v>
      </c>
      <c r="HQ2">
        <v>78</v>
      </c>
      <c r="HR2">
        <v>73.583333333333329</v>
      </c>
      <c r="HS2">
        <v>72.5</v>
      </c>
      <c r="HT2">
        <v>71.333333333333343</v>
      </c>
      <c r="HU2">
        <v>38.25</v>
      </c>
      <c r="HV2">
        <v>30</v>
      </c>
      <c r="HW2">
        <v>67.5</v>
      </c>
      <c r="HX2">
        <v>73.916666666666657</v>
      </c>
      <c r="HY2">
        <v>82.5</v>
      </c>
      <c r="HZ2">
        <v>76.166666666666671</v>
      </c>
      <c r="IA2">
        <v>80.666666666666657</v>
      </c>
      <c r="IB2">
        <v>82.5</v>
      </c>
      <c r="IC2">
        <v>75</v>
      </c>
      <c r="ID2">
        <v>88.5</v>
      </c>
      <c r="IE2">
        <v>84</v>
      </c>
      <c r="IF2">
        <v>88.5</v>
      </c>
      <c r="IG2">
        <v>81</v>
      </c>
      <c r="IH2">
        <v>73.5</v>
      </c>
      <c r="II2">
        <v>45</v>
      </c>
      <c r="IJ2">
        <v>30</v>
      </c>
      <c r="IK2">
        <v>89.5</v>
      </c>
      <c r="IL2">
        <v>90</v>
      </c>
      <c r="IM2">
        <v>90</v>
      </c>
      <c r="IN2">
        <v>44.666666666666664</v>
      </c>
      <c r="IO2">
        <v>45</v>
      </c>
      <c r="IP2">
        <v>85.5</v>
      </c>
      <c r="IQ2">
        <v>87.75</v>
      </c>
      <c r="IR2">
        <v>88.5</v>
      </c>
      <c r="IS2">
        <v>78</v>
      </c>
      <c r="IT2">
        <v>82.5</v>
      </c>
      <c r="IU2">
        <v>45</v>
      </c>
      <c r="IV2">
        <v>45</v>
      </c>
      <c r="IW2">
        <v>95.666666666666671</v>
      </c>
      <c r="IX2">
        <v>96</v>
      </c>
      <c r="IY2">
        <v>96</v>
      </c>
      <c r="IZ2">
        <v>90</v>
      </c>
      <c r="JA2">
        <v>93</v>
      </c>
      <c r="JB2">
        <v>81.166666666666671</v>
      </c>
      <c r="JC2">
        <v>85.416666666666657</v>
      </c>
      <c r="JD2">
        <v>96</v>
      </c>
      <c r="JE2">
        <v>97.083333333333343</v>
      </c>
      <c r="JF2">
        <v>91.5</v>
      </c>
      <c r="JG2">
        <v>93</v>
      </c>
      <c r="JH2">
        <v>93</v>
      </c>
      <c r="JI2">
        <v>45</v>
      </c>
      <c r="JJ2">
        <v>45</v>
      </c>
      <c r="JK2">
        <v>93</v>
      </c>
      <c r="JL2">
        <v>89.75</v>
      </c>
      <c r="JM2">
        <v>82.5</v>
      </c>
      <c r="JN2">
        <v>82.5</v>
      </c>
      <c r="JO2">
        <v>90</v>
      </c>
      <c r="JP2">
        <v>44.75</v>
      </c>
      <c r="JQ2">
        <v>37.5</v>
      </c>
      <c r="JR2">
        <v>81.5</v>
      </c>
      <c r="JS2">
        <v>82.5</v>
      </c>
      <c r="JT2">
        <v>82.5</v>
      </c>
      <c r="JU2">
        <v>74.75</v>
      </c>
      <c r="JV2">
        <v>75</v>
      </c>
      <c r="JW2">
        <v>45</v>
      </c>
      <c r="JX2">
        <v>44.333333333333329</v>
      </c>
      <c r="JY2">
        <v>82.166666666666657</v>
      </c>
      <c r="JZ2">
        <v>80.916666666666686</v>
      </c>
      <c r="KA2">
        <v>80.166666666666657</v>
      </c>
      <c r="KB2">
        <v>82.5</v>
      </c>
      <c r="KC2">
        <v>82.5</v>
      </c>
      <c r="KD2">
        <v>37.5</v>
      </c>
      <c r="KE2">
        <v>45</v>
      </c>
      <c r="KF2">
        <v>82.5</v>
      </c>
      <c r="KG2">
        <v>90</v>
      </c>
      <c r="KH2">
        <v>90</v>
      </c>
      <c r="KI2">
        <v>88.833333333333343</v>
      </c>
      <c r="KJ2">
        <v>90</v>
      </c>
      <c r="KK2">
        <v>37.5</v>
      </c>
      <c r="KL2">
        <v>45</v>
      </c>
      <c r="KM2">
        <v>89.166666666666657</v>
      </c>
      <c r="KN2">
        <v>89.5</v>
      </c>
      <c r="KO2">
        <v>89.75</v>
      </c>
      <c r="KP2">
        <v>89.75</v>
      </c>
      <c r="KQ2">
        <v>79.583333333333329</v>
      </c>
      <c r="KR2">
        <v>37.5</v>
      </c>
      <c r="KS2">
        <v>45</v>
      </c>
      <c r="KT2">
        <v>82.5</v>
      </c>
      <c r="KU2">
        <v>88.5</v>
      </c>
      <c r="KV2">
        <v>90</v>
      </c>
      <c r="KW2">
        <v>82.5</v>
      </c>
      <c r="KX2">
        <v>79.916666666666671</v>
      </c>
      <c r="KY2">
        <v>45</v>
      </c>
      <c r="KZ2">
        <v>44.666666666666664</v>
      </c>
      <c r="LA2">
        <v>90</v>
      </c>
      <c r="LB2">
        <v>90</v>
      </c>
      <c r="LC2">
        <v>90</v>
      </c>
      <c r="LD2">
        <v>90</v>
      </c>
      <c r="LE2">
        <v>89.75</v>
      </c>
      <c r="LF2">
        <v>41.75</v>
      </c>
      <c r="LG2">
        <v>37.5</v>
      </c>
      <c r="LH2">
        <v>90</v>
      </c>
      <c r="LI2">
        <v>86</v>
      </c>
      <c r="LJ2">
        <v>89.75</v>
      </c>
      <c r="LK2">
        <v>90</v>
      </c>
      <c r="LL2">
        <v>89.666666666666657</v>
      </c>
      <c r="LM2">
        <v>89.5</v>
      </c>
      <c r="LN2">
        <v>89.75</v>
      </c>
      <c r="LO2">
        <v>79.083333333333329</v>
      </c>
      <c r="LP2">
        <v>86.25</v>
      </c>
      <c r="LQ2">
        <v>82.25</v>
      </c>
      <c r="LR2">
        <v>71.666666666666657</v>
      </c>
      <c r="LS2">
        <v>67.5</v>
      </c>
      <c r="LT2">
        <v>30</v>
      </c>
      <c r="LU2">
        <v>44.333333333333336</v>
      </c>
      <c r="LV2">
        <v>82.25</v>
      </c>
      <c r="LW2">
        <v>87</v>
      </c>
      <c r="LX2">
        <v>52.166666666666664</v>
      </c>
    </row>
    <row r="3" spans="1:336">
      <c r="A3" s="136" t="s">
        <v>2223</v>
      </c>
      <c r="B3">
        <f>+SUMIFS([1]Sayfa2!G:G,[1]Sayfa2!$C:$C,'[1]tüm birimler'!$A3)</f>
        <v>0</v>
      </c>
      <c r="C3">
        <f>+SUMIFS([1]Sayfa2!H:H,[1]Sayfa2!$C:$C,'[1]tüm birimler'!$A3)</f>
        <v>67.5</v>
      </c>
      <c r="D3">
        <f>+SUMIFS([1]Sayfa2!I:I,[1]Sayfa2!$C:$C,'[1]tüm birimler'!$A3)</f>
        <v>75</v>
      </c>
      <c r="E3">
        <f>+SUMIFS([1]Sayfa2!J:J,[1]Sayfa2!$C:$C,'[1]tüm birimler'!$A3)</f>
        <v>41.75</v>
      </c>
      <c r="F3">
        <f>+SUMIFS([1]Sayfa2!K:K,[1]Sayfa2!$C:$C,'[1]tüm birimler'!$A3)</f>
        <v>30</v>
      </c>
      <c r="G3">
        <f>+SUMIFS([1]Sayfa2!L:L,[1]Sayfa2!$C:$C,'[1]tüm birimler'!$A3)</f>
        <v>83.5</v>
      </c>
      <c r="H3">
        <f>+SUMIFS([1]Sayfa2!M:M,[1]Sayfa2!$C:$C,'[1]tüm birimler'!$A3)</f>
        <v>83.5</v>
      </c>
      <c r="I3">
        <f>+SUMIFS([1]Sayfa2!N:N,[1]Sayfa2!$C:$C,'[1]tüm birimler'!$A3)</f>
        <v>91</v>
      </c>
      <c r="J3">
        <f>+SUMIFS([1]Sayfa2!O:O,[1]Sayfa2!$C:$C,'[1]tüm birimler'!$A3)</f>
        <v>90.666666666666657</v>
      </c>
      <c r="K3">
        <f>+SUMIFS([1]Sayfa2!P:P,[1]Sayfa2!$C:$C,'[1]tüm birimler'!$A3)</f>
        <v>83.166666666666657</v>
      </c>
      <c r="L3">
        <f>+SUMIFS([1]Sayfa2!Q:Q,[1]Sayfa2!$C:$C,'[1]tüm birimler'!$A3)</f>
        <v>45</v>
      </c>
      <c r="M3">
        <f>+SUMIFS([1]Sayfa2!R:R,[1]Sayfa2!$C:$C,'[1]tüm birimler'!$A3)</f>
        <v>22.5</v>
      </c>
      <c r="N3">
        <f>+SUMIFS([1]Sayfa2!S:S,[1]Sayfa2!$C:$C,'[1]tüm birimler'!$A3)</f>
        <v>88.75</v>
      </c>
      <c r="O3">
        <f>+SUMIFS([1]Sayfa2!T:T,[1]Sayfa2!$C:$C,'[1]tüm birimler'!$A3)</f>
        <v>90</v>
      </c>
      <c r="P3">
        <f>+SUMIFS([1]Sayfa2!U:U,[1]Sayfa2!$C:$C,'[1]tüm birimler'!$A3)</f>
        <v>90</v>
      </c>
      <c r="Q3">
        <f>+SUMIFS([1]Sayfa2!V:V,[1]Sayfa2!$C:$C,'[1]tüm birimler'!$A3)</f>
        <v>82.5</v>
      </c>
      <c r="R3">
        <f>+SUMIFS([1]Sayfa2!W:W,[1]Sayfa2!$C:$C,'[1]tüm birimler'!$A3)</f>
        <v>89.416666666666671</v>
      </c>
      <c r="S3">
        <f>+SUMIFS([1]Sayfa2!X:X,[1]Sayfa2!$C:$C,'[1]tüm birimler'!$A3)</f>
        <v>52.5</v>
      </c>
      <c r="T3">
        <f>+SUMIFS([1]Sayfa2!Y:Y,[1]Sayfa2!$C:$C,'[1]tüm birimler'!$A3)</f>
        <v>37.5</v>
      </c>
      <c r="U3">
        <f>+SUMIFS([1]Sayfa2!Z:Z,[1]Sayfa2!$C:$C,'[1]tüm birimler'!$A3)</f>
        <v>87.166666666666671</v>
      </c>
      <c r="V3">
        <f>+SUMIFS([1]Sayfa2!AA:AA,[1]Sayfa2!$C:$C,'[1]tüm birimler'!$A3)</f>
        <v>90</v>
      </c>
      <c r="W3">
        <f>+SUMIFS([1]Sayfa2!AB:AB,[1]Sayfa2!$C:$C,'[1]tüm birimler'!$A3)</f>
        <v>82.5</v>
      </c>
      <c r="X3">
        <f>+SUMIFS([1]Sayfa2!AC:AC,[1]Sayfa2!$C:$C,'[1]tüm birimler'!$A3)</f>
        <v>90</v>
      </c>
      <c r="Y3">
        <f>+SUMIFS([1]Sayfa2!AD:AD,[1]Sayfa2!$C:$C,'[1]tüm birimler'!$A3)</f>
        <v>82.5</v>
      </c>
      <c r="Z3">
        <f>+SUMIFS([1]Sayfa2!AE:AE,[1]Sayfa2!$C:$C,'[1]tüm birimler'!$A3)</f>
        <v>51.916666666666671</v>
      </c>
      <c r="AA3">
        <f>+SUMIFS([1]Sayfa2!AF:AF,[1]Sayfa2!$C:$C,'[1]tüm birimler'!$A3)</f>
        <v>37.5</v>
      </c>
      <c r="AB3">
        <f>+SUMIFS([1]Sayfa2!AG:AG,[1]Sayfa2!$C:$C,'[1]tüm birimler'!$A3)</f>
        <v>90</v>
      </c>
      <c r="AC3">
        <f>+SUMIFS([1]Sayfa2!AH:AH,[1]Sayfa2!$C:$C,'[1]tüm birimler'!$A3)</f>
        <v>87.5</v>
      </c>
      <c r="AD3">
        <f>+SUMIFS([1]Sayfa2!AI:AI,[1]Sayfa2!$C:$C,'[1]tüm birimler'!$A3)</f>
        <v>87</v>
      </c>
      <c r="AE3">
        <f>+SUMIFS([1]Sayfa2!AJ:AJ,[1]Sayfa2!$C:$C,'[1]tüm birimler'!$A3)</f>
        <v>81.5</v>
      </c>
      <c r="AF3">
        <f>+SUMIFS([1]Sayfa2!AK:AK,[1]Sayfa2!$C:$C,'[1]tüm birimler'!$A3)</f>
        <v>75</v>
      </c>
      <c r="AG3">
        <v>45</v>
      </c>
      <c r="AH3">
        <v>37.5</v>
      </c>
      <c r="AI3">
        <v>90</v>
      </c>
      <c r="AJ3">
        <v>90</v>
      </c>
      <c r="AK3">
        <v>86.75</v>
      </c>
      <c r="AL3">
        <v>82.5</v>
      </c>
      <c r="AM3">
        <v>90</v>
      </c>
      <c r="AN3">
        <v>37.5</v>
      </c>
      <c r="AO3">
        <v>30</v>
      </c>
      <c r="AP3">
        <v>87</v>
      </c>
      <c r="AQ3">
        <v>82.5</v>
      </c>
      <c r="AR3">
        <v>90</v>
      </c>
      <c r="AS3">
        <v>90</v>
      </c>
      <c r="AT3">
        <v>90</v>
      </c>
      <c r="AU3">
        <v>52.5</v>
      </c>
      <c r="AV3">
        <v>37.5</v>
      </c>
      <c r="AW3">
        <v>75</v>
      </c>
      <c r="AX3">
        <v>90</v>
      </c>
      <c r="AY3">
        <v>87.333333333333329</v>
      </c>
      <c r="AZ3">
        <v>90</v>
      </c>
      <c r="BA3">
        <v>90</v>
      </c>
      <c r="BB3">
        <v>22.5</v>
      </c>
      <c r="BC3">
        <v>29.166666666666668</v>
      </c>
      <c r="BD3">
        <v>79.5</v>
      </c>
      <c r="BE3">
        <v>90</v>
      </c>
      <c r="BF3">
        <v>90</v>
      </c>
      <c r="BG3">
        <v>90</v>
      </c>
      <c r="BH3">
        <v>90</v>
      </c>
      <c r="BI3">
        <v>52.5</v>
      </c>
      <c r="BJ3">
        <v>22.5</v>
      </c>
      <c r="BK3">
        <v>90</v>
      </c>
      <c r="BL3">
        <v>90</v>
      </c>
      <c r="BM3">
        <v>82.5</v>
      </c>
      <c r="BN3">
        <v>84.416666666666657</v>
      </c>
      <c r="BO3">
        <v>74.666666666666657</v>
      </c>
      <c r="BP3">
        <v>45</v>
      </c>
      <c r="BQ3">
        <v>30</v>
      </c>
      <c r="BR3">
        <v>90</v>
      </c>
      <c r="BS3">
        <v>90</v>
      </c>
      <c r="BT3">
        <v>89.583333333333329</v>
      </c>
      <c r="BU3">
        <v>90</v>
      </c>
      <c r="BV3">
        <v>75</v>
      </c>
      <c r="BW3">
        <v>52.083333333333336</v>
      </c>
      <c r="BX3">
        <v>35.333333333333329</v>
      </c>
      <c r="BY3">
        <v>90</v>
      </c>
      <c r="BZ3">
        <v>90</v>
      </c>
      <c r="CA3">
        <v>89.666666666666657</v>
      </c>
      <c r="CB3">
        <v>89.666666666666657</v>
      </c>
      <c r="CC3">
        <v>87.25</v>
      </c>
      <c r="CD3">
        <v>83.166666666666657</v>
      </c>
      <c r="CE3">
        <v>90</v>
      </c>
      <c r="CF3">
        <v>90</v>
      </c>
      <c r="CG3">
        <v>90</v>
      </c>
      <c r="CH3">
        <v>90</v>
      </c>
      <c r="CI3">
        <v>90</v>
      </c>
      <c r="CJ3">
        <v>90</v>
      </c>
      <c r="CK3">
        <v>30</v>
      </c>
      <c r="CL3">
        <v>0</v>
      </c>
      <c r="CM3">
        <v>0</v>
      </c>
      <c r="CN3">
        <v>0</v>
      </c>
      <c r="CO3">
        <v>81.916666666666671</v>
      </c>
      <c r="CP3">
        <v>88.75</v>
      </c>
      <c r="CQ3">
        <v>90</v>
      </c>
      <c r="CR3">
        <v>36.75</v>
      </c>
      <c r="CS3">
        <v>37.5</v>
      </c>
      <c r="CT3">
        <v>84.333333333333343</v>
      </c>
      <c r="CU3">
        <v>90</v>
      </c>
      <c r="CV3">
        <v>80.583333333333329</v>
      </c>
      <c r="CW3">
        <v>76.333333333333343</v>
      </c>
      <c r="CX3">
        <v>90</v>
      </c>
      <c r="CY3">
        <v>45</v>
      </c>
      <c r="CZ3">
        <v>45</v>
      </c>
      <c r="DA3">
        <v>81.25</v>
      </c>
      <c r="DB3">
        <v>82.5</v>
      </c>
      <c r="DC3">
        <v>87.5</v>
      </c>
      <c r="DD3">
        <v>86.916666666666671</v>
      </c>
      <c r="DE3">
        <v>89.75</v>
      </c>
      <c r="DF3">
        <v>45</v>
      </c>
      <c r="DG3">
        <v>45</v>
      </c>
      <c r="DH3">
        <v>70.666666666666671</v>
      </c>
      <c r="DI3">
        <v>82.5</v>
      </c>
      <c r="DJ3">
        <v>37.5</v>
      </c>
      <c r="DK3">
        <v>0</v>
      </c>
      <c r="DL3">
        <v>66.5</v>
      </c>
      <c r="DM3">
        <v>74.5</v>
      </c>
      <c r="DN3">
        <v>73.583333333333329</v>
      </c>
      <c r="DO3">
        <v>66.5</v>
      </c>
      <c r="DP3">
        <v>67.5</v>
      </c>
      <c r="DQ3">
        <v>75</v>
      </c>
      <c r="DR3">
        <v>0</v>
      </c>
      <c r="DS3">
        <v>79.833333333333343</v>
      </c>
      <c r="DT3">
        <v>44.583333333333336</v>
      </c>
      <c r="DU3">
        <v>37.166666666666664</v>
      </c>
      <c r="DV3">
        <v>89.333333333333329</v>
      </c>
      <c r="DW3">
        <v>85.5</v>
      </c>
      <c r="DX3">
        <v>79.666666666666671</v>
      </c>
      <c r="DY3">
        <v>82.5</v>
      </c>
      <c r="DZ3">
        <v>80.166666666666671</v>
      </c>
      <c r="EA3">
        <v>41.416666666666664</v>
      </c>
      <c r="EB3">
        <v>45</v>
      </c>
      <c r="EC3">
        <v>85.5</v>
      </c>
      <c r="ED3">
        <v>96</v>
      </c>
      <c r="EE3">
        <v>87.166666666666671</v>
      </c>
      <c r="EF3">
        <v>75</v>
      </c>
      <c r="EG3">
        <v>75</v>
      </c>
      <c r="EH3">
        <v>45</v>
      </c>
      <c r="EI3">
        <v>45</v>
      </c>
      <c r="EJ3">
        <v>82.5</v>
      </c>
      <c r="EK3">
        <v>81.5</v>
      </c>
      <c r="EL3">
        <v>89.5</v>
      </c>
      <c r="EM3">
        <v>90</v>
      </c>
      <c r="EN3">
        <v>90</v>
      </c>
      <c r="EO3">
        <v>45</v>
      </c>
      <c r="EP3">
        <v>41.75</v>
      </c>
      <c r="EQ3">
        <v>96</v>
      </c>
      <c r="ER3">
        <v>96</v>
      </c>
      <c r="ES3">
        <v>93</v>
      </c>
      <c r="ET3">
        <v>96</v>
      </c>
      <c r="EU3">
        <v>87</v>
      </c>
      <c r="EV3">
        <v>75.416666666666657</v>
      </c>
      <c r="EW3">
        <v>80</v>
      </c>
      <c r="EX3">
        <v>90</v>
      </c>
      <c r="EY3">
        <v>89.333333333333343</v>
      </c>
      <c r="EZ3">
        <v>87</v>
      </c>
      <c r="FA3">
        <v>45.583333333333329</v>
      </c>
      <c r="FB3">
        <v>0</v>
      </c>
      <c r="FC3">
        <v>0</v>
      </c>
      <c r="FD3">
        <v>0</v>
      </c>
      <c r="FE3">
        <v>0</v>
      </c>
      <c r="FF3">
        <v>69.916666666666671</v>
      </c>
      <c r="FG3">
        <v>76.75</v>
      </c>
      <c r="FH3">
        <v>88.5</v>
      </c>
      <c r="FI3">
        <v>81</v>
      </c>
      <c r="FJ3">
        <v>63</v>
      </c>
      <c r="FK3">
        <v>67.5</v>
      </c>
      <c r="FL3">
        <v>79.583333333333329</v>
      </c>
      <c r="FM3">
        <v>90</v>
      </c>
      <c r="FN3">
        <v>82.5</v>
      </c>
      <c r="FO3">
        <v>87.083333333333329</v>
      </c>
      <c r="FP3">
        <v>89.166666666666657</v>
      </c>
      <c r="FQ3">
        <v>45</v>
      </c>
      <c r="FR3">
        <v>45</v>
      </c>
      <c r="FS3">
        <v>82.5</v>
      </c>
      <c r="FT3">
        <v>88.666666666666671</v>
      </c>
      <c r="FU3">
        <v>90</v>
      </c>
      <c r="FV3">
        <v>82.5</v>
      </c>
      <c r="FW3">
        <v>89.333333333333329</v>
      </c>
      <c r="FX3">
        <v>44.333333333333329</v>
      </c>
      <c r="FY3">
        <v>37.5</v>
      </c>
      <c r="FZ3">
        <v>82.5</v>
      </c>
      <c r="GA3">
        <v>82.5</v>
      </c>
      <c r="GB3">
        <v>90</v>
      </c>
      <c r="GC3">
        <v>82.5</v>
      </c>
      <c r="GD3">
        <v>83.583333333333329</v>
      </c>
      <c r="GE3">
        <v>37.5</v>
      </c>
      <c r="GF3">
        <v>34.25</v>
      </c>
      <c r="GG3">
        <v>87.25</v>
      </c>
      <c r="GH3">
        <v>90</v>
      </c>
      <c r="GI3">
        <v>86.583333333333329</v>
      </c>
      <c r="GJ3">
        <v>66.666666666666671</v>
      </c>
      <c r="GK3">
        <v>78.833333333333329</v>
      </c>
      <c r="GL3">
        <v>44.666666666666664</v>
      </c>
      <c r="GM3">
        <v>37.5</v>
      </c>
      <c r="GN3">
        <v>82.5</v>
      </c>
      <c r="GO3">
        <v>0</v>
      </c>
      <c r="GP3">
        <v>82.5</v>
      </c>
      <c r="GQ3">
        <v>81</v>
      </c>
      <c r="GR3">
        <v>78</v>
      </c>
      <c r="GS3">
        <v>79.75</v>
      </c>
      <c r="GT3">
        <v>59.166666666666671</v>
      </c>
      <c r="GU3">
        <v>90</v>
      </c>
      <c r="GV3">
        <v>85.166666666666671</v>
      </c>
      <c r="GW3">
        <v>87.666666666666671</v>
      </c>
      <c r="GX3">
        <v>92.25</v>
      </c>
      <c r="GY3">
        <v>63</v>
      </c>
      <c r="GZ3">
        <v>34.333333333333329</v>
      </c>
      <c r="HA3">
        <v>44.583333333333336</v>
      </c>
      <c r="HB3">
        <v>78.083333333333343</v>
      </c>
      <c r="HC3">
        <v>62.416666666666664</v>
      </c>
      <c r="HD3">
        <v>85.166666666666657</v>
      </c>
      <c r="HE3">
        <v>88.166666666666657</v>
      </c>
      <c r="HF3">
        <v>86.833333333333343</v>
      </c>
      <c r="HG3">
        <v>45</v>
      </c>
      <c r="HH3">
        <v>41.583333333333336</v>
      </c>
      <c r="HI3">
        <v>91.5</v>
      </c>
      <c r="HJ3">
        <v>82.5</v>
      </c>
      <c r="HK3">
        <v>82</v>
      </c>
      <c r="HL3">
        <v>82</v>
      </c>
      <c r="HM3">
        <v>79.666666666666671</v>
      </c>
      <c r="HN3">
        <v>34.75</v>
      </c>
      <c r="HO3">
        <v>37.083333333333336</v>
      </c>
      <c r="HP3">
        <v>73.166666666666657</v>
      </c>
      <c r="HQ3">
        <v>80.666666666666657</v>
      </c>
      <c r="HR3">
        <v>76.416666666666657</v>
      </c>
      <c r="HS3">
        <v>62.083333333333329</v>
      </c>
      <c r="HT3">
        <v>67.083333333333343</v>
      </c>
      <c r="HU3">
        <v>37.5</v>
      </c>
      <c r="HV3">
        <v>37.5</v>
      </c>
      <c r="HW3">
        <v>73.5</v>
      </c>
      <c r="HX3">
        <v>80.666666666666657</v>
      </c>
      <c r="HY3">
        <v>82.5</v>
      </c>
      <c r="HZ3">
        <v>91.5</v>
      </c>
      <c r="IA3">
        <v>84</v>
      </c>
      <c r="IB3">
        <v>79</v>
      </c>
      <c r="IC3">
        <v>74.583333333333343</v>
      </c>
      <c r="ID3">
        <v>96</v>
      </c>
      <c r="IE3">
        <v>88.5</v>
      </c>
      <c r="IF3">
        <v>87.916666666666671</v>
      </c>
      <c r="IG3">
        <v>81.5</v>
      </c>
      <c r="IH3">
        <v>80</v>
      </c>
      <c r="II3">
        <v>37.5</v>
      </c>
      <c r="IJ3">
        <v>37.5</v>
      </c>
      <c r="IK3">
        <v>87.416666666666657</v>
      </c>
      <c r="IL3">
        <v>79.083333333333329</v>
      </c>
      <c r="IM3">
        <v>79.416666666666657</v>
      </c>
      <c r="IN3">
        <v>45</v>
      </c>
      <c r="IO3">
        <v>45</v>
      </c>
      <c r="IP3">
        <v>94.833333333333329</v>
      </c>
      <c r="IQ3">
        <v>88.5</v>
      </c>
      <c r="IR3">
        <v>93.5</v>
      </c>
      <c r="IS3">
        <v>83.5</v>
      </c>
      <c r="IT3">
        <v>88.5</v>
      </c>
      <c r="IU3">
        <v>45</v>
      </c>
      <c r="IV3">
        <v>29.666666666666664</v>
      </c>
      <c r="IW3">
        <v>73.5</v>
      </c>
      <c r="IX3">
        <v>86</v>
      </c>
      <c r="IY3">
        <v>83</v>
      </c>
      <c r="IZ3">
        <v>83.5</v>
      </c>
      <c r="JA3">
        <v>66</v>
      </c>
      <c r="JB3">
        <v>65</v>
      </c>
      <c r="JC3">
        <v>76.5</v>
      </c>
      <c r="JD3">
        <v>88.5</v>
      </c>
      <c r="JE3">
        <v>96</v>
      </c>
      <c r="JF3">
        <v>95.583333333333343</v>
      </c>
      <c r="JG3">
        <v>98.5</v>
      </c>
      <c r="JH3">
        <v>88.5</v>
      </c>
      <c r="JI3">
        <v>37.5</v>
      </c>
      <c r="JJ3">
        <v>42</v>
      </c>
      <c r="JK3">
        <v>96</v>
      </c>
      <c r="JL3">
        <v>100</v>
      </c>
      <c r="JM3">
        <v>86.75</v>
      </c>
      <c r="JN3">
        <v>91.166666666666657</v>
      </c>
      <c r="JO3">
        <v>88.5</v>
      </c>
      <c r="JP3">
        <v>45</v>
      </c>
      <c r="JQ3">
        <v>45</v>
      </c>
      <c r="JR3">
        <v>88.5</v>
      </c>
      <c r="JS3">
        <v>92.833333333333329</v>
      </c>
      <c r="JT3">
        <v>93.083333333333329</v>
      </c>
      <c r="JU3">
        <v>82.083333333333343</v>
      </c>
      <c r="JV3">
        <v>88.583333333333329</v>
      </c>
      <c r="JW3">
        <v>45</v>
      </c>
      <c r="JX3">
        <v>43.75</v>
      </c>
      <c r="JY3">
        <v>88.666666666666671</v>
      </c>
      <c r="JZ3">
        <v>87</v>
      </c>
      <c r="KA3">
        <v>86.75</v>
      </c>
      <c r="KB3">
        <v>90</v>
      </c>
      <c r="KC3">
        <v>90</v>
      </c>
      <c r="KD3">
        <v>45</v>
      </c>
      <c r="KE3">
        <v>45</v>
      </c>
      <c r="KF3">
        <v>90</v>
      </c>
      <c r="KG3">
        <v>90</v>
      </c>
      <c r="KH3">
        <v>90</v>
      </c>
      <c r="KI3">
        <v>86.833333333333329</v>
      </c>
      <c r="KJ3">
        <v>84.166666666666671</v>
      </c>
      <c r="KK3">
        <v>37.5</v>
      </c>
      <c r="KL3">
        <v>43.833333333333336</v>
      </c>
      <c r="KM3">
        <v>90</v>
      </c>
      <c r="KN3">
        <v>90</v>
      </c>
      <c r="KO3">
        <v>88.583333333333329</v>
      </c>
      <c r="KP3">
        <v>90</v>
      </c>
      <c r="KQ3">
        <v>90</v>
      </c>
      <c r="KR3">
        <v>45</v>
      </c>
      <c r="KS3">
        <v>45</v>
      </c>
      <c r="KT3">
        <v>90</v>
      </c>
      <c r="KU3">
        <v>90</v>
      </c>
      <c r="KV3">
        <v>90</v>
      </c>
      <c r="KW3">
        <v>90</v>
      </c>
      <c r="KX3">
        <v>88.083333333333329</v>
      </c>
      <c r="KY3">
        <v>42.333333333333336</v>
      </c>
      <c r="KZ3">
        <v>45</v>
      </c>
      <c r="LA3">
        <v>90</v>
      </c>
      <c r="LB3">
        <v>87.416666666666671</v>
      </c>
      <c r="LC3">
        <v>90</v>
      </c>
      <c r="LD3">
        <v>82.5</v>
      </c>
      <c r="LE3">
        <v>75</v>
      </c>
      <c r="LF3">
        <v>37.5</v>
      </c>
      <c r="LG3">
        <v>45</v>
      </c>
      <c r="LH3">
        <v>87</v>
      </c>
      <c r="LI3">
        <v>75</v>
      </c>
      <c r="LJ3">
        <v>82.5</v>
      </c>
      <c r="LK3">
        <v>82.5</v>
      </c>
      <c r="LL3">
        <v>83.833333333333329</v>
      </c>
      <c r="LM3">
        <v>90</v>
      </c>
      <c r="LN3">
        <v>82.5</v>
      </c>
      <c r="LO3">
        <v>86.75</v>
      </c>
      <c r="LP3">
        <v>85.416666666666671</v>
      </c>
      <c r="LQ3">
        <v>82.5</v>
      </c>
      <c r="LR3">
        <v>91</v>
      </c>
      <c r="LS3">
        <v>90</v>
      </c>
      <c r="LT3">
        <v>45</v>
      </c>
      <c r="LU3">
        <v>45</v>
      </c>
      <c r="LV3">
        <v>82.5</v>
      </c>
      <c r="LW3">
        <v>88.5</v>
      </c>
      <c r="LX3">
        <v>60</v>
      </c>
    </row>
    <row r="4" spans="1:336">
      <c r="A4" s="136" t="s">
        <v>2224</v>
      </c>
      <c r="B4">
        <f>+SUMIFS([1]Sayfa2!G:G,[1]Sayfa2!$C:$C,'[1]tüm birimler'!$A4)</f>
        <v>0</v>
      </c>
      <c r="C4">
        <f>+SUMIFS([1]Sayfa2!H:H,[1]Sayfa2!$C:$C,'[1]tüm birimler'!$A4)</f>
        <v>7.5</v>
      </c>
      <c r="D4">
        <f>+SUMIFS([1]Sayfa2!I:I,[1]Sayfa2!$C:$C,'[1]tüm birimler'!$A4)</f>
        <v>7.5</v>
      </c>
      <c r="E4">
        <f>+SUMIFS([1]Sayfa2!J:J,[1]Sayfa2!$C:$C,'[1]tüm birimler'!$A4)</f>
        <v>7.5</v>
      </c>
      <c r="F4">
        <f>+SUMIFS([1]Sayfa2!K:K,[1]Sayfa2!$C:$C,'[1]tüm birimler'!$A4)</f>
        <v>0</v>
      </c>
      <c r="G4">
        <f>+SUMIFS([1]Sayfa2!L:L,[1]Sayfa2!$C:$C,'[1]tüm birimler'!$A4)</f>
        <v>7.5</v>
      </c>
      <c r="H4">
        <f>+SUMIFS([1]Sayfa2!M:M,[1]Sayfa2!$C:$C,'[1]tüm birimler'!$A4)</f>
        <v>7.5</v>
      </c>
      <c r="I4">
        <f>+SUMIFS([1]Sayfa2!N:N,[1]Sayfa2!$C:$C,'[1]tüm birimler'!$A4)</f>
        <v>7.5</v>
      </c>
      <c r="J4">
        <f>+SUMIFS([1]Sayfa2!O:O,[1]Sayfa2!$C:$C,'[1]tüm birimler'!$A4)</f>
        <v>7.5</v>
      </c>
      <c r="K4">
        <f>+SUMIFS([1]Sayfa2!P:P,[1]Sayfa2!$C:$C,'[1]tüm birimler'!$A4)</f>
        <v>7.5</v>
      </c>
      <c r="L4">
        <f>+SUMIFS([1]Sayfa2!Q:Q,[1]Sayfa2!$C:$C,'[1]tüm birimler'!$A4)</f>
        <v>0</v>
      </c>
      <c r="M4">
        <f>+SUMIFS([1]Sayfa2!R:R,[1]Sayfa2!$C:$C,'[1]tüm birimler'!$A4)</f>
        <v>0</v>
      </c>
      <c r="N4">
        <f>+SUMIFS([1]Sayfa2!S:S,[1]Sayfa2!$C:$C,'[1]tüm birimler'!$A4)</f>
        <v>7.5</v>
      </c>
      <c r="O4">
        <f>+SUMIFS([1]Sayfa2!T:T,[1]Sayfa2!$C:$C,'[1]tüm birimler'!$A4)</f>
        <v>7.5</v>
      </c>
      <c r="P4">
        <f>+SUMIFS([1]Sayfa2!U:U,[1]Sayfa2!$C:$C,'[1]tüm birimler'!$A4)</f>
        <v>7.5</v>
      </c>
      <c r="Q4">
        <f>+SUMIFS([1]Sayfa2!V:V,[1]Sayfa2!$C:$C,'[1]tüm birimler'!$A4)</f>
        <v>7.5</v>
      </c>
      <c r="R4">
        <f>+SUMIFS([1]Sayfa2!W:W,[1]Sayfa2!$C:$C,'[1]tüm birimler'!$A4)</f>
        <v>7.5</v>
      </c>
      <c r="S4">
        <f>+SUMIFS([1]Sayfa2!X:X,[1]Sayfa2!$C:$C,'[1]tüm birimler'!$A4)</f>
        <v>7.5</v>
      </c>
      <c r="T4">
        <f>+SUMIFS([1]Sayfa2!Y:Y,[1]Sayfa2!$C:$C,'[1]tüm birimler'!$A4)</f>
        <v>0</v>
      </c>
      <c r="U4">
        <f>+SUMIFS([1]Sayfa2!Z:Z,[1]Sayfa2!$C:$C,'[1]tüm birimler'!$A4)</f>
        <v>7.5</v>
      </c>
      <c r="V4">
        <f>+SUMIFS([1]Sayfa2!AA:AA,[1]Sayfa2!$C:$C,'[1]tüm birimler'!$A4)</f>
        <v>7.5</v>
      </c>
      <c r="W4">
        <f>+SUMIFS([1]Sayfa2!AB:AB,[1]Sayfa2!$C:$C,'[1]tüm birimler'!$A4)</f>
        <v>7.5</v>
      </c>
      <c r="X4">
        <f>+SUMIFS([1]Sayfa2!AC:AC,[1]Sayfa2!$C:$C,'[1]tüm birimler'!$A4)</f>
        <v>7.5</v>
      </c>
      <c r="Y4">
        <f>+SUMIFS([1]Sayfa2!AD:AD,[1]Sayfa2!$C:$C,'[1]tüm birimler'!$A4)</f>
        <v>7.5</v>
      </c>
      <c r="Z4">
        <f>+SUMIFS([1]Sayfa2!AE:AE,[1]Sayfa2!$C:$C,'[1]tüm birimler'!$A4)</f>
        <v>7.5</v>
      </c>
      <c r="AA4">
        <f>+SUMIFS([1]Sayfa2!AF:AF,[1]Sayfa2!$C:$C,'[1]tüm birimler'!$A4)</f>
        <v>0</v>
      </c>
      <c r="AB4">
        <f>+SUMIFS([1]Sayfa2!AG:AG,[1]Sayfa2!$C:$C,'[1]tüm birimler'!$A4)</f>
        <v>7.5</v>
      </c>
      <c r="AC4">
        <f>+SUMIFS([1]Sayfa2!AH:AH,[1]Sayfa2!$C:$C,'[1]tüm birimler'!$A4)</f>
        <v>7.5</v>
      </c>
      <c r="AD4">
        <f>+SUMIFS([1]Sayfa2!AI:AI,[1]Sayfa2!$C:$C,'[1]tüm birimler'!$A4)</f>
        <v>7.5</v>
      </c>
      <c r="AE4">
        <f>+SUMIFS([1]Sayfa2!AJ:AJ,[1]Sayfa2!$C:$C,'[1]tüm birimler'!$A4)</f>
        <v>7.5</v>
      </c>
      <c r="AF4">
        <f>+SUMIFS([1]Sayfa2!AK:AK,[1]Sayfa2!$C:$C,'[1]tüm birimler'!$A4)</f>
        <v>6.833333333333333</v>
      </c>
      <c r="AG4">
        <v>7.5</v>
      </c>
      <c r="AH4">
        <v>0</v>
      </c>
      <c r="AI4">
        <v>7.5</v>
      </c>
      <c r="AJ4">
        <v>7.5</v>
      </c>
      <c r="AK4">
        <v>7.5</v>
      </c>
      <c r="AL4">
        <v>7.5</v>
      </c>
      <c r="AM4">
        <v>7.5</v>
      </c>
      <c r="AN4">
        <v>7.5</v>
      </c>
      <c r="AO4">
        <v>0</v>
      </c>
      <c r="AP4">
        <v>7.5</v>
      </c>
      <c r="AQ4">
        <v>7.5</v>
      </c>
      <c r="AR4">
        <v>7.5</v>
      </c>
      <c r="AS4">
        <v>7.5</v>
      </c>
      <c r="AT4">
        <v>7.5</v>
      </c>
      <c r="AU4">
        <v>4.833333333333333</v>
      </c>
      <c r="AV4">
        <v>0</v>
      </c>
      <c r="AW4">
        <v>7.5</v>
      </c>
      <c r="AX4">
        <v>7.5</v>
      </c>
      <c r="AY4">
        <v>7.5</v>
      </c>
      <c r="AZ4">
        <v>7.5</v>
      </c>
      <c r="BA4">
        <v>7.5</v>
      </c>
      <c r="BB4">
        <v>0</v>
      </c>
      <c r="BC4">
        <v>0</v>
      </c>
      <c r="BD4">
        <v>7.5</v>
      </c>
      <c r="BE4">
        <v>7.5</v>
      </c>
      <c r="BF4">
        <v>7.5</v>
      </c>
      <c r="BG4">
        <v>7.5</v>
      </c>
      <c r="BH4">
        <v>4.333333333333333</v>
      </c>
      <c r="BI4">
        <v>7.5</v>
      </c>
      <c r="BJ4">
        <v>0</v>
      </c>
      <c r="BK4">
        <v>7.5</v>
      </c>
      <c r="BL4">
        <v>7.5</v>
      </c>
      <c r="BM4">
        <v>7.5</v>
      </c>
      <c r="BN4">
        <v>7.5</v>
      </c>
      <c r="BO4">
        <v>4.166666666666667</v>
      </c>
      <c r="BP4">
        <v>7.5</v>
      </c>
      <c r="BQ4">
        <v>0</v>
      </c>
      <c r="BR4">
        <v>7.5</v>
      </c>
      <c r="BS4">
        <v>7.5</v>
      </c>
      <c r="BT4">
        <v>7.3333333333333321</v>
      </c>
      <c r="BU4">
        <v>7.5</v>
      </c>
      <c r="BV4">
        <v>7.5</v>
      </c>
      <c r="BW4">
        <v>7.5</v>
      </c>
      <c r="BX4">
        <v>0</v>
      </c>
      <c r="BY4">
        <v>7.5</v>
      </c>
      <c r="BZ4">
        <v>7.5</v>
      </c>
      <c r="CA4">
        <v>7.5</v>
      </c>
      <c r="CB4">
        <v>7.5</v>
      </c>
      <c r="CC4">
        <v>7.5</v>
      </c>
      <c r="CD4">
        <v>4.333333333333333</v>
      </c>
      <c r="CE4">
        <v>0</v>
      </c>
      <c r="CF4">
        <v>7.5</v>
      </c>
      <c r="CG4">
        <v>7.5</v>
      </c>
      <c r="CH4">
        <v>7.5</v>
      </c>
      <c r="CI4">
        <v>7.5</v>
      </c>
      <c r="CJ4">
        <v>7.5</v>
      </c>
      <c r="CK4">
        <v>4</v>
      </c>
      <c r="CL4">
        <v>0</v>
      </c>
      <c r="CM4">
        <v>0</v>
      </c>
      <c r="CN4">
        <v>0</v>
      </c>
      <c r="CO4">
        <v>0</v>
      </c>
      <c r="CP4">
        <v>7.5</v>
      </c>
      <c r="CQ4">
        <v>7.5</v>
      </c>
      <c r="CR4">
        <v>0</v>
      </c>
      <c r="CS4">
        <v>0</v>
      </c>
      <c r="CT4">
        <v>6.9166666666666679</v>
      </c>
      <c r="CU4">
        <v>7.5</v>
      </c>
      <c r="CV4">
        <v>7.5</v>
      </c>
      <c r="CW4">
        <v>7.5</v>
      </c>
      <c r="CX4">
        <v>7.5</v>
      </c>
      <c r="CY4">
        <v>7.5</v>
      </c>
      <c r="CZ4">
        <v>0</v>
      </c>
      <c r="DA4">
        <v>7.5</v>
      </c>
      <c r="DB4">
        <v>7.5</v>
      </c>
      <c r="DC4">
        <v>7.5</v>
      </c>
      <c r="DD4">
        <v>5.916666666666667</v>
      </c>
      <c r="DE4">
        <v>7.5</v>
      </c>
      <c r="DF4">
        <v>0</v>
      </c>
      <c r="DG4">
        <v>0</v>
      </c>
      <c r="DH4">
        <v>7.5</v>
      </c>
      <c r="DI4">
        <v>7.5</v>
      </c>
      <c r="DJ4">
        <v>7.5</v>
      </c>
      <c r="DK4">
        <v>0</v>
      </c>
      <c r="DL4">
        <v>7.5</v>
      </c>
      <c r="DM4">
        <v>7.5</v>
      </c>
      <c r="DN4">
        <v>7.5</v>
      </c>
      <c r="DO4">
        <v>7.5</v>
      </c>
      <c r="DP4">
        <v>7.5</v>
      </c>
      <c r="DQ4">
        <v>7.5</v>
      </c>
      <c r="DR4">
        <v>0</v>
      </c>
      <c r="DS4">
        <v>7.5</v>
      </c>
      <c r="DT4">
        <v>7.0833333333333339</v>
      </c>
      <c r="DU4">
        <v>0</v>
      </c>
      <c r="DV4">
        <v>7.5</v>
      </c>
      <c r="DW4">
        <v>6.25</v>
      </c>
      <c r="DX4">
        <v>7.5</v>
      </c>
      <c r="DY4">
        <v>7.5</v>
      </c>
      <c r="DZ4">
        <v>7.5</v>
      </c>
      <c r="EA4">
        <v>7.5</v>
      </c>
      <c r="EB4">
        <v>0</v>
      </c>
      <c r="EC4">
        <v>7.5</v>
      </c>
      <c r="ED4">
        <v>7.5</v>
      </c>
      <c r="EE4">
        <v>7.5</v>
      </c>
      <c r="EF4">
        <v>7.5</v>
      </c>
      <c r="EG4">
        <v>7.5</v>
      </c>
      <c r="EH4">
        <v>7.5</v>
      </c>
      <c r="EI4">
        <v>0</v>
      </c>
      <c r="EJ4">
        <v>7.5</v>
      </c>
      <c r="EK4">
        <v>7.5</v>
      </c>
      <c r="EL4">
        <v>7.5</v>
      </c>
      <c r="EM4">
        <v>7.5</v>
      </c>
      <c r="EN4">
        <v>7.5</v>
      </c>
      <c r="EO4">
        <v>7.5</v>
      </c>
      <c r="EP4">
        <v>0</v>
      </c>
      <c r="EQ4">
        <v>7.5</v>
      </c>
      <c r="ER4">
        <v>7.5</v>
      </c>
      <c r="ES4">
        <v>7.5</v>
      </c>
      <c r="ET4">
        <v>7.5</v>
      </c>
      <c r="EU4">
        <v>7.5</v>
      </c>
      <c r="EV4">
        <v>0</v>
      </c>
      <c r="EW4">
        <v>0</v>
      </c>
      <c r="EX4">
        <v>7.5</v>
      </c>
      <c r="EY4">
        <v>7.5</v>
      </c>
      <c r="EZ4">
        <v>7.5</v>
      </c>
      <c r="FA4">
        <v>4</v>
      </c>
      <c r="FB4">
        <v>0</v>
      </c>
      <c r="FC4">
        <v>0</v>
      </c>
      <c r="FD4">
        <v>0</v>
      </c>
      <c r="FE4">
        <v>0</v>
      </c>
      <c r="FF4">
        <v>7.5</v>
      </c>
      <c r="FG4">
        <v>4.916666666666667</v>
      </c>
      <c r="FH4">
        <v>7.5</v>
      </c>
      <c r="FI4">
        <v>7.5</v>
      </c>
      <c r="FJ4">
        <v>7.5</v>
      </c>
      <c r="FK4">
        <v>7.5</v>
      </c>
      <c r="FL4">
        <v>7.5</v>
      </c>
      <c r="FM4">
        <v>7.5</v>
      </c>
      <c r="FN4">
        <v>7.5</v>
      </c>
      <c r="FO4">
        <v>0</v>
      </c>
      <c r="FP4">
        <v>7.5</v>
      </c>
      <c r="FQ4">
        <v>7.5</v>
      </c>
      <c r="FR4">
        <v>0</v>
      </c>
      <c r="FS4">
        <v>7.5</v>
      </c>
      <c r="FT4">
        <v>7.5</v>
      </c>
      <c r="FU4">
        <v>7.5</v>
      </c>
      <c r="FV4">
        <v>7.5</v>
      </c>
      <c r="FW4">
        <v>7.5</v>
      </c>
      <c r="FX4">
        <v>7.5</v>
      </c>
      <c r="FY4">
        <v>0</v>
      </c>
      <c r="FZ4">
        <v>7.5</v>
      </c>
      <c r="GA4">
        <v>7.5</v>
      </c>
      <c r="GB4">
        <v>7.5</v>
      </c>
      <c r="GC4">
        <v>5.333333333333333</v>
      </c>
      <c r="GD4">
        <v>7.5</v>
      </c>
      <c r="GE4">
        <v>0</v>
      </c>
      <c r="GF4">
        <v>0</v>
      </c>
      <c r="GG4">
        <v>7.5</v>
      </c>
      <c r="GH4">
        <v>7.1666666666666661</v>
      </c>
      <c r="GI4">
        <v>7.5</v>
      </c>
      <c r="GJ4">
        <v>7.5</v>
      </c>
      <c r="GK4">
        <v>0</v>
      </c>
      <c r="GL4">
        <v>7.5</v>
      </c>
      <c r="GM4">
        <v>0</v>
      </c>
      <c r="GN4">
        <v>7.5</v>
      </c>
      <c r="GO4">
        <v>0</v>
      </c>
      <c r="GP4">
        <v>7.5</v>
      </c>
      <c r="GQ4">
        <v>7</v>
      </c>
      <c r="GR4">
        <v>7.5</v>
      </c>
      <c r="GS4">
        <v>0</v>
      </c>
      <c r="GT4">
        <v>0</v>
      </c>
      <c r="GU4">
        <v>7.5</v>
      </c>
      <c r="GV4">
        <v>7.5</v>
      </c>
      <c r="GW4">
        <v>7.5</v>
      </c>
      <c r="GX4">
        <v>7.5</v>
      </c>
      <c r="GY4">
        <v>7.5</v>
      </c>
      <c r="GZ4">
        <v>7.5</v>
      </c>
      <c r="HA4">
        <v>0</v>
      </c>
      <c r="HB4">
        <v>7.5</v>
      </c>
      <c r="HC4">
        <v>7.5</v>
      </c>
      <c r="HD4">
        <v>6.1666666666666679</v>
      </c>
      <c r="HE4">
        <v>7.5</v>
      </c>
      <c r="HF4">
        <v>0</v>
      </c>
      <c r="HG4">
        <v>7.25</v>
      </c>
      <c r="HH4">
        <v>0</v>
      </c>
      <c r="HI4">
        <v>7.5</v>
      </c>
      <c r="HJ4">
        <v>7.5</v>
      </c>
      <c r="HK4">
        <v>7.1666666666666661</v>
      </c>
      <c r="HL4">
        <v>7.5</v>
      </c>
      <c r="HM4">
        <v>6.75</v>
      </c>
      <c r="HN4">
        <v>7.5</v>
      </c>
      <c r="HO4">
        <v>0</v>
      </c>
      <c r="HP4">
        <v>7.5</v>
      </c>
      <c r="HQ4">
        <v>6.5</v>
      </c>
      <c r="HR4">
        <v>4.583333333333333</v>
      </c>
      <c r="HS4">
        <v>7.5</v>
      </c>
      <c r="HT4">
        <v>7.5</v>
      </c>
      <c r="HU4">
        <v>7.5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7.5</v>
      </c>
      <c r="IL4">
        <v>7.5</v>
      </c>
      <c r="IM4">
        <v>0</v>
      </c>
      <c r="IN4">
        <v>7.5</v>
      </c>
      <c r="IO4">
        <v>0</v>
      </c>
      <c r="IP4">
        <v>7.5</v>
      </c>
      <c r="IQ4">
        <v>7.5</v>
      </c>
      <c r="IR4">
        <v>7.5</v>
      </c>
      <c r="IS4">
        <v>7.5</v>
      </c>
      <c r="IT4">
        <v>7.5</v>
      </c>
      <c r="IU4">
        <v>7.5</v>
      </c>
      <c r="IV4">
        <v>0</v>
      </c>
      <c r="IW4">
        <v>7.5</v>
      </c>
      <c r="IX4">
        <v>7.5</v>
      </c>
      <c r="IY4">
        <v>7.5</v>
      </c>
      <c r="IZ4">
        <v>7.5</v>
      </c>
      <c r="JA4">
        <v>7.5</v>
      </c>
      <c r="JB4">
        <v>7.5</v>
      </c>
      <c r="JC4">
        <v>7.5</v>
      </c>
      <c r="JD4">
        <v>7.5</v>
      </c>
      <c r="JE4">
        <v>7.5</v>
      </c>
      <c r="JF4">
        <v>7.5</v>
      </c>
      <c r="JG4">
        <v>7.5</v>
      </c>
      <c r="JH4">
        <v>7.5</v>
      </c>
      <c r="JI4">
        <v>7.5</v>
      </c>
      <c r="JJ4">
        <v>0</v>
      </c>
      <c r="JK4">
        <v>7.5</v>
      </c>
      <c r="JL4">
        <v>7.5</v>
      </c>
      <c r="JM4">
        <v>7.5</v>
      </c>
      <c r="JN4">
        <v>7.5</v>
      </c>
      <c r="JO4">
        <v>7.5</v>
      </c>
      <c r="JP4">
        <v>7.5</v>
      </c>
      <c r="JQ4">
        <v>0</v>
      </c>
      <c r="JR4">
        <v>0</v>
      </c>
      <c r="JS4">
        <v>7.5</v>
      </c>
      <c r="JT4">
        <v>7.5</v>
      </c>
      <c r="JU4">
        <v>0</v>
      </c>
      <c r="JV4">
        <v>7.5</v>
      </c>
      <c r="JW4">
        <v>7.5</v>
      </c>
      <c r="JX4">
        <v>0</v>
      </c>
      <c r="JY4">
        <v>7.5</v>
      </c>
      <c r="JZ4">
        <v>7.5</v>
      </c>
      <c r="KA4">
        <v>4.333333333333333</v>
      </c>
      <c r="KB4">
        <v>7.5</v>
      </c>
      <c r="KC4">
        <v>7.5</v>
      </c>
      <c r="KD4">
        <v>7.5</v>
      </c>
      <c r="KE4">
        <v>0</v>
      </c>
      <c r="KF4">
        <v>7.5</v>
      </c>
      <c r="KG4">
        <v>7.5</v>
      </c>
      <c r="KH4">
        <v>7.5</v>
      </c>
      <c r="KI4">
        <v>7.5</v>
      </c>
      <c r="KJ4">
        <v>7.5</v>
      </c>
      <c r="KK4">
        <v>0</v>
      </c>
      <c r="KL4">
        <v>0</v>
      </c>
      <c r="KM4">
        <v>7.5</v>
      </c>
      <c r="KN4">
        <v>7.5</v>
      </c>
      <c r="KO4">
        <v>7.5</v>
      </c>
      <c r="KP4">
        <v>7.5</v>
      </c>
      <c r="KQ4">
        <v>7.5</v>
      </c>
      <c r="KR4">
        <v>7.5</v>
      </c>
      <c r="KS4">
        <v>0</v>
      </c>
      <c r="KT4">
        <v>7.5</v>
      </c>
      <c r="KU4">
        <v>0</v>
      </c>
      <c r="KV4">
        <v>7.5</v>
      </c>
      <c r="KW4">
        <v>7.5</v>
      </c>
      <c r="KX4">
        <v>7.5</v>
      </c>
      <c r="KY4">
        <v>7.5</v>
      </c>
      <c r="KZ4">
        <v>0</v>
      </c>
      <c r="LA4">
        <v>7.5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7.5</v>
      </c>
      <c r="LI4">
        <v>0</v>
      </c>
      <c r="LJ4">
        <v>7.5</v>
      </c>
      <c r="LK4">
        <v>7.5</v>
      </c>
      <c r="LL4">
        <v>7.5</v>
      </c>
      <c r="LM4">
        <v>7.5</v>
      </c>
      <c r="LN4">
        <v>0</v>
      </c>
      <c r="LO4">
        <v>7.5</v>
      </c>
      <c r="LP4">
        <v>7.5</v>
      </c>
      <c r="LQ4">
        <v>7.5</v>
      </c>
      <c r="LR4">
        <v>7</v>
      </c>
      <c r="LS4">
        <v>7.5</v>
      </c>
      <c r="LT4">
        <v>7.5</v>
      </c>
      <c r="LU4">
        <v>0</v>
      </c>
      <c r="LV4">
        <v>7.5</v>
      </c>
      <c r="LW4">
        <v>7.5</v>
      </c>
      <c r="LX4">
        <v>7.5</v>
      </c>
    </row>
    <row r="5" spans="1:336">
      <c r="A5" s="136" t="s">
        <v>62</v>
      </c>
      <c r="B5">
        <f>+SUMIFS([1]Sayfa2!G:G,[1]Sayfa2!$C:$C,'[1]tüm birimler'!$A5)</f>
        <v>0</v>
      </c>
      <c r="C5">
        <f>+SUMIFS([1]Sayfa2!H:H,[1]Sayfa2!$C:$C,'[1]tüm birimler'!$A5)</f>
        <v>37.5</v>
      </c>
      <c r="D5">
        <f>+SUMIFS([1]Sayfa2!I:I,[1]Sayfa2!$C:$C,'[1]tüm birimler'!$A5)</f>
        <v>36.833333333333329</v>
      </c>
      <c r="E5">
        <f>+SUMIFS([1]Sayfa2!J:J,[1]Sayfa2!$C:$C,'[1]tüm birimler'!$A5)</f>
        <v>15</v>
      </c>
      <c r="F5">
        <f>+SUMIFS([1]Sayfa2!K:K,[1]Sayfa2!$C:$C,'[1]tüm birimler'!$A5)</f>
        <v>14</v>
      </c>
      <c r="G5">
        <f>+SUMIFS([1]Sayfa2!L:L,[1]Sayfa2!$C:$C,'[1]tüm birimler'!$A5)</f>
        <v>37.5</v>
      </c>
      <c r="H5">
        <f>+SUMIFS([1]Sayfa2!M:M,[1]Sayfa2!$C:$C,'[1]tüm birimler'!$A5)</f>
        <v>37.5</v>
      </c>
      <c r="I5">
        <f>+SUMIFS([1]Sayfa2!N:N,[1]Sayfa2!$C:$C,'[1]tüm birimler'!$A5)</f>
        <v>37.5</v>
      </c>
      <c r="J5">
        <f>+SUMIFS([1]Sayfa2!O:O,[1]Sayfa2!$C:$C,'[1]tüm birimler'!$A5)</f>
        <v>37.5</v>
      </c>
      <c r="K5">
        <f>+SUMIFS([1]Sayfa2!P:P,[1]Sayfa2!$C:$C,'[1]tüm birimler'!$A5)</f>
        <v>41.666666666666671</v>
      </c>
      <c r="L5">
        <f>+SUMIFS([1]Sayfa2!Q:Q,[1]Sayfa2!$C:$C,'[1]tüm birimler'!$A5)</f>
        <v>22.5</v>
      </c>
      <c r="M5">
        <f>+SUMIFS([1]Sayfa2!R:R,[1]Sayfa2!$C:$C,'[1]tüm birimler'!$A5)</f>
        <v>22.5</v>
      </c>
      <c r="N5">
        <f>+SUMIFS([1]Sayfa2!S:S,[1]Sayfa2!$C:$C,'[1]tüm birimler'!$A5)</f>
        <v>45</v>
      </c>
      <c r="O5">
        <f>+SUMIFS([1]Sayfa2!T:T,[1]Sayfa2!$C:$C,'[1]tüm birimler'!$A5)</f>
        <v>37.5</v>
      </c>
      <c r="P5">
        <f>+SUMIFS([1]Sayfa2!U:U,[1]Sayfa2!$C:$C,'[1]tüm birimler'!$A5)</f>
        <v>37.166666666666664</v>
      </c>
      <c r="Q5">
        <f>+SUMIFS([1]Sayfa2!V:V,[1]Sayfa2!$C:$C,'[1]tüm birimler'!$A5)</f>
        <v>45</v>
      </c>
      <c r="R5">
        <f>+SUMIFS([1]Sayfa2!W:W,[1]Sayfa2!$C:$C,'[1]tüm birimler'!$A5)</f>
        <v>37.5</v>
      </c>
      <c r="S5">
        <f>+SUMIFS([1]Sayfa2!X:X,[1]Sayfa2!$C:$C,'[1]tüm birimler'!$A5)</f>
        <v>15</v>
      </c>
      <c r="T5">
        <f>+SUMIFS([1]Sayfa2!Y:Y,[1]Sayfa2!$C:$C,'[1]tüm birimler'!$A5)</f>
        <v>22.5</v>
      </c>
      <c r="U5">
        <f>+SUMIFS([1]Sayfa2!Z:Z,[1]Sayfa2!$C:$C,'[1]tüm birimler'!$A5)</f>
        <v>44.083333333333336</v>
      </c>
      <c r="V5">
        <f>+SUMIFS([1]Sayfa2!AA:AA,[1]Sayfa2!$C:$C,'[1]tüm birimler'!$A5)</f>
        <v>44.166666666666671</v>
      </c>
      <c r="W5">
        <f>+SUMIFS([1]Sayfa2!AB:AB,[1]Sayfa2!$C:$C,'[1]tüm birimler'!$A5)</f>
        <v>45</v>
      </c>
      <c r="X5">
        <f>+SUMIFS([1]Sayfa2!AC:AC,[1]Sayfa2!$C:$C,'[1]tüm birimler'!$A5)</f>
        <v>44.166666666666671</v>
      </c>
      <c r="Y5">
        <f>+SUMIFS([1]Sayfa2!AD:AD,[1]Sayfa2!$C:$C,'[1]tüm birimler'!$A5)</f>
        <v>45</v>
      </c>
      <c r="Z5">
        <f>+SUMIFS([1]Sayfa2!AE:AE,[1]Sayfa2!$C:$C,'[1]tüm birimler'!$A5)</f>
        <v>22.5</v>
      </c>
      <c r="AA5">
        <f>+SUMIFS([1]Sayfa2!AF:AF,[1]Sayfa2!$C:$C,'[1]tüm birimler'!$A5)</f>
        <v>21.666666666666668</v>
      </c>
      <c r="AB5">
        <f>+SUMIFS([1]Sayfa2!AG:AG,[1]Sayfa2!$C:$C,'[1]tüm birimler'!$A5)</f>
        <v>45</v>
      </c>
      <c r="AC5">
        <f>+SUMIFS([1]Sayfa2!AH:AH,[1]Sayfa2!$C:$C,'[1]tüm birimler'!$A5)</f>
        <v>45</v>
      </c>
      <c r="AD5">
        <f>+SUMIFS([1]Sayfa2!AI:AI,[1]Sayfa2!$C:$C,'[1]tüm birimler'!$A5)</f>
        <v>45</v>
      </c>
      <c r="AE5">
        <f>+SUMIFS([1]Sayfa2!AJ:AJ,[1]Sayfa2!$C:$C,'[1]tüm birimler'!$A5)</f>
        <v>44.25</v>
      </c>
      <c r="AF5">
        <f>+SUMIFS([1]Sayfa2!AK:AK,[1]Sayfa2!$C:$C,'[1]tüm birimler'!$A5)</f>
        <v>45</v>
      </c>
      <c r="AG5">
        <v>22.5</v>
      </c>
      <c r="AH5">
        <v>22.5</v>
      </c>
      <c r="AI5">
        <v>30</v>
      </c>
      <c r="AJ5">
        <v>29.583333333333336</v>
      </c>
      <c r="AK5">
        <v>37.5</v>
      </c>
      <c r="AL5">
        <v>41.75</v>
      </c>
      <c r="AM5">
        <v>37.083333333333336</v>
      </c>
      <c r="AN5">
        <v>22.5</v>
      </c>
      <c r="AO5">
        <v>22.5</v>
      </c>
      <c r="AP5">
        <v>45</v>
      </c>
      <c r="AQ5">
        <v>44.75</v>
      </c>
      <c r="AR5">
        <v>45</v>
      </c>
      <c r="AS5">
        <v>45</v>
      </c>
      <c r="AT5">
        <v>44.583333333333336</v>
      </c>
      <c r="AU5">
        <v>22.25</v>
      </c>
      <c r="AV5">
        <v>19.25</v>
      </c>
      <c r="AW5">
        <v>42.5</v>
      </c>
      <c r="AX5">
        <v>45</v>
      </c>
      <c r="AY5">
        <v>44.75</v>
      </c>
      <c r="AZ5">
        <v>36.666666666666671</v>
      </c>
      <c r="BA5">
        <v>30</v>
      </c>
      <c r="BB5">
        <v>7.5</v>
      </c>
      <c r="BC5">
        <v>22.5</v>
      </c>
      <c r="BD5">
        <v>37.5</v>
      </c>
      <c r="BE5">
        <v>44.5</v>
      </c>
      <c r="BF5">
        <v>45</v>
      </c>
      <c r="BG5">
        <v>45</v>
      </c>
      <c r="BH5">
        <v>37</v>
      </c>
      <c r="BI5">
        <v>22.5</v>
      </c>
      <c r="BJ5">
        <v>15</v>
      </c>
      <c r="BK5">
        <v>37.5</v>
      </c>
      <c r="BL5">
        <v>45</v>
      </c>
      <c r="BM5">
        <v>30</v>
      </c>
      <c r="BN5">
        <v>44.166666666666671</v>
      </c>
      <c r="BO5">
        <v>44</v>
      </c>
      <c r="BP5">
        <v>22.5</v>
      </c>
      <c r="BQ5">
        <v>22</v>
      </c>
      <c r="BR5">
        <v>44.583333333333336</v>
      </c>
      <c r="BS5">
        <v>44.166666666666671</v>
      </c>
      <c r="BT5">
        <v>42.5</v>
      </c>
      <c r="BU5">
        <v>42.916666666666671</v>
      </c>
      <c r="BV5">
        <v>44.416666666666671</v>
      </c>
      <c r="BW5">
        <v>22.5</v>
      </c>
      <c r="BX5">
        <v>15</v>
      </c>
      <c r="BY5">
        <v>45</v>
      </c>
      <c r="BZ5">
        <v>45</v>
      </c>
      <c r="CA5">
        <v>45</v>
      </c>
      <c r="CB5">
        <v>45</v>
      </c>
      <c r="CC5">
        <v>45</v>
      </c>
      <c r="CD5">
        <v>45</v>
      </c>
      <c r="CE5">
        <v>44.416666666666671</v>
      </c>
      <c r="CF5">
        <v>45</v>
      </c>
      <c r="CG5">
        <v>44.166666666666671</v>
      </c>
      <c r="CH5">
        <v>45</v>
      </c>
      <c r="CI5">
        <v>44.75</v>
      </c>
      <c r="CJ5">
        <v>44.583333333333336</v>
      </c>
      <c r="CK5">
        <v>11.5</v>
      </c>
      <c r="CL5">
        <v>0</v>
      </c>
      <c r="CM5">
        <v>0</v>
      </c>
      <c r="CN5">
        <v>0</v>
      </c>
      <c r="CO5">
        <v>45</v>
      </c>
      <c r="CP5">
        <v>45</v>
      </c>
      <c r="CQ5">
        <v>44.25</v>
      </c>
      <c r="CR5">
        <v>22</v>
      </c>
      <c r="CS5">
        <v>22.5</v>
      </c>
      <c r="CT5">
        <v>44.75</v>
      </c>
      <c r="CU5">
        <v>44.583333333333336</v>
      </c>
      <c r="CV5">
        <v>36.166666666666671</v>
      </c>
      <c r="CW5">
        <v>45</v>
      </c>
      <c r="CX5">
        <v>44.166666666666671</v>
      </c>
      <c r="CY5">
        <v>21.916666666666668</v>
      </c>
      <c r="CZ5">
        <v>22.5</v>
      </c>
      <c r="DA5">
        <v>45</v>
      </c>
      <c r="DB5">
        <v>37.5</v>
      </c>
      <c r="DC5">
        <v>45.833333333333336</v>
      </c>
      <c r="DD5">
        <v>42.833333333333329</v>
      </c>
      <c r="DE5">
        <v>44.5</v>
      </c>
      <c r="DF5">
        <v>22.25</v>
      </c>
      <c r="DG5">
        <v>22.5</v>
      </c>
      <c r="DH5">
        <v>42.833333333333329</v>
      </c>
      <c r="DI5">
        <v>34.333333333333336</v>
      </c>
      <c r="DJ5">
        <v>15</v>
      </c>
      <c r="DK5">
        <v>0</v>
      </c>
      <c r="DL5">
        <v>37.166666666666664</v>
      </c>
      <c r="DM5">
        <v>37.5</v>
      </c>
      <c r="DN5">
        <v>40.583333333333329</v>
      </c>
      <c r="DO5">
        <v>44.583333333333336</v>
      </c>
      <c r="DP5">
        <v>41.5</v>
      </c>
      <c r="DQ5">
        <v>45</v>
      </c>
      <c r="DR5">
        <v>0</v>
      </c>
      <c r="DS5">
        <v>44.666666666666664</v>
      </c>
      <c r="DT5">
        <v>22.5</v>
      </c>
      <c r="DU5">
        <v>22.5</v>
      </c>
      <c r="DV5">
        <v>37.5</v>
      </c>
      <c r="DW5">
        <v>44.666666666666664</v>
      </c>
      <c r="DX5">
        <v>46</v>
      </c>
      <c r="DY5">
        <v>37.25</v>
      </c>
      <c r="DZ5">
        <v>36</v>
      </c>
      <c r="EA5">
        <v>20.833333333333336</v>
      </c>
      <c r="EB5">
        <v>15</v>
      </c>
      <c r="EC5">
        <v>36.833333333333329</v>
      </c>
      <c r="ED5">
        <v>37.5</v>
      </c>
      <c r="EE5">
        <v>37</v>
      </c>
      <c r="EF5">
        <v>34.333333333333329</v>
      </c>
      <c r="EG5">
        <v>36.666666666666671</v>
      </c>
      <c r="EH5">
        <v>22.5</v>
      </c>
      <c r="EI5">
        <v>7.5</v>
      </c>
      <c r="EJ5">
        <v>14.75</v>
      </c>
      <c r="EK5">
        <v>37</v>
      </c>
      <c r="EL5">
        <v>36.5</v>
      </c>
      <c r="EM5">
        <v>37.5</v>
      </c>
      <c r="EN5">
        <v>37.5</v>
      </c>
      <c r="EO5">
        <v>22.5</v>
      </c>
      <c r="EP5">
        <v>15</v>
      </c>
      <c r="EQ5">
        <v>34.75</v>
      </c>
      <c r="ER5">
        <v>37</v>
      </c>
      <c r="ES5">
        <v>37.5</v>
      </c>
      <c r="ET5">
        <v>37.166666666666664</v>
      </c>
      <c r="EU5">
        <v>43.5</v>
      </c>
      <c r="EV5">
        <v>44.5</v>
      </c>
      <c r="EW5">
        <v>44.75</v>
      </c>
      <c r="EX5">
        <v>44.75</v>
      </c>
      <c r="EY5">
        <v>45</v>
      </c>
      <c r="EZ5">
        <v>45</v>
      </c>
      <c r="FA5">
        <v>23</v>
      </c>
      <c r="FB5">
        <v>0</v>
      </c>
      <c r="FC5">
        <v>0</v>
      </c>
      <c r="FD5">
        <v>0</v>
      </c>
      <c r="FE5">
        <v>0</v>
      </c>
      <c r="FF5">
        <v>36.333333333333336</v>
      </c>
      <c r="FG5">
        <v>37.5</v>
      </c>
      <c r="FH5">
        <v>37.5</v>
      </c>
      <c r="FI5">
        <v>37.166666666666664</v>
      </c>
      <c r="FJ5">
        <v>34.75</v>
      </c>
      <c r="FK5">
        <v>37</v>
      </c>
      <c r="FL5">
        <v>36</v>
      </c>
      <c r="FM5">
        <v>44.666666666666664</v>
      </c>
      <c r="FN5">
        <v>42</v>
      </c>
      <c r="FO5">
        <v>44.5</v>
      </c>
      <c r="FP5">
        <v>44</v>
      </c>
      <c r="FQ5">
        <v>22.5</v>
      </c>
      <c r="FR5">
        <v>21.833333333333336</v>
      </c>
      <c r="FS5">
        <v>43.166666666666671</v>
      </c>
      <c r="FT5">
        <v>45</v>
      </c>
      <c r="FU5">
        <v>37.5</v>
      </c>
      <c r="FV5">
        <v>45</v>
      </c>
      <c r="FW5">
        <v>43.75</v>
      </c>
      <c r="FX5">
        <v>22.5</v>
      </c>
      <c r="FY5">
        <v>21.833333333333332</v>
      </c>
      <c r="FZ5">
        <v>44.416666666666664</v>
      </c>
      <c r="GA5">
        <v>45</v>
      </c>
      <c r="GB5">
        <v>29.333333333333332</v>
      </c>
      <c r="GC5">
        <v>37.5</v>
      </c>
      <c r="GD5">
        <v>37.5</v>
      </c>
      <c r="GE5">
        <v>22.5</v>
      </c>
      <c r="GF5">
        <v>15</v>
      </c>
      <c r="GG5">
        <v>29.666666666666664</v>
      </c>
      <c r="GH5">
        <v>30</v>
      </c>
      <c r="GI5">
        <v>30</v>
      </c>
      <c r="GJ5">
        <v>30</v>
      </c>
      <c r="GK5">
        <v>37</v>
      </c>
      <c r="GL5">
        <v>15</v>
      </c>
      <c r="GM5">
        <v>21.25</v>
      </c>
      <c r="GN5">
        <v>37.5</v>
      </c>
      <c r="GO5">
        <v>0</v>
      </c>
      <c r="GP5">
        <v>37.5</v>
      </c>
      <c r="GQ5">
        <v>31.833333333333332</v>
      </c>
      <c r="GR5">
        <v>45</v>
      </c>
      <c r="GS5">
        <v>44.75</v>
      </c>
      <c r="GT5">
        <v>43.416666666666671</v>
      </c>
      <c r="GU5">
        <v>44.666666666666664</v>
      </c>
      <c r="GV5">
        <v>37.5</v>
      </c>
      <c r="GW5">
        <v>45</v>
      </c>
      <c r="GX5">
        <v>44.333333333333329</v>
      </c>
      <c r="GY5">
        <v>45</v>
      </c>
      <c r="GZ5">
        <v>22.25</v>
      </c>
      <c r="HA5">
        <v>20.333333333333332</v>
      </c>
      <c r="HB5">
        <v>29.75</v>
      </c>
      <c r="HC5">
        <v>41.666666666666664</v>
      </c>
      <c r="HD5">
        <v>35.666666666666664</v>
      </c>
      <c r="HE5">
        <v>44</v>
      </c>
      <c r="HF5">
        <v>45</v>
      </c>
      <c r="HG5">
        <v>21.583333333333332</v>
      </c>
      <c r="HH5">
        <v>22.5</v>
      </c>
      <c r="HI5">
        <v>42.166666666666671</v>
      </c>
      <c r="HJ5">
        <v>45</v>
      </c>
      <c r="HK5">
        <v>44.666666666666664</v>
      </c>
      <c r="HL5">
        <v>45</v>
      </c>
      <c r="HM5">
        <v>44.416666666666671</v>
      </c>
      <c r="HN5">
        <v>22.5</v>
      </c>
      <c r="HO5">
        <v>22.5</v>
      </c>
      <c r="HP5">
        <v>30</v>
      </c>
      <c r="HQ5">
        <v>42.666666666666664</v>
      </c>
      <c r="HR5">
        <v>39</v>
      </c>
      <c r="HS5">
        <v>44.583333333333336</v>
      </c>
      <c r="HT5">
        <v>36.666666666666671</v>
      </c>
      <c r="HU5">
        <v>7.5</v>
      </c>
      <c r="HV5">
        <v>15</v>
      </c>
      <c r="HW5">
        <v>30</v>
      </c>
      <c r="HX5">
        <v>29.75</v>
      </c>
      <c r="HY5">
        <v>30</v>
      </c>
      <c r="HZ5">
        <v>26.5</v>
      </c>
      <c r="IA5">
        <v>22.5</v>
      </c>
      <c r="IB5">
        <v>22.5</v>
      </c>
      <c r="IC5">
        <v>22.5</v>
      </c>
      <c r="ID5">
        <v>22.5</v>
      </c>
      <c r="IE5">
        <v>22.5</v>
      </c>
      <c r="IF5">
        <v>22.166666666666664</v>
      </c>
      <c r="IG5">
        <v>21.833333333333332</v>
      </c>
      <c r="IH5">
        <v>22.166666666666664</v>
      </c>
      <c r="II5">
        <v>14.666666666666666</v>
      </c>
      <c r="IJ5">
        <v>7.5</v>
      </c>
      <c r="IK5">
        <v>37.5</v>
      </c>
      <c r="IL5">
        <v>44.5</v>
      </c>
      <c r="IM5">
        <v>36.916666666666671</v>
      </c>
      <c r="IN5">
        <v>15</v>
      </c>
      <c r="IO5">
        <v>14.5</v>
      </c>
      <c r="IP5">
        <v>30</v>
      </c>
      <c r="IQ5">
        <v>37.25</v>
      </c>
      <c r="IR5">
        <v>37.083333333333336</v>
      </c>
      <c r="IS5">
        <v>36.833333333333329</v>
      </c>
      <c r="IT5">
        <v>36.916666666666671</v>
      </c>
      <c r="IU5">
        <v>22.5</v>
      </c>
      <c r="IV5">
        <v>21.916666666666668</v>
      </c>
      <c r="IW5">
        <v>34.5</v>
      </c>
      <c r="IX5">
        <v>45</v>
      </c>
      <c r="IY5">
        <v>37.25</v>
      </c>
      <c r="IZ5">
        <v>44.75</v>
      </c>
      <c r="JA5">
        <v>44.75</v>
      </c>
      <c r="JB5">
        <v>39.5</v>
      </c>
      <c r="JC5">
        <v>43.416666666666671</v>
      </c>
      <c r="JD5">
        <v>44.583333333333336</v>
      </c>
      <c r="JE5">
        <v>37.5</v>
      </c>
      <c r="JF5">
        <v>45</v>
      </c>
      <c r="JG5">
        <v>45</v>
      </c>
      <c r="JH5">
        <v>44.666666666666664</v>
      </c>
      <c r="JI5">
        <v>22.5</v>
      </c>
      <c r="JJ5">
        <v>22</v>
      </c>
      <c r="JK5">
        <v>44.75</v>
      </c>
      <c r="JL5">
        <v>45</v>
      </c>
      <c r="JM5">
        <v>44</v>
      </c>
      <c r="JN5">
        <v>44.75</v>
      </c>
      <c r="JO5">
        <v>44.666666666666664</v>
      </c>
      <c r="JP5">
        <v>22.5</v>
      </c>
      <c r="JQ5">
        <v>15</v>
      </c>
      <c r="JR5">
        <v>44.75</v>
      </c>
      <c r="JS5">
        <v>44.75</v>
      </c>
      <c r="JT5">
        <v>45</v>
      </c>
      <c r="JU5">
        <v>44.75</v>
      </c>
      <c r="JV5">
        <v>43.833333333333329</v>
      </c>
      <c r="JW5">
        <v>22.5</v>
      </c>
      <c r="JX5">
        <v>21.833333333333336</v>
      </c>
      <c r="JY5">
        <v>44.666666666666664</v>
      </c>
      <c r="JZ5">
        <v>44.666666666666664</v>
      </c>
      <c r="KA5">
        <v>44.75</v>
      </c>
      <c r="KB5">
        <v>44.666666666666664</v>
      </c>
      <c r="KC5">
        <v>44.666666666666664</v>
      </c>
      <c r="KD5">
        <v>19.25</v>
      </c>
      <c r="KE5">
        <v>22.166666666666664</v>
      </c>
      <c r="KF5">
        <v>44.333333333333336</v>
      </c>
      <c r="KG5">
        <v>44</v>
      </c>
      <c r="KH5">
        <v>44.666666666666664</v>
      </c>
      <c r="KI5">
        <v>43.833333333333329</v>
      </c>
      <c r="KJ5">
        <v>44.583333333333336</v>
      </c>
      <c r="KK5">
        <v>22.5</v>
      </c>
      <c r="KL5">
        <v>22.5</v>
      </c>
      <c r="KM5">
        <v>44</v>
      </c>
      <c r="KN5">
        <v>44.166666666666664</v>
      </c>
      <c r="KO5">
        <v>44.666666666666664</v>
      </c>
      <c r="KP5">
        <v>44.75</v>
      </c>
      <c r="KQ5">
        <v>37.5</v>
      </c>
      <c r="KR5">
        <v>22.5</v>
      </c>
      <c r="KS5">
        <v>22.5</v>
      </c>
      <c r="KT5">
        <v>37.5</v>
      </c>
      <c r="KU5">
        <v>45</v>
      </c>
      <c r="KV5">
        <v>45</v>
      </c>
      <c r="KW5">
        <v>45</v>
      </c>
      <c r="KX5">
        <v>45</v>
      </c>
      <c r="KY5">
        <v>22.166666666666664</v>
      </c>
      <c r="KZ5">
        <v>22.5</v>
      </c>
      <c r="LA5">
        <v>37.25</v>
      </c>
      <c r="LB5">
        <v>42.666666666666664</v>
      </c>
      <c r="LC5">
        <v>45</v>
      </c>
      <c r="LD5">
        <v>37.5</v>
      </c>
      <c r="LE5">
        <v>37</v>
      </c>
      <c r="LF5">
        <v>22.5</v>
      </c>
      <c r="LG5">
        <v>22.5</v>
      </c>
      <c r="LH5">
        <v>30</v>
      </c>
      <c r="LI5">
        <v>30</v>
      </c>
      <c r="LJ5">
        <v>30</v>
      </c>
      <c r="LK5">
        <v>37.5</v>
      </c>
      <c r="LL5">
        <v>30</v>
      </c>
      <c r="LM5">
        <v>30</v>
      </c>
      <c r="LN5">
        <v>37.5</v>
      </c>
      <c r="LO5">
        <v>37.5</v>
      </c>
      <c r="LP5">
        <v>37.5</v>
      </c>
      <c r="LQ5">
        <v>37.5</v>
      </c>
      <c r="LR5">
        <v>45</v>
      </c>
      <c r="LS5">
        <v>37.5</v>
      </c>
      <c r="LT5">
        <v>15</v>
      </c>
      <c r="LU5">
        <v>22.5</v>
      </c>
      <c r="LV5">
        <v>44.083333333333329</v>
      </c>
      <c r="LW5">
        <v>45</v>
      </c>
      <c r="LX5">
        <v>30</v>
      </c>
    </row>
    <row r="6" spans="1:336">
      <c r="A6" s="136" t="s">
        <v>2225</v>
      </c>
      <c r="B6">
        <f>+SUMIFS([1]Sayfa2!G:G,[1]Sayfa2!$C:$C,'[1]tüm birimler'!$A6)</f>
        <v>0</v>
      </c>
      <c r="C6">
        <f>+SUMIFS([1]Sayfa2!H:H,[1]Sayfa2!$C:$C,'[1]tüm birimler'!$A6)</f>
        <v>7.5</v>
      </c>
      <c r="D6">
        <f>+SUMIFS([1]Sayfa2!I:I,[1]Sayfa2!$C:$C,'[1]tüm birimler'!$A6)</f>
        <v>7.5</v>
      </c>
      <c r="E6">
        <f>+SUMIFS([1]Sayfa2!J:J,[1]Sayfa2!$C:$C,'[1]tüm birimler'!$A6)</f>
        <v>7.5</v>
      </c>
      <c r="F6">
        <f>+SUMIFS([1]Sayfa2!K:K,[1]Sayfa2!$C:$C,'[1]tüm birimler'!$A6)</f>
        <v>0</v>
      </c>
      <c r="G6">
        <f>+SUMIFS([1]Sayfa2!L:L,[1]Sayfa2!$C:$C,'[1]tüm birimler'!$A6)</f>
        <v>7.5</v>
      </c>
      <c r="H6">
        <f>+SUMIFS([1]Sayfa2!M:M,[1]Sayfa2!$C:$C,'[1]tüm birimler'!$A6)</f>
        <v>7.5</v>
      </c>
      <c r="I6">
        <f>+SUMIFS([1]Sayfa2!N:N,[1]Sayfa2!$C:$C,'[1]tüm birimler'!$A6)</f>
        <v>7.5</v>
      </c>
      <c r="J6">
        <f>+SUMIFS([1]Sayfa2!O:O,[1]Sayfa2!$C:$C,'[1]tüm birimler'!$A6)</f>
        <v>7.5</v>
      </c>
      <c r="K6">
        <f>+SUMIFS([1]Sayfa2!P:P,[1]Sayfa2!$C:$C,'[1]tüm birimler'!$A6)</f>
        <v>7.5</v>
      </c>
      <c r="L6">
        <f>+SUMIFS([1]Sayfa2!Q:Q,[1]Sayfa2!$C:$C,'[1]tüm birimler'!$A6)</f>
        <v>7.5</v>
      </c>
      <c r="M6">
        <f>+SUMIFS([1]Sayfa2!R:R,[1]Sayfa2!$C:$C,'[1]tüm birimler'!$A6)</f>
        <v>0</v>
      </c>
      <c r="N6">
        <f>+SUMIFS([1]Sayfa2!S:S,[1]Sayfa2!$C:$C,'[1]tüm birimler'!$A6)</f>
        <v>7.5</v>
      </c>
      <c r="O6">
        <f>+SUMIFS([1]Sayfa2!T:T,[1]Sayfa2!$C:$C,'[1]tüm birimler'!$A6)</f>
        <v>7.5</v>
      </c>
      <c r="P6">
        <f>+SUMIFS([1]Sayfa2!U:U,[1]Sayfa2!$C:$C,'[1]tüm birimler'!$A6)</f>
        <v>0</v>
      </c>
      <c r="Q6">
        <f>+SUMIFS([1]Sayfa2!V:V,[1]Sayfa2!$C:$C,'[1]tüm birimler'!$A6)</f>
        <v>0</v>
      </c>
      <c r="R6">
        <f>+SUMIFS([1]Sayfa2!W:W,[1]Sayfa2!$C:$C,'[1]tüm birimler'!$A6)</f>
        <v>0</v>
      </c>
      <c r="S6">
        <f>+SUMIFS([1]Sayfa2!X:X,[1]Sayfa2!$C:$C,'[1]tüm birimler'!$A6)</f>
        <v>0</v>
      </c>
      <c r="T6">
        <f>+SUMIFS([1]Sayfa2!Y:Y,[1]Sayfa2!$C:$C,'[1]tüm birimler'!$A6)</f>
        <v>0</v>
      </c>
      <c r="U6">
        <f>+SUMIFS([1]Sayfa2!Z:Z,[1]Sayfa2!$C:$C,'[1]tüm birimler'!$A6)</f>
        <v>7.5</v>
      </c>
      <c r="V6">
        <f>+SUMIFS([1]Sayfa2!AA:AA,[1]Sayfa2!$C:$C,'[1]tüm birimler'!$A6)</f>
        <v>7.5</v>
      </c>
      <c r="W6">
        <f>+SUMIFS([1]Sayfa2!AB:AB,[1]Sayfa2!$C:$C,'[1]tüm birimler'!$A6)</f>
        <v>7.5</v>
      </c>
      <c r="X6">
        <f>+SUMIFS([1]Sayfa2!AC:AC,[1]Sayfa2!$C:$C,'[1]tüm birimler'!$A6)</f>
        <v>7.5</v>
      </c>
      <c r="Y6">
        <f>+SUMIFS([1]Sayfa2!AD:AD,[1]Sayfa2!$C:$C,'[1]tüm birimler'!$A6)</f>
        <v>7.5</v>
      </c>
      <c r="Z6">
        <f>+SUMIFS([1]Sayfa2!AE:AE,[1]Sayfa2!$C:$C,'[1]tüm birimler'!$A6)</f>
        <v>7.5</v>
      </c>
      <c r="AA6">
        <f>+SUMIFS([1]Sayfa2!AF:AF,[1]Sayfa2!$C:$C,'[1]tüm birimler'!$A6)</f>
        <v>0</v>
      </c>
      <c r="AB6">
        <f>+SUMIFS([1]Sayfa2!AG:AG,[1]Sayfa2!$C:$C,'[1]tüm birimler'!$A6)</f>
        <v>7.5</v>
      </c>
      <c r="AC6">
        <f>+SUMIFS([1]Sayfa2!AH:AH,[1]Sayfa2!$C:$C,'[1]tüm birimler'!$A6)</f>
        <v>7.5</v>
      </c>
      <c r="AD6">
        <f>+SUMIFS([1]Sayfa2!AI:AI,[1]Sayfa2!$C:$C,'[1]tüm birimler'!$A6)</f>
        <v>7.5</v>
      </c>
      <c r="AE6">
        <f>+SUMIFS([1]Sayfa2!AJ:AJ,[1]Sayfa2!$C:$C,'[1]tüm birimler'!$A6)</f>
        <v>7.5</v>
      </c>
      <c r="AF6">
        <f>+SUMIFS([1]Sayfa2!AK:AK,[1]Sayfa2!$C:$C,'[1]tüm birimler'!$A6)</f>
        <v>7.5</v>
      </c>
      <c r="AG6">
        <v>7.5</v>
      </c>
      <c r="AH6">
        <v>0</v>
      </c>
      <c r="AI6">
        <v>7.5</v>
      </c>
      <c r="AJ6">
        <v>7.5</v>
      </c>
      <c r="AK6">
        <v>7.5</v>
      </c>
      <c r="AL6">
        <v>7.5</v>
      </c>
      <c r="AM6">
        <v>7.5</v>
      </c>
      <c r="AN6">
        <v>7.5</v>
      </c>
      <c r="AO6">
        <v>0</v>
      </c>
      <c r="AP6">
        <v>7.5</v>
      </c>
      <c r="AQ6">
        <v>7.5</v>
      </c>
      <c r="AR6">
        <v>7.5</v>
      </c>
      <c r="AS6">
        <v>7.5</v>
      </c>
      <c r="AT6">
        <v>7.5</v>
      </c>
      <c r="AU6">
        <v>0</v>
      </c>
      <c r="AV6">
        <v>0</v>
      </c>
      <c r="AW6">
        <v>7.5</v>
      </c>
      <c r="AX6">
        <v>7.5</v>
      </c>
      <c r="AY6">
        <v>7.5</v>
      </c>
      <c r="AZ6">
        <v>7.25</v>
      </c>
      <c r="BA6">
        <v>0</v>
      </c>
      <c r="BB6">
        <v>0</v>
      </c>
      <c r="BC6">
        <v>0</v>
      </c>
      <c r="BD6">
        <v>7.5</v>
      </c>
      <c r="BE6">
        <v>7.5</v>
      </c>
      <c r="BF6">
        <v>7.5</v>
      </c>
      <c r="BG6">
        <v>7.5</v>
      </c>
      <c r="BH6">
        <v>7.5</v>
      </c>
      <c r="BI6">
        <v>7.5</v>
      </c>
      <c r="BJ6">
        <v>0</v>
      </c>
      <c r="BK6">
        <v>7.5</v>
      </c>
      <c r="BL6">
        <v>7.5</v>
      </c>
      <c r="BM6">
        <v>7.5</v>
      </c>
      <c r="BN6">
        <v>7.5</v>
      </c>
      <c r="BO6">
        <v>7.5</v>
      </c>
      <c r="BP6">
        <v>7.5</v>
      </c>
      <c r="BQ6">
        <v>0</v>
      </c>
      <c r="BR6">
        <v>7.5</v>
      </c>
      <c r="BS6">
        <v>7.5</v>
      </c>
      <c r="BT6">
        <v>7.5</v>
      </c>
      <c r="BU6">
        <v>7.5</v>
      </c>
      <c r="BV6">
        <v>7.5</v>
      </c>
      <c r="BW6">
        <v>0</v>
      </c>
      <c r="BX6">
        <v>0</v>
      </c>
      <c r="BY6">
        <v>7.5</v>
      </c>
      <c r="BZ6">
        <v>7.5</v>
      </c>
      <c r="CA6">
        <v>7.5</v>
      </c>
      <c r="CB6">
        <v>7.5</v>
      </c>
      <c r="CC6">
        <v>7.5</v>
      </c>
      <c r="CD6">
        <v>7.5</v>
      </c>
      <c r="CE6">
        <v>7.5</v>
      </c>
      <c r="CF6">
        <v>7.5</v>
      </c>
      <c r="CG6">
        <v>7.5</v>
      </c>
      <c r="CH6">
        <v>7.5</v>
      </c>
      <c r="CI6">
        <v>7.5</v>
      </c>
      <c r="CJ6">
        <v>7.5</v>
      </c>
      <c r="CK6">
        <v>4</v>
      </c>
      <c r="CL6">
        <v>0</v>
      </c>
      <c r="CM6">
        <v>0</v>
      </c>
      <c r="CN6">
        <v>0</v>
      </c>
      <c r="CO6">
        <v>7.5</v>
      </c>
      <c r="CP6">
        <v>7.5</v>
      </c>
      <c r="CQ6">
        <v>7.5</v>
      </c>
      <c r="CR6">
        <v>0</v>
      </c>
      <c r="CS6">
        <v>7.5</v>
      </c>
      <c r="CT6">
        <v>7.5</v>
      </c>
      <c r="CU6">
        <v>7.5</v>
      </c>
      <c r="CV6">
        <v>7.5</v>
      </c>
      <c r="CW6">
        <v>7.5</v>
      </c>
      <c r="CX6">
        <v>7.5</v>
      </c>
      <c r="CY6">
        <v>0</v>
      </c>
      <c r="CZ6">
        <v>7.5</v>
      </c>
      <c r="DA6">
        <v>7.5</v>
      </c>
      <c r="DB6">
        <v>7.5</v>
      </c>
      <c r="DC6">
        <v>7.5</v>
      </c>
      <c r="DD6">
        <v>7.5</v>
      </c>
      <c r="DE6">
        <v>7.5</v>
      </c>
      <c r="DF6">
        <v>0</v>
      </c>
      <c r="DG6">
        <v>7.5</v>
      </c>
      <c r="DH6">
        <v>7.5</v>
      </c>
      <c r="DI6">
        <v>7.5</v>
      </c>
      <c r="DJ6">
        <v>7.5</v>
      </c>
      <c r="DK6">
        <v>0</v>
      </c>
      <c r="DL6">
        <v>7.5</v>
      </c>
      <c r="DM6">
        <v>0</v>
      </c>
      <c r="DN6">
        <v>7.5</v>
      </c>
      <c r="DO6">
        <v>6.5</v>
      </c>
      <c r="DP6">
        <v>7.5</v>
      </c>
      <c r="DQ6">
        <v>7.1666666666666661</v>
      </c>
      <c r="DR6">
        <v>0</v>
      </c>
      <c r="DS6">
        <v>7.5</v>
      </c>
      <c r="DT6">
        <v>0</v>
      </c>
      <c r="DU6">
        <v>7.5</v>
      </c>
      <c r="DV6">
        <v>7.5</v>
      </c>
      <c r="DW6">
        <v>7.5</v>
      </c>
      <c r="DX6">
        <v>7.5</v>
      </c>
      <c r="DY6">
        <v>7.5</v>
      </c>
      <c r="DZ6">
        <v>7.5</v>
      </c>
      <c r="EA6">
        <v>0</v>
      </c>
      <c r="EB6">
        <v>0</v>
      </c>
      <c r="EC6">
        <v>7.5</v>
      </c>
      <c r="ED6">
        <v>7.5</v>
      </c>
      <c r="EE6">
        <v>7.5</v>
      </c>
      <c r="EF6">
        <v>7.5</v>
      </c>
      <c r="EG6">
        <v>7.5</v>
      </c>
      <c r="EH6">
        <v>0</v>
      </c>
      <c r="EI6">
        <v>7.5</v>
      </c>
      <c r="EJ6">
        <v>7.5</v>
      </c>
      <c r="EK6">
        <v>7.5</v>
      </c>
      <c r="EL6">
        <v>7.5</v>
      </c>
      <c r="EM6">
        <v>7.5</v>
      </c>
      <c r="EN6">
        <v>7.5</v>
      </c>
      <c r="EO6">
        <v>0</v>
      </c>
      <c r="EP6">
        <v>7.5</v>
      </c>
      <c r="EQ6">
        <v>7.5</v>
      </c>
      <c r="ER6">
        <v>7.5</v>
      </c>
      <c r="ES6">
        <v>7.5</v>
      </c>
      <c r="ET6">
        <v>7.5</v>
      </c>
      <c r="EU6">
        <v>7.5</v>
      </c>
      <c r="EV6">
        <v>7.5</v>
      </c>
      <c r="EW6">
        <v>7.5</v>
      </c>
      <c r="EX6">
        <v>7.5</v>
      </c>
      <c r="EY6">
        <v>7.5</v>
      </c>
      <c r="EZ6">
        <v>7.5</v>
      </c>
      <c r="FA6">
        <v>4</v>
      </c>
      <c r="FB6">
        <v>0</v>
      </c>
      <c r="FC6">
        <v>0</v>
      </c>
      <c r="FD6">
        <v>0</v>
      </c>
      <c r="FE6">
        <v>0</v>
      </c>
      <c r="FF6">
        <v>7.5</v>
      </c>
      <c r="FG6">
        <v>7.5</v>
      </c>
      <c r="FH6">
        <v>7.5</v>
      </c>
      <c r="FI6">
        <v>7.5</v>
      </c>
      <c r="FJ6">
        <v>7.5</v>
      </c>
      <c r="FK6">
        <v>7.5</v>
      </c>
      <c r="FL6">
        <v>7.5</v>
      </c>
      <c r="FM6">
        <v>7.5</v>
      </c>
      <c r="FN6">
        <v>7.5</v>
      </c>
      <c r="FO6">
        <v>7.5</v>
      </c>
      <c r="FP6">
        <v>7.5</v>
      </c>
      <c r="FQ6">
        <v>7.5</v>
      </c>
      <c r="FR6">
        <v>0</v>
      </c>
      <c r="FS6">
        <v>7.5</v>
      </c>
      <c r="FT6">
        <v>7.5</v>
      </c>
      <c r="FU6">
        <v>7.5</v>
      </c>
      <c r="FV6">
        <v>7.5</v>
      </c>
      <c r="FW6">
        <v>7.5</v>
      </c>
      <c r="FX6">
        <v>7.5</v>
      </c>
      <c r="FY6">
        <v>0</v>
      </c>
      <c r="FZ6">
        <v>7.5</v>
      </c>
      <c r="GA6">
        <v>7.5</v>
      </c>
      <c r="GB6">
        <v>7.5</v>
      </c>
      <c r="GC6">
        <v>7.5</v>
      </c>
      <c r="GD6">
        <v>7.5</v>
      </c>
      <c r="GE6">
        <v>7.5</v>
      </c>
      <c r="GF6">
        <v>0</v>
      </c>
      <c r="GG6">
        <v>7.5</v>
      </c>
      <c r="GH6">
        <v>7.5</v>
      </c>
      <c r="GI6">
        <v>7.5</v>
      </c>
      <c r="GJ6">
        <v>7.5</v>
      </c>
      <c r="GK6">
        <v>7.5</v>
      </c>
      <c r="GL6">
        <v>7.5</v>
      </c>
      <c r="GM6">
        <v>0</v>
      </c>
      <c r="GN6">
        <v>5.5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7.5</v>
      </c>
      <c r="GV6">
        <v>7.5</v>
      </c>
      <c r="GW6">
        <v>7.5</v>
      </c>
      <c r="GX6">
        <v>7.5</v>
      </c>
      <c r="GY6">
        <v>7.5</v>
      </c>
      <c r="GZ6">
        <v>0</v>
      </c>
      <c r="HA6">
        <v>7.1666666666666661</v>
      </c>
      <c r="HB6">
        <v>7.5</v>
      </c>
      <c r="HC6">
        <v>6.3333333333333339</v>
      </c>
      <c r="HD6">
        <v>7.5</v>
      </c>
      <c r="HE6">
        <v>4.75</v>
      </c>
      <c r="HF6">
        <v>7.5</v>
      </c>
      <c r="HG6">
        <v>0</v>
      </c>
      <c r="HH6">
        <v>7.5</v>
      </c>
      <c r="HI6">
        <v>7.5</v>
      </c>
      <c r="HJ6">
        <v>7.5</v>
      </c>
      <c r="HK6">
        <v>7.5</v>
      </c>
      <c r="HL6">
        <v>7.5</v>
      </c>
      <c r="HM6">
        <v>7.5</v>
      </c>
      <c r="HN6">
        <v>7.5</v>
      </c>
      <c r="HO6">
        <v>0</v>
      </c>
      <c r="HP6">
        <v>0</v>
      </c>
      <c r="HQ6">
        <v>7.5</v>
      </c>
      <c r="HR6">
        <v>7.5</v>
      </c>
      <c r="HS6">
        <v>0</v>
      </c>
      <c r="HT6">
        <v>0</v>
      </c>
      <c r="HU6">
        <v>0</v>
      </c>
      <c r="HV6">
        <v>0</v>
      </c>
      <c r="HW6">
        <v>7.5</v>
      </c>
      <c r="HX6">
        <v>7.5</v>
      </c>
      <c r="HY6">
        <v>7.5</v>
      </c>
      <c r="HZ6">
        <v>7.5</v>
      </c>
      <c r="IA6">
        <v>7.5</v>
      </c>
      <c r="IB6">
        <v>0</v>
      </c>
      <c r="IC6">
        <v>0</v>
      </c>
      <c r="ID6">
        <v>7.5</v>
      </c>
      <c r="IE6">
        <v>7.5</v>
      </c>
      <c r="IF6">
        <v>7.5</v>
      </c>
      <c r="IG6">
        <v>7.5</v>
      </c>
      <c r="IH6">
        <v>7.5</v>
      </c>
      <c r="II6">
        <v>0</v>
      </c>
      <c r="IJ6">
        <v>0</v>
      </c>
      <c r="IK6">
        <v>7.5</v>
      </c>
      <c r="IL6">
        <v>7.5</v>
      </c>
      <c r="IM6">
        <v>7.5</v>
      </c>
      <c r="IN6">
        <v>7.0833333333333339</v>
      </c>
      <c r="IO6">
        <v>0</v>
      </c>
      <c r="IP6">
        <v>7.5</v>
      </c>
      <c r="IQ6">
        <v>7.5</v>
      </c>
      <c r="IR6">
        <v>7.5</v>
      </c>
      <c r="IS6">
        <v>7.5</v>
      </c>
      <c r="IT6">
        <v>0</v>
      </c>
      <c r="IU6">
        <v>0</v>
      </c>
      <c r="IV6">
        <v>0</v>
      </c>
      <c r="IW6">
        <v>7.5</v>
      </c>
      <c r="IX6">
        <v>7.5</v>
      </c>
      <c r="IY6">
        <v>0</v>
      </c>
      <c r="IZ6">
        <v>6.5833333333333321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7.5</v>
      </c>
      <c r="JL6">
        <v>4</v>
      </c>
      <c r="JM6">
        <v>0</v>
      </c>
      <c r="JN6">
        <v>7.5</v>
      </c>
      <c r="JO6">
        <v>0</v>
      </c>
      <c r="JP6">
        <v>0</v>
      </c>
      <c r="JQ6">
        <v>0</v>
      </c>
      <c r="JR6">
        <v>7.5</v>
      </c>
      <c r="JS6">
        <v>7.5</v>
      </c>
      <c r="JT6">
        <v>7.5</v>
      </c>
      <c r="JU6">
        <v>7.25</v>
      </c>
      <c r="JV6">
        <v>7.5</v>
      </c>
      <c r="JW6">
        <v>7.5</v>
      </c>
      <c r="JX6">
        <v>0</v>
      </c>
      <c r="JY6">
        <v>7.5</v>
      </c>
      <c r="JZ6">
        <v>7.5</v>
      </c>
      <c r="KA6">
        <v>7.5</v>
      </c>
      <c r="KB6">
        <v>7.5</v>
      </c>
      <c r="KC6">
        <v>0</v>
      </c>
      <c r="KD6">
        <v>7.25</v>
      </c>
      <c r="KE6">
        <v>0</v>
      </c>
      <c r="KF6">
        <v>7.5</v>
      </c>
      <c r="KG6">
        <v>7.5</v>
      </c>
      <c r="KH6">
        <v>7.5</v>
      </c>
      <c r="KI6">
        <v>7.5</v>
      </c>
      <c r="KJ6">
        <v>7.5</v>
      </c>
      <c r="KK6">
        <v>7.5</v>
      </c>
      <c r="KL6">
        <v>0</v>
      </c>
      <c r="KM6">
        <v>7.5</v>
      </c>
      <c r="KN6">
        <v>7.5</v>
      </c>
      <c r="KO6">
        <v>7.5</v>
      </c>
      <c r="KP6">
        <v>7.5</v>
      </c>
      <c r="KQ6">
        <v>7.5</v>
      </c>
      <c r="KR6">
        <v>0</v>
      </c>
      <c r="KS6">
        <v>0</v>
      </c>
      <c r="KT6">
        <v>7.5</v>
      </c>
      <c r="KU6">
        <v>7.5</v>
      </c>
      <c r="KV6">
        <v>7.5</v>
      </c>
      <c r="KW6">
        <v>7.5</v>
      </c>
      <c r="KX6">
        <v>7.5</v>
      </c>
      <c r="KY6">
        <v>0</v>
      </c>
      <c r="KZ6">
        <v>0</v>
      </c>
      <c r="LA6">
        <v>7.5</v>
      </c>
      <c r="LB6">
        <v>7.5</v>
      </c>
      <c r="LC6">
        <v>7.5</v>
      </c>
      <c r="LD6">
        <v>7.5</v>
      </c>
      <c r="LE6">
        <v>5</v>
      </c>
      <c r="LF6">
        <v>7.25</v>
      </c>
      <c r="LG6">
        <v>0</v>
      </c>
      <c r="LH6">
        <v>7.5</v>
      </c>
      <c r="LI6">
        <v>5.583333333333333</v>
      </c>
      <c r="LJ6">
        <v>7.25</v>
      </c>
      <c r="LK6">
        <v>7.5</v>
      </c>
      <c r="LL6">
        <v>7.5</v>
      </c>
      <c r="LM6">
        <v>7.5</v>
      </c>
      <c r="LN6">
        <v>0</v>
      </c>
      <c r="LO6">
        <v>7.5</v>
      </c>
      <c r="LP6">
        <v>7.5</v>
      </c>
      <c r="LQ6">
        <v>7.5</v>
      </c>
      <c r="LR6">
        <v>0</v>
      </c>
      <c r="LS6">
        <v>7.25</v>
      </c>
      <c r="LT6">
        <v>7.5</v>
      </c>
      <c r="LU6">
        <v>0</v>
      </c>
      <c r="LV6">
        <v>7.5</v>
      </c>
      <c r="LW6">
        <v>7.5</v>
      </c>
      <c r="LX6">
        <v>7.25</v>
      </c>
    </row>
    <row r="7" spans="1:336">
      <c r="A7" s="136" t="s">
        <v>2226</v>
      </c>
      <c r="B7">
        <f>+SUMIFS([1]Sayfa2!G:G,[1]Sayfa2!$C:$C,'[1]tüm birimler'!$A7)</f>
        <v>0</v>
      </c>
      <c r="C7">
        <f>+SUMIFS([1]Sayfa2!H:H,[1]Sayfa2!$C:$C,'[1]tüm birimler'!$A7)</f>
        <v>37</v>
      </c>
      <c r="D7">
        <f>+SUMIFS([1]Sayfa2!I:I,[1]Sayfa2!$C:$C,'[1]tüm birimler'!$A7)</f>
        <v>37.5</v>
      </c>
      <c r="E7">
        <f>+SUMIFS([1]Sayfa2!J:J,[1]Sayfa2!$C:$C,'[1]tüm birimler'!$A7)</f>
        <v>22.5</v>
      </c>
      <c r="F7">
        <f>+SUMIFS([1]Sayfa2!K:K,[1]Sayfa2!$C:$C,'[1]tüm birimler'!$A7)</f>
        <v>22.5</v>
      </c>
      <c r="G7">
        <f>+SUMIFS([1]Sayfa2!L:L,[1]Sayfa2!$C:$C,'[1]tüm birimler'!$A7)</f>
        <v>37.083333333333336</v>
      </c>
      <c r="H7">
        <f>+SUMIFS([1]Sayfa2!M:M,[1]Sayfa2!$C:$C,'[1]tüm birimler'!$A7)</f>
        <v>45</v>
      </c>
      <c r="I7">
        <f>+SUMIFS([1]Sayfa2!N:N,[1]Sayfa2!$C:$C,'[1]tüm birimler'!$A7)</f>
        <v>39.250000000000007</v>
      </c>
      <c r="J7">
        <f>+SUMIFS([1]Sayfa2!O:O,[1]Sayfa2!$C:$C,'[1]tüm birimler'!$A7)</f>
        <v>37.5</v>
      </c>
      <c r="K7">
        <f>+SUMIFS([1]Sayfa2!P:P,[1]Sayfa2!$C:$C,'[1]tüm birimler'!$A7)</f>
        <v>45</v>
      </c>
      <c r="L7">
        <f>+SUMIFS([1]Sayfa2!Q:Q,[1]Sayfa2!$C:$C,'[1]tüm birimler'!$A7)</f>
        <v>15</v>
      </c>
      <c r="M7">
        <f>+SUMIFS([1]Sayfa2!R:R,[1]Sayfa2!$C:$C,'[1]tüm birimler'!$A7)</f>
        <v>22.5</v>
      </c>
      <c r="N7">
        <f>+SUMIFS([1]Sayfa2!S:S,[1]Sayfa2!$C:$C,'[1]tüm birimler'!$A7)</f>
        <v>45</v>
      </c>
      <c r="O7">
        <f>+SUMIFS([1]Sayfa2!T:T,[1]Sayfa2!$C:$C,'[1]tüm birimler'!$A7)</f>
        <v>45</v>
      </c>
      <c r="P7">
        <f>+SUMIFS([1]Sayfa2!U:U,[1]Sayfa2!$C:$C,'[1]tüm birimler'!$A7)</f>
        <v>45</v>
      </c>
      <c r="Q7">
        <f>+SUMIFS([1]Sayfa2!V:V,[1]Sayfa2!$C:$C,'[1]tüm birimler'!$A7)</f>
        <v>36</v>
      </c>
      <c r="R7">
        <f>+SUMIFS([1]Sayfa2!W:W,[1]Sayfa2!$C:$C,'[1]tüm birimler'!$A7)</f>
        <v>30</v>
      </c>
      <c r="S7">
        <f>+SUMIFS([1]Sayfa2!X:X,[1]Sayfa2!$C:$C,'[1]tüm birimler'!$A7)</f>
        <v>15</v>
      </c>
      <c r="T7">
        <f>+SUMIFS([1]Sayfa2!Y:Y,[1]Sayfa2!$C:$C,'[1]tüm birimler'!$A7)</f>
        <v>20.166666666666668</v>
      </c>
      <c r="U7">
        <f>+SUMIFS([1]Sayfa2!Z:Z,[1]Sayfa2!$C:$C,'[1]tüm birimler'!$A7)</f>
        <v>45</v>
      </c>
      <c r="V7">
        <f>+SUMIFS([1]Sayfa2!AA:AA,[1]Sayfa2!$C:$C,'[1]tüm birimler'!$A7)</f>
        <v>37.166666666666664</v>
      </c>
      <c r="W7">
        <f>+SUMIFS([1]Sayfa2!AB:AB,[1]Sayfa2!$C:$C,'[1]tüm birimler'!$A7)</f>
        <v>35.666666666666671</v>
      </c>
      <c r="X7">
        <f>+SUMIFS([1]Sayfa2!AC:AC,[1]Sayfa2!$C:$C,'[1]tüm birimler'!$A7)</f>
        <v>45</v>
      </c>
      <c r="Y7">
        <f>+SUMIFS([1]Sayfa2!AD:AD,[1]Sayfa2!$C:$C,'[1]tüm birimler'!$A7)</f>
        <v>37.5</v>
      </c>
      <c r="Z7">
        <f>+SUMIFS([1]Sayfa2!AE:AE,[1]Sayfa2!$C:$C,'[1]tüm birimler'!$A7)</f>
        <v>22.5</v>
      </c>
      <c r="AA7">
        <f>+SUMIFS([1]Sayfa2!AF:AF,[1]Sayfa2!$C:$C,'[1]tüm birimler'!$A7)</f>
        <v>22.5</v>
      </c>
      <c r="AB7">
        <f>+SUMIFS([1]Sayfa2!AG:AG,[1]Sayfa2!$C:$C,'[1]tüm birimler'!$A7)</f>
        <v>37.5</v>
      </c>
      <c r="AC7">
        <f>+SUMIFS([1]Sayfa2!AH:AH,[1]Sayfa2!$C:$C,'[1]tüm birimler'!$A7)</f>
        <v>37.5</v>
      </c>
      <c r="AD7">
        <f>+SUMIFS([1]Sayfa2!AI:AI,[1]Sayfa2!$C:$C,'[1]tüm birimler'!$A7)</f>
        <v>37.5</v>
      </c>
      <c r="AE7">
        <f>+SUMIFS([1]Sayfa2!AJ:AJ,[1]Sayfa2!$C:$C,'[1]tüm birimler'!$A7)</f>
        <v>30</v>
      </c>
      <c r="AF7">
        <f>+SUMIFS([1]Sayfa2!AK:AK,[1]Sayfa2!$C:$C,'[1]tüm birimler'!$A7)</f>
        <v>30</v>
      </c>
      <c r="AG7">
        <v>14.583333333333334</v>
      </c>
      <c r="AH7">
        <v>22.5</v>
      </c>
      <c r="AI7">
        <v>26.083333333333332</v>
      </c>
      <c r="AJ7">
        <v>45</v>
      </c>
      <c r="AK7">
        <v>45</v>
      </c>
      <c r="AL7">
        <v>37.5</v>
      </c>
      <c r="AM7">
        <v>26.75</v>
      </c>
      <c r="AN7">
        <v>7.5</v>
      </c>
      <c r="AO7">
        <v>22.5</v>
      </c>
      <c r="AP7">
        <v>37.5</v>
      </c>
      <c r="AQ7">
        <v>45</v>
      </c>
      <c r="AR7">
        <v>45</v>
      </c>
      <c r="AS7">
        <v>45</v>
      </c>
      <c r="AT7">
        <v>45</v>
      </c>
      <c r="AU7">
        <v>22.25</v>
      </c>
      <c r="AV7">
        <v>22.5</v>
      </c>
      <c r="AW7">
        <v>45</v>
      </c>
      <c r="AX7">
        <v>37.5</v>
      </c>
      <c r="AY7">
        <v>37.5</v>
      </c>
      <c r="AZ7">
        <v>37.5</v>
      </c>
      <c r="BA7">
        <v>45</v>
      </c>
      <c r="BB7">
        <v>15</v>
      </c>
      <c r="BC7">
        <v>22.5</v>
      </c>
      <c r="BD7">
        <v>36</v>
      </c>
      <c r="BE7">
        <v>45</v>
      </c>
      <c r="BF7">
        <v>42.416666666666664</v>
      </c>
      <c r="BG7">
        <v>27.75</v>
      </c>
      <c r="BH7">
        <v>42</v>
      </c>
      <c r="BI7">
        <v>14.666666666666666</v>
      </c>
      <c r="BJ7">
        <v>0</v>
      </c>
      <c r="BK7">
        <v>45</v>
      </c>
      <c r="BL7">
        <v>34.666666666666664</v>
      </c>
      <c r="BM7">
        <v>37.5</v>
      </c>
      <c r="BN7">
        <v>37.5</v>
      </c>
      <c r="BO7">
        <v>22.5</v>
      </c>
      <c r="BP7">
        <v>7.5</v>
      </c>
      <c r="BQ7">
        <v>15</v>
      </c>
      <c r="BR7">
        <v>29.75</v>
      </c>
      <c r="BS7">
        <v>30</v>
      </c>
      <c r="BT7">
        <v>37.5</v>
      </c>
      <c r="BU7">
        <v>37.5</v>
      </c>
      <c r="BV7">
        <v>37.5</v>
      </c>
      <c r="BW7">
        <v>22.5</v>
      </c>
      <c r="BX7">
        <v>15</v>
      </c>
      <c r="BY7">
        <v>42.333333333333329</v>
      </c>
      <c r="BZ7">
        <v>45</v>
      </c>
      <c r="CA7">
        <v>45</v>
      </c>
      <c r="CB7">
        <v>45</v>
      </c>
      <c r="CC7">
        <v>45</v>
      </c>
      <c r="CD7">
        <v>44.166666666666664</v>
      </c>
      <c r="CE7">
        <v>45</v>
      </c>
      <c r="CF7">
        <v>44.583333333333336</v>
      </c>
      <c r="CG7">
        <v>41.916666666666671</v>
      </c>
      <c r="CH7">
        <v>45</v>
      </c>
      <c r="CI7">
        <v>45</v>
      </c>
      <c r="CJ7">
        <v>45</v>
      </c>
      <c r="CK7">
        <v>11.5</v>
      </c>
      <c r="CL7">
        <v>0</v>
      </c>
      <c r="CM7">
        <v>0</v>
      </c>
      <c r="CN7">
        <v>0</v>
      </c>
      <c r="CO7">
        <v>30</v>
      </c>
      <c r="CP7">
        <v>37.5</v>
      </c>
      <c r="CQ7">
        <v>37.5</v>
      </c>
      <c r="CR7">
        <v>19.5</v>
      </c>
      <c r="CS7">
        <v>11.833333333333332</v>
      </c>
      <c r="CT7">
        <v>35</v>
      </c>
      <c r="CU7">
        <v>44.666666666666664</v>
      </c>
      <c r="CV7">
        <v>32.833333333333336</v>
      </c>
      <c r="CW7">
        <v>37.5</v>
      </c>
      <c r="CX7">
        <v>37.5</v>
      </c>
      <c r="CY7">
        <v>22.5</v>
      </c>
      <c r="CZ7">
        <v>22.5</v>
      </c>
      <c r="DA7">
        <v>42.083333333333329</v>
      </c>
      <c r="DB7">
        <v>30</v>
      </c>
      <c r="DC7">
        <v>34.583333333333329</v>
      </c>
      <c r="DD7">
        <v>38.333333333333336</v>
      </c>
      <c r="DE7">
        <v>37.5</v>
      </c>
      <c r="DF7">
        <v>15</v>
      </c>
      <c r="DG7">
        <v>22.5</v>
      </c>
      <c r="DH7">
        <v>45</v>
      </c>
      <c r="DI7">
        <v>45</v>
      </c>
      <c r="DJ7">
        <v>22.5</v>
      </c>
      <c r="DK7">
        <v>0</v>
      </c>
      <c r="DL7">
        <v>45</v>
      </c>
      <c r="DM7">
        <v>30</v>
      </c>
      <c r="DN7">
        <v>30</v>
      </c>
      <c r="DO7">
        <v>45.083333333333329</v>
      </c>
      <c r="DP7">
        <v>45.166666666666664</v>
      </c>
      <c r="DQ7">
        <v>38.083333333333329</v>
      </c>
      <c r="DR7">
        <v>0</v>
      </c>
      <c r="DS7">
        <v>45</v>
      </c>
      <c r="DT7">
        <v>19.5</v>
      </c>
      <c r="DU7">
        <v>0</v>
      </c>
      <c r="DV7">
        <v>30</v>
      </c>
      <c r="DW7">
        <v>34.083333333333329</v>
      </c>
      <c r="DX7">
        <v>30</v>
      </c>
      <c r="DY7">
        <v>37.5</v>
      </c>
      <c r="DZ7">
        <v>34.75</v>
      </c>
      <c r="EA7">
        <v>23.333333333333336</v>
      </c>
      <c r="EB7">
        <v>15</v>
      </c>
      <c r="EC7">
        <v>43.5</v>
      </c>
      <c r="ED7">
        <v>39.75</v>
      </c>
      <c r="EE7">
        <v>37.5</v>
      </c>
      <c r="EF7">
        <v>29.666666666666664</v>
      </c>
      <c r="EG7">
        <v>30</v>
      </c>
      <c r="EH7">
        <v>22.5</v>
      </c>
      <c r="EI7">
        <v>22.166666666666664</v>
      </c>
      <c r="EJ7">
        <v>36.666666666666664</v>
      </c>
      <c r="EK7">
        <v>45</v>
      </c>
      <c r="EL7">
        <v>42.833333333333329</v>
      </c>
      <c r="EM7">
        <v>45</v>
      </c>
      <c r="EN7">
        <v>45</v>
      </c>
      <c r="EO7">
        <v>22.5</v>
      </c>
      <c r="EP7">
        <v>22.25</v>
      </c>
      <c r="EQ7">
        <v>44.166666666666671</v>
      </c>
      <c r="ER7">
        <v>45</v>
      </c>
      <c r="ES7">
        <v>45</v>
      </c>
      <c r="ET7">
        <v>45</v>
      </c>
      <c r="EU7">
        <v>44.75</v>
      </c>
      <c r="EV7">
        <v>43.25</v>
      </c>
      <c r="EW7">
        <v>40.083333333333336</v>
      </c>
      <c r="EX7">
        <v>45</v>
      </c>
      <c r="EY7">
        <v>44.583333333333336</v>
      </c>
      <c r="EZ7">
        <v>39.166666666666671</v>
      </c>
      <c r="FA7">
        <v>21.666666666666664</v>
      </c>
      <c r="FB7">
        <v>0</v>
      </c>
      <c r="FC7">
        <v>0</v>
      </c>
      <c r="FD7">
        <v>0</v>
      </c>
      <c r="FE7">
        <v>0</v>
      </c>
      <c r="FF7">
        <v>37.5</v>
      </c>
      <c r="FG7">
        <v>37.5</v>
      </c>
      <c r="FH7">
        <v>37.5</v>
      </c>
      <c r="FI7">
        <v>37.25</v>
      </c>
      <c r="FJ7">
        <v>37</v>
      </c>
      <c r="FK7">
        <v>37.5</v>
      </c>
      <c r="FL7">
        <v>37.5</v>
      </c>
      <c r="FM7">
        <v>45</v>
      </c>
      <c r="FN7">
        <v>45</v>
      </c>
      <c r="FO7">
        <v>38.666666666666671</v>
      </c>
      <c r="FP7">
        <v>35.833333333333329</v>
      </c>
      <c r="FQ7">
        <v>14.583333333333334</v>
      </c>
      <c r="FR7">
        <v>22.5</v>
      </c>
      <c r="FS7">
        <v>37.083333333333336</v>
      </c>
      <c r="FT7">
        <v>37.083333333333336</v>
      </c>
      <c r="FU7">
        <v>37.25</v>
      </c>
      <c r="FV7">
        <v>30</v>
      </c>
      <c r="FW7">
        <v>30</v>
      </c>
      <c r="FX7">
        <v>7.5</v>
      </c>
      <c r="FY7">
        <v>22.5</v>
      </c>
      <c r="FZ7">
        <v>36.666666666666671</v>
      </c>
      <c r="GA7">
        <v>37.5</v>
      </c>
      <c r="GB7">
        <v>30</v>
      </c>
      <c r="GC7">
        <v>37.5</v>
      </c>
      <c r="GD7">
        <v>29.666666666666664</v>
      </c>
      <c r="GE7">
        <v>15</v>
      </c>
      <c r="GF7">
        <v>15</v>
      </c>
      <c r="GG7">
        <v>37.5</v>
      </c>
      <c r="GH7">
        <v>37.166666666666664</v>
      </c>
      <c r="GI7">
        <v>34.333333333333329</v>
      </c>
      <c r="GJ7">
        <v>37.5</v>
      </c>
      <c r="GK7">
        <v>30</v>
      </c>
      <c r="GL7">
        <v>19.25</v>
      </c>
      <c r="GM7">
        <v>12.083333333333332</v>
      </c>
      <c r="GN7">
        <v>21.5</v>
      </c>
      <c r="GO7">
        <v>0</v>
      </c>
      <c r="GP7">
        <v>22.083333333333336</v>
      </c>
      <c r="GQ7">
        <v>29.75</v>
      </c>
      <c r="GR7">
        <v>30</v>
      </c>
      <c r="GS7">
        <v>22.166666666666664</v>
      </c>
      <c r="GT7">
        <v>29.166666666666664</v>
      </c>
      <c r="GU7">
        <v>34.916666666666671</v>
      </c>
      <c r="GV7">
        <v>42</v>
      </c>
      <c r="GW7">
        <v>45</v>
      </c>
      <c r="GX7">
        <v>45</v>
      </c>
      <c r="GY7">
        <v>37.5</v>
      </c>
      <c r="GZ7">
        <v>22.5</v>
      </c>
      <c r="HA7">
        <v>22.5</v>
      </c>
      <c r="HB7">
        <v>37.5</v>
      </c>
      <c r="HC7">
        <v>29.75</v>
      </c>
      <c r="HD7">
        <v>37.5</v>
      </c>
      <c r="HE7">
        <v>37.5</v>
      </c>
      <c r="HF7">
        <v>35</v>
      </c>
      <c r="HG7">
        <v>19.75</v>
      </c>
      <c r="HH7">
        <v>22.5</v>
      </c>
      <c r="HI7">
        <v>37.5</v>
      </c>
      <c r="HJ7">
        <v>37.5</v>
      </c>
      <c r="HK7">
        <v>29.583333333333336</v>
      </c>
      <c r="HL7">
        <v>37.5</v>
      </c>
      <c r="HM7">
        <v>37.5</v>
      </c>
      <c r="HN7">
        <v>21.5</v>
      </c>
      <c r="HO7">
        <v>14.666666666666666</v>
      </c>
      <c r="HP7">
        <v>37.5</v>
      </c>
      <c r="HQ7">
        <v>30</v>
      </c>
      <c r="HR7">
        <v>30</v>
      </c>
      <c r="HS7">
        <v>30</v>
      </c>
      <c r="HT7">
        <v>21.833333333333336</v>
      </c>
      <c r="HU7">
        <v>22.5</v>
      </c>
      <c r="HV7">
        <v>15</v>
      </c>
      <c r="HW7">
        <v>36</v>
      </c>
      <c r="HX7">
        <v>30</v>
      </c>
      <c r="HY7">
        <v>30</v>
      </c>
      <c r="HZ7">
        <v>37.5</v>
      </c>
      <c r="IA7">
        <v>30</v>
      </c>
      <c r="IB7">
        <v>30</v>
      </c>
      <c r="IC7">
        <v>36.916666666666671</v>
      </c>
      <c r="ID7">
        <v>28.416666666666668</v>
      </c>
      <c r="IE7">
        <v>37.5</v>
      </c>
      <c r="IF7">
        <v>44.583333333333336</v>
      </c>
      <c r="IG7">
        <v>44.166666666666671</v>
      </c>
      <c r="IH7">
        <v>37.5</v>
      </c>
      <c r="II7">
        <v>22.5</v>
      </c>
      <c r="IJ7">
        <v>22.5</v>
      </c>
      <c r="IK7">
        <v>20</v>
      </c>
      <c r="IL7">
        <v>27.25</v>
      </c>
      <c r="IM7">
        <v>29.333333333333332</v>
      </c>
      <c r="IN7">
        <v>21.916666666666668</v>
      </c>
      <c r="IO7">
        <v>15</v>
      </c>
      <c r="IP7">
        <v>40.5</v>
      </c>
      <c r="IQ7">
        <v>48</v>
      </c>
      <c r="IR7">
        <v>33</v>
      </c>
      <c r="IS7">
        <v>40</v>
      </c>
      <c r="IT7">
        <v>40.5</v>
      </c>
      <c r="IU7">
        <v>23.083333333333336</v>
      </c>
      <c r="IV7">
        <v>22.5</v>
      </c>
      <c r="IW7">
        <v>51</v>
      </c>
      <c r="IX7">
        <v>40.5</v>
      </c>
      <c r="IY7">
        <v>51</v>
      </c>
      <c r="IZ7">
        <v>43.5</v>
      </c>
      <c r="JA7">
        <v>51</v>
      </c>
      <c r="JB7">
        <v>43.5</v>
      </c>
      <c r="JC7">
        <v>44.416666666666671</v>
      </c>
      <c r="JD7">
        <v>51</v>
      </c>
      <c r="JE7">
        <v>50.75</v>
      </c>
      <c r="JF7">
        <v>51</v>
      </c>
      <c r="JG7">
        <v>51</v>
      </c>
      <c r="JH7">
        <v>48</v>
      </c>
      <c r="JI7">
        <v>21.083333333333332</v>
      </c>
      <c r="JJ7">
        <v>15</v>
      </c>
      <c r="JK7">
        <v>44.666666666666664</v>
      </c>
      <c r="JL7">
        <v>37</v>
      </c>
      <c r="JM7">
        <v>45</v>
      </c>
      <c r="JN7">
        <v>37.5</v>
      </c>
      <c r="JO7">
        <v>45</v>
      </c>
      <c r="JP7">
        <v>22.5</v>
      </c>
      <c r="JQ7">
        <v>22.5</v>
      </c>
      <c r="JR7">
        <v>51</v>
      </c>
      <c r="JS7">
        <v>40.5</v>
      </c>
      <c r="JT7">
        <v>51</v>
      </c>
      <c r="JU7">
        <v>49.5</v>
      </c>
      <c r="JV7">
        <v>50.666666666666664</v>
      </c>
      <c r="JW7">
        <v>22.5</v>
      </c>
      <c r="JX7">
        <v>21.916666666666668</v>
      </c>
      <c r="JY7">
        <v>45</v>
      </c>
      <c r="JZ7">
        <v>44.666666666666664</v>
      </c>
      <c r="KA7">
        <v>45</v>
      </c>
      <c r="KB7">
        <v>45</v>
      </c>
      <c r="KC7">
        <v>45</v>
      </c>
      <c r="KD7">
        <v>22.5</v>
      </c>
      <c r="KE7">
        <v>22.5</v>
      </c>
      <c r="KF7">
        <v>42.75</v>
      </c>
      <c r="KG7">
        <v>45</v>
      </c>
      <c r="KH7">
        <v>45</v>
      </c>
      <c r="KI7">
        <v>43.75</v>
      </c>
      <c r="KJ7">
        <v>45</v>
      </c>
      <c r="KK7">
        <v>22.5</v>
      </c>
      <c r="KL7">
        <v>22.5</v>
      </c>
      <c r="KM7">
        <v>44.333333333333336</v>
      </c>
      <c r="KN7">
        <v>42.5</v>
      </c>
      <c r="KO7">
        <v>37.5</v>
      </c>
      <c r="KP7">
        <v>37.5</v>
      </c>
      <c r="KQ7">
        <v>37.5</v>
      </c>
      <c r="KR7">
        <v>22.5</v>
      </c>
      <c r="KS7">
        <v>22.5</v>
      </c>
      <c r="KT7">
        <v>30</v>
      </c>
      <c r="KU7">
        <v>30</v>
      </c>
      <c r="KV7">
        <v>30</v>
      </c>
      <c r="KW7">
        <v>37.5</v>
      </c>
      <c r="KX7">
        <v>45</v>
      </c>
      <c r="KY7">
        <v>22.5</v>
      </c>
      <c r="KZ7">
        <v>15</v>
      </c>
      <c r="LA7">
        <v>45</v>
      </c>
      <c r="LB7">
        <v>38.083333333333336</v>
      </c>
      <c r="LC7">
        <v>37.5</v>
      </c>
      <c r="LD7">
        <v>45</v>
      </c>
      <c r="LE7">
        <v>45</v>
      </c>
      <c r="LF7">
        <v>19.833333333333332</v>
      </c>
      <c r="LG7">
        <v>22.5</v>
      </c>
      <c r="LH7">
        <v>37.5</v>
      </c>
      <c r="LI7">
        <v>41.75</v>
      </c>
      <c r="LJ7">
        <v>36.916666666666671</v>
      </c>
      <c r="LK7">
        <v>22.5</v>
      </c>
      <c r="LL7">
        <v>30</v>
      </c>
      <c r="LM7">
        <v>29.583333333333336</v>
      </c>
      <c r="LN7">
        <v>35.75</v>
      </c>
      <c r="LO7">
        <v>34.333333333333336</v>
      </c>
      <c r="LP7">
        <v>37.5</v>
      </c>
      <c r="LQ7">
        <v>45</v>
      </c>
      <c r="LR7">
        <v>45.5</v>
      </c>
      <c r="LS7">
        <v>37.5</v>
      </c>
      <c r="LT7">
        <v>20.333333333333332</v>
      </c>
      <c r="LU7">
        <v>22.5</v>
      </c>
      <c r="LV7">
        <v>45</v>
      </c>
      <c r="LW7">
        <v>38.166666666666664</v>
      </c>
      <c r="LX7">
        <v>22.5</v>
      </c>
    </row>
    <row r="8" spans="1:336">
      <c r="A8" s="136" t="s">
        <v>2227</v>
      </c>
      <c r="B8">
        <f>+SUMIFS([1]Sayfa2!G:G,[1]Sayfa2!$C:$C,'[1]tüm birimler'!$A8)</f>
        <v>0</v>
      </c>
      <c r="C8">
        <f>+SUMIFS([1]Sayfa2!H:H,[1]Sayfa2!$C:$C,'[1]tüm birimler'!$A8)</f>
        <v>22.5</v>
      </c>
      <c r="D8">
        <f>+SUMIFS([1]Sayfa2!I:I,[1]Sayfa2!$C:$C,'[1]tüm birimler'!$A8)</f>
        <v>22.5</v>
      </c>
      <c r="E8">
        <f>+SUMIFS([1]Sayfa2!J:J,[1]Sayfa2!$C:$C,'[1]tüm birimler'!$A8)</f>
        <v>22.5</v>
      </c>
      <c r="F8">
        <f>+SUMIFS([1]Sayfa2!K:K,[1]Sayfa2!$C:$C,'[1]tüm birimler'!$A8)</f>
        <v>0</v>
      </c>
      <c r="G8">
        <f>+SUMIFS([1]Sayfa2!L:L,[1]Sayfa2!$C:$C,'[1]tüm birimler'!$A8)</f>
        <v>15</v>
      </c>
      <c r="H8">
        <f>+SUMIFS([1]Sayfa2!M:M,[1]Sayfa2!$C:$C,'[1]tüm birimler'!$A8)</f>
        <v>22.5</v>
      </c>
      <c r="I8">
        <f>+SUMIFS([1]Sayfa2!N:N,[1]Sayfa2!$C:$C,'[1]tüm birimler'!$A8)</f>
        <v>22.5</v>
      </c>
      <c r="J8">
        <f>+SUMIFS([1]Sayfa2!O:O,[1]Sayfa2!$C:$C,'[1]tüm birimler'!$A8)</f>
        <v>22.5</v>
      </c>
      <c r="K8">
        <f>+SUMIFS([1]Sayfa2!P:P,[1]Sayfa2!$C:$C,'[1]tüm birimler'!$A8)</f>
        <v>22.5</v>
      </c>
      <c r="L8">
        <f>+SUMIFS([1]Sayfa2!Q:Q,[1]Sayfa2!$C:$C,'[1]tüm birimler'!$A8)</f>
        <v>22.5</v>
      </c>
      <c r="M8">
        <f>+SUMIFS([1]Sayfa2!R:R,[1]Sayfa2!$C:$C,'[1]tüm birimler'!$A8)</f>
        <v>0</v>
      </c>
      <c r="N8">
        <f>+SUMIFS([1]Sayfa2!S:S,[1]Sayfa2!$C:$C,'[1]tüm birimler'!$A8)</f>
        <v>15</v>
      </c>
      <c r="O8">
        <f>+SUMIFS([1]Sayfa2!T:T,[1]Sayfa2!$C:$C,'[1]tüm birimler'!$A8)</f>
        <v>15</v>
      </c>
      <c r="P8">
        <f>+SUMIFS([1]Sayfa2!U:U,[1]Sayfa2!$C:$C,'[1]tüm birimler'!$A8)</f>
        <v>22.5</v>
      </c>
      <c r="Q8">
        <f>+SUMIFS([1]Sayfa2!V:V,[1]Sayfa2!$C:$C,'[1]tüm birimler'!$A8)</f>
        <v>22.5</v>
      </c>
      <c r="R8">
        <f>+SUMIFS([1]Sayfa2!W:W,[1]Sayfa2!$C:$C,'[1]tüm birimler'!$A8)</f>
        <v>15</v>
      </c>
      <c r="S8">
        <f>+SUMIFS([1]Sayfa2!X:X,[1]Sayfa2!$C:$C,'[1]tüm birimler'!$A8)</f>
        <v>15</v>
      </c>
      <c r="T8">
        <f>+SUMIFS([1]Sayfa2!Y:Y,[1]Sayfa2!$C:$C,'[1]tüm birimler'!$A8)</f>
        <v>0</v>
      </c>
      <c r="U8">
        <f>+SUMIFS([1]Sayfa2!Z:Z,[1]Sayfa2!$C:$C,'[1]tüm birimler'!$A8)</f>
        <v>22.5</v>
      </c>
      <c r="V8">
        <f>+SUMIFS([1]Sayfa2!AA:AA,[1]Sayfa2!$C:$C,'[1]tüm birimler'!$A8)</f>
        <v>22.5</v>
      </c>
      <c r="W8">
        <f>+SUMIFS([1]Sayfa2!AB:AB,[1]Sayfa2!$C:$C,'[1]tüm birimler'!$A8)</f>
        <v>22.5</v>
      </c>
      <c r="X8">
        <f>+SUMIFS([1]Sayfa2!AC:AC,[1]Sayfa2!$C:$C,'[1]tüm birimler'!$A8)</f>
        <v>22.5</v>
      </c>
      <c r="Y8">
        <f>+SUMIFS([1]Sayfa2!AD:AD,[1]Sayfa2!$C:$C,'[1]tüm birimler'!$A8)</f>
        <v>21.916666666666668</v>
      </c>
      <c r="Z8">
        <f>+SUMIFS([1]Sayfa2!AE:AE,[1]Sayfa2!$C:$C,'[1]tüm birimler'!$A8)</f>
        <v>22.5</v>
      </c>
      <c r="AA8">
        <f>+SUMIFS([1]Sayfa2!AF:AF,[1]Sayfa2!$C:$C,'[1]tüm birimler'!$A8)</f>
        <v>0</v>
      </c>
      <c r="AB8">
        <f>+SUMIFS([1]Sayfa2!AG:AG,[1]Sayfa2!$C:$C,'[1]tüm birimler'!$A8)</f>
        <v>22.5</v>
      </c>
      <c r="AC8">
        <f>+SUMIFS([1]Sayfa2!AH:AH,[1]Sayfa2!$C:$C,'[1]tüm birimler'!$A8)</f>
        <v>22.5</v>
      </c>
      <c r="AD8">
        <f>+SUMIFS([1]Sayfa2!AI:AI,[1]Sayfa2!$C:$C,'[1]tüm birimler'!$A8)</f>
        <v>22.5</v>
      </c>
      <c r="AE8">
        <f>+SUMIFS([1]Sayfa2!AJ:AJ,[1]Sayfa2!$C:$C,'[1]tüm birimler'!$A8)</f>
        <v>21.166666666666668</v>
      </c>
      <c r="AF8">
        <f>+SUMIFS([1]Sayfa2!AK:AK,[1]Sayfa2!$C:$C,'[1]tüm birimler'!$A8)</f>
        <v>22.5</v>
      </c>
      <c r="AG8">
        <v>22.5</v>
      </c>
      <c r="AH8">
        <v>0</v>
      </c>
      <c r="AI8">
        <v>22.5</v>
      </c>
      <c r="AJ8">
        <v>22.5</v>
      </c>
      <c r="AK8">
        <v>22.5</v>
      </c>
      <c r="AL8">
        <v>22.5</v>
      </c>
      <c r="AM8">
        <v>15</v>
      </c>
      <c r="AN8">
        <v>22.5</v>
      </c>
      <c r="AO8">
        <v>0</v>
      </c>
      <c r="AP8">
        <v>22.5</v>
      </c>
      <c r="AQ8">
        <v>22.5</v>
      </c>
      <c r="AR8">
        <v>15</v>
      </c>
      <c r="AS8">
        <v>22.5</v>
      </c>
      <c r="AT8">
        <v>22.5</v>
      </c>
      <c r="AU8">
        <v>15</v>
      </c>
      <c r="AV8">
        <v>0</v>
      </c>
      <c r="AW8">
        <v>22.5</v>
      </c>
      <c r="AX8">
        <v>22.5</v>
      </c>
      <c r="AY8">
        <v>22.5</v>
      </c>
      <c r="AZ8">
        <v>22.5</v>
      </c>
      <c r="BA8">
        <v>22.5</v>
      </c>
      <c r="BB8">
        <v>15</v>
      </c>
      <c r="BC8">
        <v>0</v>
      </c>
      <c r="BD8">
        <v>22.5</v>
      </c>
      <c r="BE8">
        <v>21.75</v>
      </c>
      <c r="BF8">
        <v>22.5</v>
      </c>
      <c r="BG8">
        <v>21.833333333333332</v>
      </c>
      <c r="BH8">
        <v>22.5</v>
      </c>
      <c r="BI8">
        <v>22.5</v>
      </c>
      <c r="BJ8">
        <v>0</v>
      </c>
      <c r="BK8">
        <v>15</v>
      </c>
      <c r="BL8">
        <v>15</v>
      </c>
      <c r="BM8">
        <v>22.5</v>
      </c>
      <c r="BN8">
        <v>22.5</v>
      </c>
      <c r="BO8">
        <v>22.5</v>
      </c>
      <c r="BP8">
        <v>22.5</v>
      </c>
      <c r="BQ8">
        <v>0</v>
      </c>
      <c r="BR8">
        <v>22.5</v>
      </c>
      <c r="BS8">
        <v>22.5</v>
      </c>
      <c r="BT8">
        <v>22.5</v>
      </c>
      <c r="BU8">
        <v>22.5</v>
      </c>
      <c r="BV8">
        <v>22.5</v>
      </c>
      <c r="BW8">
        <v>22.5</v>
      </c>
      <c r="BX8">
        <v>0</v>
      </c>
      <c r="BY8">
        <v>22.5</v>
      </c>
      <c r="BZ8">
        <v>23.75</v>
      </c>
      <c r="CA8">
        <v>22.5</v>
      </c>
      <c r="CB8">
        <v>22.5</v>
      </c>
      <c r="CC8">
        <v>22.5</v>
      </c>
      <c r="CD8">
        <v>22.5</v>
      </c>
      <c r="CE8">
        <v>22.5</v>
      </c>
      <c r="CF8">
        <v>22.5</v>
      </c>
      <c r="CG8">
        <v>22.5</v>
      </c>
      <c r="CH8">
        <v>22.5</v>
      </c>
      <c r="CI8">
        <v>22.5</v>
      </c>
      <c r="CJ8">
        <v>22.5</v>
      </c>
      <c r="CK8">
        <v>8</v>
      </c>
      <c r="CL8">
        <v>0</v>
      </c>
      <c r="CM8">
        <v>0</v>
      </c>
      <c r="CN8">
        <v>0</v>
      </c>
      <c r="CO8">
        <v>22.5</v>
      </c>
      <c r="CP8">
        <v>22.5</v>
      </c>
      <c r="CQ8">
        <v>15</v>
      </c>
      <c r="CR8">
        <v>15</v>
      </c>
      <c r="CS8">
        <v>0</v>
      </c>
      <c r="CT8">
        <v>20.25</v>
      </c>
      <c r="CU8">
        <v>21.75</v>
      </c>
      <c r="CV8">
        <v>22.5</v>
      </c>
      <c r="CW8">
        <v>22.5</v>
      </c>
      <c r="CX8">
        <v>15</v>
      </c>
      <c r="CY8">
        <v>22</v>
      </c>
      <c r="CZ8">
        <v>0</v>
      </c>
      <c r="DA8">
        <v>22.5</v>
      </c>
      <c r="DB8">
        <v>22.5</v>
      </c>
      <c r="DC8">
        <v>22.5</v>
      </c>
      <c r="DD8">
        <v>22.5</v>
      </c>
      <c r="DE8">
        <v>22.5</v>
      </c>
      <c r="DF8">
        <v>22.5</v>
      </c>
      <c r="DG8">
        <v>0</v>
      </c>
      <c r="DH8">
        <v>22.5</v>
      </c>
      <c r="DI8">
        <v>22.5</v>
      </c>
      <c r="DJ8">
        <v>7.5</v>
      </c>
      <c r="DK8">
        <v>0</v>
      </c>
      <c r="DL8">
        <v>15</v>
      </c>
      <c r="DM8">
        <v>15</v>
      </c>
      <c r="DN8">
        <v>7.5</v>
      </c>
      <c r="DO8">
        <v>15</v>
      </c>
      <c r="DP8">
        <v>15</v>
      </c>
      <c r="DQ8">
        <v>15</v>
      </c>
      <c r="DR8">
        <v>0</v>
      </c>
      <c r="DS8">
        <v>22.5</v>
      </c>
      <c r="DT8">
        <v>22.083333333333336</v>
      </c>
      <c r="DU8">
        <v>0</v>
      </c>
      <c r="DV8">
        <v>12.5</v>
      </c>
      <c r="DW8">
        <v>22.5</v>
      </c>
      <c r="DX8">
        <v>22.5</v>
      </c>
      <c r="DY8">
        <v>15</v>
      </c>
      <c r="DZ8">
        <v>22.5</v>
      </c>
      <c r="EA8">
        <v>15</v>
      </c>
      <c r="EB8">
        <v>0</v>
      </c>
      <c r="EC8">
        <v>22.5</v>
      </c>
      <c r="ED8">
        <v>22.5</v>
      </c>
      <c r="EE8">
        <v>22.5</v>
      </c>
      <c r="EF8">
        <v>22.5</v>
      </c>
      <c r="EG8">
        <v>22.5</v>
      </c>
      <c r="EH8">
        <v>19.333333333333332</v>
      </c>
      <c r="EI8">
        <v>0</v>
      </c>
      <c r="EJ8">
        <v>22.5</v>
      </c>
      <c r="EK8">
        <v>22.5</v>
      </c>
      <c r="EL8">
        <v>22.5</v>
      </c>
      <c r="EM8">
        <v>22.5</v>
      </c>
      <c r="EN8">
        <v>22.5</v>
      </c>
      <c r="EO8">
        <v>22.5</v>
      </c>
      <c r="EP8">
        <v>0</v>
      </c>
      <c r="EQ8">
        <v>22.5</v>
      </c>
      <c r="ER8">
        <v>22.5</v>
      </c>
      <c r="ES8">
        <v>22.5</v>
      </c>
      <c r="ET8">
        <v>22.5</v>
      </c>
      <c r="EU8">
        <v>22.5</v>
      </c>
      <c r="EV8">
        <v>22.5</v>
      </c>
      <c r="EW8">
        <v>15</v>
      </c>
      <c r="EX8">
        <v>22.5</v>
      </c>
      <c r="EY8">
        <v>22.5</v>
      </c>
      <c r="EZ8">
        <v>22.5</v>
      </c>
      <c r="FA8">
        <v>8</v>
      </c>
      <c r="FB8">
        <v>0</v>
      </c>
      <c r="FC8">
        <v>0</v>
      </c>
      <c r="FD8">
        <v>0</v>
      </c>
      <c r="FE8">
        <v>0</v>
      </c>
      <c r="FF8">
        <v>22.5</v>
      </c>
      <c r="FG8">
        <v>22.5</v>
      </c>
      <c r="FH8">
        <v>22.5</v>
      </c>
      <c r="FI8">
        <v>15</v>
      </c>
      <c r="FJ8">
        <v>22.5</v>
      </c>
      <c r="FK8">
        <v>15</v>
      </c>
      <c r="FL8">
        <v>22.5</v>
      </c>
      <c r="FM8">
        <v>15</v>
      </c>
      <c r="FN8">
        <v>20.166666666666668</v>
      </c>
      <c r="FO8">
        <v>22.5</v>
      </c>
      <c r="FP8">
        <v>22.5</v>
      </c>
      <c r="FQ8">
        <v>15</v>
      </c>
      <c r="FR8">
        <v>0</v>
      </c>
      <c r="FS8">
        <v>22.5</v>
      </c>
      <c r="FT8">
        <v>11.916666666666668</v>
      </c>
      <c r="FU8">
        <v>15</v>
      </c>
      <c r="FV8">
        <v>15</v>
      </c>
      <c r="FW8">
        <v>15</v>
      </c>
      <c r="FX8">
        <v>15</v>
      </c>
      <c r="FY8">
        <v>0</v>
      </c>
      <c r="FZ8">
        <v>15</v>
      </c>
      <c r="GA8">
        <v>15</v>
      </c>
      <c r="GB8">
        <v>15</v>
      </c>
      <c r="GC8">
        <v>15</v>
      </c>
      <c r="GD8">
        <v>15</v>
      </c>
      <c r="GE8">
        <v>15</v>
      </c>
      <c r="GF8">
        <v>0</v>
      </c>
      <c r="GG8">
        <v>22.5</v>
      </c>
      <c r="GH8">
        <v>22.5</v>
      </c>
      <c r="GI8">
        <v>22.5</v>
      </c>
      <c r="GJ8">
        <v>22.5</v>
      </c>
      <c r="GK8">
        <v>22.5</v>
      </c>
      <c r="GL8">
        <v>22.5</v>
      </c>
      <c r="GM8">
        <v>0</v>
      </c>
      <c r="GN8">
        <v>22.5</v>
      </c>
      <c r="GO8">
        <v>0</v>
      </c>
      <c r="GP8">
        <v>22.5</v>
      </c>
      <c r="GQ8">
        <v>22.5</v>
      </c>
      <c r="GR8">
        <v>22.5</v>
      </c>
      <c r="GS8">
        <v>22.5</v>
      </c>
      <c r="GT8">
        <v>14.583333333333334</v>
      </c>
      <c r="GU8">
        <v>22.5</v>
      </c>
      <c r="GV8">
        <v>22.5</v>
      </c>
      <c r="GW8">
        <v>22.5</v>
      </c>
      <c r="GX8">
        <v>22</v>
      </c>
      <c r="GY8">
        <v>22.5</v>
      </c>
      <c r="GZ8">
        <v>22.5</v>
      </c>
      <c r="HA8">
        <v>0</v>
      </c>
      <c r="HB8">
        <v>22.5</v>
      </c>
      <c r="HC8">
        <v>22.5</v>
      </c>
      <c r="HD8">
        <v>22.5</v>
      </c>
      <c r="HE8">
        <v>22.5</v>
      </c>
      <c r="HF8">
        <v>15</v>
      </c>
      <c r="HG8">
        <v>15</v>
      </c>
      <c r="HH8">
        <v>0</v>
      </c>
      <c r="HI8">
        <v>22</v>
      </c>
      <c r="HJ8">
        <v>22.5</v>
      </c>
      <c r="HK8">
        <v>22.5</v>
      </c>
      <c r="HL8">
        <v>22.5</v>
      </c>
      <c r="HM8">
        <v>22.5</v>
      </c>
      <c r="HN8">
        <v>22.5</v>
      </c>
      <c r="HO8">
        <v>0</v>
      </c>
      <c r="HP8">
        <v>15</v>
      </c>
      <c r="HQ8">
        <v>15</v>
      </c>
      <c r="HR8">
        <v>15</v>
      </c>
      <c r="HS8">
        <v>15</v>
      </c>
      <c r="HT8">
        <v>15</v>
      </c>
      <c r="HU8">
        <v>15</v>
      </c>
      <c r="HV8">
        <v>0</v>
      </c>
      <c r="HW8">
        <v>22.5</v>
      </c>
      <c r="HX8">
        <v>22.5</v>
      </c>
      <c r="HY8">
        <v>22.5</v>
      </c>
      <c r="HZ8">
        <v>15</v>
      </c>
      <c r="IA8">
        <v>22.5</v>
      </c>
      <c r="IB8">
        <v>22.5</v>
      </c>
      <c r="IC8">
        <v>15</v>
      </c>
      <c r="ID8">
        <v>22.5</v>
      </c>
      <c r="IE8">
        <v>22.5</v>
      </c>
      <c r="IF8">
        <v>22.5</v>
      </c>
      <c r="IG8">
        <v>22.5</v>
      </c>
      <c r="IH8">
        <v>22.5</v>
      </c>
      <c r="II8">
        <v>22.5</v>
      </c>
      <c r="IJ8">
        <v>0</v>
      </c>
      <c r="IK8">
        <v>22.5</v>
      </c>
      <c r="IL8">
        <v>22.5</v>
      </c>
      <c r="IM8">
        <v>15</v>
      </c>
      <c r="IN8">
        <v>22.5</v>
      </c>
      <c r="IO8">
        <v>0</v>
      </c>
      <c r="IP8">
        <v>22.5</v>
      </c>
      <c r="IQ8">
        <v>22.5</v>
      </c>
      <c r="IR8">
        <v>22.5</v>
      </c>
      <c r="IS8">
        <v>15</v>
      </c>
      <c r="IT8">
        <v>22.5</v>
      </c>
      <c r="IU8">
        <v>22.5</v>
      </c>
      <c r="IV8">
        <v>0</v>
      </c>
      <c r="IW8">
        <v>22.5</v>
      </c>
      <c r="IX8">
        <v>22.5</v>
      </c>
      <c r="IY8">
        <v>22.5</v>
      </c>
      <c r="IZ8">
        <v>22.5</v>
      </c>
      <c r="JA8">
        <v>22.5</v>
      </c>
      <c r="JB8">
        <v>22.5</v>
      </c>
      <c r="JC8">
        <v>22.5</v>
      </c>
      <c r="JD8">
        <v>22.5</v>
      </c>
      <c r="JE8">
        <v>22.5</v>
      </c>
      <c r="JF8">
        <v>22.5</v>
      </c>
      <c r="JG8">
        <v>22.5</v>
      </c>
      <c r="JH8">
        <v>22.5</v>
      </c>
      <c r="JI8">
        <v>22.5</v>
      </c>
      <c r="JJ8">
        <v>0</v>
      </c>
      <c r="JK8">
        <v>22.5</v>
      </c>
      <c r="JL8">
        <v>22.5</v>
      </c>
      <c r="JM8">
        <v>22.5</v>
      </c>
      <c r="JN8">
        <v>22.5</v>
      </c>
      <c r="JO8">
        <v>22.5</v>
      </c>
      <c r="JP8">
        <v>22.5</v>
      </c>
      <c r="JQ8">
        <v>0</v>
      </c>
      <c r="JR8">
        <v>22.5</v>
      </c>
      <c r="JS8">
        <v>22.5</v>
      </c>
      <c r="JT8">
        <v>22</v>
      </c>
      <c r="JU8">
        <v>22.5</v>
      </c>
      <c r="JV8">
        <v>22.5</v>
      </c>
      <c r="JW8">
        <v>22.5</v>
      </c>
      <c r="JX8">
        <v>0</v>
      </c>
      <c r="JY8">
        <v>22.5</v>
      </c>
      <c r="JZ8">
        <v>22.5</v>
      </c>
      <c r="KA8">
        <v>22.5</v>
      </c>
      <c r="KB8">
        <v>22.5</v>
      </c>
      <c r="KC8">
        <v>22.5</v>
      </c>
      <c r="KD8">
        <v>22.5</v>
      </c>
      <c r="KE8">
        <v>0</v>
      </c>
      <c r="KF8">
        <v>22.5</v>
      </c>
      <c r="KG8">
        <v>22.5</v>
      </c>
      <c r="KH8">
        <v>22.5</v>
      </c>
      <c r="KI8">
        <v>22.5</v>
      </c>
      <c r="KJ8">
        <v>22.5</v>
      </c>
      <c r="KK8">
        <v>22.5</v>
      </c>
      <c r="KL8">
        <v>0</v>
      </c>
      <c r="KM8">
        <v>22.5</v>
      </c>
      <c r="KN8">
        <v>22.5</v>
      </c>
      <c r="KO8">
        <v>22.5</v>
      </c>
      <c r="KP8">
        <v>22.5</v>
      </c>
      <c r="KQ8">
        <v>15</v>
      </c>
      <c r="KR8">
        <v>15</v>
      </c>
      <c r="KS8">
        <v>0</v>
      </c>
      <c r="KT8">
        <v>22.5</v>
      </c>
      <c r="KU8">
        <v>22.5</v>
      </c>
      <c r="KV8">
        <v>15</v>
      </c>
      <c r="KW8">
        <v>22.5</v>
      </c>
      <c r="KX8">
        <v>22.5</v>
      </c>
      <c r="KY8">
        <v>22.5</v>
      </c>
      <c r="KZ8">
        <v>0</v>
      </c>
      <c r="LA8">
        <v>22.5</v>
      </c>
      <c r="LB8">
        <v>22.5</v>
      </c>
      <c r="LC8">
        <v>22.5</v>
      </c>
      <c r="LD8">
        <v>22.5</v>
      </c>
      <c r="LE8">
        <v>22.5</v>
      </c>
      <c r="LF8">
        <v>22.5</v>
      </c>
      <c r="LG8">
        <v>0</v>
      </c>
      <c r="LH8">
        <v>22.5</v>
      </c>
      <c r="LI8">
        <v>22.5</v>
      </c>
      <c r="LJ8">
        <v>18</v>
      </c>
      <c r="LK8">
        <v>18</v>
      </c>
      <c r="LL8">
        <v>18</v>
      </c>
      <c r="LM8">
        <v>15</v>
      </c>
      <c r="LN8">
        <v>22.5</v>
      </c>
      <c r="LO8">
        <v>25.5</v>
      </c>
      <c r="LP8">
        <v>25.5</v>
      </c>
      <c r="LQ8">
        <v>19.5</v>
      </c>
      <c r="LR8">
        <v>25.5</v>
      </c>
      <c r="LS8">
        <v>26.5</v>
      </c>
      <c r="LT8">
        <v>22.5</v>
      </c>
      <c r="LU8">
        <v>0</v>
      </c>
      <c r="LV8">
        <v>22.5</v>
      </c>
      <c r="LW8">
        <v>22.5</v>
      </c>
      <c r="LX8">
        <v>15</v>
      </c>
    </row>
    <row r="9" spans="1:336">
      <c r="A9" s="136" t="s">
        <v>1831</v>
      </c>
      <c r="B9">
        <f>+SUMIFS([1]Sayfa2!G:G,[1]Sayfa2!$C:$C,'[1]tüm birimler'!$A9)</f>
        <v>0</v>
      </c>
      <c r="C9">
        <f>+SUMIFS([1]Sayfa2!H:H,[1]Sayfa2!$C:$C,'[1]tüm birimler'!$A9)</f>
        <v>7.5</v>
      </c>
      <c r="D9">
        <f>+SUMIFS([1]Sayfa2!I:I,[1]Sayfa2!$C:$C,'[1]tüm birimler'!$A9)</f>
        <v>7.5</v>
      </c>
      <c r="E9">
        <f>+SUMIFS([1]Sayfa2!J:J,[1]Sayfa2!$C:$C,'[1]tüm birimler'!$A9)</f>
        <v>0</v>
      </c>
      <c r="F9">
        <f>+SUMIFS([1]Sayfa2!K:K,[1]Sayfa2!$C:$C,'[1]tüm birimler'!$A9)</f>
        <v>7.5</v>
      </c>
      <c r="G9">
        <f>+SUMIFS([1]Sayfa2!L:L,[1]Sayfa2!$C:$C,'[1]tüm birimler'!$A9)</f>
        <v>7.5</v>
      </c>
      <c r="H9">
        <f>+SUMIFS([1]Sayfa2!M:M,[1]Sayfa2!$C:$C,'[1]tüm birimler'!$A9)</f>
        <v>7.5</v>
      </c>
      <c r="I9">
        <f>+SUMIFS([1]Sayfa2!N:N,[1]Sayfa2!$C:$C,'[1]tüm birimler'!$A9)</f>
        <v>7.5</v>
      </c>
      <c r="J9">
        <f>+SUMIFS([1]Sayfa2!O:O,[1]Sayfa2!$C:$C,'[1]tüm birimler'!$A9)</f>
        <v>5.25</v>
      </c>
      <c r="K9">
        <f>+SUMIFS([1]Sayfa2!P:P,[1]Sayfa2!$C:$C,'[1]tüm birimler'!$A9)</f>
        <v>7.5</v>
      </c>
      <c r="L9">
        <f>+SUMIFS([1]Sayfa2!Q:Q,[1]Sayfa2!$C:$C,'[1]tüm birimler'!$A9)</f>
        <v>0</v>
      </c>
      <c r="M9">
        <f>+SUMIFS([1]Sayfa2!R:R,[1]Sayfa2!$C:$C,'[1]tüm birimler'!$A9)</f>
        <v>7.5</v>
      </c>
      <c r="N9">
        <f>+SUMIFS([1]Sayfa2!S:S,[1]Sayfa2!$C:$C,'[1]tüm birimler'!$A9)</f>
        <v>7.5</v>
      </c>
      <c r="O9">
        <f>+SUMIFS([1]Sayfa2!T:T,[1]Sayfa2!$C:$C,'[1]tüm birimler'!$A9)</f>
        <v>7.5</v>
      </c>
      <c r="P9">
        <f>+SUMIFS([1]Sayfa2!U:U,[1]Sayfa2!$C:$C,'[1]tüm birimler'!$A9)</f>
        <v>7.5</v>
      </c>
      <c r="Q9">
        <f>+SUMIFS([1]Sayfa2!V:V,[1]Sayfa2!$C:$C,'[1]tüm birimler'!$A9)</f>
        <v>7.5</v>
      </c>
      <c r="R9">
        <f>+SUMIFS([1]Sayfa2!W:W,[1]Sayfa2!$C:$C,'[1]tüm birimler'!$A9)</f>
        <v>7.5</v>
      </c>
      <c r="S9">
        <f>+SUMIFS([1]Sayfa2!X:X,[1]Sayfa2!$C:$C,'[1]tüm birimler'!$A9)</f>
        <v>0</v>
      </c>
      <c r="T9">
        <f>+SUMIFS([1]Sayfa2!Y:Y,[1]Sayfa2!$C:$C,'[1]tüm birimler'!$A9)</f>
        <v>7.5</v>
      </c>
      <c r="U9">
        <f>+SUMIFS([1]Sayfa2!Z:Z,[1]Sayfa2!$C:$C,'[1]tüm birimler'!$A9)</f>
        <v>7.5</v>
      </c>
      <c r="V9">
        <f>+SUMIFS([1]Sayfa2!AA:AA,[1]Sayfa2!$C:$C,'[1]tüm birimler'!$A9)</f>
        <v>7.5</v>
      </c>
      <c r="W9">
        <f>+SUMIFS([1]Sayfa2!AB:AB,[1]Sayfa2!$C:$C,'[1]tüm birimler'!$A9)</f>
        <v>7.5</v>
      </c>
      <c r="X9">
        <f>+SUMIFS([1]Sayfa2!AC:AC,[1]Sayfa2!$C:$C,'[1]tüm birimler'!$A9)</f>
        <v>7.5</v>
      </c>
      <c r="Y9">
        <f>+SUMIFS([1]Sayfa2!AD:AD,[1]Sayfa2!$C:$C,'[1]tüm birimler'!$A9)</f>
        <v>7.5</v>
      </c>
      <c r="Z9">
        <f>+SUMIFS([1]Sayfa2!AE:AE,[1]Sayfa2!$C:$C,'[1]tüm birimler'!$A9)</f>
        <v>0</v>
      </c>
      <c r="AA9">
        <f>+SUMIFS([1]Sayfa2!AF:AF,[1]Sayfa2!$C:$C,'[1]tüm birimler'!$A9)</f>
        <v>7.5</v>
      </c>
      <c r="AB9">
        <f>+SUMIFS([1]Sayfa2!AG:AG,[1]Sayfa2!$C:$C,'[1]tüm birimler'!$A9)</f>
        <v>7.5</v>
      </c>
      <c r="AC9">
        <f>+SUMIFS([1]Sayfa2!AH:AH,[1]Sayfa2!$C:$C,'[1]tüm birimler'!$A9)</f>
        <v>7.5</v>
      </c>
      <c r="AD9">
        <f>+SUMIFS([1]Sayfa2!AI:AI,[1]Sayfa2!$C:$C,'[1]tüm birimler'!$A9)</f>
        <v>7.5</v>
      </c>
      <c r="AE9">
        <f>+SUMIFS([1]Sayfa2!AJ:AJ,[1]Sayfa2!$C:$C,'[1]tüm birimler'!$A9)</f>
        <v>7.5</v>
      </c>
      <c r="AF9">
        <f>+SUMIFS([1]Sayfa2!AK:AK,[1]Sayfa2!$C:$C,'[1]tüm birimler'!$A9)</f>
        <v>7.5</v>
      </c>
      <c r="AG9">
        <v>0</v>
      </c>
      <c r="AH9">
        <v>7.5</v>
      </c>
      <c r="AI9">
        <v>7.5</v>
      </c>
      <c r="AJ9">
        <v>7.5</v>
      </c>
      <c r="AK9">
        <v>7.5</v>
      </c>
      <c r="AL9">
        <v>7.5</v>
      </c>
      <c r="AM9">
        <v>7.5</v>
      </c>
      <c r="AN9">
        <v>0</v>
      </c>
      <c r="AO9">
        <v>7.5</v>
      </c>
      <c r="AP9">
        <v>7.5</v>
      </c>
      <c r="AQ9">
        <v>7.5</v>
      </c>
      <c r="AR9">
        <v>7.5</v>
      </c>
      <c r="AS9">
        <v>4.416666666666667</v>
      </c>
      <c r="AT9">
        <v>7.5</v>
      </c>
      <c r="AU9">
        <v>0</v>
      </c>
      <c r="AV9">
        <v>7.5</v>
      </c>
      <c r="AW9">
        <v>7.5</v>
      </c>
      <c r="AX9">
        <v>7.5</v>
      </c>
      <c r="AY9">
        <v>7.5</v>
      </c>
      <c r="AZ9">
        <v>7.5</v>
      </c>
      <c r="BA9">
        <v>7.5</v>
      </c>
      <c r="BB9">
        <v>0</v>
      </c>
      <c r="BC9">
        <v>7.5</v>
      </c>
      <c r="BD9">
        <v>7.5</v>
      </c>
      <c r="BE9">
        <v>7.5</v>
      </c>
      <c r="BF9">
        <v>7.5</v>
      </c>
      <c r="BG9">
        <v>7.5</v>
      </c>
      <c r="BH9">
        <v>7.5</v>
      </c>
      <c r="BI9">
        <v>0</v>
      </c>
      <c r="BJ9">
        <v>0</v>
      </c>
      <c r="BK9">
        <v>7.5</v>
      </c>
      <c r="BL9">
        <v>7.5</v>
      </c>
      <c r="BM9">
        <v>0</v>
      </c>
      <c r="BN9">
        <v>7.5</v>
      </c>
      <c r="BO9">
        <v>7.5</v>
      </c>
      <c r="BP9">
        <v>0</v>
      </c>
      <c r="BQ9">
        <v>7.5</v>
      </c>
      <c r="BR9">
        <v>7.5</v>
      </c>
      <c r="BS9">
        <v>7.5</v>
      </c>
      <c r="BT9">
        <v>7.5</v>
      </c>
      <c r="BU9">
        <v>7.5</v>
      </c>
      <c r="BV9">
        <v>7.5</v>
      </c>
      <c r="BW9">
        <v>0</v>
      </c>
      <c r="BX9">
        <v>0</v>
      </c>
      <c r="BY9">
        <v>7.5</v>
      </c>
      <c r="BZ9">
        <v>7.5</v>
      </c>
      <c r="CA9">
        <v>7.5</v>
      </c>
      <c r="CB9">
        <v>7.5</v>
      </c>
      <c r="CC9">
        <v>7.5</v>
      </c>
      <c r="CD9">
        <v>7.5</v>
      </c>
      <c r="CE9">
        <v>7.5</v>
      </c>
      <c r="CF9">
        <v>7.5</v>
      </c>
      <c r="CG9">
        <v>7.5</v>
      </c>
      <c r="CH9">
        <v>7.5</v>
      </c>
      <c r="CI9">
        <v>7.5</v>
      </c>
      <c r="CJ9">
        <v>7.5</v>
      </c>
      <c r="CK9">
        <v>0</v>
      </c>
      <c r="CL9">
        <v>0</v>
      </c>
      <c r="CM9">
        <v>0</v>
      </c>
      <c r="CN9">
        <v>0</v>
      </c>
      <c r="CO9">
        <v>7.5</v>
      </c>
      <c r="CP9">
        <v>7.5</v>
      </c>
      <c r="CQ9">
        <v>7.5</v>
      </c>
      <c r="CR9">
        <v>7.5</v>
      </c>
      <c r="CS9">
        <v>0</v>
      </c>
      <c r="CT9">
        <v>7.5</v>
      </c>
      <c r="CU9">
        <v>7.5</v>
      </c>
      <c r="CV9">
        <v>7.5</v>
      </c>
      <c r="CW9">
        <v>7.5</v>
      </c>
      <c r="CX9">
        <v>0</v>
      </c>
      <c r="CY9">
        <v>7.5</v>
      </c>
      <c r="CZ9">
        <v>0</v>
      </c>
      <c r="DA9">
        <v>7.5</v>
      </c>
      <c r="DB9">
        <v>7.5</v>
      </c>
      <c r="DC9">
        <v>7.5</v>
      </c>
      <c r="DD9">
        <v>7.5</v>
      </c>
      <c r="DE9">
        <v>7.5</v>
      </c>
      <c r="DF9">
        <v>7.5</v>
      </c>
      <c r="DG9">
        <v>0</v>
      </c>
      <c r="DH9">
        <v>7.5</v>
      </c>
      <c r="DI9">
        <v>7.5</v>
      </c>
      <c r="DJ9">
        <v>7.5</v>
      </c>
      <c r="DK9">
        <v>0</v>
      </c>
      <c r="DL9">
        <v>7.5</v>
      </c>
      <c r="DM9">
        <v>7.5</v>
      </c>
      <c r="DN9">
        <v>7.5</v>
      </c>
      <c r="DO9">
        <v>7.5</v>
      </c>
      <c r="DP9">
        <v>7.5</v>
      </c>
      <c r="DQ9">
        <v>7.1666666666666661</v>
      </c>
      <c r="DR9">
        <v>0</v>
      </c>
      <c r="DS9">
        <v>7.5</v>
      </c>
      <c r="DT9">
        <v>7.5</v>
      </c>
      <c r="DU9">
        <v>0</v>
      </c>
      <c r="DV9">
        <v>7.5</v>
      </c>
      <c r="DW9">
        <v>7.5</v>
      </c>
      <c r="DX9">
        <v>7.5</v>
      </c>
      <c r="DY9">
        <v>7.5</v>
      </c>
      <c r="DZ9">
        <v>7.5</v>
      </c>
      <c r="EA9">
        <v>7.5</v>
      </c>
      <c r="EB9">
        <v>0</v>
      </c>
      <c r="EC9">
        <v>7.5</v>
      </c>
      <c r="ED9">
        <v>7.5</v>
      </c>
      <c r="EE9">
        <v>7.5</v>
      </c>
      <c r="EF9">
        <v>7.5</v>
      </c>
      <c r="EG9">
        <v>7.5</v>
      </c>
      <c r="EH9">
        <v>7.5</v>
      </c>
      <c r="EI9">
        <v>0</v>
      </c>
      <c r="EJ9">
        <v>7.5</v>
      </c>
      <c r="EK9">
        <v>7.5</v>
      </c>
      <c r="EL9">
        <v>7.5</v>
      </c>
      <c r="EM9">
        <v>7.5</v>
      </c>
      <c r="EN9">
        <v>7.5</v>
      </c>
      <c r="EO9">
        <v>7.5</v>
      </c>
      <c r="EP9">
        <v>0</v>
      </c>
      <c r="EQ9">
        <v>7.5</v>
      </c>
      <c r="ER9">
        <v>7.5</v>
      </c>
      <c r="ES9">
        <v>7.5</v>
      </c>
      <c r="ET9">
        <v>7.5</v>
      </c>
      <c r="EU9">
        <v>7.5</v>
      </c>
      <c r="EV9">
        <v>7.5</v>
      </c>
      <c r="EW9">
        <v>7.5</v>
      </c>
      <c r="EX9">
        <v>7.5</v>
      </c>
      <c r="EY9">
        <v>7.5</v>
      </c>
      <c r="EZ9">
        <v>7.5</v>
      </c>
      <c r="FA9">
        <v>4</v>
      </c>
      <c r="FB9">
        <v>0</v>
      </c>
      <c r="FC9">
        <v>0</v>
      </c>
      <c r="FD9">
        <v>0</v>
      </c>
      <c r="FE9">
        <v>0</v>
      </c>
      <c r="FF9">
        <v>7.5</v>
      </c>
      <c r="FG9">
        <v>7.5</v>
      </c>
      <c r="FH9">
        <v>7.5</v>
      </c>
      <c r="FI9">
        <v>7.5</v>
      </c>
      <c r="FJ9">
        <v>7.5</v>
      </c>
      <c r="FK9">
        <v>5.583333333333333</v>
      </c>
      <c r="FL9">
        <v>7.5</v>
      </c>
      <c r="FM9">
        <v>7.5</v>
      </c>
      <c r="FN9">
        <v>7.5</v>
      </c>
      <c r="FO9">
        <v>7.5</v>
      </c>
      <c r="FP9">
        <v>7.5</v>
      </c>
      <c r="FQ9">
        <v>0</v>
      </c>
      <c r="FR9">
        <v>7.5</v>
      </c>
      <c r="FS9">
        <v>7.5</v>
      </c>
      <c r="FT9">
        <v>7.5</v>
      </c>
      <c r="FU9">
        <v>7.5</v>
      </c>
      <c r="FV9">
        <v>7.5</v>
      </c>
      <c r="FW9">
        <v>7.5</v>
      </c>
      <c r="FX9">
        <v>0</v>
      </c>
      <c r="FY9">
        <v>7.5</v>
      </c>
      <c r="FZ9">
        <v>6.75</v>
      </c>
      <c r="GA9">
        <v>7.5</v>
      </c>
      <c r="GB9">
        <v>7.5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7.5</v>
      </c>
      <c r="GQ9">
        <v>7.5</v>
      </c>
      <c r="GR9">
        <v>7.5</v>
      </c>
      <c r="GS9">
        <v>7.5</v>
      </c>
      <c r="GT9">
        <v>7.5</v>
      </c>
      <c r="GU9">
        <v>7.5</v>
      </c>
      <c r="GV9">
        <v>7.5</v>
      </c>
      <c r="GW9">
        <v>7.5</v>
      </c>
      <c r="GX9">
        <v>7.5</v>
      </c>
      <c r="GY9">
        <v>7.5</v>
      </c>
      <c r="GZ9">
        <v>7.5</v>
      </c>
      <c r="HA9">
        <v>0</v>
      </c>
      <c r="HB9">
        <v>7.5</v>
      </c>
      <c r="HC9">
        <v>7.5</v>
      </c>
      <c r="HD9">
        <v>7.5</v>
      </c>
      <c r="HE9">
        <v>5.25</v>
      </c>
      <c r="HF9">
        <v>7.5</v>
      </c>
      <c r="HG9">
        <v>7.5</v>
      </c>
      <c r="HH9">
        <v>0</v>
      </c>
      <c r="HI9">
        <v>7.5</v>
      </c>
      <c r="HJ9">
        <v>7.5</v>
      </c>
      <c r="HK9">
        <v>7.5</v>
      </c>
      <c r="HL9">
        <v>7.5</v>
      </c>
      <c r="HM9">
        <v>7.5</v>
      </c>
      <c r="HN9">
        <v>7.5</v>
      </c>
      <c r="HO9">
        <v>0</v>
      </c>
      <c r="HP9">
        <v>7.5</v>
      </c>
      <c r="HQ9">
        <v>7.5</v>
      </c>
      <c r="HR9">
        <v>7.5</v>
      </c>
      <c r="HS9">
        <v>7.5</v>
      </c>
      <c r="HT9">
        <v>7.5</v>
      </c>
      <c r="HU9">
        <v>7.5</v>
      </c>
      <c r="HV9">
        <v>0</v>
      </c>
      <c r="HW9">
        <v>7.5</v>
      </c>
      <c r="HX9">
        <v>7.5</v>
      </c>
      <c r="HY9">
        <v>7.5</v>
      </c>
      <c r="HZ9">
        <v>7.5</v>
      </c>
      <c r="IA9">
        <v>7.5</v>
      </c>
      <c r="IB9">
        <v>4.5</v>
      </c>
      <c r="IC9">
        <v>0</v>
      </c>
      <c r="ID9">
        <v>0</v>
      </c>
      <c r="IE9">
        <v>0</v>
      </c>
      <c r="IF9">
        <v>0</v>
      </c>
      <c r="IG9">
        <v>0</v>
      </c>
      <c r="IH9">
        <v>7.5</v>
      </c>
      <c r="II9">
        <v>0</v>
      </c>
      <c r="IJ9">
        <v>7.5</v>
      </c>
      <c r="IK9">
        <v>7.5</v>
      </c>
      <c r="IL9">
        <v>7.5</v>
      </c>
      <c r="IM9">
        <v>7.5</v>
      </c>
      <c r="IN9">
        <v>0</v>
      </c>
      <c r="IO9">
        <v>7.5</v>
      </c>
      <c r="IP9">
        <v>7.5</v>
      </c>
      <c r="IQ9">
        <v>7.5</v>
      </c>
      <c r="IR9">
        <v>7.5</v>
      </c>
      <c r="IS9">
        <v>7.5</v>
      </c>
      <c r="IT9">
        <v>7.5</v>
      </c>
      <c r="IU9">
        <v>0</v>
      </c>
      <c r="IV9">
        <v>7.5</v>
      </c>
      <c r="IW9">
        <v>7.5</v>
      </c>
      <c r="IX9">
        <v>7.5</v>
      </c>
      <c r="IY9">
        <v>4.583333333333333</v>
      </c>
      <c r="IZ9">
        <v>7.5</v>
      </c>
      <c r="JA9">
        <v>7.5</v>
      </c>
      <c r="JB9">
        <v>7.5</v>
      </c>
      <c r="JC9">
        <v>7.5</v>
      </c>
      <c r="JD9">
        <v>7.5</v>
      </c>
      <c r="JE9">
        <v>7.5</v>
      </c>
      <c r="JF9">
        <v>7.5</v>
      </c>
      <c r="JG9">
        <v>7.5</v>
      </c>
      <c r="JH9">
        <v>7.5</v>
      </c>
      <c r="JI9">
        <v>0</v>
      </c>
      <c r="JJ9">
        <v>7.5</v>
      </c>
      <c r="JK9">
        <v>7.5</v>
      </c>
      <c r="JL9">
        <v>7.5</v>
      </c>
      <c r="JM9">
        <v>7.5</v>
      </c>
      <c r="JN9">
        <v>7.5</v>
      </c>
      <c r="JO9">
        <v>5.416666666666667</v>
      </c>
      <c r="JP9">
        <v>0</v>
      </c>
      <c r="JQ9">
        <v>7.5</v>
      </c>
      <c r="JR9">
        <v>7.5</v>
      </c>
      <c r="JS9">
        <v>7.5</v>
      </c>
      <c r="JT9">
        <v>7.5</v>
      </c>
      <c r="JU9">
        <v>7.5</v>
      </c>
      <c r="JV9">
        <v>7.5</v>
      </c>
      <c r="JW9">
        <v>0</v>
      </c>
      <c r="JX9">
        <v>7.5</v>
      </c>
      <c r="JY9">
        <v>7.5</v>
      </c>
      <c r="JZ9">
        <v>7.5</v>
      </c>
      <c r="KA9">
        <v>7.5</v>
      </c>
      <c r="KB9">
        <v>7.5</v>
      </c>
      <c r="KC9">
        <v>4.833333333333333</v>
      </c>
      <c r="KD9">
        <v>0</v>
      </c>
      <c r="KE9">
        <v>7.5</v>
      </c>
      <c r="KF9">
        <v>7.5</v>
      </c>
      <c r="KG9">
        <v>7.5</v>
      </c>
      <c r="KH9">
        <v>7.5</v>
      </c>
      <c r="KI9">
        <v>7.5</v>
      </c>
      <c r="KJ9">
        <v>7.5</v>
      </c>
      <c r="KK9">
        <v>0</v>
      </c>
      <c r="KL9">
        <v>7.5</v>
      </c>
      <c r="KM9">
        <v>7.5</v>
      </c>
      <c r="KN9">
        <v>7.5</v>
      </c>
      <c r="KO9">
        <v>7.5</v>
      </c>
      <c r="KP9">
        <v>7.5</v>
      </c>
      <c r="KQ9">
        <v>7.5</v>
      </c>
      <c r="KR9">
        <v>0</v>
      </c>
      <c r="KS9">
        <v>7.5</v>
      </c>
      <c r="KT9">
        <v>7.5</v>
      </c>
      <c r="KU9">
        <v>7.5</v>
      </c>
      <c r="KV9">
        <v>7.5</v>
      </c>
      <c r="KW9">
        <v>7.5</v>
      </c>
      <c r="KX9">
        <v>7.5</v>
      </c>
      <c r="KY9">
        <v>0</v>
      </c>
      <c r="KZ9">
        <v>7.5</v>
      </c>
      <c r="LA9">
        <v>7.5</v>
      </c>
      <c r="LB9">
        <v>7.5</v>
      </c>
      <c r="LC9">
        <v>7.5</v>
      </c>
      <c r="LD9">
        <v>7.5</v>
      </c>
      <c r="LE9">
        <v>7.5</v>
      </c>
      <c r="LF9">
        <v>0</v>
      </c>
      <c r="LG9">
        <v>7.5</v>
      </c>
      <c r="LH9">
        <v>7.5</v>
      </c>
      <c r="LI9">
        <v>7.5</v>
      </c>
      <c r="LJ9">
        <v>7.5</v>
      </c>
      <c r="LK9">
        <v>7.5</v>
      </c>
      <c r="LL9">
        <v>7.5</v>
      </c>
      <c r="LM9">
        <v>7.5</v>
      </c>
      <c r="LN9">
        <v>7.5</v>
      </c>
      <c r="LO9">
        <v>7.5</v>
      </c>
      <c r="LP9">
        <v>7.5</v>
      </c>
      <c r="LQ9">
        <v>7.5</v>
      </c>
      <c r="LR9">
        <v>7.5</v>
      </c>
      <c r="LS9">
        <v>7.5</v>
      </c>
      <c r="LT9">
        <v>0</v>
      </c>
      <c r="LU9">
        <v>7.5</v>
      </c>
      <c r="LV9">
        <v>7.5</v>
      </c>
      <c r="LW9">
        <v>7.5</v>
      </c>
      <c r="LX9">
        <v>0</v>
      </c>
    </row>
    <row r="10" spans="1:336">
      <c r="A10" s="136" t="s">
        <v>2228</v>
      </c>
      <c r="B10">
        <f>+SUMIFS([1]Sayfa2!G:G,[1]Sayfa2!$C:$C,'[1]tüm birimler'!$A10)</f>
        <v>0</v>
      </c>
      <c r="C10">
        <f>+SUMIFS([1]Sayfa2!H:H,[1]Sayfa2!$C:$C,'[1]tüm birimler'!$A10)</f>
        <v>15</v>
      </c>
      <c r="D10">
        <f>+SUMIFS([1]Sayfa2!I:I,[1]Sayfa2!$C:$C,'[1]tüm birimler'!$A10)</f>
        <v>15</v>
      </c>
      <c r="E10">
        <f>+SUMIFS([1]Sayfa2!J:J,[1]Sayfa2!$C:$C,'[1]tüm birimler'!$A10)</f>
        <v>7.5</v>
      </c>
      <c r="F10">
        <f>+SUMIFS([1]Sayfa2!K:K,[1]Sayfa2!$C:$C,'[1]tüm birimler'!$A10)</f>
        <v>0</v>
      </c>
      <c r="G10">
        <f>+SUMIFS([1]Sayfa2!L:L,[1]Sayfa2!$C:$C,'[1]tüm birimler'!$A10)</f>
        <v>15</v>
      </c>
      <c r="H10">
        <f>+SUMIFS([1]Sayfa2!M:M,[1]Sayfa2!$C:$C,'[1]tüm birimler'!$A10)</f>
        <v>15</v>
      </c>
      <c r="I10">
        <f>+SUMIFS([1]Sayfa2!N:N,[1]Sayfa2!$C:$C,'[1]tüm birimler'!$A10)</f>
        <v>15</v>
      </c>
      <c r="J10">
        <f>+SUMIFS([1]Sayfa2!O:O,[1]Sayfa2!$C:$C,'[1]tüm birimler'!$A10)</f>
        <v>15</v>
      </c>
      <c r="K10">
        <f>+SUMIFS([1]Sayfa2!P:P,[1]Sayfa2!$C:$C,'[1]tüm birimler'!$A10)</f>
        <v>15</v>
      </c>
      <c r="L10">
        <f>+SUMIFS([1]Sayfa2!Q:Q,[1]Sayfa2!$C:$C,'[1]tüm birimler'!$A10)</f>
        <v>15</v>
      </c>
      <c r="M10">
        <f>+SUMIFS([1]Sayfa2!R:R,[1]Sayfa2!$C:$C,'[1]tüm birimler'!$A10)</f>
        <v>0</v>
      </c>
      <c r="N10">
        <f>+SUMIFS([1]Sayfa2!S:S,[1]Sayfa2!$C:$C,'[1]tüm birimler'!$A10)</f>
        <v>15</v>
      </c>
      <c r="O10">
        <f>+SUMIFS([1]Sayfa2!T:T,[1]Sayfa2!$C:$C,'[1]tüm birimler'!$A10)</f>
        <v>15</v>
      </c>
      <c r="P10">
        <f>+SUMIFS([1]Sayfa2!U:U,[1]Sayfa2!$C:$C,'[1]tüm birimler'!$A10)</f>
        <v>15</v>
      </c>
      <c r="Q10">
        <f>+SUMIFS([1]Sayfa2!V:V,[1]Sayfa2!$C:$C,'[1]tüm birimler'!$A10)</f>
        <v>15</v>
      </c>
      <c r="R10">
        <f>+SUMIFS([1]Sayfa2!W:W,[1]Sayfa2!$C:$C,'[1]tüm birimler'!$A10)</f>
        <v>15</v>
      </c>
      <c r="S10">
        <f>+SUMIFS([1]Sayfa2!X:X,[1]Sayfa2!$C:$C,'[1]tüm birimler'!$A10)</f>
        <v>15</v>
      </c>
      <c r="T10">
        <f>+SUMIFS([1]Sayfa2!Y:Y,[1]Sayfa2!$C:$C,'[1]tüm birimler'!$A10)</f>
        <v>0</v>
      </c>
      <c r="U10">
        <f>+SUMIFS([1]Sayfa2!Z:Z,[1]Sayfa2!$C:$C,'[1]tüm birimler'!$A10)</f>
        <v>15</v>
      </c>
      <c r="V10">
        <f>+SUMIFS([1]Sayfa2!AA:AA,[1]Sayfa2!$C:$C,'[1]tüm birimler'!$A10)</f>
        <v>15</v>
      </c>
      <c r="W10">
        <f>+SUMIFS([1]Sayfa2!AB:AB,[1]Sayfa2!$C:$C,'[1]tüm birimler'!$A10)</f>
        <v>15</v>
      </c>
      <c r="X10">
        <f>+SUMIFS([1]Sayfa2!AC:AC,[1]Sayfa2!$C:$C,'[1]tüm birimler'!$A10)</f>
        <v>7.5</v>
      </c>
      <c r="Y10">
        <f>+SUMIFS([1]Sayfa2!AD:AD,[1]Sayfa2!$C:$C,'[1]tüm birimler'!$A10)</f>
        <v>15</v>
      </c>
      <c r="Z10">
        <f>+SUMIFS([1]Sayfa2!AE:AE,[1]Sayfa2!$C:$C,'[1]tüm birimler'!$A10)</f>
        <v>7.5</v>
      </c>
      <c r="AA10">
        <f>+SUMIFS([1]Sayfa2!AF:AF,[1]Sayfa2!$C:$C,'[1]tüm birimler'!$A10)</f>
        <v>0</v>
      </c>
      <c r="AB10">
        <f>+SUMIFS([1]Sayfa2!AG:AG,[1]Sayfa2!$C:$C,'[1]tüm birimler'!$A10)</f>
        <v>15</v>
      </c>
      <c r="AC10">
        <f>+SUMIFS([1]Sayfa2!AH:AH,[1]Sayfa2!$C:$C,'[1]tüm birimler'!$A10)</f>
        <v>15</v>
      </c>
      <c r="AD10">
        <f>+SUMIFS([1]Sayfa2!AI:AI,[1]Sayfa2!$C:$C,'[1]tüm birimler'!$A10)</f>
        <v>15</v>
      </c>
      <c r="AE10">
        <f>+SUMIFS([1]Sayfa2!AJ:AJ,[1]Sayfa2!$C:$C,'[1]tüm birimler'!$A10)</f>
        <v>15</v>
      </c>
      <c r="AF10">
        <f>+SUMIFS([1]Sayfa2!AK:AK,[1]Sayfa2!$C:$C,'[1]tüm birimler'!$A10)</f>
        <v>7.5</v>
      </c>
      <c r="AG10">
        <v>7.5</v>
      </c>
      <c r="AH10">
        <v>0</v>
      </c>
      <c r="AI10">
        <v>15</v>
      </c>
      <c r="AJ10">
        <v>15</v>
      </c>
      <c r="AK10">
        <v>7.5</v>
      </c>
      <c r="AL10">
        <v>15</v>
      </c>
      <c r="AM10">
        <v>15</v>
      </c>
      <c r="AN10">
        <v>15</v>
      </c>
      <c r="AO10">
        <v>0</v>
      </c>
      <c r="AP10">
        <v>15</v>
      </c>
      <c r="AQ10">
        <v>15</v>
      </c>
      <c r="AR10">
        <v>15</v>
      </c>
      <c r="AS10">
        <v>15</v>
      </c>
      <c r="AT10">
        <v>15</v>
      </c>
      <c r="AU10">
        <v>15</v>
      </c>
      <c r="AV10">
        <v>0</v>
      </c>
      <c r="AW10">
        <v>15</v>
      </c>
      <c r="AX10">
        <v>7.5</v>
      </c>
      <c r="AY10">
        <v>15</v>
      </c>
      <c r="AZ10">
        <v>15</v>
      </c>
      <c r="BA10">
        <v>15</v>
      </c>
      <c r="BB10">
        <v>7.5</v>
      </c>
      <c r="BC10">
        <v>0</v>
      </c>
      <c r="BD10">
        <v>15</v>
      </c>
      <c r="BE10">
        <v>15</v>
      </c>
      <c r="BF10">
        <v>13.416666666666668</v>
      </c>
      <c r="BG10">
        <v>15</v>
      </c>
      <c r="BH10">
        <v>15</v>
      </c>
      <c r="BI10">
        <v>15</v>
      </c>
      <c r="BJ10">
        <v>0</v>
      </c>
      <c r="BK10">
        <v>15</v>
      </c>
      <c r="BL10">
        <v>15</v>
      </c>
      <c r="BM10">
        <v>15</v>
      </c>
      <c r="BN10">
        <v>15</v>
      </c>
      <c r="BO10">
        <v>15</v>
      </c>
      <c r="BP10">
        <v>15</v>
      </c>
      <c r="BQ10">
        <v>0</v>
      </c>
      <c r="BR10">
        <v>15</v>
      </c>
      <c r="BS10">
        <v>15</v>
      </c>
      <c r="BT10">
        <v>15</v>
      </c>
      <c r="BU10">
        <v>15</v>
      </c>
      <c r="BV10">
        <v>15</v>
      </c>
      <c r="BW10">
        <v>15</v>
      </c>
      <c r="BX10">
        <v>0</v>
      </c>
      <c r="BY10">
        <v>15</v>
      </c>
      <c r="BZ10">
        <v>15</v>
      </c>
      <c r="CA10">
        <v>15</v>
      </c>
      <c r="CB10">
        <v>15</v>
      </c>
      <c r="CC10">
        <v>15</v>
      </c>
      <c r="CD10">
        <v>15</v>
      </c>
      <c r="CE10">
        <v>15</v>
      </c>
      <c r="CF10">
        <v>15</v>
      </c>
      <c r="CG10">
        <v>13.333333333333332</v>
      </c>
      <c r="CH10">
        <v>15</v>
      </c>
      <c r="CI10">
        <v>15</v>
      </c>
      <c r="CJ10">
        <v>15</v>
      </c>
      <c r="CK10">
        <v>4</v>
      </c>
      <c r="CL10">
        <v>0</v>
      </c>
      <c r="CM10">
        <v>0</v>
      </c>
      <c r="CN10">
        <v>0</v>
      </c>
      <c r="CO10">
        <v>15</v>
      </c>
      <c r="CP10">
        <v>15</v>
      </c>
      <c r="CQ10">
        <v>15</v>
      </c>
      <c r="CR10">
        <v>15</v>
      </c>
      <c r="CS10">
        <v>0</v>
      </c>
      <c r="CT10">
        <v>15</v>
      </c>
      <c r="CU10">
        <v>15</v>
      </c>
      <c r="CV10">
        <v>7.5</v>
      </c>
      <c r="CW10">
        <v>15</v>
      </c>
      <c r="CX10">
        <v>15</v>
      </c>
      <c r="CY10">
        <v>15</v>
      </c>
      <c r="CZ10">
        <v>0</v>
      </c>
      <c r="DA10">
        <v>15</v>
      </c>
      <c r="DB10">
        <v>15</v>
      </c>
      <c r="DC10">
        <v>15</v>
      </c>
      <c r="DD10">
        <v>12.166666666666668</v>
      </c>
      <c r="DE10">
        <v>15</v>
      </c>
      <c r="DF10">
        <v>15</v>
      </c>
      <c r="DG10">
        <v>0</v>
      </c>
      <c r="DH10">
        <v>15</v>
      </c>
      <c r="DI10">
        <v>15</v>
      </c>
      <c r="DJ10">
        <v>7.5</v>
      </c>
      <c r="DK10">
        <v>0</v>
      </c>
      <c r="DL10">
        <v>15</v>
      </c>
      <c r="DM10">
        <v>15</v>
      </c>
      <c r="DN10">
        <v>15</v>
      </c>
      <c r="DO10">
        <v>15</v>
      </c>
      <c r="DP10">
        <v>13.666666666666668</v>
      </c>
      <c r="DQ10">
        <v>15</v>
      </c>
      <c r="DR10">
        <v>0</v>
      </c>
      <c r="DS10">
        <v>15</v>
      </c>
      <c r="DT10">
        <v>15</v>
      </c>
      <c r="DU10">
        <v>0</v>
      </c>
      <c r="DV10">
        <v>15</v>
      </c>
      <c r="DW10">
        <v>15</v>
      </c>
      <c r="DX10">
        <v>15</v>
      </c>
      <c r="DY10">
        <v>15</v>
      </c>
      <c r="DZ10">
        <v>15</v>
      </c>
      <c r="EA10">
        <v>15</v>
      </c>
      <c r="EB10">
        <v>0</v>
      </c>
      <c r="EC10">
        <v>7.5</v>
      </c>
      <c r="ED10">
        <v>15</v>
      </c>
      <c r="EE10">
        <v>15</v>
      </c>
      <c r="EF10">
        <v>15</v>
      </c>
      <c r="EG10">
        <v>15</v>
      </c>
      <c r="EH10">
        <v>15</v>
      </c>
      <c r="EI10">
        <v>0</v>
      </c>
      <c r="EJ10">
        <v>15</v>
      </c>
      <c r="EK10">
        <v>15</v>
      </c>
      <c r="EL10">
        <v>15</v>
      </c>
      <c r="EM10">
        <v>15</v>
      </c>
      <c r="EN10">
        <v>15</v>
      </c>
      <c r="EO10">
        <v>15</v>
      </c>
      <c r="EP10">
        <v>0</v>
      </c>
      <c r="EQ10">
        <v>15</v>
      </c>
      <c r="ER10">
        <v>15</v>
      </c>
      <c r="ES10">
        <v>7.5</v>
      </c>
      <c r="ET10">
        <v>15</v>
      </c>
      <c r="EU10">
        <v>15</v>
      </c>
      <c r="EV10">
        <v>15</v>
      </c>
      <c r="EW10">
        <v>0</v>
      </c>
      <c r="EX10">
        <v>15</v>
      </c>
      <c r="EY10">
        <v>15</v>
      </c>
      <c r="EZ10">
        <v>15</v>
      </c>
      <c r="FA10">
        <v>4</v>
      </c>
      <c r="FB10">
        <v>0</v>
      </c>
      <c r="FC10">
        <v>0</v>
      </c>
      <c r="FD10">
        <v>0</v>
      </c>
      <c r="FE10">
        <v>0</v>
      </c>
      <c r="FF10">
        <v>15</v>
      </c>
      <c r="FG10">
        <v>15</v>
      </c>
      <c r="FH10">
        <v>15</v>
      </c>
      <c r="FI10">
        <v>15</v>
      </c>
      <c r="FJ10">
        <v>15</v>
      </c>
      <c r="FK10">
        <v>0</v>
      </c>
      <c r="FL10">
        <v>15</v>
      </c>
      <c r="FM10">
        <v>15</v>
      </c>
      <c r="FN10">
        <v>15</v>
      </c>
      <c r="FO10">
        <v>15</v>
      </c>
      <c r="FP10">
        <v>15</v>
      </c>
      <c r="FQ10">
        <v>15</v>
      </c>
      <c r="FR10">
        <v>0</v>
      </c>
      <c r="FS10">
        <v>15</v>
      </c>
      <c r="FT10">
        <v>15</v>
      </c>
      <c r="FU10">
        <v>15</v>
      </c>
      <c r="FV10">
        <v>15</v>
      </c>
      <c r="FW10">
        <v>15</v>
      </c>
      <c r="FX10">
        <v>15</v>
      </c>
      <c r="FY10">
        <v>0</v>
      </c>
      <c r="FZ10">
        <v>15</v>
      </c>
      <c r="GA10">
        <v>15</v>
      </c>
      <c r="GB10">
        <v>15</v>
      </c>
      <c r="GC10">
        <v>15</v>
      </c>
      <c r="GD10">
        <v>15</v>
      </c>
      <c r="GE10">
        <v>15</v>
      </c>
      <c r="GF10">
        <v>0</v>
      </c>
      <c r="GG10">
        <v>15</v>
      </c>
      <c r="GH10">
        <v>7.5</v>
      </c>
      <c r="GI10">
        <v>15</v>
      </c>
      <c r="GJ10">
        <v>15</v>
      </c>
      <c r="GK10">
        <v>15</v>
      </c>
      <c r="GL10">
        <v>15</v>
      </c>
      <c r="GM10">
        <v>0</v>
      </c>
      <c r="GN10">
        <v>15</v>
      </c>
      <c r="GO10">
        <v>0</v>
      </c>
      <c r="GP10">
        <v>15</v>
      </c>
      <c r="GQ10">
        <v>7.5</v>
      </c>
      <c r="GR10">
        <v>15</v>
      </c>
      <c r="GS10">
        <v>15</v>
      </c>
      <c r="GT10">
        <v>0</v>
      </c>
      <c r="GU10">
        <v>15</v>
      </c>
      <c r="GV10">
        <v>15</v>
      </c>
      <c r="GW10">
        <v>15</v>
      </c>
      <c r="GX10">
        <v>15</v>
      </c>
      <c r="GY10">
        <v>15</v>
      </c>
      <c r="GZ10">
        <v>15</v>
      </c>
      <c r="HA10">
        <v>0</v>
      </c>
      <c r="HB10">
        <v>15</v>
      </c>
      <c r="HC10">
        <v>15</v>
      </c>
      <c r="HD10">
        <v>15</v>
      </c>
      <c r="HE10">
        <v>15</v>
      </c>
      <c r="HF10">
        <v>15</v>
      </c>
      <c r="HG10">
        <v>15</v>
      </c>
      <c r="HH10">
        <v>0</v>
      </c>
      <c r="HI10">
        <v>15</v>
      </c>
      <c r="HJ10">
        <v>15</v>
      </c>
      <c r="HK10">
        <v>15</v>
      </c>
      <c r="HL10">
        <v>15</v>
      </c>
      <c r="HM10">
        <v>15</v>
      </c>
      <c r="HN10">
        <v>15</v>
      </c>
      <c r="HO10">
        <v>0</v>
      </c>
      <c r="HP10">
        <v>15</v>
      </c>
      <c r="HQ10">
        <v>15</v>
      </c>
      <c r="HR10">
        <v>15</v>
      </c>
      <c r="HS10">
        <v>15</v>
      </c>
      <c r="HT10">
        <v>15</v>
      </c>
      <c r="HU10">
        <v>15</v>
      </c>
      <c r="HV10">
        <v>0</v>
      </c>
      <c r="HW10">
        <v>7.5</v>
      </c>
      <c r="HX10">
        <v>7.5</v>
      </c>
      <c r="HY10">
        <v>7.5</v>
      </c>
      <c r="HZ10">
        <v>7.5</v>
      </c>
      <c r="IA10">
        <v>7.5</v>
      </c>
      <c r="IB10">
        <v>7.5</v>
      </c>
      <c r="IC10">
        <v>0</v>
      </c>
      <c r="ID10">
        <v>15</v>
      </c>
      <c r="IE10">
        <v>15</v>
      </c>
      <c r="IF10">
        <v>15</v>
      </c>
      <c r="IG10">
        <v>15</v>
      </c>
      <c r="IH10">
        <v>15</v>
      </c>
      <c r="II10">
        <v>15</v>
      </c>
      <c r="IJ10">
        <v>0</v>
      </c>
      <c r="IK10">
        <v>15</v>
      </c>
      <c r="IL10">
        <v>15</v>
      </c>
      <c r="IM10">
        <v>7.5</v>
      </c>
      <c r="IN10">
        <v>15</v>
      </c>
      <c r="IO10">
        <v>0</v>
      </c>
      <c r="IP10">
        <v>15</v>
      </c>
      <c r="IQ10">
        <v>15</v>
      </c>
      <c r="IR10">
        <v>15</v>
      </c>
      <c r="IS10">
        <v>15</v>
      </c>
      <c r="IT10">
        <v>15</v>
      </c>
      <c r="IU10">
        <v>15</v>
      </c>
      <c r="IV10">
        <v>0</v>
      </c>
      <c r="IW10">
        <v>15</v>
      </c>
      <c r="IX10">
        <v>15</v>
      </c>
      <c r="IY10">
        <v>15</v>
      </c>
      <c r="IZ10">
        <v>15</v>
      </c>
      <c r="JA10">
        <v>15</v>
      </c>
      <c r="JB10">
        <v>15</v>
      </c>
      <c r="JC10">
        <v>0</v>
      </c>
      <c r="JD10">
        <v>15</v>
      </c>
      <c r="JE10">
        <v>15</v>
      </c>
      <c r="JF10">
        <v>15</v>
      </c>
      <c r="JG10">
        <v>15</v>
      </c>
      <c r="JH10">
        <v>15</v>
      </c>
      <c r="JI10">
        <v>15</v>
      </c>
      <c r="JJ10">
        <v>0</v>
      </c>
      <c r="JK10">
        <v>15</v>
      </c>
      <c r="JL10">
        <v>15</v>
      </c>
      <c r="JM10">
        <v>15</v>
      </c>
      <c r="JN10">
        <v>15</v>
      </c>
      <c r="JO10">
        <v>15</v>
      </c>
      <c r="JP10">
        <v>15</v>
      </c>
      <c r="JQ10">
        <v>0</v>
      </c>
      <c r="JR10">
        <v>15</v>
      </c>
      <c r="JS10">
        <v>15</v>
      </c>
      <c r="JT10">
        <v>15</v>
      </c>
      <c r="JU10">
        <v>15</v>
      </c>
      <c r="JV10">
        <v>15</v>
      </c>
      <c r="JW10">
        <v>15</v>
      </c>
      <c r="JX10">
        <v>0</v>
      </c>
      <c r="JY10">
        <v>14</v>
      </c>
      <c r="JZ10">
        <v>15</v>
      </c>
      <c r="KA10">
        <v>15</v>
      </c>
      <c r="KB10">
        <v>15</v>
      </c>
      <c r="KC10">
        <v>15</v>
      </c>
      <c r="KD10">
        <v>15</v>
      </c>
      <c r="KE10">
        <v>0</v>
      </c>
      <c r="KF10">
        <v>15</v>
      </c>
      <c r="KG10">
        <v>15</v>
      </c>
      <c r="KH10">
        <v>15</v>
      </c>
      <c r="KI10">
        <v>15</v>
      </c>
      <c r="KJ10">
        <v>15</v>
      </c>
      <c r="KK10">
        <v>15</v>
      </c>
      <c r="KL10">
        <v>0</v>
      </c>
      <c r="KM10">
        <v>15</v>
      </c>
      <c r="KN10">
        <v>15</v>
      </c>
      <c r="KO10">
        <v>15</v>
      </c>
      <c r="KP10">
        <v>15</v>
      </c>
      <c r="KQ10">
        <v>15</v>
      </c>
      <c r="KR10">
        <v>14.5</v>
      </c>
      <c r="KS10">
        <v>0</v>
      </c>
      <c r="KT10">
        <v>7.5</v>
      </c>
      <c r="KU10">
        <v>15</v>
      </c>
      <c r="KV10">
        <v>15</v>
      </c>
      <c r="KW10">
        <v>15</v>
      </c>
      <c r="KX10">
        <v>15</v>
      </c>
      <c r="KY10">
        <v>15</v>
      </c>
      <c r="KZ10">
        <v>0</v>
      </c>
      <c r="LA10">
        <v>15</v>
      </c>
      <c r="LB10">
        <v>15</v>
      </c>
      <c r="LC10">
        <v>15</v>
      </c>
      <c r="LD10">
        <v>15</v>
      </c>
      <c r="LE10">
        <v>15</v>
      </c>
      <c r="LF10">
        <v>7.5</v>
      </c>
      <c r="LG10">
        <v>0</v>
      </c>
      <c r="LH10">
        <v>15</v>
      </c>
      <c r="LI10">
        <v>15</v>
      </c>
      <c r="LJ10">
        <v>15</v>
      </c>
      <c r="LK10">
        <v>15</v>
      </c>
      <c r="LL10">
        <v>15</v>
      </c>
      <c r="LM10">
        <v>15</v>
      </c>
      <c r="LN10">
        <v>0</v>
      </c>
      <c r="LO10">
        <v>17.5</v>
      </c>
      <c r="LP10">
        <v>15</v>
      </c>
      <c r="LQ10">
        <v>15</v>
      </c>
      <c r="LR10">
        <v>15</v>
      </c>
      <c r="LS10">
        <v>15</v>
      </c>
      <c r="LT10">
        <v>15</v>
      </c>
      <c r="LU10">
        <v>0</v>
      </c>
      <c r="LV10">
        <v>15</v>
      </c>
      <c r="LW10">
        <v>15</v>
      </c>
      <c r="LX10">
        <v>7.5</v>
      </c>
    </row>
    <row r="14" spans="1:336">
      <c r="A14" t="s">
        <v>2227</v>
      </c>
      <c r="B14">
        <v>0</v>
      </c>
      <c r="C14">
        <v>22.5</v>
      </c>
      <c r="D14">
        <v>22.5</v>
      </c>
      <c r="E14">
        <v>22.5</v>
      </c>
      <c r="F14">
        <v>0</v>
      </c>
      <c r="G14">
        <v>15</v>
      </c>
      <c r="H14">
        <v>22.5</v>
      </c>
      <c r="I14">
        <v>22.5</v>
      </c>
      <c r="J14">
        <v>22.5</v>
      </c>
      <c r="K14">
        <v>22.5</v>
      </c>
      <c r="L14">
        <v>22.5</v>
      </c>
      <c r="M14">
        <v>0</v>
      </c>
      <c r="N14">
        <v>15</v>
      </c>
      <c r="O14">
        <v>15</v>
      </c>
      <c r="P14">
        <v>22.5</v>
      </c>
      <c r="Q14">
        <v>22.5</v>
      </c>
      <c r="R14">
        <v>15</v>
      </c>
      <c r="S14">
        <v>15</v>
      </c>
      <c r="T14">
        <v>0</v>
      </c>
      <c r="U14">
        <v>22.5</v>
      </c>
      <c r="V14">
        <v>22.5</v>
      </c>
      <c r="W14">
        <v>22.5</v>
      </c>
      <c r="X14">
        <v>22.5</v>
      </c>
      <c r="Y14">
        <v>21.916666666666668</v>
      </c>
      <c r="Z14">
        <v>22.5</v>
      </c>
      <c r="AA14">
        <v>0</v>
      </c>
      <c r="AB14">
        <v>22.5</v>
      </c>
      <c r="AC14">
        <v>22.5</v>
      </c>
      <c r="AD14">
        <v>22.5</v>
      </c>
      <c r="AE14">
        <v>21.166666666666668</v>
      </c>
      <c r="AF14">
        <v>22.5</v>
      </c>
      <c r="AG14">
        <v>22.5</v>
      </c>
      <c r="AH14">
        <v>0</v>
      </c>
      <c r="AI14">
        <v>22.5</v>
      </c>
      <c r="AJ14">
        <v>22.5</v>
      </c>
      <c r="AK14">
        <v>22.5</v>
      </c>
      <c r="AL14">
        <v>22.5</v>
      </c>
      <c r="AM14">
        <v>15</v>
      </c>
      <c r="AN14">
        <v>22.5</v>
      </c>
      <c r="AO14">
        <v>0</v>
      </c>
      <c r="AP14">
        <v>22.5</v>
      </c>
      <c r="AQ14">
        <v>22.5</v>
      </c>
      <c r="AR14">
        <v>15</v>
      </c>
      <c r="AS14">
        <v>22.5</v>
      </c>
      <c r="AT14">
        <v>22.5</v>
      </c>
      <c r="AU14">
        <v>15</v>
      </c>
      <c r="AV14">
        <v>0</v>
      </c>
      <c r="AW14">
        <v>22.5</v>
      </c>
      <c r="AX14">
        <v>22.5</v>
      </c>
      <c r="AY14">
        <v>22.5</v>
      </c>
      <c r="AZ14">
        <v>22.5</v>
      </c>
      <c r="BA14">
        <v>22.5</v>
      </c>
      <c r="BB14">
        <v>15</v>
      </c>
      <c r="BC14">
        <v>0</v>
      </c>
      <c r="BD14">
        <v>22.5</v>
      </c>
      <c r="BE14">
        <v>21.75</v>
      </c>
      <c r="BF14">
        <v>22.5</v>
      </c>
      <c r="BG14">
        <v>21.833333333333332</v>
      </c>
      <c r="BH14">
        <v>22.5</v>
      </c>
      <c r="BI14">
        <v>22.5</v>
      </c>
      <c r="BJ14">
        <v>0</v>
      </c>
      <c r="BK14">
        <v>15</v>
      </c>
      <c r="BL14">
        <v>15</v>
      </c>
      <c r="BM14">
        <v>22.5</v>
      </c>
      <c r="BN14">
        <v>22.5</v>
      </c>
      <c r="BO14">
        <v>22.5</v>
      </c>
      <c r="BP14">
        <v>22.5</v>
      </c>
      <c r="BQ14">
        <v>0</v>
      </c>
      <c r="BR14">
        <v>22.5</v>
      </c>
      <c r="BS14">
        <v>22.5</v>
      </c>
      <c r="BT14">
        <v>22.5</v>
      </c>
      <c r="BU14">
        <v>22.5</v>
      </c>
      <c r="BV14">
        <v>22.5</v>
      </c>
      <c r="BW14">
        <v>22.5</v>
      </c>
      <c r="BX14">
        <v>0</v>
      </c>
      <c r="BY14">
        <v>22.5</v>
      </c>
      <c r="BZ14">
        <v>23.75</v>
      </c>
      <c r="CA14">
        <v>22.5</v>
      </c>
      <c r="CB14">
        <v>22.5</v>
      </c>
      <c r="CC14">
        <v>22.5</v>
      </c>
      <c r="CD14">
        <v>22.5</v>
      </c>
      <c r="CE14">
        <v>22.5</v>
      </c>
      <c r="CF14">
        <v>22.5</v>
      </c>
      <c r="CG14">
        <v>22.5</v>
      </c>
      <c r="CH14">
        <v>22.5</v>
      </c>
      <c r="CI14">
        <v>22.5</v>
      </c>
      <c r="CJ14">
        <v>22.5</v>
      </c>
      <c r="CK14">
        <v>8</v>
      </c>
      <c r="CL14">
        <v>0</v>
      </c>
      <c r="CM14">
        <v>0</v>
      </c>
      <c r="CN14">
        <v>0</v>
      </c>
      <c r="CO14">
        <v>22.5</v>
      </c>
      <c r="CP14">
        <v>22.5</v>
      </c>
      <c r="CQ14">
        <v>15</v>
      </c>
      <c r="CR14">
        <v>15</v>
      </c>
      <c r="CS14">
        <v>0</v>
      </c>
      <c r="CT14">
        <v>20.25</v>
      </c>
      <c r="CU14">
        <v>21.75</v>
      </c>
      <c r="CV14">
        <v>22.5</v>
      </c>
      <c r="CW14">
        <v>22.5</v>
      </c>
      <c r="CX14">
        <v>15</v>
      </c>
      <c r="CY14">
        <v>22</v>
      </c>
      <c r="CZ14">
        <v>0</v>
      </c>
      <c r="DA14">
        <v>22.5</v>
      </c>
      <c r="DB14">
        <v>22.5</v>
      </c>
      <c r="DC14">
        <v>22.5</v>
      </c>
      <c r="DD14">
        <v>22.5</v>
      </c>
      <c r="DE14">
        <v>22.5</v>
      </c>
      <c r="DF14">
        <v>22.5</v>
      </c>
      <c r="DG14">
        <v>0</v>
      </c>
      <c r="DH14">
        <v>22.5</v>
      </c>
      <c r="DI14">
        <v>22.5</v>
      </c>
      <c r="DJ14">
        <v>7.5</v>
      </c>
      <c r="DK14">
        <v>0</v>
      </c>
      <c r="DL14">
        <v>15</v>
      </c>
      <c r="DM14">
        <v>15</v>
      </c>
      <c r="DN14">
        <v>7.5</v>
      </c>
      <c r="DO14">
        <v>15</v>
      </c>
      <c r="DP14">
        <v>15</v>
      </c>
      <c r="DQ14">
        <v>15</v>
      </c>
      <c r="DR14">
        <v>0</v>
      </c>
      <c r="DS14">
        <v>22.5</v>
      </c>
      <c r="DT14">
        <v>22.083333333333336</v>
      </c>
      <c r="DU14">
        <v>0</v>
      </c>
      <c r="DV14">
        <v>12.5</v>
      </c>
      <c r="DW14">
        <v>22.5</v>
      </c>
      <c r="DX14">
        <v>22.5</v>
      </c>
      <c r="DY14">
        <v>15</v>
      </c>
      <c r="DZ14">
        <v>22.5</v>
      </c>
      <c r="EA14">
        <v>15</v>
      </c>
      <c r="EB14">
        <v>0</v>
      </c>
      <c r="EC14">
        <v>22.5</v>
      </c>
      <c r="ED14">
        <v>22.5</v>
      </c>
      <c r="EE14">
        <v>22.5</v>
      </c>
      <c r="EF14">
        <v>22.5</v>
      </c>
      <c r="EG14">
        <v>22.5</v>
      </c>
      <c r="EH14">
        <v>19.333333333333332</v>
      </c>
      <c r="EI14">
        <v>0</v>
      </c>
      <c r="EJ14">
        <v>22.5</v>
      </c>
      <c r="EK14">
        <v>22.5</v>
      </c>
      <c r="EL14">
        <v>22.5</v>
      </c>
      <c r="EM14">
        <v>22.5</v>
      </c>
      <c r="EN14">
        <v>22.5</v>
      </c>
      <c r="EO14">
        <v>22.5</v>
      </c>
      <c r="EP14">
        <v>0</v>
      </c>
      <c r="EQ14">
        <v>22.5</v>
      </c>
      <c r="ER14">
        <v>22.5</v>
      </c>
      <c r="ES14">
        <v>22.5</v>
      </c>
      <c r="ET14">
        <v>22.5</v>
      </c>
      <c r="EU14">
        <v>22.5</v>
      </c>
      <c r="EV14">
        <v>22.5</v>
      </c>
      <c r="EW14">
        <v>15</v>
      </c>
      <c r="EX14">
        <v>22.5</v>
      </c>
      <c r="EY14">
        <v>22.5</v>
      </c>
      <c r="EZ14">
        <v>22.5</v>
      </c>
      <c r="FA14">
        <v>8</v>
      </c>
      <c r="FB14">
        <v>0</v>
      </c>
      <c r="FC14">
        <v>0</v>
      </c>
      <c r="FD14">
        <v>0</v>
      </c>
      <c r="FE14">
        <v>0</v>
      </c>
      <c r="FF14">
        <v>22.5</v>
      </c>
      <c r="FG14">
        <v>22.5</v>
      </c>
      <c r="FH14">
        <v>22.5</v>
      </c>
      <c r="FI14">
        <v>15</v>
      </c>
      <c r="FJ14">
        <v>22.5</v>
      </c>
      <c r="FK14">
        <v>15</v>
      </c>
      <c r="FL14">
        <v>22.5</v>
      </c>
      <c r="FM14">
        <v>15</v>
      </c>
      <c r="FN14">
        <v>20.166666666666668</v>
      </c>
      <c r="FO14">
        <v>22.5</v>
      </c>
      <c r="FP14">
        <v>22.5</v>
      </c>
      <c r="FQ14">
        <v>15</v>
      </c>
      <c r="FR14">
        <v>0</v>
      </c>
      <c r="FS14">
        <v>22.5</v>
      </c>
      <c r="FT14">
        <v>11.916666666666668</v>
      </c>
      <c r="FU14">
        <v>15</v>
      </c>
      <c r="FV14">
        <v>15</v>
      </c>
      <c r="FW14">
        <v>15</v>
      </c>
      <c r="FX14">
        <v>15</v>
      </c>
      <c r="FY14">
        <v>0</v>
      </c>
      <c r="FZ14">
        <v>15</v>
      </c>
      <c r="GA14">
        <v>15</v>
      </c>
      <c r="GB14">
        <v>15</v>
      </c>
      <c r="GC14">
        <v>15</v>
      </c>
      <c r="GD14">
        <v>15</v>
      </c>
      <c r="GE14">
        <v>15</v>
      </c>
      <c r="GF14">
        <v>0</v>
      </c>
      <c r="GG14">
        <v>22.5</v>
      </c>
      <c r="GH14">
        <v>22.5</v>
      </c>
      <c r="GI14">
        <v>22.5</v>
      </c>
      <c r="GJ14">
        <v>22.5</v>
      </c>
      <c r="GK14">
        <v>22.5</v>
      </c>
      <c r="GL14">
        <v>22.5</v>
      </c>
      <c r="GM14">
        <v>0</v>
      </c>
      <c r="GN14">
        <v>22.5</v>
      </c>
      <c r="GO14">
        <v>0</v>
      </c>
      <c r="GP14">
        <v>22.5</v>
      </c>
      <c r="GQ14">
        <v>22.5</v>
      </c>
      <c r="GR14">
        <v>22.5</v>
      </c>
      <c r="GS14">
        <v>22.5</v>
      </c>
      <c r="GT14">
        <v>14.583333333333334</v>
      </c>
      <c r="GU14">
        <v>22.5</v>
      </c>
      <c r="GV14">
        <v>22.5</v>
      </c>
      <c r="GW14">
        <v>22.5</v>
      </c>
      <c r="GX14">
        <v>22</v>
      </c>
      <c r="GY14">
        <v>22.5</v>
      </c>
      <c r="GZ14">
        <v>22.5</v>
      </c>
      <c r="HA14">
        <v>0</v>
      </c>
      <c r="HB14">
        <v>22.5</v>
      </c>
      <c r="HC14">
        <v>22.5</v>
      </c>
      <c r="HD14">
        <v>22.5</v>
      </c>
      <c r="HE14">
        <v>22.5</v>
      </c>
      <c r="HF14">
        <v>15</v>
      </c>
      <c r="HG14">
        <v>15</v>
      </c>
      <c r="HH14">
        <v>0</v>
      </c>
      <c r="HI14">
        <v>22</v>
      </c>
      <c r="HJ14">
        <v>22.5</v>
      </c>
      <c r="HK14">
        <v>22.5</v>
      </c>
      <c r="HL14">
        <v>22.5</v>
      </c>
      <c r="HM14">
        <v>22.5</v>
      </c>
      <c r="HN14">
        <v>22.5</v>
      </c>
      <c r="HO14">
        <v>0</v>
      </c>
      <c r="HP14">
        <v>15</v>
      </c>
      <c r="HQ14">
        <v>15</v>
      </c>
      <c r="HR14">
        <v>15</v>
      </c>
      <c r="HS14">
        <v>15</v>
      </c>
      <c r="HT14">
        <v>15</v>
      </c>
      <c r="HU14">
        <v>15</v>
      </c>
      <c r="HV14">
        <v>0</v>
      </c>
      <c r="HW14">
        <v>22.5</v>
      </c>
      <c r="HX14">
        <v>22.5</v>
      </c>
      <c r="HY14">
        <v>22.5</v>
      </c>
      <c r="HZ14">
        <v>15</v>
      </c>
      <c r="IA14">
        <v>22.5</v>
      </c>
      <c r="IB14">
        <v>22.5</v>
      </c>
      <c r="IC14">
        <v>15</v>
      </c>
      <c r="ID14">
        <v>22.5</v>
      </c>
      <c r="IE14">
        <v>22.5</v>
      </c>
      <c r="IF14">
        <v>22.5</v>
      </c>
      <c r="IG14">
        <v>22.5</v>
      </c>
      <c r="IH14">
        <v>22.5</v>
      </c>
      <c r="II14">
        <v>22.5</v>
      </c>
      <c r="IJ14">
        <v>0</v>
      </c>
      <c r="IK14">
        <v>22.5</v>
      </c>
      <c r="IL14">
        <v>22.5</v>
      </c>
      <c r="IM14">
        <v>15</v>
      </c>
      <c r="IN14">
        <v>22.5</v>
      </c>
      <c r="IO14">
        <v>0</v>
      </c>
      <c r="IP14">
        <v>22.5</v>
      </c>
      <c r="IQ14">
        <v>22.5</v>
      </c>
      <c r="IR14">
        <v>22.5</v>
      </c>
      <c r="IS14">
        <v>15</v>
      </c>
      <c r="IT14">
        <v>22.5</v>
      </c>
      <c r="IU14">
        <v>22.5</v>
      </c>
      <c r="IV14">
        <v>0</v>
      </c>
      <c r="IW14">
        <v>22.5</v>
      </c>
      <c r="IX14">
        <v>22.5</v>
      </c>
      <c r="IY14">
        <v>22.5</v>
      </c>
      <c r="IZ14">
        <v>22.5</v>
      </c>
      <c r="JA14">
        <v>22.5</v>
      </c>
      <c r="JB14">
        <v>22.5</v>
      </c>
      <c r="JC14">
        <v>22.5</v>
      </c>
      <c r="JD14">
        <v>22.5</v>
      </c>
      <c r="JE14">
        <v>22.5</v>
      </c>
      <c r="JF14">
        <v>22.5</v>
      </c>
      <c r="JG14">
        <v>22.5</v>
      </c>
      <c r="JH14">
        <v>22.5</v>
      </c>
      <c r="JI14">
        <v>22.5</v>
      </c>
      <c r="JJ14">
        <v>0</v>
      </c>
      <c r="JK14">
        <v>22.5</v>
      </c>
      <c r="JL14">
        <v>22.5</v>
      </c>
      <c r="JM14">
        <v>22.5</v>
      </c>
      <c r="JN14">
        <v>22.5</v>
      </c>
      <c r="JO14">
        <v>22.5</v>
      </c>
      <c r="JP14">
        <v>22.5</v>
      </c>
      <c r="JQ14">
        <v>0</v>
      </c>
      <c r="JR14">
        <v>22.5</v>
      </c>
      <c r="JS14">
        <v>22.5</v>
      </c>
      <c r="JT14">
        <v>22</v>
      </c>
      <c r="JU14">
        <v>22.5</v>
      </c>
      <c r="JV14">
        <v>22.5</v>
      </c>
      <c r="JW14">
        <v>22.5</v>
      </c>
      <c r="JX14">
        <v>0</v>
      </c>
      <c r="JY14">
        <v>22.5</v>
      </c>
      <c r="JZ14">
        <v>22.5</v>
      </c>
      <c r="KA14">
        <v>22.5</v>
      </c>
      <c r="KB14">
        <v>22.5</v>
      </c>
      <c r="KC14">
        <v>22.5</v>
      </c>
      <c r="KD14">
        <v>22.5</v>
      </c>
      <c r="KE14">
        <v>0</v>
      </c>
      <c r="KF14">
        <v>22.5</v>
      </c>
      <c r="KG14">
        <v>22.5</v>
      </c>
      <c r="KH14">
        <v>22.5</v>
      </c>
      <c r="KI14">
        <v>22.5</v>
      </c>
      <c r="KJ14">
        <v>22.5</v>
      </c>
      <c r="KK14">
        <v>22.5</v>
      </c>
      <c r="KL14">
        <v>0</v>
      </c>
      <c r="KM14">
        <v>22.5</v>
      </c>
      <c r="KN14">
        <v>22.5</v>
      </c>
      <c r="KO14">
        <v>22.5</v>
      </c>
      <c r="KP14">
        <v>22.5</v>
      </c>
      <c r="KQ14">
        <v>15</v>
      </c>
      <c r="KR14">
        <v>15</v>
      </c>
      <c r="KS14">
        <v>0</v>
      </c>
      <c r="KT14">
        <v>22.5</v>
      </c>
      <c r="KU14">
        <v>22.5</v>
      </c>
      <c r="KV14">
        <v>15</v>
      </c>
      <c r="KW14">
        <v>22.5</v>
      </c>
      <c r="KX14">
        <v>22.5</v>
      </c>
      <c r="KY14">
        <v>22.5</v>
      </c>
      <c r="KZ14">
        <v>0</v>
      </c>
      <c r="LA14">
        <v>22.5</v>
      </c>
      <c r="LB14">
        <v>22.5</v>
      </c>
      <c r="LC14">
        <v>22.5</v>
      </c>
      <c r="LD14">
        <v>22.5</v>
      </c>
      <c r="LE14">
        <v>22.5</v>
      </c>
      <c r="LF14">
        <v>22.5</v>
      </c>
      <c r="LG14">
        <v>0</v>
      </c>
      <c r="LH14">
        <v>22.5</v>
      </c>
      <c r="LI14">
        <v>22.5</v>
      </c>
      <c r="LJ14">
        <v>18</v>
      </c>
      <c r="LK14">
        <v>18</v>
      </c>
      <c r="LL14">
        <v>18</v>
      </c>
      <c r="LM14">
        <v>15</v>
      </c>
      <c r="LN14">
        <v>22.5</v>
      </c>
      <c r="LO14">
        <v>25.5</v>
      </c>
      <c r="LP14">
        <v>25.5</v>
      </c>
      <c r="LQ14">
        <v>19.5</v>
      </c>
      <c r="LR14">
        <v>25.5</v>
      </c>
      <c r="LS14">
        <v>26.5</v>
      </c>
      <c r="LT14">
        <v>22.5</v>
      </c>
      <c r="LU14">
        <v>0</v>
      </c>
      <c r="LV14">
        <v>22.5</v>
      </c>
      <c r="LW14">
        <v>22.5</v>
      </c>
      <c r="LX14">
        <v>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6305F-B8E2-4AD6-B3D6-51954ECE9D33}">
  <dimension ref="A1:NC30"/>
  <sheetViews>
    <sheetView showGridLines="0" topLeftCell="JL1" workbookViewId="0">
      <selection activeCell="JT12" sqref="JT12:JT17"/>
    </sheetView>
  </sheetViews>
  <sheetFormatPr defaultColWidth="8.88671875" defaultRowHeight="14.4"/>
  <cols>
    <col min="1" max="1" width="11.44140625" style="32" bestFit="1" customWidth="1"/>
    <col min="2" max="2" width="22.44140625" style="32" bestFit="1" customWidth="1"/>
    <col min="3" max="3" width="11.5546875" style="32" customWidth="1"/>
    <col min="4" max="4" width="11.44140625" style="32" customWidth="1"/>
    <col min="5" max="5" width="12.44140625" style="32" customWidth="1"/>
    <col min="6" max="6" width="12.109375" style="32" customWidth="1"/>
    <col min="7" max="7" width="11.5546875" style="32" customWidth="1"/>
    <col min="8" max="8" width="11.33203125" style="32" customWidth="1"/>
    <col min="9" max="9" width="11.109375" style="32" customWidth="1"/>
    <col min="10" max="10" width="11.5546875" style="32" customWidth="1"/>
    <col min="11" max="11" width="11.44140625" style="32" customWidth="1"/>
    <col min="12" max="12" width="12.44140625" style="32" customWidth="1"/>
    <col min="13" max="13" width="12.109375" style="32" customWidth="1"/>
    <col min="14" max="14" width="11.5546875" style="32" customWidth="1"/>
    <col min="15" max="15" width="11.109375" style="32" customWidth="1"/>
    <col min="16" max="16" width="11" style="32" customWidth="1"/>
    <col min="17" max="17" width="11.44140625" style="32" customWidth="1"/>
    <col min="18" max="18" width="11.33203125" style="32" customWidth="1"/>
    <col min="19" max="19" width="12.33203125" style="32" customWidth="1"/>
    <col min="20" max="20" width="12" style="32" customWidth="1"/>
    <col min="21" max="21" width="11.44140625" style="32" customWidth="1"/>
    <col min="22" max="22" width="11.109375" style="32" customWidth="1"/>
    <col min="23" max="23" width="11" style="32" customWidth="1"/>
    <col min="24" max="24" width="11.44140625" style="32" customWidth="1"/>
    <col min="25" max="25" width="11.33203125" style="32" customWidth="1"/>
    <col min="26" max="26" width="12.33203125" style="32" customWidth="1"/>
    <col min="27" max="27" width="12" style="32" customWidth="1"/>
    <col min="28" max="28" width="11.44140625" style="32" customWidth="1"/>
    <col min="29" max="29" width="11.109375" style="32" customWidth="1"/>
    <col min="30" max="30" width="11" style="32" customWidth="1"/>
    <col min="31" max="31" width="11.44140625" style="32" customWidth="1"/>
    <col min="32" max="32" width="11.33203125" style="32" customWidth="1"/>
    <col min="33" max="33" width="12.33203125" style="32" customWidth="1"/>
    <col min="34" max="34" width="12" style="32" customWidth="1"/>
    <col min="35" max="35" width="11.44140625" style="32" customWidth="1"/>
    <col min="36" max="36" width="11.109375" style="32" customWidth="1"/>
    <col min="37" max="37" width="11" style="32" customWidth="1"/>
    <col min="38" max="38" width="11.44140625" style="32" customWidth="1"/>
    <col min="39" max="39" width="11.33203125" style="32" customWidth="1"/>
    <col min="40" max="40" width="12.33203125" style="32" customWidth="1"/>
    <col min="41" max="41" width="12" style="32" customWidth="1"/>
    <col min="42" max="42" width="11.44140625" style="32" customWidth="1"/>
    <col min="43" max="43" width="11.33203125" style="7" customWidth="1"/>
    <col min="44" max="44" width="11.109375" style="7" customWidth="1"/>
    <col min="45" max="45" width="11.5546875" style="7" customWidth="1"/>
    <col min="46" max="46" width="11.44140625" style="7" customWidth="1"/>
    <col min="47" max="47" width="12.44140625" style="7" customWidth="1"/>
    <col min="48" max="48" width="12.109375" style="7" customWidth="1"/>
    <col min="49" max="49" width="11.5546875" style="7" customWidth="1"/>
    <col min="50" max="51" width="11.44140625" style="7" customWidth="1"/>
    <col min="52" max="52" width="11.6640625" style="7" customWidth="1"/>
    <col min="53" max="53" width="11.44140625" style="7" customWidth="1"/>
    <col min="54" max="54" width="12.44140625" style="7" customWidth="1"/>
    <col min="55" max="55" width="12.109375" style="7" customWidth="1"/>
    <col min="56" max="56" width="11.5546875" style="7" customWidth="1"/>
    <col min="57" max="57" width="11.21875" style="7" customWidth="1"/>
    <col min="58" max="58" width="11.109375" style="7" customWidth="1"/>
    <col min="59" max="59" width="11.5546875" style="7" customWidth="1"/>
    <col min="60" max="60" width="11.44140625" style="7" customWidth="1"/>
    <col min="61" max="61" width="12.44140625" style="7" customWidth="1"/>
    <col min="62" max="62" width="12.109375" style="7" customWidth="1"/>
    <col min="63" max="63" width="11.5546875" style="7" customWidth="1"/>
    <col min="64" max="64" width="12.21875" style="7" customWidth="1"/>
    <col min="65" max="65" width="12.109375" style="7" customWidth="1"/>
    <col min="66" max="66" width="12.5546875" style="7" customWidth="1"/>
    <col min="67" max="67" width="12.44140625" style="7" customWidth="1"/>
    <col min="68" max="68" width="13.5546875" style="7" customWidth="1"/>
    <col min="69" max="69" width="13.21875" style="7" customWidth="1"/>
    <col min="70" max="70" width="12.5546875" style="7" customWidth="1"/>
    <col min="71" max="71" width="12.21875" style="7" customWidth="1"/>
    <col min="72" max="72" width="12.109375" style="7" customWidth="1"/>
    <col min="73" max="73" width="12.5546875" style="7" customWidth="1"/>
    <col min="74" max="74" width="12.44140625" style="7" customWidth="1"/>
    <col min="75" max="75" width="13.5546875" style="7" customWidth="1"/>
    <col min="76" max="76" width="13.21875" style="7" customWidth="1"/>
    <col min="77" max="77" width="12.5546875" style="7" customWidth="1"/>
    <col min="78" max="78" width="12.21875" style="7" customWidth="1"/>
    <col min="79" max="79" width="12.109375" style="7" customWidth="1"/>
    <col min="80" max="80" width="12.5546875" style="7" customWidth="1"/>
    <col min="81" max="81" width="12.44140625" style="7" customWidth="1"/>
    <col min="82" max="82" width="13.5546875" style="7" customWidth="1"/>
    <col min="83" max="83" width="13.21875" style="7" customWidth="1"/>
    <col min="84" max="84" width="12.5546875" style="7" customWidth="1"/>
    <col min="85" max="85" width="12.21875" style="7" customWidth="1"/>
    <col min="86" max="86" width="12.109375" style="7" customWidth="1"/>
    <col min="87" max="87" width="12.5546875" style="7" customWidth="1"/>
    <col min="88" max="88" width="12.44140625" style="7" customWidth="1"/>
    <col min="89" max="89" width="13.5546875" style="7" customWidth="1"/>
    <col min="90" max="90" width="13.21875" style="7" customWidth="1"/>
    <col min="91" max="91" width="12.5546875" style="7" customWidth="1"/>
    <col min="92" max="92" width="12.21875" style="7" customWidth="1"/>
    <col min="93" max="93" width="12.109375" style="7" customWidth="1"/>
    <col min="94" max="94" width="12.5546875" style="7" customWidth="1"/>
    <col min="95" max="95" width="12.44140625" style="7" customWidth="1"/>
    <col min="96" max="96" width="13.5546875" style="7" customWidth="1"/>
    <col min="97" max="97" width="13.21875" style="7" customWidth="1"/>
    <col min="98" max="98" width="12.5546875" style="7" customWidth="1"/>
    <col min="99" max="99" width="12.21875" style="7" customWidth="1"/>
    <col min="100" max="100" width="12.109375" style="7" customWidth="1"/>
    <col min="101" max="101" width="12.5546875" style="7" customWidth="1"/>
    <col min="102" max="102" width="12.44140625" style="7" customWidth="1"/>
    <col min="103" max="103" width="13.5546875" style="7" customWidth="1"/>
    <col min="104" max="104" width="13.21875" style="7" customWidth="1"/>
    <col min="105" max="105" width="12.5546875" style="7" customWidth="1"/>
    <col min="106" max="106" width="12.21875" style="7" customWidth="1"/>
    <col min="107" max="107" width="12.109375" style="7" customWidth="1"/>
    <col min="108" max="108" width="12.5546875" style="7" customWidth="1"/>
    <col min="109" max="109" width="12.44140625" style="7" customWidth="1"/>
    <col min="110" max="110" width="13.5546875" style="7" customWidth="1"/>
    <col min="111" max="111" width="13.21875" style="7" customWidth="1"/>
    <col min="112" max="112" width="12.5546875" style="7" customWidth="1"/>
    <col min="113" max="113" width="12.21875" style="7" customWidth="1"/>
    <col min="114" max="114" width="12.109375" style="7" customWidth="1"/>
    <col min="115" max="115" width="12.5546875" style="7" customWidth="1"/>
    <col min="116" max="116" width="12.44140625" style="7" customWidth="1"/>
    <col min="117" max="117" width="13.5546875" style="7" customWidth="1"/>
    <col min="118" max="118" width="13.21875" style="7" customWidth="1"/>
    <col min="119" max="119" width="12.5546875" style="7" customWidth="1"/>
    <col min="120" max="120" width="12.21875" style="7" customWidth="1"/>
    <col min="121" max="121" width="12.109375" style="7" customWidth="1"/>
    <col min="122" max="122" width="12.5546875" style="7" customWidth="1"/>
    <col min="123" max="123" width="12.44140625" style="7" customWidth="1"/>
    <col min="124" max="124" width="13.5546875" style="7" customWidth="1"/>
    <col min="125" max="125" width="13.21875" style="7" customWidth="1"/>
    <col min="126" max="126" width="12.5546875" style="7" customWidth="1"/>
    <col min="127" max="127" width="12.21875" style="7" customWidth="1"/>
    <col min="128" max="128" width="12.109375" style="7" customWidth="1"/>
    <col min="129" max="129" width="12.5546875" style="7" customWidth="1"/>
    <col min="130" max="130" width="12.44140625" style="7" customWidth="1"/>
    <col min="131" max="131" width="13.5546875" style="7" customWidth="1"/>
    <col min="132" max="132" width="13.21875" style="7" customWidth="1"/>
    <col min="133" max="133" width="12.5546875" style="7" customWidth="1"/>
    <col min="134" max="134" width="12.21875" style="7" customWidth="1"/>
    <col min="135" max="135" width="12.109375" style="7" customWidth="1"/>
    <col min="136" max="136" width="12.5546875" style="7" customWidth="1"/>
    <col min="137" max="137" width="12.44140625" style="7" customWidth="1"/>
    <col min="138" max="138" width="13.5546875" style="7" customWidth="1"/>
    <col min="139" max="139" width="13.21875" style="7" customWidth="1"/>
    <col min="140" max="140" width="12.5546875" style="7" customWidth="1"/>
    <col min="141" max="141" width="12.21875" style="7" customWidth="1"/>
    <col min="142" max="142" width="12.109375" style="7" customWidth="1"/>
    <col min="143" max="143" width="12.5546875" style="7" customWidth="1"/>
    <col min="144" max="144" width="12.44140625" style="7" customWidth="1"/>
    <col min="145" max="145" width="13.5546875" style="7" customWidth="1"/>
    <col min="146" max="146" width="13.21875" style="7" customWidth="1"/>
    <col min="147" max="150" width="12.6640625" style="7" customWidth="1"/>
    <col min="151" max="154" width="12.5546875" style="7" customWidth="1"/>
    <col min="155" max="155" width="12.21875" style="7" customWidth="1"/>
    <col min="156" max="156" width="12.109375" style="7" customWidth="1"/>
    <col min="157" max="157" width="12.5546875" style="7" customWidth="1"/>
    <col min="158" max="158" width="12.44140625" style="7" customWidth="1"/>
    <col min="159" max="159" width="13.5546875" style="7" customWidth="1"/>
    <col min="160" max="160" width="13.21875" style="7" customWidth="1"/>
    <col min="161" max="161" width="12.5546875" style="7" customWidth="1"/>
    <col min="162" max="162" width="12.21875" style="7" customWidth="1"/>
    <col min="163" max="163" width="12.109375" style="7" customWidth="1"/>
    <col min="164" max="164" width="12.5546875" style="7" customWidth="1"/>
    <col min="165" max="165" width="12.44140625" style="7" customWidth="1"/>
    <col min="166" max="166" width="13.5546875" style="7" customWidth="1"/>
    <col min="167" max="167" width="13.21875" style="7" customWidth="1"/>
    <col min="168" max="168" width="12.5546875" style="7" customWidth="1"/>
    <col min="169" max="169" width="12.21875" style="7" customWidth="1"/>
    <col min="170" max="170" width="12.109375" style="7" customWidth="1"/>
    <col min="171" max="171" width="12.5546875" style="7" customWidth="1"/>
    <col min="172" max="172" width="12.44140625" style="7" customWidth="1"/>
    <col min="173" max="173" width="13.5546875" style="7" customWidth="1"/>
    <col min="174" max="174" width="13.21875" style="7" customWidth="1"/>
    <col min="175" max="175" width="12.5546875" style="7" customWidth="1"/>
    <col min="176" max="176" width="12.21875" style="7" customWidth="1"/>
    <col min="177" max="177" width="12.109375" style="7" customWidth="1"/>
    <col min="178" max="178" width="12.5546875" style="7" customWidth="1"/>
    <col min="179" max="179" width="12.44140625" style="7" customWidth="1"/>
    <col min="180" max="180" width="13.5546875" style="7" customWidth="1"/>
    <col min="181" max="181" width="13.21875" style="7" customWidth="1"/>
    <col min="182" max="182" width="12.5546875" style="7" customWidth="1"/>
    <col min="183" max="183" width="12.21875" style="7" customWidth="1"/>
    <col min="184" max="184" width="12.109375" style="7" customWidth="1"/>
    <col min="185" max="185" width="12.5546875" style="7" customWidth="1"/>
    <col min="186" max="186" width="12.44140625" style="7" customWidth="1"/>
    <col min="187" max="187" width="13.5546875" style="7" customWidth="1"/>
    <col min="188" max="188" width="13.21875" style="7" customWidth="1"/>
    <col min="189" max="189" width="12.5546875" style="7" customWidth="1"/>
    <col min="190" max="190" width="12.21875" style="7" customWidth="1"/>
    <col min="191" max="191" width="12.109375" style="7" customWidth="1"/>
    <col min="192" max="192" width="12.5546875" style="7" customWidth="1"/>
    <col min="193" max="193" width="12.44140625" style="7" customWidth="1"/>
    <col min="194" max="194" width="13.5546875" style="7" customWidth="1"/>
    <col min="195" max="195" width="13.21875" style="7" customWidth="1"/>
    <col min="196" max="196" width="12.5546875" style="7" customWidth="1"/>
    <col min="197" max="197" width="12.21875" style="7" customWidth="1"/>
    <col min="198" max="198" width="12.109375" style="7" customWidth="1"/>
    <col min="199" max="199" width="12.5546875" style="7" customWidth="1"/>
    <col min="200" max="200" width="12.44140625" style="7" customWidth="1"/>
    <col min="201" max="201" width="13.5546875" style="7" customWidth="1"/>
    <col min="202" max="202" width="13.21875" style="7" customWidth="1"/>
    <col min="203" max="203" width="12.5546875" style="7" customWidth="1"/>
    <col min="204" max="204" width="12.21875" style="7" customWidth="1"/>
    <col min="205" max="205" width="12.109375" style="7" customWidth="1"/>
    <col min="206" max="206" width="12.5546875" style="7" customWidth="1"/>
    <col min="207" max="207" width="12.44140625" style="7" customWidth="1"/>
    <col min="208" max="208" width="13.5546875" style="7" customWidth="1"/>
    <col min="209" max="209" width="13.21875" style="7" customWidth="1"/>
    <col min="210" max="210" width="12.5546875" style="7" customWidth="1"/>
    <col min="211" max="211" width="12.21875" style="7" customWidth="1"/>
    <col min="212" max="212" width="12.109375" style="7" customWidth="1"/>
    <col min="213" max="213" width="12.5546875" style="7" customWidth="1"/>
    <col min="214" max="214" width="12.44140625" style="7" customWidth="1"/>
    <col min="215" max="215" width="13.5546875" style="7" customWidth="1"/>
    <col min="216" max="216" width="13.21875" style="7" customWidth="1"/>
    <col min="217" max="217" width="12.5546875" style="7" customWidth="1"/>
    <col min="218" max="218" width="12.21875" style="7" customWidth="1"/>
    <col min="219" max="219" width="12.109375" style="7" customWidth="1"/>
    <col min="220" max="220" width="12.5546875" style="7" customWidth="1"/>
    <col min="221" max="221" width="12.44140625" style="7" customWidth="1"/>
    <col min="222" max="222" width="13.5546875" style="7" customWidth="1"/>
    <col min="223" max="223" width="13.21875" style="7" customWidth="1"/>
    <col min="224" max="224" width="12.5546875" style="7" customWidth="1"/>
    <col min="225" max="225" width="12.21875" style="7" customWidth="1"/>
    <col min="226" max="226" width="12.109375" style="7" customWidth="1"/>
    <col min="227" max="227" width="12.5546875" style="7" customWidth="1"/>
    <col min="228" max="228" width="12.44140625" style="7" customWidth="1"/>
    <col min="229" max="229" width="13.5546875" style="7" customWidth="1"/>
    <col min="230" max="230" width="13.21875" style="7" customWidth="1"/>
    <col min="231" max="231" width="12.5546875" style="7" customWidth="1"/>
    <col min="232" max="232" width="12.21875" style="7" customWidth="1"/>
    <col min="233" max="233" width="12.109375" style="7" customWidth="1"/>
    <col min="234" max="234" width="12.5546875" style="7" customWidth="1"/>
    <col min="235" max="235" width="12.44140625" style="7" customWidth="1"/>
    <col min="236" max="236" width="13.5546875" style="7" customWidth="1"/>
    <col min="237" max="237" width="13.21875" style="7" customWidth="1"/>
    <col min="238" max="238" width="12.5546875" style="7" customWidth="1"/>
    <col min="239" max="239" width="12.21875" style="7" customWidth="1"/>
    <col min="240" max="240" width="12.109375" style="7" customWidth="1"/>
    <col min="241" max="241" width="12.5546875" style="7" customWidth="1"/>
    <col min="242" max="242" width="12.44140625" style="7" customWidth="1"/>
    <col min="243" max="243" width="13.5546875" style="7" customWidth="1"/>
    <col min="244" max="244" width="13.21875" style="7" customWidth="1"/>
    <col min="245" max="245" width="12.5546875" style="7" customWidth="1"/>
    <col min="246" max="246" width="12.21875" style="7" customWidth="1"/>
    <col min="247" max="247" width="12.109375" style="7" customWidth="1"/>
    <col min="248" max="248" width="12.5546875" style="7" customWidth="1"/>
    <col min="249" max="249" width="12.44140625" style="7" customWidth="1"/>
    <col min="250" max="250" width="13.5546875" style="7" customWidth="1"/>
    <col min="251" max="251" width="13.21875" style="7" customWidth="1"/>
    <col min="252" max="252" width="12.5546875" style="7" customWidth="1"/>
    <col min="253" max="253" width="12.21875" style="7" customWidth="1"/>
    <col min="254" max="254" width="12.109375" style="7" customWidth="1"/>
    <col min="255" max="255" width="12.5546875" style="7" customWidth="1"/>
    <col min="256" max="256" width="12.44140625" style="7" customWidth="1"/>
    <col min="257" max="257" width="13.5546875" style="7" customWidth="1"/>
    <col min="258" max="258" width="13.21875" style="7" customWidth="1"/>
    <col min="259" max="259" width="12.5546875" style="7" customWidth="1"/>
    <col min="260" max="260" width="12.21875" style="7" customWidth="1"/>
    <col min="261" max="261" width="12.109375" style="7" customWidth="1"/>
    <col min="262" max="262" width="12.5546875" style="7" customWidth="1"/>
    <col min="263" max="263" width="12.44140625" style="7" customWidth="1"/>
    <col min="264" max="264" width="13.5546875" style="7" customWidth="1"/>
    <col min="265" max="265" width="13.21875" style="7" customWidth="1"/>
    <col min="266" max="266" width="12.5546875" style="7" customWidth="1"/>
    <col min="267" max="267" width="12.21875" style="7" customWidth="1"/>
    <col min="268" max="268" width="12.109375" style="7" customWidth="1"/>
    <col min="269" max="269" width="12.5546875" style="7" customWidth="1"/>
    <col min="270" max="270" width="12.44140625" style="7" customWidth="1"/>
    <col min="271" max="271" width="13.5546875" style="7" customWidth="1"/>
    <col min="272" max="272" width="13.21875" style="7" customWidth="1"/>
    <col min="273" max="273" width="12.5546875" style="7" customWidth="1"/>
    <col min="274" max="274" width="12.21875" style="7" customWidth="1"/>
    <col min="275" max="275" width="12.109375" style="7" customWidth="1"/>
    <col min="276" max="276" width="12.5546875" style="7" customWidth="1"/>
    <col min="277" max="277" width="12.44140625" style="7" customWidth="1"/>
    <col min="278" max="278" width="13.5546875" style="7" customWidth="1"/>
    <col min="279" max="279" width="13.21875" style="7" customWidth="1"/>
    <col min="280" max="280" width="12.5546875" style="7" customWidth="1"/>
    <col min="281" max="281" width="12.21875" style="7" customWidth="1"/>
    <col min="282" max="282" width="12.109375" style="7" customWidth="1"/>
    <col min="283" max="283" width="12.5546875" style="7" customWidth="1"/>
    <col min="284" max="284" width="12.44140625" style="7" customWidth="1"/>
    <col min="285" max="285" width="13.5546875" style="7" customWidth="1"/>
    <col min="286" max="286" width="13.21875" style="7" customWidth="1"/>
    <col min="287" max="287" width="12.5546875" style="7" customWidth="1"/>
    <col min="288" max="288" width="12.21875" style="7" customWidth="1"/>
    <col min="289" max="289" width="12.109375" style="7" customWidth="1"/>
    <col min="290" max="290" width="12.5546875" style="7" customWidth="1"/>
    <col min="291" max="291" width="12.44140625" style="7" customWidth="1"/>
    <col min="292" max="292" width="13.5546875" style="7" customWidth="1"/>
    <col min="293" max="293" width="13.21875" style="7" customWidth="1"/>
    <col min="294" max="294" width="12.5546875" style="7" customWidth="1"/>
    <col min="295" max="295" width="12.21875" style="7" customWidth="1"/>
    <col min="296" max="296" width="12.109375" style="7" customWidth="1"/>
    <col min="297" max="297" width="12.5546875" style="7" customWidth="1"/>
    <col min="298" max="298" width="12.44140625" style="7" customWidth="1"/>
    <col min="299" max="299" width="13.5546875" style="7" customWidth="1"/>
    <col min="300" max="300" width="13.21875" style="7" customWidth="1"/>
    <col min="301" max="301" width="12.5546875" style="7" customWidth="1"/>
    <col min="302" max="302" width="12.21875" style="7" customWidth="1"/>
    <col min="303" max="303" width="12.109375" style="7" customWidth="1"/>
    <col min="304" max="304" width="12.5546875" style="7" customWidth="1"/>
    <col min="305" max="305" width="12.44140625" style="7" customWidth="1"/>
    <col min="306" max="306" width="13.5546875" style="7" customWidth="1"/>
    <col min="307" max="307" width="13.21875" style="7" customWidth="1"/>
    <col min="308" max="308" width="12.5546875" style="7" customWidth="1"/>
    <col min="309" max="309" width="12.21875" style="7" customWidth="1"/>
    <col min="310" max="310" width="12.109375" style="7" customWidth="1"/>
    <col min="311" max="311" width="12.5546875" style="7" customWidth="1"/>
    <col min="312" max="312" width="12.44140625" style="7" customWidth="1"/>
    <col min="313" max="313" width="13.5546875" style="7" customWidth="1"/>
    <col min="314" max="314" width="13.21875" style="7" customWidth="1"/>
    <col min="315" max="315" width="12.5546875" style="7" customWidth="1"/>
    <col min="316" max="316" width="12.21875" style="7" customWidth="1"/>
    <col min="317" max="317" width="12.109375" style="7" customWidth="1"/>
    <col min="318" max="318" width="12.5546875" style="7" customWidth="1"/>
    <col min="319" max="319" width="12.44140625" style="7" customWidth="1"/>
    <col min="320" max="320" width="13.5546875" style="7" customWidth="1"/>
    <col min="321" max="321" width="13.21875" style="7" customWidth="1"/>
    <col min="322" max="322" width="12.5546875" style="7" customWidth="1"/>
    <col min="323" max="323" width="12.21875" style="7" customWidth="1"/>
    <col min="324" max="324" width="12.109375" style="7" customWidth="1"/>
    <col min="325" max="325" width="12.5546875" style="7" customWidth="1"/>
    <col min="326" max="326" width="12.44140625" style="7" customWidth="1"/>
    <col min="327" max="327" width="13.5546875" style="7" customWidth="1"/>
    <col min="328" max="328" width="13.21875" style="7" customWidth="1"/>
    <col min="329" max="329" width="12.5546875" style="7" customWidth="1"/>
    <col min="330" max="330" width="12.21875" style="7" customWidth="1"/>
    <col min="331" max="331" width="12.109375" style="7" customWidth="1"/>
    <col min="332" max="332" width="12.5546875" style="7" customWidth="1"/>
    <col min="333" max="333" width="12.44140625" style="7" customWidth="1"/>
    <col min="334" max="334" width="13.5546875" style="7" customWidth="1"/>
    <col min="335" max="335" width="13.21875" style="7" customWidth="1"/>
    <col min="336" max="336" width="12.5546875" style="7" customWidth="1"/>
    <col min="337" max="337" width="12.21875" style="7" customWidth="1"/>
    <col min="338" max="338" width="12.109375" style="7" customWidth="1"/>
    <col min="339" max="339" width="12.5546875" style="7" customWidth="1"/>
    <col min="340" max="340" width="12.44140625" style="7" customWidth="1"/>
    <col min="341" max="341" width="13.5546875" style="7" customWidth="1"/>
    <col min="342" max="342" width="13.21875" style="7" customWidth="1"/>
    <col min="343" max="343" width="12.5546875" style="7" customWidth="1"/>
    <col min="344" max="344" width="12.21875" style="7" customWidth="1"/>
    <col min="345" max="345" width="12.109375" style="7" customWidth="1"/>
    <col min="346" max="346" width="12.5546875" style="7" customWidth="1"/>
    <col min="347" max="347" width="12.44140625" style="7" customWidth="1"/>
    <col min="348" max="348" width="13.5546875" style="7" customWidth="1"/>
    <col min="349" max="349" width="13.21875" style="7" customWidth="1"/>
    <col min="350" max="350" width="12.5546875" style="7" customWidth="1"/>
    <col min="351" max="351" width="12.33203125" style="7" bestFit="1" customWidth="1"/>
    <col min="352" max="352" width="12.21875" style="7" bestFit="1" customWidth="1"/>
    <col min="353" max="353" width="12.6640625" style="7" bestFit="1" customWidth="1"/>
    <col min="354" max="354" width="12.5546875" style="7" bestFit="1" customWidth="1"/>
    <col min="355" max="355" width="13.6640625" style="7" bestFit="1" customWidth="1"/>
    <col min="356" max="356" width="13.33203125" style="7" bestFit="1" customWidth="1"/>
    <col min="357" max="357" width="12.6640625" style="7" bestFit="1" customWidth="1"/>
    <col min="358" max="358" width="12.21875" style="7" bestFit="1" customWidth="1"/>
    <col min="359" max="359" width="12.109375" style="7" bestFit="1" customWidth="1"/>
    <col min="360" max="360" width="12.5546875" style="7" bestFit="1" customWidth="1"/>
    <col min="361" max="361" width="12.44140625" style="7" bestFit="1" customWidth="1"/>
    <col min="362" max="362" width="13.5546875" style="7" bestFit="1" customWidth="1"/>
    <col min="363" max="363" width="13.21875" style="7" bestFit="1" customWidth="1"/>
    <col min="364" max="364" width="12.5546875" style="7" bestFit="1" customWidth="1"/>
    <col min="365" max="365" width="11.21875" style="7" bestFit="1" customWidth="1"/>
    <col min="366" max="366" width="11.109375" style="7" bestFit="1" customWidth="1"/>
    <col min="367" max="367" width="11.5546875" style="7" bestFit="1" customWidth="1"/>
    <col min="368" max="16384" width="8.88671875" style="32"/>
  </cols>
  <sheetData>
    <row r="1" spans="1:367" s="59" customFormat="1">
      <c r="A1" s="33" t="s">
        <v>57</v>
      </c>
      <c r="B1" s="33" t="s">
        <v>56</v>
      </c>
      <c r="C1" s="11">
        <v>45658</v>
      </c>
      <c r="D1" s="11">
        <v>45659</v>
      </c>
      <c r="E1" s="11">
        <v>45660</v>
      </c>
      <c r="F1" s="11">
        <v>45661</v>
      </c>
      <c r="G1" s="11">
        <v>45662</v>
      </c>
      <c r="H1" s="11">
        <v>45663</v>
      </c>
      <c r="I1" s="11">
        <v>45664</v>
      </c>
      <c r="J1" s="11">
        <v>45665</v>
      </c>
      <c r="K1" s="11">
        <v>45666</v>
      </c>
      <c r="L1" s="11">
        <v>45667</v>
      </c>
      <c r="M1" s="11">
        <v>45668</v>
      </c>
      <c r="N1" s="11">
        <v>45669</v>
      </c>
      <c r="O1" s="33">
        <v>45670</v>
      </c>
      <c r="P1" s="33">
        <v>45671</v>
      </c>
      <c r="Q1" s="33">
        <v>45672</v>
      </c>
      <c r="R1" s="33">
        <v>45673</v>
      </c>
      <c r="S1" s="33">
        <v>45674</v>
      </c>
      <c r="T1" s="33">
        <v>45675</v>
      </c>
      <c r="U1" s="33">
        <v>45676</v>
      </c>
      <c r="V1" s="33">
        <v>45677</v>
      </c>
      <c r="W1" s="33">
        <v>45678</v>
      </c>
      <c r="X1" s="33">
        <v>45679</v>
      </c>
      <c r="Y1" s="33">
        <v>45680</v>
      </c>
      <c r="Z1" s="33">
        <v>45681</v>
      </c>
      <c r="AA1" s="33">
        <v>45682</v>
      </c>
      <c r="AB1" s="33">
        <v>45683</v>
      </c>
      <c r="AC1" s="33">
        <v>45684</v>
      </c>
      <c r="AD1" s="33">
        <v>45685</v>
      </c>
      <c r="AE1" s="33">
        <v>45686</v>
      </c>
      <c r="AF1" s="33">
        <v>45687</v>
      </c>
      <c r="AG1" s="33">
        <v>45688</v>
      </c>
      <c r="AH1" s="33">
        <v>45689</v>
      </c>
      <c r="AI1" s="33">
        <v>45690</v>
      </c>
      <c r="AJ1" s="33">
        <v>45691</v>
      </c>
      <c r="AK1" s="33">
        <v>45692</v>
      </c>
      <c r="AL1" s="33">
        <v>45693</v>
      </c>
      <c r="AM1" s="33">
        <v>45694</v>
      </c>
      <c r="AN1" s="33">
        <v>45695</v>
      </c>
      <c r="AO1" s="33">
        <v>45696</v>
      </c>
      <c r="AP1" s="33">
        <v>45697</v>
      </c>
      <c r="AQ1" s="58">
        <v>45698</v>
      </c>
      <c r="AR1" s="58">
        <v>45699</v>
      </c>
      <c r="AS1" s="58">
        <v>45700</v>
      </c>
      <c r="AT1" s="58">
        <v>45701</v>
      </c>
      <c r="AU1" s="58">
        <v>45702</v>
      </c>
      <c r="AV1" s="58">
        <v>45703</v>
      </c>
      <c r="AW1" s="58">
        <v>45704</v>
      </c>
      <c r="AX1" s="58">
        <v>45705</v>
      </c>
      <c r="AY1" s="58">
        <v>45706</v>
      </c>
      <c r="AZ1" s="58">
        <v>45707</v>
      </c>
      <c r="BA1" s="58">
        <v>45708</v>
      </c>
      <c r="BB1" s="58">
        <v>45709</v>
      </c>
      <c r="BC1" s="58">
        <v>45710</v>
      </c>
      <c r="BD1" s="58">
        <v>45711</v>
      </c>
      <c r="BE1" s="58">
        <v>45712</v>
      </c>
      <c r="BF1" s="58">
        <v>45713</v>
      </c>
      <c r="BG1" s="58">
        <v>45714</v>
      </c>
      <c r="BH1" s="58">
        <v>45715</v>
      </c>
      <c r="BI1" s="58">
        <v>45716</v>
      </c>
      <c r="BJ1" s="58">
        <v>45717</v>
      </c>
      <c r="BK1" s="58">
        <v>45718</v>
      </c>
      <c r="BL1" s="58">
        <v>45719</v>
      </c>
      <c r="BM1" s="58">
        <v>45720</v>
      </c>
      <c r="BN1" s="58">
        <v>45721</v>
      </c>
      <c r="BO1" s="58">
        <v>45722</v>
      </c>
      <c r="BP1" s="58">
        <v>45723</v>
      </c>
      <c r="BQ1" s="58">
        <v>45724</v>
      </c>
      <c r="BR1" s="58">
        <v>45725</v>
      </c>
      <c r="BS1" s="58">
        <v>45726</v>
      </c>
      <c r="BT1" s="58">
        <v>45727</v>
      </c>
      <c r="BU1" s="58">
        <v>45728</v>
      </c>
      <c r="BV1" s="58">
        <v>45729</v>
      </c>
      <c r="BW1" s="58">
        <v>45730</v>
      </c>
      <c r="BX1" s="58">
        <v>45731</v>
      </c>
      <c r="BY1" s="58">
        <v>45732</v>
      </c>
      <c r="BZ1" s="58">
        <v>45733</v>
      </c>
      <c r="CA1" s="58">
        <v>45734</v>
      </c>
      <c r="CB1" s="58">
        <v>45735</v>
      </c>
      <c r="CC1" s="58">
        <v>45736</v>
      </c>
      <c r="CD1" s="58">
        <v>45737</v>
      </c>
      <c r="CE1" s="58">
        <v>45738</v>
      </c>
      <c r="CF1" s="58">
        <v>45739</v>
      </c>
      <c r="CG1" s="58">
        <v>45740</v>
      </c>
      <c r="CH1" s="58">
        <v>45741</v>
      </c>
      <c r="CI1" s="58">
        <v>45742</v>
      </c>
      <c r="CJ1" s="58">
        <v>45743</v>
      </c>
      <c r="CK1" s="58">
        <v>45744</v>
      </c>
      <c r="CL1" s="58">
        <v>45745</v>
      </c>
      <c r="CM1" s="58">
        <v>45746</v>
      </c>
      <c r="CN1" s="58">
        <v>45747</v>
      </c>
      <c r="CO1" s="58">
        <v>45748</v>
      </c>
      <c r="CP1" s="58">
        <v>45749</v>
      </c>
      <c r="CQ1" s="58">
        <v>45750</v>
      </c>
      <c r="CR1" s="58">
        <v>45751</v>
      </c>
      <c r="CS1" s="58">
        <v>45752</v>
      </c>
      <c r="CT1" s="58">
        <v>45753</v>
      </c>
      <c r="CU1" s="58">
        <v>45754</v>
      </c>
      <c r="CV1" s="58">
        <v>45755</v>
      </c>
      <c r="CW1" s="58">
        <v>45756</v>
      </c>
      <c r="CX1" s="58">
        <v>45757</v>
      </c>
      <c r="CY1" s="58">
        <v>45758</v>
      </c>
      <c r="CZ1" s="58">
        <v>45759</v>
      </c>
      <c r="DA1" s="58">
        <v>45760</v>
      </c>
      <c r="DB1" s="58">
        <v>45761</v>
      </c>
      <c r="DC1" s="58">
        <v>45762</v>
      </c>
      <c r="DD1" s="58">
        <v>45763</v>
      </c>
      <c r="DE1" s="58">
        <v>45764</v>
      </c>
      <c r="DF1" s="58">
        <v>45765</v>
      </c>
      <c r="DG1" s="58">
        <v>45766</v>
      </c>
      <c r="DH1" s="58">
        <v>45767</v>
      </c>
      <c r="DI1" s="58">
        <v>45768</v>
      </c>
      <c r="DJ1" s="58">
        <v>45769</v>
      </c>
      <c r="DK1" s="58">
        <v>45770</v>
      </c>
      <c r="DL1" s="58">
        <v>45771</v>
      </c>
      <c r="DM1" s="58">
        <v>45772</v>
      </c>
      <c r="DN1" s="58">
        <v>45773</v>
      </c>
      <c r="DO1" s="58">
        <v>45774</v>
      </c>
      <c r="DP1" s="58">
        <v>45775</v>
      </c>
      <c r="DQ1" s="58">
        <v>45776</v>
      </c>
      <c r="DR1" s="58">
        <v>45777</v>
      </c>
      <c r="DS1" s="58">
        <v>45778</v>
      </c>
      <c r="DT1" s="58">
        <v>45779</v>
      </c>
      <c r="DU1" s="58">
        <v>45780</v>
      </c>
      <c r="DV1" s="58">
        <v>45781</v>
      </c>
      <c r="DW1" s="58">
        <v>45782</v>
      </c>
      <c r="DX1" s="58">
        <v>45783</v>
      </c>
      <c r="DY1" s="58">
        <v>45784</v>
      </c>
      <c r="DZ1" s="58">
        <v>45785</v>
      </c>
      <c r="EA1" s="58">
        <v>45786</v>
      </c>
      <c r="EB1" s="58">
        <v>45787</v>
      </c>
      <c r="EC1" s="58">
        <v>45788</v>
      </c>
      <c r="ED1" s="58">
        <v>45789</v>
      </c>
      <c r="EE1" s="58">
        <v>45790</v>
      </c>
      <c r="EF1" s="58">
        <v>45791</v>
      </c>
      <c r="EG1" s="58">
        <v>45792</v>
      </c>
      <c r="EH1" s="58">
        <v>45793</v>
      </c>
      <c r="EI1" s="58">
        <v>45794</v>
      </c>
      <c r="EJ1" s="58">
        <v>45795</v>
      </c>
      <c r="EK1" s="58">
        <v>45796</v>
      </c>
      <c r="EL1" s="58">
        <v>45797</v>
      </c>
      <c r="EM1" s="58">
        <v>45798</v>
      </c>
      <c r="EN1" s="58">
        <v>45799</v>
      </c>
      <c r="EO1" s="58">
        <v>45800</v>
      </c>
      <c r="EP1" s="58">
        <v>45801</v>
      </c>
      <c r="EQ1" s="58">
        <v>45802</v>
      </c>
      <c r="ER1" s="58">
        <v>45803</v>
      </c>
      <c r="ES1" s="58">
        <v>45804</v>
      </c>
      <c r="ET1" s="58">
        <v>45805</v>
      </c>
      <c r="EU1" s="58">
        <v>45806</v>
      </c>
      <c r="EV1" s="58">
        <v>45807</v>
      </c>
      <c r="EW1" s="58">
        <v>45808</v>
      </c>
      <c r="EX1" s="58">
        <v>45809</v>
      </c>
      <c r="EY1" s="58">
        <v>45810</v>
      </c>
      <c r="EZ1" s="58">
        <v>45811</v>
      </c>
      <c r="FA1" s="58">
        <v>45812</v>
      </c>
      <c r="FB1" s="58">
        <v>45813</v>
      </c>
      <c r="FC1" s="58">
        <v>45814</v>
      </c>
      <c r="FD1" s="58">
        <v>45815</v>
      </c>
      <c r="FE1" s="58">
        <v>45816</v>
      </c>
      <c r="FF1" s="58">
        <v>45817</v>
      </c>
      <c r="FG1" s="58">
        <v>45818</v>
      </c>
      <c r="FH1" s="58">
        <v>45819</v>
      </c>
      <c r="FI1" s="58">
        <v>45820</v>
      </c>
      <c r="FJ1" s="58">
        <v>45821</v>
      </c>
      <c r="FK1" s="58">
        <v>45822</v>
      </c>
      <c r="FL1" s="58">
        <v>45823</v>
      </c>
      <c r="FM1" s="58">
        <v>45824</v>
      </c>
      <c r="FN1" s="58">
        <v>45825</v>
      </c>
      <c r="FO1" s="58">
        <v>45826</v>
      </c>
      <c r="FP1" s="58">
        <v>45827</v>
      </c>
      <c r="FQ1" s="58">
        <v>45828</v>
      </c>
      <c r="FR1" s="58">
        <v>45829</v>
      </c>
      <c r="FS1" s="58">
        <v>45830</v>
      </c>
      <c r="FT1" s="58">
        <v>45831</v>
      </c>
      <c r="FU1" s="58">
        <v>45832</v>
      </c>
      <c r="FV1" s="58">
        <v>45833</v>
      </c>
      <c r="FW1" s="58">
        <v>45834</v>
      </c>
      <c r="FX1" s="58">
        <v>45835</v>
      </c>
      <c r="FY1" s="58">
        <v>45836</v>
      </c>
      <c r="FZ1" s="58">
        <v>45837</v>
      </c>
      <c r="GA1" s="58">
        <v>45838</v>
      </c>
      <c r="GB1" s="58">
        <v>45839</v>
      </c>
      <c r="GC1" s="58">
        <v>45840</v>
      </c>
      <c r="GD1" s="58">
        <v>45841</v>
      </c>
      <c r="GE1" s="58">
        <v>45842</v>
      </c>
      <c r="GF1" s="58">
        <v>45843</v>
      </c>
      <c r="GG1" s="58">
        <v>45844</v>
      </c>
      <c r="GH1" s="58">
        <v>45845</v>
      </c>
      <c r="GI1" s="58">
        <v>45846</v>
      </c>
      <c r="GJ1" s="58">
        <v>45847</v>
      </c>
      <c r="GK1" s="58">
        <v>45848</v>
      </c>
      <c r="GL1" s="58">
        <v>45849</v>
      </c>
      <c r="GM1" s="58">
        <v>45850</v>
      </c>
      <c r="GN1" s="58">
        <v>45851</v>
      </c>
      <c r="GO1" s="58">
        <v>45852</v>
      </c>
      <c r="GP1" s="58">
        <v>45853</v>
      </c>
      <c r="GQ1" s="58">
        <v>45854</v>
      </c>
      <c r="GR1" s="58">
        <v>45855</v>
      </c>
      <c r="GS1" s="58">
        <v>45856</v>
      </c>
      <c r="GT1" s="58">
        <v>45857</v>
      </c>
      <c r="GU1" s="58">
        <v>45858</v>
      </c>
      <c r="GV1" s="58">
        <v>45859</v>
      </c>
      <c r="GW1" s="58">
        <v>45860</v>
      </c>
      <c r="GX1" s="58">
        <v>45861</v>
      </c>
      <c r="GY1" s="58">
        <v>45862</v>
      </c>
      <c r="GZ1" s="58">
        <v>45863</v>
      </c>
      <c r="HA1" s="58">
        <v>45864</v>
      </c>
      <c r="HB1" s="58">
        <v>45865</v>
      </c>
      <c r="HC1" s="58">
        <v>45866</v>
      </c>
      <c r="HD1" s="58">
        <v>45867</v>
      </c>
      <c r="HE1" s="58">
        <v>45868</v>
      </c>
      <c r="HF1" s="58">
        <v>45869</v>
      </c>
      <c r="HG1" s="58">
        <v>45870</v>
      </c>
      <c r="HH1" s="58">
        <v>45871</v>
      </c>
      <c r="HI1" s="58">
        <v>45872</v>
      </c>
      <c r="HJ1" s="58">
        <v>45873</v>
      </c>
      <c r="HK1" s="58">
        <v>45874</v>
      </c>
      <c r="HL1" s="58">
        <v>45875</v>
      </c>
      <c r="HM1" s="58">
        <v>45876</v>
      </c>
      <c r="HN1" s="58">
        <v>45877</v>
      </c>
      <c r="HO1" s="58">
        <v>45878</v>
      </c>
      <c r="HP1" s="58">
        <v>45879</v>
      </c>
      <c r="HQ1" s="58">
        <v>45880</v>
      </c>
      <c r="HR1" s="58">
        <v>45881</v>
      </c>
      <c r="HS1" s="58">
        <v>45882</v>
      </c>
      <c r="HT1" s="58">
        <v>45883</v>
      </c>
      <c r="HU1" s="58">
        <v>45884</v>
      </c>
      <c r="HV1" s="58">
        <v>45885</v>
      </c>
      <c r="HW1" s="58">
        <v>45886</v>
      </c>
      <c r="HX1" s="58">
        <v>45887</v>
      </c>
      <c r="HY1" s="58">
        <v>45888</v>
      </c>
      <c r="HZ1" s="58">
        <v>45889</v>
      </c>
      <c r="IA1" s="58">
        <v>45890</v>
      </c>
      <c r="IB1" s="58">
        <v>45891</v>
      </c>
      <c r="IC1" s="58">
        <v>45892</v>
      </c>
      <c r="ID1" s="58">
        <v>45893</v>
      </c>
      <c r="IE1" s="58">
        <v>45894</v>
      </c>
      <c r="IF1" s="58">
        <v>45895</v>
      </c>
      <c r="IG1" s="58">
        <v>45896</v>
      </c>
      <c r="IH1" s="58">
        <v>45897</v>
      </c>
      <c r="II1" s="58">
        <v>45898</v>
      </c>
      <c r="IJ1" s="58">
        <v>45899</v>
      </c>
      <c r="IK1" s="58">
        <v>45900</v>
      </c>
      <c r="IL1" s="58">
        <v>45901</v>
      </c>
      <c r="IM1" s="58">
        <v>45902</v>
      </c>
      <c r="IN1" s="58">
        <v>45903</v>
      </c>
      <c r="IO1" s="58">
        <v>45904</v>
      </c>
      <c r="IP1" s="58">
        <v>45905</v>
      </c>
      <c r="IQ1" s="58">
        <v>45906</v>
      </c>
      <c r="IR1" s="58">
        <v>45907</v>
      </c>
      <c r="IS1" s="58">
        <v>45908</v>
      </c>
      <c r="IT1" s="58">
        <v>45909</v>
      </c>
      <c r="IU1" s="58">
        <v>45910</v>
      </c>
      <c r="IV1" s="58">
        <v>45911</v>
      </c>
      <c r="IW1" s="58">
        <v>45912</v>
      </c>
      <c r="IX1" s="58">
        <v>45913</v>
      </c>
      <c r="IY1" s="58">
        <v>45914</v>
      </c>
      <c r="IZ1" s="58">
        <v>45915</v>
      </c>
      <c r="JA1" s="58">
        <v>45916</v>
      </c>
      <c r="JB1" s="58">
        <v>45917</v>
      </c>
      <c r="JC1" s="58">
        <v>45918</v>
      </c>
      <c r="JD1" s="58">
        <v>45919</v>
      </c>
      <c r="JE1" s="58">
        <v>45920</v>
      </c>
      <c r="JF1" s="58">
        <v>45921</v>
      </c>
      <c r="JG1" s="58">
        <v>45922</v>
      </c>
      <c r="JH1" s="58">
        <v>45923</v>
      </c>
      <c r="JI1" s="58">
        <v>45924</v>
      </c>
      <c r="JJ1" s="58">
        <v>45925</v>
      </c>
      <c r="JK1" s="58">
        <v>45926</v>
      </c>
      <c r="JL1" s="58">
        <v>45927</v>
      </c>
      <c r="JM1" s="58">
        <v>45928</v>
      </c>
      <c r="JN1" s="58">
        <v>45929</v>
      </c>
      <c r="JO1" s="58">
        <v>45930</v>
      </c>
      <c r="JP1" s="58">
        <v>45931</v>
      </c>
      <c r="JQ1" s="58">
        <v>45932</v>
      </c>
      <c r="JR1" s="58">
        <v>45933</v>
      </c>
      <c r="JS1" s="58">
        <v>45934</v>
      </c>
      <c r="JT1" s="58">
        <v>45935</v>
      </c>
      <c r="JU1" s="58">
        <v>45936</v>
      </c>
      <c r="JV1" s="58">
        <v>45937</v>
      </c>
      <c r="JW1" s="58">
        <v>45938</v>
      </c>
      <c r="JX1" s="58">
        <v>45939</v>
      </c>
      <c r="JY1" s="58">
        <v>45940</v>
      </c>
      <c r="JZ1" s="58">
        <v>45941</v>
      </c>
      <c r="KA1" s="58">
        <v>45942</v>
      </c>
      <c r="KB1" s="58">
        <v>45943</v>
      </c>
      <c r="KC1" s="58">
        <v>45944</v>
      </c>
      <c r="KD1" s="58">
        <v>45945</v>
      </c>
      <c r="KE1" s="58">
        <v>45946</v>
      </c>
      <c r="KF1" s="58">
        <v>45947</v>
      </c>
      <c r="KG1" s="58">
        <v>45948</v>
      </c>
      <c r="KH1" s="58">
        <v>45949</v>
      </c>
      <c r="KI1" s="58">
        <v>45950</v>
      </c>
      <c r="KJ1" s="58">
        <v>45951</v>
      </c>
      <c r="KK1" s="58">
        <v>45952</v>
      </c>
      <c r="KL1" s="58">
        <v>45953</v>
      </c>
      <c r="KM1" s="58">
        <v>45954</v>
      </c>
      <c r="KN1" s="58">
        <v>45955</v>
      </c>
      <c r="KO1" s="58">
        <v>45956</v>
      </c>
      <c r="KP1" s="58">
        <v>45957</v>
      </c>
      <c r="KQ1" s="58">
        <v>45958</v>
      </c>
      <c r="KR1" s="58">
        <v>45959</v>
      </c>
      <c r="KS1" s="58">
        <v>45960</v>
      </c>
      <c r="KT1" s="58">
        <v>45961</v>
      </c>
      <c r="KU1" s="58">
        <v>45962</v>
      </c>
      <c r="KV1" s="58">
        <v>45963</v>
      </c>
      <c r="KW1" s="58">
        <v>45964</v>
      </c>
      <c r="KX1" s="58">
        <v>45965</v>
      </c>
      <c r="KY1" s="58">
        <v>45966</v>
      </c>
      <c r="KZ1" s="58">
        <v>45967</v>
      </c>
      <c r="LA1" s="58">
        <v>45968</v>
      </c>
      <c r="LB1" s="58">
        <v>45969</v>
      </c>
      <c r="LC1" s="58">
        <v>45970</v>
      </c>
      <c r="LD1" s="58">
        <v>45971</v>
      </c>
      <c r="LE1" s="58">
        <v>45972</v>
      </c>
      <c r="LF1" s="58">
        <v>45973</v>
      </c>
      <c r="LG1" s="58">
        <v>45974</v>
      </c>
      <c r="LH1" s="58">
        <v>45975</v>
      </c>
      <c r="LI1" s="58">
        <v>45976</v>
      </c>
      <c r="LJ1" s="58">
        <v>45977</v>
      </c>
      <c r="LK1" s="58">
        <v>45978</v>
      </c>
      <c r="LL1" s="58">
        <v>45979</v>
      </c>
      <c r="LM1" s="58">
        <v>45980</v>
      </c>
      <c r="LN1" s="58">
        <v>45981</v>
      </c>
      <c r="LO1" s="58">
        <v>45982</v>
      </c>
      <c r="LP1" s="58">
        <v>45983</v>
      </c>
      <c r="LQ1" s="58">
        <v>45984</v>
      </c>
      <c r="LR1" s="58">
        <v>45985</v>
      </c>
      <c r="LS1" s="58">
        <v>45986</v>
      </c>
      <c r="LT1" s="58">
        <v>45987</v>
      </c>
      <c r="LU1" s="58">
        <v>45988</v>
      </c>
      <c r="LV1" s="58">
        <v>45989</v>
      </c>
      <c r="LW1" s="58">
        <v>45990</v>
      </c>
      <c r="LX1" s="58">
        <v>45991</v>
      </c>
      <c r="LY1" s="58">
        <v>45992</v>
      </c>
      <c r="LZ1" s="58">
        <v>45993</v>
      </c>
      <c r="MA1" s="58">
        <v>45994</v>
      </c>
      <c r="MB1" s="58">
        <v>45995</v>
      </c>
      <c r="MC1" s="58">
        <v>45996</v>
      </c>
      <c r="MD1" s="58">
        <v>45997</v>
      </c>
      <c r="ME1" s="58">
        <v>45998</v>
      </c>
      <c r="MF1" s="58">
        <v>45999</v>
      </c>
      <c r="MG1" s="58">
        <v>46000</v>
      </c>
      <c r="MH1" s="58">
        <v>46001</v>
      </c>
      <c r="MI1" s="58">
        <v>46002</v>
      </c>
      <c r="MJ1" s="58">
        <v>46003</v>
      </c>
      <c r="MK1" s="58">
        <v>46004</v>
      </c>
      <c r="ML1" s="58">
        <v>46005</v>
      </c>
      <c r="MM1" s="58">
        <v>46006</v>
      </c>
      <c r="MN1" s="58">
        <v>46007</v>
      </c>
      <c r="MO1" s="58">
        <v>46008</v>
      </c>
      <c r="MP1" s="58">
        <v>46009</v>
      </c>
      <c r="MQ1" s="58">
        <v>46010</v>
      </c>
      <c r="MR1" s="58">
        <v>46011</v>
      </c>
      <c r="MS1" s="58">
        <v>46012</v>
      </c>
      <c r="MT1" s="58">
        <v>46013</v>
      </c>
      <c r="MU1" s="58">
        <v>46014</v>
      </c>
      <c r="MV1" s="58">
        <v>46015</v>
      </c>
      <c r="MW1" s="58">
        <v>46016</v>
      </c>
      <c r="MX1" s="58">
        <v>46017</v>
      </c>
      <c r="MY1" s="58">
        <v>46018</v>
      </c>
      <c r="MZ1" s="58">
        <v>46019</v>
      </c>
      <c r="NA1" s="58">
        <v>46020</v>
      </c>
      <c r="NB1" s="58">
        <v>46021</v>
      </c>
      <c r="NC1" s="58">
        <v>46022</v>
      </c>
    </row>
    <row r="2" spans="1:367">
      <c r="B2" s="84" t="s">
        <v>10</v>
      </c>
      <c r="C2" s="8" t="s">
        <v>54</v>
      </c>
      <c r="D2" s="8" t="s">
        <v>54</v>
      </c>
      <c r="E2" s="8" t="s">
        <v>54</v>
      </c>
      <c r="F2" s="8" t="s">
        <v>54</v>
      </c>
      <c r="G2" s="8" t="s">
        <v>54</v>
      </c>
      <c r="H2" s="8" t="s">
        <v>425</v>
      </c>
      <c r="I2" s="8" t="s">
        <v>425</v>
      </c>
      <c r="J2" s="8" t="s">
        <v>425</v>
      </c>
      <c r="K2" s="8" t="s">
        <v>425</v>
      </c>
      <c r="L2" s="8" t="s">
        <v>425</v>
      </c>
      <c r="M2" s="8" t="s">
        <v>425</v>
      </c>
      <c r="N2" s="8" t="s">
        <v>425</v>
      </c>
      <c r="O2" s="32" t="s">
        <v>2</v>
      </c>
      <c r="P2" s="32" t="s">
        <v>2</v>
      </c>
      <c r="Q2" s="32" t="s">
        <v>2</v>
      </c>
      <c r="R2" s="32" t="s">
        <v>2</v>
      </c>
      <c r="S2" s="32" t="s">
        <v>2</v>
      </c>
      <c r="T2" s="32" t="s">
        <v>2</v>
      </c>
      <c r="U2" s="32" t="s">
        <v>2</v>
      </c>
      <c r="V2" s="32" t="s">
        <v>3</v>
      </c>
      <c r="W2" s="32" t="s">
        <v>3</v>
      </c>
      <c r="X2" s="32" t="s">
        <v>3</v>
      </c>
      <c r="Y2" s="32" t="s">
        <v>3</v>
      </c>
      <c r="Z2" s="32" t="s">
        <v>3</v>
      </c>
      <c r="AA2" s="32" t="s">
        <v>3</v>
      </c>
      <c r="AB2" s="32" t="s">
        <v>3</v>
      </c>
      <c r="AC2" s="32" t="s">
        <v>4</v>
      </c>
      <c r="AD2" s="32" t="s">
        <v>4</v>
      </c>
      <c r="AE2" s="32" t="s">
        <v>4</v>
      </c>
      <c r="AF2" s="32" t="s">
        <v>4</v>
      </c>
      <c r="AG2" s="32" t="s">
        <v>4</v>
      </c>
      <c r="AH2" s="32" t="s">
        <v>4</v>
      </c>
      <c r="AI2" s="32" t="s">
        <v>4</v>
      </c>
      <c r="AJ2" s="32" t="s">
        <v>5</v>
      </c>
      <c r="AK2" s="32" t="s">
        <v>5</v>
      </c>
      <c r="AL2" s="32" t="s">
        <v>5</v>
      </c>
      <c r="AM2" s="32" t="s">
        <v>5</v>
      </c>
      <c r="AN2" s="32" t="s">
        <v>5</v>
      </c>
      <c r="AO2" s="32" t="s">
        <v>5</v>
      </c>
      <c r="AP2" s="32" t="s">
        <v>5</v>
      </c>
      <c r="AQ2" s="7" t="s">
        <v>6</v>
      </c>
      <c r="AR2" s="7" t="s">
        <v>6</v>
      </c>
      <c r="AS2" s="7" t="s">
        <v>6</v>
      </c>
      <c r="AT2" s="7" t="s">
        <v>6</v>
      </c>
      <c r="AU2" s="7" t="s">
        <v>6</v>
      </c>
      <c r="AV2" s="7" t="s">
        <v>6</v>
      </c>
      <c r="AW2" s="7" t="s">
        <v>6</v>
      </c>
      <c r="AX2" s="7" t="s">
        <v>7</v>
      </c>
      <c r="AY2" s="7" t="s">
        <v>7</v>
      </c>
      <c r="AZ2" s="7" t="s">
        <v>7</v>
      </c>
      <c r="BA2" s="7" t="s">
        <v>7</v>
      </c>
      <c r="BB2" s="7" t="s">
        <v>7</v>
      </c>
      <c r="BC2" s="7" t="s">
        <v>7</v>
      </c>
      <c r="BD2" s="7" t="s">
        <v>7</v>
      </c>
      <c r="BE2" s="7" t="s">
        <v>8</v>
      </c>
      <c r="BF2" s="7" t="s">
        <v>8</v>
      </c>
      <c r="BG2" s="7" t="s">
        <v>8</v>
      </c>
      <c r="BH2" s="7" t="s">
        <v>8</v>
      </c>
      <c r="BI2" s="7" t="s">
        <v>8</v>
      </c>
      <c r="BJ2" s="7" t="s">
        <v>8</v>
      </c>
      <c r="BK2" s="7" t="s">
        <v>8</v>
      </c>
      <c r="BL2" s="7" t="s">
        <v>11</v>
      </c>
      <c r="BM2" s="7" t="s">
        <v>11</v>
      </c>
      <c r="BN2" s="7" t="s">
        <v>11</v>
      </c>
      <c r="BO2" s="7" t="s">
        <v>11</v>
      </c>
      <c r="BP2" s="7" t="s">
        <v>11</v>
      </c>
      <c r="BQ2" s="7" t="s">
        <v>11</v>
      </c>
      <c r="BR2" s="7" t="s">
        <v>11</v>
      </c>
      <c r="BS2" s="7" t="s">
        <v>12</v>
      </c>
      <c r="BT2" s="7" t="s">
        <v>12</v>
      </c>
      <c r="BU2" s="7" t="s">
        <v>12</v>
      </c>
      <c r="BV2" s="7" t="s">
        <v>12</v>
      </c>
      <c r="BW2" s="7" t="s">
        <v>12</v>
      </c>
      <c r="BX2" s="7" t="s">
        <v>12</v>
      </c>
      <c r="BY2" s="7" t="s">
        <v>12</v>
      </c>
      <c r="BZ2" s="7" t="s">
        <v>13</v>
      </c>
      <c r="CA2" s="7" t="s">
        <v>13</v>
      </c>
      <c r="CB2" s="7" t="s">
        <v>13</v>
      </c>
      <c r="CC2" s="7" t="s">
        <v>13</v>
      </c>
      <c r="CD2" s="7" t="s">
        <v>13</v>
      </c>
      <c r="CE2" s="7" t="s">
        <v>13</v>
      </c>
      <c r="CF2" s="7" t="s">
        <v>13</v>
      </c>
      <c r="CG2" s="7" t="s">
        <v>14</v>
      </c>
      <c r="CH2" s="7" t="s">
        <v>14</v>
      </c>
      <c r="CI2" s="7" t="s">
        <v>14</v>
      </c>
      <c r="CJ2" s="7" t="s">
        <v>14</v>
      </c>
      <c r="CK2" s="7" t="s">
        <v>14</v>
      </c>
      <c r="CL2" s="7" t="s">
        <v>14</v>
      </c>
      <c r="CM2" s="7" t="s">
        <v>14</v>
      </c>
      <c r="CN2" s="7" t="s">
        <v>15</v>
      </c>
      <c r="CO2" s="7" t="s">
        <v>15</v>
      </c>
      <c r="CP2" s="7" t="s">
        <v>15</v>
      </c>
      <c r="CQ2" s="7" t="s">
        <v>15</v>
      </c>
      <c r="CR2" s="7" t="s">
        <v>15</v>
      </c>
      <c r="CS2" s="7" t="s">
        <v>15</v>
      </c>
      <c r="CT2" s="7" t="s">
        <v>15</v>
      </c>
      <c r="CU2" s="7" t="s">
        <v>16</v>
      </c>
      <c r="CV2" s="7" t="s">
        <v>16</v>
      </c>
      <c r="CW2" s="7" t="s">
        <v>16</v>
      </c>
      <c r="CX2" s="7" t="s">
        <v>16</v>
      </c>
      <c r="CY2" s="7" t="s">
        <v>16</v>
      </c>
      <c r="CZ2" s="7" t="s">
        <v>16</v>
      </c>
      <c r="DA2" s="7" t="s">
        <v>16</v>
      </c>
      <c r="DB2" s="7" t="s">
        <v>17</v>
      </c>
      <c r="DC2" s="7" t="s">
        <v>17</v>
      </c>
      <c r="DD2" s="7" t="s">
        <v>17</v>
      </c>
      <c r="DE2" s="7" t="s">
        <v>17</v>
      </c>
      <c r="DF2" s="7" t="s">
        <v>17</v>
      </c>
      <c r="DG2" s="7" t="s">
        <v>17</v>
      </c>
      <c r="DH2" s="7" t="s">
        <v>17</v>
      </c>
      <c r="DI2" s="7" t="s">
        <v>18</v>
      </c>
      <c r="DJ2" s="7" t="s">
        <v>18</v>
      </c>
      <c r="DK2" s="7" t="s">
        <v>18</v>
      </c>
      <c r="DL2" s="7" t="s">
        <v>18</v>
      </c>
      <c r="DM2" s="7" t="s">
        <v>18</v>
      </c>
      <c r="DN2" s="7" t="s">
        <v>18</v>
      </c>
      <c r="DO2" s="7" t="s">
        <v>18</v>
      </c>
      <c r="DP2" s="7" t="s">
        <v>19</v>
      </c>
      <c r="DQ2" s="7" t="s">
        <v>19</v>
      </c>
      <c r="DR2" s="7" t="s">
        <v>19</v>
      </c>
      <c r="DS2" s="7" t="s">
        <v>19</v>
      </c>
      <c r="DT2" s="7" t="s">
        <v>19</v>
      </c>
      <c r="DU2" s="7" t="s">
        <v>19</v>
      </c>
      <c r="DV2" s="7" t="s">
        <v>19</v>
      </c>
      <c r="DW2" s="7" t="s">
        <v>20</v>
      </c>
      <c r="DX2" s="7" t="s">
        <v>20</v>
      </c>
      <c r="DY2" s="7" t="s">
        <v>20</v>
      </c>
      <c r="DZ2" s="7" t="s">
        <v>20</v>
      </c>
      <c r="EA2" s="7" t="s">
        <v>20</v>
      </c>
      <c r="EB2" s="7" t="s">
        <v>20</v>
      </c>
      <c r="EC2" s="7" t="s">
        <v>20</v>
      </c>
      <c r="ED2" s="7" t="s">
        <v>21</v>
      </c>
      <c r="EE2" s="7" t="s">
        <v>21</v>
      </c>
      <c r="EF2" s="7" t="s">
        <v>21</v>
      </c>
      <c r="EG2" s="7" t="s">
        <v>21</v>
      </c>
      <c r="EH2" s="7" t="s">
        <v>21</v>
      </c>
      <c r="EI2" s="7" t="s">
        <v>21</v>
      </c>
      <c r="EJ2" s="7" t="s">
        <v>21</v>
      </c>
      <c r="EK2" s="7" t="s">
        <v>22</v>
      </c>
      <c r="EL2" s="7" t="s">
        <v>22</v>
      </c>
      <c r="EM2" s="7" t="s">
        <v>22</v>
      </c>
      <c r="EN2" s="7" t="s">
        <v>22</v>
      </c>
      <c r="EO2" s="7" t="s">
        <v>22</v>
      </c>
      <c r="EP2" s="7" t="s">
        <v>22</v>
      </c>
      <c r="EQ2" s="7" t="s">
        <v>22</v>
      </c>
      <c r="ER2" s="8" t="s">
        <v>23</v>
      </c>
      <c r="ES2" s="8" t="s">
        <v>23</v>
      </c>
      <c r="ET2" s="8" t="s">
        <v>23</v>
      </c>
      <c r="EU2" s="8" t="s">
        <v>23</v>
      </c>
      <c r="EV2" s="8" t="s">
        <v>23</v>
      </c>
      <c r="EW2" s="8" t="s">
        <v>23</v>
      </c>
      <c r="EX2" s="8" t="s">
        <v>23</v>
      </c>
      <c r="EY2" s="7" t="s">
        <v>24</v>
      </c>
      <c r="EZ2" s="7" t="s">
        <v>24</v>
      </c>
      <c r="FA2" s="7" t="s">
        <v>24</v>
      </c>
      <c r="FB2" s="7" t="s">
        <v>24</v>
      </c>
      <c r="FC2" s="7" t="s">
        <v>24</v>
      </c>
      <c r="FD2" s="7" t="s">
        <v>24</v>
      </c>
      <c r="FE2" s="7" t="s">
        <v>24</v>
      </c>
      <c r="FF2" s="7" t="s">
        <v>25</v>
      </c>
      <c r="FG2" s="7" t="s">
        <v>25</v>
      </c>
      <c r="FH2" s="7" t="s">
        <v>25</v>
      </c>
      <c r="FI2" s="7" t="s">
        <v>25</v>
      </c>
      <c r="FJ2" s="7" t="s">
        <v>25</v>
      </c>
      <c r="FK2" s="7" t="s">
        <v>25</v>
      </c>
      <c r="FL2" s="7" t="s">
        <v>25</v>
      </c>
      <c r="FM2" s="7" t="s">
        <v>26</v>
      </c>
      <c r="FN2" s="7" t="s">
        <v>26</v>
      </c>
      <c r="FO2" s="7" t="s">
        <v>26</v>
      </c>
      <c r="FP2" s="7" t="s">
        <v>26</v>
      </c>
      <c r="FQ2" s="7" t="s">
        <v>26</v>
      </c>
      <c r="FR2" s="7" t="s">
        <v>26</v>
      </c>
      <c r="FS2" s="7" t="s">
        <v>26</v>
      </c>
      <c r="FT2" s="7" t="s">
        <v>27</v>
      </c>
      <c r="FU2" s="7" t="s">
        <v>27</v>
      </c>
      <c r="FV2" s="7" t="s">
        <v>27</v>
      </c>
      <c r="FW2" s="7" t="s">
        <v>27</v>
      </c>
      <c r="FX2" s="7" t="s">
        <v>27</v>
      </c>
      <c r="FY2" s="7" t="s">
        <v>27</v>
      </c>
      <c r="FZ2" s="7" t="s">
        <v>27</v>
      </c>
      <c r="GA2" s="7" t="s">
        <v>28</v>
      </c>
      <c r="GB2" s="7" t="s">
        <v>28</v>
      </c>
      <c r="GC2" s="7" t="s">
        <v>28</v>
      </c>
      <c r="GD2" s="7" t="s">
        <v>28</v>
      </c>
      <c r="GE2" s="7" t="s">
        <v>28</v>
      </c>
      <c r="GF2" s="7" t="s">
        <v>28</v>
      </c>
      <c r="GG2" s="7" t="s">
        <v>28</v>
      </c>
      <c r="GH2" s="7" t="s">
        <v>29</v>
      </c>
      <c r="GI2" s="7" t="s">
        <v>29</v>
      </c>
      <c r="GJ2" s="7" t="s">
        <v>29</v>
      </c>
      <c r="GK2" s="7" t="s">
        <v>29</v>
      </c>
      <c r="GL2" s="7" t="s">
        <v>29</v>
      </c>
      <c r="GM2" s="7" t="s">
        <v>29</v>
      </c>
      <c r="GN2" s="7" t="s">
        <v>29</v>
      </c>
      <c r="GO2" s="7" t="s">
        <v>30</v>
      </c>
      <c r="GP2" s="7" t="s">
        <v>30</v>
      </c>
      <c r="GQ2" s="7" t="s">
        <v>30</v>
      </c>
      <c r="GR2" s="7" t="s">
        <v>30</v>
      </c>
      <c r="GS2" s="7" t="s">
        <v>30</v>
      </c>
      <c r="GT2" s="7" t="s">
        <v>30</v>
      </c>
      <c r="GU2" s="7" t="s">
        <v>30</v>
      </c>
      <c r="GV2" s="7" t="s">
        <v>31</v>
      </c>
      <c r="GW2" s="7" t="s">
        <v>31</v>
      </c>
      <c r="GX2" s="7" t="s">
        <v>31</v>
      </c>
      <c r="GY2" s="7" t="s">
        <v>31</v>
      </c>
      <c r="GZ2" s="7" t="s">
        <v>31</v>
      </c>
      <c r="HA2" s="7" t="s">
        <v>31</v>
      </c>
      <c r="HB2" s="7" t="s">
        <v>31</v>
      </c>
      <c r="HC2" s="7" t="s">
        <v>32</v>
      </c>
      <c r="HD2" s="7" t="s">
        <v>32</v>
      </c>
      <c r="HE2" s="7" t="s">
        <v>32</v>
      </c>
      <c r="HF2" s="7" t="s">
        <v>32</v>
      </c>
      <c r="HG2" s="7" t="s">
        <v>32</v>
      </c>
      <c r="HH2" s="7" t="s">
        <v>32</v>
      </c>
      <c r="HI2" s="7" t="s">
        <v>32</v>
      </c>
      <c r="HJ2" s="7" t="s">
        <v>33</v>
      </c>
      <c r="HK2" s="7" t="s">
        <v>33</v>
      </c>
      <c r="HL2" s="7" t="s">
        <v>33</v>
      </c>
      <c r="HM2" s="7" t="s">
        <v>33</v>
      </c>
      <c r="HN2" s="7" t="s">
        <v>33</v>
      </c>
      <c r="HO2" s="7" t="s">
        <v>33</v>
      </c>
      <c r="HP2" s="7" t="s">
        <v>33</v>
      </c>
      <c r="HQ2" s="7" t="s">
        <v>34</v>
      </c>
      <c r="HR2" s="7" t="s">
        <v>34</v>
      </c>
      <c r="HS2" s="7" t="s">
        <v>34</v>
      </c>
      <c r="HT2" s="7" t="s">
        <v>34</v>
      </c>
      <c r="HU2" s="7" t="s">
        <v>34</v>
      </c>
      <c r="HV2" s="7" t="s">
        <v>34</v>
      </c>
      <c r="HW2" s="7" t="s">
        <v>34</v>
      </c>
      <c r="HX2" s="7" t="s">
        <v>35</v>
      </c>
      <c r="HY2" s="7" t="s">
        <v>35</v>
      </c>
      <c r="HZ2" s="7" t="s">
        <v>35</v>
      </c>
      <c r="IA2" s="7" t="s">
        <v>35</v>
      </c>
      <c r="IB2" s="7" t="s">
        <v>35</v>
      </c>
      <c r="IC2" s="7" t="s">
        <v>35</v>
      </c>
      <c r="ID2" s="7" t="s">
        <v>35</v>
      </c>
      <c r="IE2" s="7" t="s">
        <v>36</v>
      </c>
      <c r="IF2" s="7" t="s">
        <v>36</v>
      </c>
      <c r="IG2" s="7" t="s">
        <v>36</v>
      </c>
      <c r="IH2" s="7" t="s">
        <v>36</v>
      </c>
      <c r="II2" s="7" t="s">
        <v>36</v>
      </c>
      <c r="IJ2" s="7" t="s">
        <v>36</v>
      </c>
      <c r="IK2" s="7" t="s">
        <v>36</v>
      </c>
      <c r="IL2" s="7" t="s">
        <v>37</v>
      </c>
      <c r="IM2" s="7" t="s">
        <v>37</v>
      </c>
      <c r="IN2" s="7" t="s">
        <v>37</v>
      </c>
      <c r="IO2" s="7" t="s">
        <v>37</v>
      </c>
      <c r="IP2" s="7" t="s">
        <v>37</v>
      </c>
      <c r="IQ2" s="7" t="s">
        <v>37</v>
      </c>
      <c r="IR2" s="7" t="s">
        <v>37</v>
      </c>
      <c r="IS2" s="7" t="s">
        <v>38</v>
      </c>
      <c r="IT2" s="7" t="s">
        <v>38</v>
      </c>
      <c r="IU2" s="7" t="s">
        <v>38</v>
      </c>
      <c r="IV2" s="7" t="s">
        <v>38</v>
      </c>
      <c r="IW2" s="7" t="s">
        <v>38</v>
      </c>
      <c r="IX2" s="7" t="s">
        <v>38</v>
      </c>
      <c r="IY2" s="7" t="s">
        <v>38</v>
      </c>
      <c r="IZ2" s="7" t="s">
        <v>39</v>
      </c>
      <c r="JA2" s="7" t="s">
        <v>39</v>
      </c>
      <c r="JB2" s="7" t="s">
        <v>39</v>
      </c>
      <c r="JC2" s="7" t="s">
        <v>39</v>
      </c>
      <c r="JD2" s="7" t="s">
        <v>39</v>
      </c>
      <c r="JE2" s="7" t="s">
        <v>39</v>
      </c>
      <c r="JF2" s="7" t="s">
        <v>39</v>
      </c>
      <c r="JG2" s="7" t="s">
        <v>40</v>
      </c>
      <c r="JH2" s="7" t="s">
        <v>40</v>
      </c>
      <c r="JI2" s="7" t="s">
        <v>40</v>
      </c>
      <c r="JJ2" s="7" t="s">
        <v>40</v>
      </c>
      <c r="JK2" s="7" t="s">
        <v>40</v>
      </c>
      <c r="JL2" s="7" t="s">
        <v>40</v>
      </c>
      <c r="JM2" s="7" t="s">
        <v>40</v>
      </c>
      <c r="JN2" s="7" t="s">
        <v>41</v>
      </c>
      <c r="JO2" s="7" t="s">
        <v>41</v>
      </c>
      <c r="JP2" s="7" t="s">
        <v>41</v>
      </c>
      <c r="JQ2" s="7" t="s">
        <v>41</v>
      </c>
      <c r="JR2" s="7" t="s">
        <v>41</v>
      </c>
      <c r="JS2" s="7" t="s">
        <v>41</v>
      </c>
      <c r="JT2" s="7" t="s">
        <v>41</v>
      </c>
      <c r="JU2" s="7" t="s">
        <v>42</v>
      </c>
      <c r="JV2" s="7" t="s">
        <v>42</v>
      </c>
      <c r="JW2" s="7" t="s">
        <v>42</v>
      </c>
      <c r="JX2" s="7" t="s">
        <v>42</v>
      </c>
      <c r="JY2" s="7" t="s">
        <v>42</v>
      </c>
      <c r="JZ2" s="7" t="s">
        <v>42</v>
      </c>
      <c r="KA2" s="7" t="s">
        <v>42</v>
      </c>
      <c r="KB2" s="7" t="s">
        <v>43</v>
      </c>
      <c r="KC2" s="7" t="s">
        <v>43</v>
      </c>
      <c r="KD2" s="7" t="s">
        <v>43</v>
      </c>
      <c r="KE2" s="7" t="s">
        <v>43</v>
      </c>
      <c r="KF2" s="7" t="s">
        <v>43</v>
      </c>
      <c r="KG2" s="7" t="s">
        <v>43</v>
      </c>
      <c r="KH2" s="7" t="s">
        <v>43</v>
      </c>
      <c r="KI2" s="7" t="s">
        <v>44</v>
      </c>
      <c r="KJ2" s="7" t="s">
        <v>44</v>
      </c>
      <c r="KK2" s="7" t="s">
        <v>44</v>
      </c>
      <c r="KL2" s="7" t="s">
        <v>44</v>
      </c>
      <c r="KM2" s="7" t="s">
        <v>44</v>
      </c>
      <c r="KN2" s="7" t="s">
        <v>44</v>
      </c>
      <c r="KO2" s="7" t="s">
        <v>44</v>
      </c>
      <c r="KP2" s="7" t="s">
        <v>45</v>
      </c>
      <c r="KQ2" s="7" t="s">
        <v>45</v>
      </c>
      <c r="KR2" s="7" t="s">
        <v>45</v>
      </c>
      <c r="KS2" s="7" t="s">
        <v>45</v>
      </c>
      <c r="KT2" s="7" t="s">
        <v>45</v>
      </c>
      <c r="KU2" s="7" t="s">
        <v>45</v>
      </c>
      <c r="KV2" s="7" t="s">
        <v>45</v>
      </c>
      <c r="KW2" s="7" t="s">
        <v>46</v>
      </c>
      <c r="KX2" s="7" t="s">
        <v>46</v>
      </c>
      <c r="KY2" s="7" t="s">
        <v>46</v>
      </c>
      <c r="KZ2" s="7" t="s">
        <v>46</v>
      </c>
      <c r="LA2" s="7" t="s">
        <v>46</v>
      </c>
      <c r="LB2" s="7" t="s">
        <v>46</v>
      </c>
      <c r="LC2" s="7" t="s">
        <v>46</v>
      </c>
      <c r="LD2" s="7" t="s">
        <v>47</v>
      </c>
      <c r="LE2" s="7" t="s">
        <v>47</v>
      </c>
      <c r="LF2" s="7" t="s">
        <v>47</v>
      </c>
      <c r="LG2" s="7" t="s">
        <v>47</v>
      </c>
      <c r="LH2" s="7" t="s">
        <v>47</v>
      </c>
      <c r="LI2" s="7" t="s">
        <v>47</v>
      </c>
      <c r="LJ2" s="7" t="s">
        <v>47</v>
      </c>
      <c r="LK2" s="7" t="s">
        <v>48</v>
      </c>
      <c r="LL2" s="7" t="s">
        <v>48</v>
      </c>
      <c r="LM2" s="7" t="s">
        <v>48</v>
      </c>
      <c r="LN2" s="7" t="s">
        <v>48</v>
      </c>
      <c r="LO2" s="7" t="s">
        <v>48</v>
      </c>
      <c r="LP2" s="7" t="s">
        <v>48</v>
      </c>
      <c r="LQ2" s="7" t="s">
        <v>48</v>
      </c>
      <c r="LR2" s="7" t="s">
        <v>49</v>
      </c>
      <c r="LS2" s="7" t="s">
        <v>49</v>
      </c>
      <c r="LT2" s="7" t="s">
        <v>49</v>
      </c>
      <c r="LU2" s="7" t="s">
        <v>49</v>
      </c>
      <c r="LV2" s="7" t="s">
        <v>49</v>
      </c>
      <c r="LW2" s="7" t="s">
        <v>49</v>
      </c>
      <c r="LX2" s="7" t="s">
        <v>49</v>
      </c>
      <c r="LY2" s="7" t="s">
        <v>50</v>
      </c>
      <c r="LZ2" s="7" t="s">
        <v>50</v>
      </c>
      <c r="MA2" s="7" t="s">
        <v>50</v>
      </c>
      <c r="MB2" s="7" t="s">
        <v>50</v>
      </c>
      <c r="MC2" s="7" t="s">
        <v>50</v>
      </c>
      <c r="MD2" s="7" t="s">
        <v>50</v>
      </c>
      <c r="ME2" s="7" t="s">
        <v>50</v>
      </c>
      <c r="MF2" s="7" t="s">
        <v>51</v>
      </c>
      <c r="MG2" s="7" t="s">
        <v>51</v>
      </c>
      <c r="MH2" s="7" t="s">
        <v>51</v>
      </c>
      <c r="MI2" s="7" t="s">
        <v>51</v>
      </c>
      <c r="MJ2" s="7" t="s">
        <v>51</v>
      </c>
      <c r="MK2" s="7" t="s">
        <v>51</v>
      </c>
      <c r="ML2" s="7" t="s">
        <v>51</v>
      </c>
      <c r="MM2" s="7" t="s">
        <v>52</v>
      </c>
      <c r="MN2" s="7" t="s">
        <v>52</v>
      </c>
      <c r="MO2" s="7" t="s">
        <v>52</v>
      </c>
      <c r="MP2" s="7" t="s">
        <v>52</v>
      </c>
      <c r="MQ2" s="7" t="s">
        <v>52</v>
      </c>
      <c r="MR2" s="7" t="s">
        <v>52</v>
      </c>
      <c r="MS2" s="7" t="s">
        <v>52</v>
      </c>
      <c r="MT2" s="7" t="s">
        <v>53</v>
      </c>
      <c r="MU2" s="7" t="s">
        <v>53</v>
      </c>
      <c r="MV2" s="7" t="s">
        <v>53</v>
      </c>
      <c r="MW2" s="7" t="s">
        <v>53</v>
      </c>
      <c r="MX2" s="7" t="s">
        <v>53</v>
      </c>
      <c r="MY2" s="7" t="s">
        <v>53</v>
      </c>
      <c r="MZ2" s="7" t="s">
        <v>53</v>
      </c>
      <c r="NA2" s="7" t="s">
        <v>54</v>
      </c>
      <c r="NB2" s="7" t="s">
        <v>54</v>
      </c>
      <c r="NC2" s="7" t="s">
        <v>54</v>
      </c>
    </row>
    <row r="3" spans="1:367">
      <c r="A3" s="85">
        <f>SUM(C3:NC3)</f>
        <v>386459.31225292693</v>
      </c>
      <c r="B3" s="86" t="s">
        <v>427</v>
      </c>
      <c r="C3" s="7">
        <v>0</v>
      </c>
      <c r="D3" s="7">
        <v>930.80289074099062</v>
      </c>
      <c r="E3" s="7">
        <v>768.52239032760383</v>
      </c>
      <c r="F3" s="7">
        <v>449.06098677700822</v>
      </c>
      <c r="G3" s="7">
        <v>537.25</v>
      </c>
      <c r="H3" s="7">
        <v>968.89803941622586</v>
      </c>
      <c r="I3" s="7">
        <v>639.91680352338199</v>
      </c>
      <c r="J3" s="7">
        <v>668.65412116881066</v>
      </c>
      <c r="K3" s="7">
        <v>743.31282956679081</v>
      </c>
      <c r="L3" s="7">
        <v>736.25103064066843</v>
      </c>
      <c r="M3" s="7">
        <v>453.93173594355488</v>
      </c>
      <c r="N3" s="7">
        <v>558.75</v>
      </c>
      <c r="O3" s="7">
        <v>767.17844784798308</v>
      </c>
      <c r="P3" s="7">
        <v>892.83333333333326</v>
      </c>
      <c r="Q3" s="7">
        <v>710.19849674382431</v>
      </c>
      <c r="R3" s="7">
        <v>863.37231289831368</v>
      </c>
      <c r="S3" s="7">
        <v>491.54328548157201</v>
      </c>
      <c r="T3" s="7">
        <v>545.16666666666663</v>
      </c>
      <c r="U3" s="7">
        <v>522</v>
      </c>
      <c r="V3" s="7">
        <v>918.66666666666686</v>
      </c>
      <c r="W3" s="7">
        <v>544.14863254031297</v>
      </c>
      <c r="X3" s="7">
        <v>860.66666666666674</v>
      </c>
      <c r="Y3" s="7">
        <v>647.66666666666652</v>
      </c>
      <c r="Z3" s="7">
        <v>847.5</v>
      </c>
      <c r="AA3" s="7">
        <v>508.08333333333331</v>
      </c>
      <c r="AB3" s="7">
        <v>562.33333333333337</v>
      </c>
      <c r="AC3" s="7">
        <v>677.12727736409192</v>
      </c>
      <c r="AD3" s="7">
        <v>515.47986876211087</v>
      </c>
      <c r="AE3" s="7">
        <v>612.6263311627207</v>
      </c>
      <c r="AF3" s="7">
        <v>596.5</v>
      </c>
      <c r="AG3" s="7">
        <v>672</v>
      </c>
      <c r="AH3" s="7">
        <v>456</v>
      </c>
      <c r="AI3" s="7">
        <v>494.41666666666674</v>
      </c>
      <c r="AJ3" s="7">
        <v>573.25</v>
      </c>
      <c r="AK3" s="7">
        <v>496.20440846340466</v>
      </c>
      <c r="AL3" s="7">
        <v>813.374445649564</v>
      </c>
      <c r="AM3" s="7">
        <v>743.19597306387902</v>
      </c>
      <c r="AN3" s="7">
        <v>699.07026681726006</v>
      </c>
      <c r="AO3" s="7">
        <v>441.48051041605999</v>
      </c>
      <c r="AP3" s="7">
        <v>419</v>
      </c>
      <c r="AQ3" s="7">
        <v>719.59299750167713</v>
      </c>
      <c r="AR3" s="7">
        <v>628.83333333333337</v>
      </c>
      <c r="AS3" s="7">
        <v>705.18480301693012</v>
      </c>
      <c r="AT3" s="7">
        <v>677.83333333333337</v>
      </c>
      <c r="AU3" s="7">
        <v>536.38354526689295</v>
      </c>
      <c r="AV3" s="7">
        <v>278.25</v>
      </c>
      <c r="AW3" s="7">
        <v>347</v>
      </c>
      <c r="AX3" s="7">
        <v>798.5</v>
      </c>
      <c r="AY3" s="7">
        <v>724.29672098978949</v>
      </c>
      <c r="AZ3" s="7">
        <v>678.97522968136332</v>
      </c>
      <c r="BA3" s="7">
        <v>549.74040953862107</v>
      </c>
      <c r="BB3" s="7">
        <v>537.83333333333337</v>
      </c>
      <c r="BC3" s="7">
        <v>180</v>
      </c>
      <c r="BD3" s="7">
        <v>266.91666666666663</v>
      </c>
      <c r="BE3" s="7">
        <v>879.66666666666663</v>
      </c>
      <c r="BF3" s="7">
        <v>948</v>
      </c>
      <c r="BG3" s="7">
        <v>667.96409893087889</v>
      </c>
      <c r="BH3" s="7">
        <v>578.84284585385876</v>
      </c>
      <c r="BI3" s="7">
        <v>648.66666666666663</v>
      </c>
      <c r="BJ3" s="7">
        <v>325.08333333333326</v>
      </c>
      <c r="BK3" s="7">
        <v>195</v>
      </c>
      <c r="BL3" s="7">
        <v>763.58333333333326</v>
      </c>
      <c r="BM3" s="7">
        <v>742.72221309486372</v>
      </c>
      <c r="BN3" s="7">
        <v>597.33862226167685</v>
      </c>
      <c r="BO3" s="7">
        <v>738.58333333333348</v>
      </c>
      <c r="BP3" s="7">
        <v>857.33952341318673</v>
      </c>
      <c r="BQ3" s="7">
        <v>652.5</v>
      </c>
      <c r="BR3" s="7">
        <v>427.83333333333331</v>
      </c>
      <c r="BS3" s="7">
        <v>1274</v>
      </c>
      <c r="BT3" s="7">
        <v>1099.5</v>
      </c>
      <c r="BU3" s="7">
        <v>1047.7817807858803</v>
      </c>
      <c r="BV3" s="7">
        <v>1116.8690086415486</v>
      </c>
      <c r="BW3" s="7">
        <v>987.75967088424329</v>
      </c>
      <c r="BX3" s="7">
        <v>846.24999999999989</v>
      </c>
      <c r="BY3" s="7">
        <v>364.33333333333331</v>
      </c>
      <c r="BZ3" s="7">
        <v>1578.75</v>
      </c>
      <c r="CA3" s="7">
        <v>1826.6021165787761</v>
      </c>
      <c r="CB3" s="7">
        <v>1837.4999999999998</v>
      </c>
      <c r="CC3" s="7">
        <v>1707.0833333333333</v>
      </c>
      <c r="CD3" s="7">
        <v>1621.0833333333333</v>
      </c>
      <c r="CE3" s="7">
        <v>1309.3333333333333</v>
      </c>
      <c r="CF3" s="7">
        <v>1304.6666666666667</v>
      </c>
      <c r="CG3" s="7">
        <v>1627</v>
      </c>
      <c r="CH3" s="7">
        <v>1423.9166667423126</v>
      </c>
      <c r="CI3" s="7">
        <v>980.84018632659684</v>
      </c>
      <c r="CJ3" s="7">
        <v>752.41340277850702</v>
      </c>
      <c r="CK3" s="7">
        <v>745.99999999999989</v>
      </c>
      <c r="CL3" s="7">
        <v>186.58333333333334</v>
      </c>
      <c r="CP3" s="7">
        <v>687.08333333333326</v>
      </c>
      <c r="CQ3" s="7">
        <v>890.99220626660508</v>
      </c>
      <c r="CR3" s="7">
        <v>646.16666666666663</v>
      </c>
      <c r="CS3" s="7">
        <v>514.16666666666674</v>
      </c>
      <c r="CT3" s="7">
        <v>558.33333333333326</v>
      </c>
      <c r="CU3" s="7">
        <v>686.66666666666663</v>
      </c>
      <c r="CV3" s="7">
        <v>727.5</v>
      </c>
      <c r="CW3" s="7">
        <v>657.51586615836982</v>
      </c>
      <c r="CX3" s="7">
        <v>675.92888473441849</v>
      </c>
      <c r="CY3" s="7">
        <v>907.26772811457579</v>
      </c>
      <c r="CZ3" s="7">
        <v>428</v>
      </c>
      <c r="DA3" s="7">
        <v>432.41666666666669</v>
      </c>
      <c r="DB3" s="7">
        <v>1255.3809409860855</v>
      </c>
      <c r="DC3" s="7">
        <v>1094.9781748683822</v>
      </c>
      <c r="DD3" s="7">
        <v>797.09921535028673</v>
      </c>
      <c r="DE3" s="7">
        <v>874.52573062936892</v>
      </c>
      <c r="DF3" s="7">
        <v>822.35082981154449</v>
      </c>
      <c r="DG3" s="7">
        <v>410.16666666666663</v>
      </c>
      <c r="DH3" s="7">
        <v>597</v>
      </c>
      <c r="DI3" s="7">
        <v>1115.5833333333333</v>
      </c>
      <c r="DJ3" s="7">
        <v>669.93683192632386</v>
      </c>
      <c r="DK3" s="7">
        <v>122.18033660254663</v>
      </c>
      <c r="DM3" s="7">
        <v>1675.6149154093293</v>
      </c>
      <c r="DN3" s="7">
        <v>1124.6002512764385</v>
      </c>
      <c r="DO3" s="7">
        <v>624.13909397435611</v>
      </c>
      <c r="DP3" s="7">
        <v>737.91666666666663</v>
      </c>
      <c r="DQ3" s="7">
        <v>696.76251218645507</v>
      </c>
      <c r="DR3" s="7">
        <v>841.1139364504487</v>
      </c>
      <c r="DT3" s="7">
        <v>1312.7436206217781</v>
      </c>
      <c r="DU3" s="7">
        <v>764.99999999999989</v>
      </c>
      <c r="DV3" s="7">
        <v>345.11971746780085</v>
      </c>
      <c r="DW3" s="7">
        <v>1313.4727666518083</v>
      </c>
      <c r="DX3" s="7">
        <v>1407.6666666666665</v>
      </c>
      <c r="DY3" s="7">
        <v>1423.5193771804823</v>
      </c>
      <c r="DZ3" s="7">
        <v>1272.3333333333333</v>
      </c>
      <c r="EA3" s="7">
        <v>1365.6666666666667</v>
      </c>
      <c r="EB3" s="7">
        <v>373.66666666666669</v>
      </c>
      <c r="EC3" s="7">
        <v>349.83333333333337</v>
      </c>
      <c r="ED3" s="7">
        <v>1558.3333333333335</v>
      </c>
      <c r="EE3" s="7">
        <v>1418</v>
      </c>
      <c r="EF3" s="7">
        <v>1514.9911339261857</v>
      </c>
      <c r="EG3" s="7">
        <v>1402.5</v>
      </c>
      <c r="EH3" s="7">
        <v>1481.5833333333335</v>
      </c>
      <c r="EI3" s="7">
        <v>904.33333333333337</v>
      </c>
      <c r="EJ3" s="7">
        <v>371.58333333333331</v>
      </c>
      <c r="EK3" s="7">
        <v>2323</v>
      </c>
      <c r="EL3" s="7">
        <v>1689.5833333333333</v>
      </c>
      <c r="EM3" s="7">
        <v>2042.6666666666665</v>
      </c>
      <c r="EN3" s="7">
        <v>1631.75</v>
      </c>
      <c r="EO3" s="7">
        <v>1437.4166666666667</v>
      </c>
      <c r="EP3" s="7">
        <v>1726.1666666666665</v>
      </c>
      <c r="EQ3" s="7">
        <v>464.25</v>
      </c>
      <c r="ER3" s="7">
        <v>2076.4166666666665</v>
      </c>
      <c r="ES3" s="7">
        <v>2292.9166666666665</v>
      </c>
      <c r="ET3" s="7">
        <v>2367.3333333333335</v>
      </c>
      <c r="EU3" s="7">
        <v>2279.9166666666665</v>
      </c>
      <c r="EV3" s="7">
        <v>2363.833333333333</v>
      </c>
      <c r="EW3" s="7">
        <v>2205.8333333333335</v>
      </c>
      <c r="EX3" s="7">
        <v>1638</v>
      </c>
      <c r="EY3" s="7">
        <v>1411</v>
      </c>
      <c r="EZ3" s="7">
        <v>1114.75</v>
      </c>
      <c r="FA3" s="7">
        <v>806.66666666666663</v>
      </c>
      <c r="FB3" s="7">
        <v>443.83333333333337</v>
      </c>
      <c r="FG3" s="7">
        <v>2059.5</v>
      </c>
      <c r="FH3" s="7">
        <v>1974.25</v>
      </c>
      <c r="FI3" s="7">
        <v>2095.333333333333</v>
      </c>
      <c r="FJ3" s="7">
        <v>2157.0833333333335</v>
      </c>
      <c r="FK3" s="7">
        <v>2410.916666666667</v>
      </c>
      <c r="FL3" s="7">
        <v>1879.9166666666665</v>
      </c>
      <c r="FM3" s="7">
        <v>1696.8333333333337</v>
      </c>
      <c r="FN3" s="7">
        <v>1640.6533198098518</v>
      </c>
      <c r="FO3" s="7">
        <v>1717.1990724587586</v>
      </c>
      <c r="FP3" s="7">
        <v>1662.6729845161726</v>
      </c>
      <c r="FQ3" s="7">
        <v>1387.0406458864165</v>
      </c>
      <c r="FR3" s="7">
        <v>1198.8022728781289</v>
      </c>
      <c r="FS3" s="7">
        <v>335.91666666666669</v>
      </c>
      <c r="FT3" s="7">
        <v>2101.2144633969406</v>
      </c>
      <c r="FU3" s="7">
        <v>1647.5316708551559</v>
      </c>
      <c r="FV3" s="7">
        <v>1489.939389982007</v>
      </c>
      <c r="FW3" s="7">
        <v>1484.2512321730896</v>
      </c>
      <c r="FX3" s="7">
        <v>1661.25</v>
      </c>
      <c r="FY3" s="7">
        <v>1592.7500000000002</v>
      </c>
      <c r="FZ3" s="7">
        <v>390</v>
      </c>
      <c r="GA3" s="7">
        <v>2012.5728404082579</v>
      </c>
      <c r="GB3" s="7">
        <v>1602.6002223724336</v>
      </c>
      <c r="GC3" s="7">
        <v>1309.3262564379199</v>
      </c>
      <c r="GD3" s="7">
        <v>1166.131868010666</v>
      </c>
      <c r="GE3" s="7">
        <v>1264.1666666666667</v>
      </c>
      <c r="GF3" s="7">
        <v>683.08333333333337</v>
      </c>
      <c r="GG3" s="7">
        <v>330.66666666666663</v>
      </c>
      <c r="GH3" s="7">
        <v>1494.1666666666667</v>
      </c>
      <c r="GI3" s="7">
        <v>1614.6666666666665</v>
      </c>
      <c r="GJ3" s="7">
        <v>1534.1666666666667</v>
      </c>
      <c r="GK3" s="7">
        <v>1298.3333333333333</v>
      </c>
      <c r="GL3" s="7">
        <v>1323.9166666666667</v>
      </c>
      <c r="GM3" s="7">
        <v>897.08333333333337</v>
      </c>
      <c r="GN3" s="7">
        <v>350.5</v>
      </c>
      <c r="GO3" s="7">
        <v>1669.1666666666665</v>
      </c>
      <c r="GQ3" s="7">
        <v>1936.75</v>
      </c>
      <c r="GR3" s="7">
        <v>1658.9317994561002</v>
      </c>
      <c r="GS3" s="7">
        <v>1321.3943584900844</v>
      </c>
      <c r="GT3" s="7">
        <v>1399.5525088967074</v>
      </c>
      <c r="GU3" s="7">
        <v>809.33333333333348</v>
      </c>
      <c r="GV3" s="7">
        <v>984.41666666666652</v>
      </c>
      <c r="GW3" s="7">
        <v>995.74999999999989</v>
      </c>
      <c r="GX3" s="7">
        <v>975.75000000000011</v>
      </c>
      <c r="GY3" s="7">
        <v>928.09716862858818</v>
      </c>
      <c r="GZ3" s="7">
        <v>988.64676132181205</v>
      </c>
      <c r="HA3" s="7">
        <v>581.14237885395141</v>
      </c>
      <c r="HB3" s="7">
        <v>453.74999999999994</v>
      </c>
      <c r="HC3" s="7">
        <v>1094.2569351590816</v>
      </c>
      <c r="HD3" s="7">
        <v>1209.5191828356594</v>
      </c>
      <c r="HE3" s="7">
        <v>1021.1761919217739</v>
      </c>
      <c r="HF3" s="7">
        <v>891.61541848971547</v>
      </c>
      <c r="HG3" s="7">
        <v>790.15137908589463</v>
      </c>
      <c r="HH3" s="7">
        <v>511.20365636798243</v>
      </c>
      <c r="HI3" s="7">
        <v>434.5</v>
      </c>
      <c r="HJ3" s="7">
        <v>1130.7268268282648</v>
      </c>
      <c r="HK3" s="7">
        <v>845.84847874794434</v>
      </c>
      <c r="HL3" s="7">
        <v>716.96596535712342</v>
      </c>
      <c r="HM3" s="7">
        <v>803.69337671045696</v>
      </c>
      <c r="HN3" s="7">
        <v>824.99498631809865</v>
      </c>
      <c r="HO3" s="7">
        <v>624.33333333333326</v>
      </c>
      <c r="HP3" s="7">
        <v>396.25</v>
      </c>
      <c r="HQ3" s="7">
        <v>1038.4166666666667</v>
      </c>
      <c r="HR3" s="7">
        <v>898.98037039637768</v>
      </c>
      <c r="HS3" s="7">
        <v>834.12850833363291</v>
      </c>
      <c r="HT3" s="7">
        <v>832.83010351741393</v>
      </c>
      <c r="HU3" s="7">
        <v>955.29224580654875</v>
      </c>
      <c r="HV3" s="7">
        <v>537.52369618349314</v>
      </c>
      <c r="HW3" s="7">
        <v>385.75</v>
      </c>
      <c r="HX3" s="7">
        <v>1067.0265077446466</v>
      </c>
      <c r="HY3" s="7">
        <v>833.26521690026175</v>
      </c>
      <c r="HZ3" s="7">
        <v>732.32690696973702</v>
      </c>
      <c r="IA3" s="7">
        <v>793.79794244082188</v>
      </c>
      <c r="IB3" s="7">
        <v>744.49634307964129</v>
      </c>
      <c r="IC3" s="7">
        <v>817.86816734465333</v>
      </c>
      <c r="ID3" s="7">
        <v>747.99165754030685</v>
      </c>
      <c r="IE3" s="7">
        <v>1011.5473035306291</v>
      </c>
      <c r="IF3" s="7">
        <v>960.50928079913717</v>
      </c>
      <c r="IG3" s="7">
        <v>1101.8282103507829</v>
      </c>
      <c r="IH3" s="7">
        <v>1043.2060398881581</v>
      </c>
      <c r="II3" s="7">
        <v>994.16666666666652</v>
      </c>
      <c r="IJ3" s="7">
        <v>1124.25</v>
      </c>
      <c r="IK3" s="7">
        <v>805.03763299124375</v>
      </c>
      <c r="IL3" s="7">
        <v>820.09804238165339</v>
      </c>
      <c r="IM3" s="7">
        <v>994.00442112650853</v>
      </c>
      <c r="IN3" s="7">
        <v>916.54694044845678</v>
      </c>
      <c r="IO3" s="7">
        <v>933.50882132331856</v>
      </c>
      <c r="IP3" s="7">
        <v>796.91953518245782</v>
      </c>
      <c r="IQ3" s="7">
        <v>778.99207803285992</v>
      </c>
      <c r="IR3" s="7">
        <v>1033.9297167173252</v>
      </c>
      <c r="IS3" s="7">
        <v>1318.8283405692232</v>
      </c>
      <c r="IT3" s="7">
        <v>1387.8016576126008</v>
      </c>
      <c r="IU3" s="7">
        <v>1515.9198253484601</v>
      </c>
      <c r="IV3" s="7">
        <v>1409.3785096253364</v>
      </c>
      <c r="IW3" s="7">
        <v>1209.5456454194241</v>
      </c>
      <c r="IX3" s="7">
        <v>884.02245868008515</v>
      </c>
      <c r="IY3" s="7">
        <v>596.91677419354835</v>
      </c>
      <c r="IZ3" s="7">
        <v>1201.76344034882</v>
      </c>
      <c r="JA3" s="7">
        <v>1188.6704208283688</v>
      </c>
      <c r="JB3" s="7">
        <v>1003.6490054008131</v>
      </c>
      <c r="JC3" s="7">
        <v>934.19503734410796</v>
      </c>
      <c r="JD3" s="7">
        <v>946.3258850964595</v>
      </c>
      <c r="JE3" s="7">
        <v>609.36083749857528</v>
      </c>
      <c r="JF3" s="7">
        <v>584</v>
      </c>
      <c r="JG3" s="7">
        <v>1184.3333333333335</v>
      </c>
      <c r="JH3" s="7">
        <v>1486.75</v>
      </c>
      <c r="JI3" s="7">
        <v>1384.3333333333335</v>
      </c>
      <c r="JJ3" s="7">
        <v>1465.25</v>
      </c>
      <c r="JK3" s="7">
        <v>1029.0833333333335</v>
      </c>
      <c r="JL3" s="7">
        <v>611</v>
      </c>
      <c r="JM3" s="7">
        <v>636.83333333333326</v>
      </c>
      <c r="JN3" s="7">
        <v>1694.1666666666667</v>
      </c>
      <c r="JO3" s="7">
        <v>1644.6666666666667</v>
      </c>
      <c r="JP3" s="7">
        <v>1453.762659013388</v>
      </c>
      <c r="JQ3" s="7">
        <v>1118.1480986744914</v>
      </c>
      <c r="JR3" s="7">
        <v>1186.2948334186162</v>
      </c>
      <c r="JS3" s="7">
        <v>634.70878003696851</v>
      </c>
      <c r="JT3" s="7">
        <v>598.58333333333326</v>
      </c>
      <c r="JU3" s="7">
        <v>1245.5568755080299</v>
      </c>
      <c r="JV3" s="7">
        <v>1252.9916620071601</v>
      </c>
      <c r="JW3" s="7">
        <v>1672.4150554953214</v>
      </c>
      <c r="JX3" s="7">
        <v>1588.0051283532096</v>
      </c>
      <c r="JY3" s="7">
        <v>1565.9160778839123</v>
      </c>
      <c r="JZ3" s="7">
        <v>1007.6881543740069</v>
      </c>
      <c r="KA3" s="7">
        <v>604.66666666666663</v>
      </c>
      <c r="KB3" s="7">
        <v>2084.2493244046182</v>
      </c>
      <c r="KC3" s="7">
        <v>2256.8207738039659</v>
      </c>
      <c r="KD3" s="7">
        <v>2267.0500605046941</v>
      </c>
      <c r="KE3" s="7">
        <v>2369.103315491951</v>
      </c>
      <c r="KF3" s="7">
        <v>2017.6925110674983</v>
      </c>
      <c r="KG3" s="7">
        <v>1767.1666666666663</v>
      </c>
      <c r="KH3" s="7">
        <v>1210.8333333333335</v>
      </c>
      <c r="KI3" s="7">
        <v>1982.833333333333</v>
      </c>
      <c r="KJ3" s="7">
        <v>1893.25</v>
      </c>
      <c r="KK3" s="7">
        <v>1874.0000000000002</v>
      </c>
      <c r="KL3" s="7">
        <v>1832.25</v>
      </c>
      <c r="KM3" s="7">
        <v>1818.6666666666665</v>
      </c>
      <c r="KN3" s="7">
        <v>1221.75</v>
      </c>
      <c r="KO3" s="7">
        <v>988.83333333333348</v>
      </c>
      <c r="KP3" s="7">
        <v>2293.25</v>
      </c>
      <c r="KQ3" s="7">
        <v>1889.6666666666665</v>
      </c>
      <c r="KR3" s="7">
        <v>1867.4570177156645</v>
      </c>
      <c r="KS3" s="7">
        <v>1609.7752755243309</v>
      </c>
      <c r="KT3" s="7">
        <v>1761.7539701941175</v>
      </c>
      <c r="KU3" s="7">
        <v>951.01039872186197</v>
      </c>
      <c r="KV3" s="7">
        <v>629.5</v>
      </c>
      <c r="KW3" s="7">
        <v>2373.4071860194222</v>
      </c>
      <c r="KX3" s="7">
        <v>2156.3333333333335</v>
      </c>
      <c r="KY3" s="7">
        <v>1649.1580219052471</v>
      </c>
      <c r="KZ3" s="7">
        <v>1075.8757588759079</v>
      </c>
      <c r="LA3" s="7">
        <v>1242.2010723879162</v>
      </c>
      <c r="LB3" s="7">
        <v>710.23972218637061</v>
      </c>
      <c r="LC3" s="7">
        <v>676.16666666666674</v>
      </c>
      <c r="LD3" s="7">
        <v>1573.75</v>
      </c>
      <c r="LE3" s="7">
        <v>1573.1666666666665</v>
      </c>
      <c r="LF3" s="7">
        <v>1437.919353026085</v>
      </c>
      <c r="LG3" s="7">
        <v>1208.1017971376382</v>
      </c>
      <c r="LH3" s="7">
        <v>1316.566501168985</v>
      </c>
      <c r="LI3" s="7">
        <v>731.25</v>
      </c>
      <c r="LJ3" s="7">
        <v>689.25</v>
      </c>
      <c r="LK3" s="7">
        <v>2263.6233729635505</v>
      </c>
      <c r="LL3" s="7">
        <v>1474.7596577579541</v>
      </c>
      <c r="LM3" s="7">
        <v>1066.0991396141771</v>
      </c>
      <c r="LN3" s="7">
        <v>1278.4526232722255</v>
      </c>
      <c r="LO3" s="7">
        <v>1249.5071308456361</v>
      </c>
      <c r="LP3" s="7">
        <v>696.32390542065252</v>
      </c>
      <c r="LQ3" s="7">
        <v>705.41666666666674</v>
      </c>
      <c r="LR3" s="7">
        <v>1544.8588703878636</v>
      </c>
      <c r="LS3" s="7">
        <v>1256.8169946396811</v>
      </c>
      <c r="LT3" s="7">
        <v>1275.7029698829635</v>
      </c>
      <c r="LU3" s="7">
        <v>1408.0028366466618</v>
      </c>
      <c r="LV3" s="7">
        <v>1739.5703235841249</v>
      </c>
      <c r="LW3" s="7">
        <v>970.88508854974293</v>
      </c>
      <c r="LX3" s="7">
        <v>582.5</v>
      </c>
      <c r="LY3" s="7">
        <v>2073.2325910623099</v>
      </c>
      <c r="LZ3" s="7">
        <v>2006.1475378608045</v>
      </c>
      <c r="MA3" s="7">
        <v>1417.6858472742263</v>
      </c>
      <c r="MB3" s="7">
        <v>1579.4063645452829</v>
      </c>
      <c r="MC3" s="7">
        <v>1671.1069990873011</v>
      </c>
      <c r="MD3" s="7">
        <v>1033.8406746375035</v>
      </c>
      <c r="ME3" s="7">
        <v>596.84642883324238</v>
      </c>
      <c r="MF3" s="7">
        <v>1896.1253323873277</v>
      </c>
      <c r="MG3" s="7">
        <v>2071.1491586814191</v>
      </c>
      <c r="MH3" s="7">
        <v>1593.2510126400355</v>
      </c>
      <c r="MI3" s="7">
        <v>1530.3970556255911</v>
      </c>
      <c r="MJ3" s="7">
        <v>1349.7404923699951</v>
      </c>
      <c r="MK3" s="7">
        <v>935.38893324143169</v>
      </c>
      <c r="ML3" s="7">
        <v>531.66666666666674</v>
      </c>
      <c r="MM3" s="7">
        <v>1335.0352777778171</v>
      </c>
      <c r="MN3" s="7">
        <v>1522.0350255613025</v>
      </c>
      <c r="MO3" s="7">
        <v>1387.1668185656938</v>
      </c>
      <c r="MP3" s="7">
        <v>1242.8262776647362</v>
      </c>
      <c r="MQ3" s="7">
        <v>990.73600160591241</v>
      </c>
      <c r="MR3" s="7">
        <v>1073.2012812943842</v>
      </c>
      <c r="MS3" s="7">
        <v>1104.2799426971794</v>
      </c>
      <c r="MT3" s="7">
        <v>1441.6666666666665</v>
      </c>
      <c r="MU3" s="7">
        <v>1237.5</v>
      </c>
      <c r="MV3" s="7">
        <v>1053.6741429071242</v>
      </c>
      <c r="MW3" s="7">
        <v>984.90017627950442</v>
      </c>
      <c r="MX3" s="7">
        <v>908.80574578569281</v>
      </c>
      <c r="MY3" s="7">
        <v>566.83333333333337</v>
      </c>
      <c r="MZ3" s="7">
        <v>592.25</v>
      </c>
      <c r="NA3" s="7">
        <v>1151.5</v>
      </c>
      <c r="NB3" s="7">
        <v>926.04156744341378</v>
      </c>
      <c r="NC3" s="7">
        <v>485.69979744936245</v>
      </c>
    </row>
    <row r="4" spans="1:367">
      <c r="A4" s="87">
        <f>SUM(C4:NC4)</f>
        <v>40611531</v>
      </c>
      <c r="B4" s="88" t="s">
        <v>423</v>
      </c>
      <c r="C4" s="7"/>
      <c r="D4" s="7">
        <v>115126</v>
      </c>
      <c r="E4" s="7">
        <v>82630</v>
      </c>
      <c r="F4" s="7">
        <v>50945</v>
      </c>
      <c r="G4" s="7">
        <v>52974</v>
      </c>
      <c r="H4" s="7">
        <v>106327</v>
      </c>
      <c r="I4" s="7">
        <v>64866</v>
      </c>
      <c r="J4" s="7">
        <v>132917</v>
      </c>
      <c r="K4" s="7">
        <v>102398</v>
      </c>
      <c r="L4" s="7">
        <v>59358</v>
      </c>
      <c r="M4" s="7">
        <v>54601</v>
      </c>
      <c r="N4" s="7">
        <v>65466</v>
      </c>
      <c r="O4" s="7">
        <v>86824</v>
      </c>
      <c r="P4" s="7">
        <v>92969</v>
      </c>
      <c r="Q4" s="7">
        <v>139575</v>
      </c>
      <c r="R4" s="7">
        <v>139414</v>
      </c>
      <c r="S4" s="7">
        <v>80799</v>
      </c>
      <c r="T4" s="7">
        <v>62881</v>
      </c>
      <c r="U4" s="7">
        <v>63104</v>
      </c>
      <c r="V4" s="7">
        <v>90936</v>
      </c>
      <c r="W4" s="7">
        <v>98316</v>
      </c>
      <c r="X4" s="7">
        <v>90384</v>
      </c>
      <c r="Y4" s="7">
        <v>55790</v>
      </c>
      <c r="Z4" s="7">
        <v>71415</v>
      </c>
      <c r="AA4" s="7">
        <v>57757</v>
      </c>
      <c r="AB4" s="7">
        <v>63970</v>
      </c>
      <c r="AC4" s="7">
        <v>66428</v>
      </c>
      <c r="AD4" s="7">
        <v>63187</v>
      </c>
      <c r="AE4" s="7">
        <v>88736</v>
      </c>
      <c r="AF4" s="7">
        <v>63895</v>
      </c>
      <c r="AG4" s="7">
        <v>75454</v>
      </c>
      <c r="AH4" s="7">
        <v>64142</v>
      </c>
      <c r="AI4" s="7">
        <v>70854</v>
      </c>
      <c r="AJ4" s="7">
        <v>70876</v>
      </c>
      <c r="AK4" s="7">
        <v>74771</v>
      </c>
      <c r="AL4" s="7">
        <v>120475</v>
      </c>
      <c r="AM4" s="7">
        <v>125056</v>
      </c>
      <c r="AN4" s="7">
        <v>117472</v>
      </c>
      <c r="AO4" s="7">
        <v>67535</v>
      </c>
      <c r="AP4" s="7">
        <v>76840</v>
      </c>
      <c r="AQ4" s="7">
        <v>107451</v>
      </c>
      <c r="AR4" s="7">
        <v>85363</v>
      </c>
      <c r="AS4" s="7">
        <v>96020</v>
      </c>
      <c r="AT4" s="7">
        <v>94242</v>
      </c>
      <c r="AU4" s="7">
        <v>56371</v>
      </c>
      <c r="AV4" s="7">
        <v>44228</v>
      </c>
      <c r="AW4" s="7">
        <v>58600</v>
      </c>
      <c r="AX4" s="7">
        <v>103518</v>
      </c>
      <c r="AY4" s="7">
        <v>110390</v>
      </c>
      <c r="AZ4" s="7">
        <v>102153</v>
      </c>
      <c r="BA4" s="7">
        <v>82535</v>
      </c>
      <c r="BB4" s="7">
        <v>67985</v>
      </c>
      <c r="BC4" s="7">
        <v>32951</v>
      </c>
      <c r="BD4" s="7">
        <v>53688</v>
      </c>
      <c r="BE4" s="7">
        <v>109438</v>
      </c>
      <c r="BF4" s="7">
        <v>123377</v>
      </c>
      <c r="BG4" s="7">
        <v>104309</v>
      </c>
      <c r="BH4" s="7">
        <v>77025</v>
      </c>
      <c r="BI4" s="7">
        <v>83156</v>
      </c>
      <c r="BJ4" s="7">
        <v>52769</v>
      </c>
      <c r="BK4" s="7">
        <v>32841</v>
      </c>
      <c r="BL4" s="7">
        <v>109558</v>
      </c>
      <c r="BM4" s="7">
        <v>109154</v>
      </c>
      <c r="BN4" s="7">
        <v>116978</v>
      </c>
      <c r="BO4" s="7">
        <v>125027</v>
      </c>
      <c r="BP4" s="7">
        <v>108212</v>
      </c>
      <c r="BQ4" s="7">
        <v>81448</v>
      </c>
      <c r="BR4" s="7">
        <v>70293</v>
      </c>
      <c r="BS4" s="7">
        <v>154478</v>
      </c>
      <c r="BT4" s="7">
        <v>135916</v>
      </c>
      <c r="BU4" s="7">
        <v>124186</v>
      </c>
      <c r="BV4" s="7">
        <v>140453</v>
      </c>
      <c r="BW4" s="7">
        <v>130533</v>
      </c>
      <c r="BX4" s="7">
        <v>101039</v>
      </c>
      <c r="BY4" s="7">
        <v>57796</v>
      </c>
      <c r="BZ4" s="7">
        <v>177836</v>
      </c>
      <c r="CA4" s="7">
        <v>197527</v>
      </c>
      <c r="CB4" s="7">
        <v>193563</v>
      </c>
      <c r="CC4" s="7">
        <v>183430</v>
      </c>
      <c r="CD4" s="7">
        <v>170675</v>
      </c>
      <c r="CE4" s="7">
        <v>160613</v>
      </c>
      <c r="CF4" s="7">
        <v>149608</v>
      </c>
      <c r="CG4" s="109">
        <v>172650</v>
      </c>
      <c r="CH4" s="109">
        <v>170792</v>
      </c>
      <c r="CI4" s="109">
        <v>116743</v>
      </c>
      <c r="CJ4" s="109">
        <v>91124</v>
      </c>
      <c r="CK4" s="109">
        <v>63408</v>
      </c>
      <c r="CL4" s="109">
        <v>27247</v>
      </c>
      <c r="CP4" s="109">
        <v>182899</v>
      </c>
      <c r="CQ4" s="109">
        <v>100177</v>
      </c>
      <c r="CR4" s="109">
        <v>75019</v>
      </c>
      <c r="CS4" s="109">
        <v>65877</v>
      </c>
      <c r="CT4" s="109">
        <v>74151</v>
      </c>
      <c r="CU4" s="109">
        <v>110181</v>
      </c>
      <c r="CV4" s="109">
        <v>103249</v>
      </c>
      <c r="CW4" s="109">
        <v>98677</v>
      </c>
      <c r="CX4" s="109">
        <v>100096</v>
      </c>
      <c r="CY4" s="109">
        <v>149790</v>
      </c>
      <c r="CZ4" s="109">
        <v>58733</v>
      </c>
      <c r="DA4" s="109">
        <v>70042</v>
      </c>
      <c r="DB4" s="109">
        <v>148764</v>
      </c>
      <c r="DC4" s="109">
        <v>150857</v>
      </c>
      <c r="DD4" s="109">
        <v>100382</v>
      </c>
      <c r="DE4" s="109">
        <v>138215</v>
      </c>
      <c r="DF4" s="109">
        <v>110888</v>
      </c>
      <c r="DG4" s="109">
        <v>67452</v>
      </c>
      <c r="DH4" s="109">
        <v>91602</v>
      </c>
      <c r="DI4" s="7">
        <v>127305</v>
      </c>
      <c r="DJ4" s="7">
        <v>91264</v>
      </c>
      <c r="DK4" s="7">
        <v>18419</v>
      </c>
      <c r="DM4" s="7">
        <v>146775</v>
      </c>
      <c r="DN4" s="7">
        <v>148549</v>
      </c>
      <c r="DO4" s="7">
        <v>87013</v>
      </c>
      <c r="DP4" s="7">
        <v>104441</v>
      </c>
      <c r="DQ4" s="7">
        <v>103778</v>
      </c>
      <c r="DR4" s="7">
        <v>117312</v>
      </c>
      <c r="DT4" s="7">
        <v>161473</v>
      </c>
      <c r="DU4" s="7">
        <v>104226</v>
      </c>
      <c r="DV4" s="7">
        <v>58182</v>
      </c>
      <c r="DW4" s="7">
        <v>167607</v>
      </c>
      <c r="DX4" s="7">
        <v>161650</v>
      </c>
      <c r="DY4" s="7">
        <v>161484</v>
      </c>
      <c r="DZ4" s="7">
        <v>128509</v>
      </c>
      <c r="EA4" s="7">
        <v>129422</v>
      </c>
      <c r="EB4" s="7">
        <v>53347</v>
      </c>
      <c r="EC4" s="7">
        <v>48145</v>
      </c>
      <c r="ED4" s="7">
        <v>155006</v>
      </c>
      <c r="EE4" s="7">
        <v>137152</v>
      </c>
      <c r="EF4" s="7">
        <v>157205</v>
      </c>
      <c r="EG4" s="7">
        <v>137931</v>
      </c>
      <c r="EH4" s="7">
        <v>146870</v>
      </c>
      <c r="EI4" s="7">
        <v>91390</v>
      </c>
      <c r="EJ4" s="7">
        <v>50435</v>
      </c>
      <c r="EK4" s="7">
        <v>193913</v>
      </c>
      <c r="EL4" s="7">
        <v>157970</v>
      </c>
      <c r="EM4" s="7">
        <v>192183</v>
      </c>
      <c r="EN4" s="7">
        <v>157367</v>
      </c>
      <c r="EO4" s="7">
        <v>130880</v>
      </c>
      <c r="EP4" s="7">
        <v>145419</v>
      </c>
      <c r="EQ4" s="7">
        <v>50562</v>
      </c>
      <c r="ER4" s="105">
        <v>196963</v>
      </c>
      <c r="ES4" s="105">
        <v>202646</v>
      </c>
      <c r="ET4" s="105">
        <v>206613</v>
      </c>
      <c r="EU4" s="105">
        <v>206702</v>
      </c>
      <c r="EV4" s="105">
        <v>197727</v>
      </c>
      <c r="EW4" s="110">
        <v>197735</v>
      </c>
      <c r="EX4" s="105">
        <v>171962</v>
      </c>
      <c r="EY4" s="7">
        <v>131012</v>
      </c>
      <c r="EZ4" s="7">
        <v>99030</v>
      </c>
      <c r="FA4" s="7">
        <v>68905</v>
      </c>
      <c r="FB4" s="7">
        <v>36317</v>
      </c>
      <c r="FG4" s="7">
        <v>163488</v>
      </c>
      <c r="FH4" s="7">
        <v>160871</v>
      </c>
      <c r="FI4" s="7">
        <v>173561</v>
      </c>
      <c r="FJ4" s="7">
        <v>180107</v>
      </c>
      <c r="FK4" s="7">
        <v>189171</v>
      </c>
      <c r="FL4" s="7">
        <v>173851</v>
      </c>
      <c r="FM4" s="7">
        <v>149019</v>
      </c>
      <c r="FN4" s="7">
        <v>156390</v>
      </c>
      <c r="FO4" s="7">
        <v>171888</v>
      </c>
      <c r="FP4" s="7">
        <v>184691</v>
      </c>
      <c r="FQ4" s="7">
        <v>142276</v>
      </c>
      <c r="FR4" s="7">
        <v>105610</v>
      </c>
      <c r="FS4" s="7">
        <v>39818</v>
      </c>
      <c r="FT4" s="7">
        <v>177559</v>
      </c>
      <c r="FU4" s="7">
        <v>137118</v>
      </c>
      <c r="FV4" s="7">
        <v>136662</v>
      </c>
      <c r="FW4" s="7">
        <v>169722</v>
      </c>
      <c r="FX4" s="7">
        <v>157236</v>
      </c>
      <c r="FY4" s="7">
        <v>135803</v>
      </c>
      <c r="FZ4" s="7">
        <v>45285</v>
      </c>
      <c r="GA4" s="7">
        <v>188915</v>
      </c>
      <c r="GB4" s="7">
        <v>147460</v>
      </c>
      <c r="GC4" s="7">
        <v>152138</v>
      </c>
      <c r="GD4" s="7">
        <v>152156</v>
      </c>
      <c r="GE4" s="7">
        <v>108991</v>
      </c>
      <c r="GF4" s="7">
        <v>59930</v>
      </c>
      <c r="GG4" s="7">
        <v>38029</v>
      </c>
      <c r="GH4" s="7">
        <v>132553</v>
      </c>
      <c r="GI4" s="7">
        <v>142822</v>
      </c>
      <c r="GJ4" s="7">
        <v>139190</v>
      </c>
      <c r="GK4" s="7">
        <v>113597</v>
      </c>
      <c r="GL4" s="7">
        <v>99025</v>
      </c>
      <c r="GM4" s="7">
        <v>71147</v>
      </c>
      <c r="GN4" s="7">
        <v>40670</v>
      </c>
      <c r="GO4" s="89">
        <v>152620</v>
      </c>
      <c r="GP4" s="89"/>
      <c r="GQ4" s="89">
        <v>164041</v>
      </c>
      <c r="GR4" s="89">
        <v>180269</v>
      </c>
      <c r="GS4" s="89">
        <v>174283</v>
      </c>
      <c r="GT4" s="89">
        <v>169294</v>
      </c>
      <c r="GU4" s="89">
        <v>78532</v>
      </c>
      <c r="GV4" s="89">
        <v>92881</v>
      </c>
      <c r="GW4" s="89">
        <v>107137</v>
      </c>
      <c r="GX4" s="89">
        <v>100719</v>
      </c>
      <c r="GY4" s="89">
        <v>116219</v>
      </c>
      <c r="GZ4" s="89">
        <v>121532</v>
      </c>
      <c r="HA4" s="89">
        <v>63151</v>
      </c>
      <c r="HB4" s="89">
        <v>51606</v>
      </c>
      <c r="HC4" s="90">
        <v>108284</v>
      </c>
      <c r="HD4" s="90">
        <v>115009</v>
      </c>
      <c r="HE4" s="90">
        <v>116878</v>
      </c>
      <c r="HF4" s="90">
        <v>118892</v>
      </c>
      <c r="HG4" s="90">
        <v>111973</v>
      </c>
      <c r="HH4" s="90">
        <v>58730</v>
      </c>
      <c r="HI4" s="90">
        <v>49041</v>
      </c>
      <c r="HJ4" s="90">
        <v>136386</v>
      </c>
      <c r="HK4" s="90">
        <v>105080</v>
      </c>
      <c r="HL4" s="90">
        <v>103987</v>
      </c>
      <c r="HM4" s="90">
        <v>96803</v>
      </c>
      <c r="HN4" s="90">
        <v>88418</v>
      </c>
      <c r="HO4" s="90">
        <v>68473</v>
      </c>
      <c r="HP4" s="90">
        <v>45570</v>
      </c>
      <c r="HQ4" s="90">
        <v>122561</v>
      </c>
      <c r="HR4" s="90">
        <v>113638</v>
      </c>
      <c r="HS4" s="90">
        <v>118141</v>
      </c>
      <c r="HT4" s="90">
        <v>101491</v>
      </c>
      <c r="HU4" s="90">
        <v>84871</v>
      </c>
      <c r="HV4" s="90">
        <v>56302</v>
      </c>
      <c r="HW4" s="90">
        <v>45814</v>
      </c>
      <c r="HX4" s="90">
        <v>109580</v>
      </c>
      <c r="HY4" s="90">
        <v>95068</v>
      </c>
      <c r="HZ4" s="90">
        <v>83283</v>
      </c>
      <c r="IA4" s="90">
        <v>99015</v>
      </c>
      <c r="IB4" s="90">
        <v>93242</v>
      </c>
      <c r="IC4" s="90">
        <v>95630</v>
      </c>
      <c r="ID4" s="90">
        <v>96757</v>
      </c>
      <c r="IE4" s="90">
        <v>122628</v>
      </c>
      <c r="IF4" s="90">
        <v>126947</v>
      </c>
      <c r="IG4" s="90">
        <v>125434</v>
      </c>
      <c r="IH4" s="90">
        <v>129677</v>
      </c>
      <c r="II4" s="90">
        <v>101385</v>
      </c>
      <c r="IJ4" s="90">
        <v>100795</v>
      </c>
      <c r="IK4" s="90">
        <v>85407</v>
      </c>
      <c r="IL4" s="90">
        <v>109577</v>
      </c>
      <c r="IM4" s="90">
        <v>122602</v>
      </c>
      <c r="IN4" s="90">
        <v>116689</v>
      </c>
      <c r="IO4" s="90">
        <v>111444</v>
      </c>
      <c r="IP4" s="90">
        <v>99777</v>
      </c>
      <c r="IQ4" s="90">
        <v>93307</v>
      </c>
      <c r="IR4" s="90">
        <v>106994</v>
      </c>
      <c r="IS4" s="90">
        <v>121434</v>
      </c>
      <c r="IT4" s="90">
        <v>128490</v>
      </c>
      <c r="IU4" s="90">
        <v>141494</v>
      </c>
      <c r="IV4" s="90">
        <v>161557</v>
      </c>
      <c r="IW4" s="90">
        <v>128758</v>
      </c>
      <c r="IX4" s="90">
        <v>86356</v>
      </c>
      <c r="IY4" s="90">
        <v>56899</v>
      </c>
      <c r="IZ4" s="90">
        <v>123937</v>
      </c>
      <c r="JA4" s="90">
        <v>122283</v>
      </c>
      <c r="JB4" s="90">
        <v>118150</v>
      </c>
      <c r="JC4" s="90">
        <v>104335</v>
      </c>
      <c r="JD4" s="90">
        <v>104320</v>
      </c>
      <c r="JE4" s="90">
        <v>60346</v>
      </c>
      <c r="JF4" s="90">
        <v>60708</v>
      </c>
      <c r="JG4" s="90">
        <v>120167</v>
      </c>
      <c r="JH4" s="90">
        <v>148785</v>
      </c>
      <c r="JI4" s="90">
        <v>136203</v>
      </c>
      <c r="JJ4" s="90">
        <v>132615</v>
      </c>
      <c r="JK4" s="90">
        <v>92775</v>
      </c>
      <c r="JL4" s="90">
        <v>59180</v>
      </c>
      <c r="JM4" s="90">
        <v>65127</v>
      </c>
      <c r="JN4" s="90">
        <v>153072</v>
      </c>
      <c r="JO4" s="90">
        <v>161820</v>
      </c>
      <c r="JP4" s="90">
        <v>149159</v>
      </c>
      <c r="JQ4" s="90">
        <v>103876</v>
      </c>
      <c r="JR4" s="90">
        <v>115769</v>
      </c>
      <c r="JS4" s="90">
        <v>63307</v>
      </c>
      <c r="JT4" s="90">
        <v>59694</v>
      </c>
      <c r="JU4" s="90">
        <v>125434</v>
      </c>
      <c r="JV4" s="90">
        <v>125423</v>
      </c>
      <c r="JW4" s="90">
        <v>157843</v>
      </c>
      <c r="JX4" s="90">
        <v>155570</v>
      </c>
      <c r="JY4" s="90">
        <v>139940</v>
      </c>
      <c r="JZ4" s="90">
        <v>85806</v>
      </c>
      <c r="KA4" s="90">
        <v>56169</v>
      </c>
      <c r="KB4" s="90">
        <v>164752</v>
      </c>
      <c r="KC4" s="90">
        <v>170535</v>
      </c>
      <c r="KD4" s="90">
        <v>165826</v>
      </c>
      <c r="KE4" s="90">
        <v>175109</v>
      </c>
      <c r="KF4" s="90">
        <v>148154</v>
      </c>
      <c r="KG4" s="90">
        <v>139944</v>
      </c>
      <c r="KH4" s="90">
        <v>111545</v>
      </c>
      <c r="KI4" s="90">
        <v>159219</v>
      </c>
      <c r="KJ4" s="90">
        <v>152775</v>
      </c>
      <c r="KK4" s="90">
        <v>151971</v>
      </c>
      <c r="KL4" s="90">
        <v>150861</v>
      </c>
      <c r="KM4" s="90">
        <v>144865</v>
      </c>
      <c r="KN4" s="90">
        <v>99281</v>
      </c>
      <c r="KO4" s="90">
        <v>81435</v>
      </c>
      <c r="KP4" s="90">
        <v>184895</v>
      </c>
      <c r="KQ4" s="90">
        <v>150273</v>
      </c>
      <c r="KR4" s="90">
        <v>191130</v>
      </c>
      <c r="KS4" s="90">
        <v>195483</v>
      </c>
      <c r="KT4" s="90">
        <v>197767</v>
      </c>
      <c r="KU4" s="90">
        <v>125220</v>
      </c>
      <c r="KV4" s="90">
        <v>63453</v>
      </c>
      <c r="KW4" s="90">
        <v>178357</v>
      </c>
      <c r="KX4" s="90">
        <v>170652</v>
      </c>
      <c r="KY4" s="90">
        <v>152577</v>
      </c>
      <c r="KZ4" s="90">
        <v>119996</v>
      </c>
      <c r="LA4" s="90">
        <v>115433</v>
      </c>
      <c r="LB4" s="90">
        <v>61310</v>
      </c>
      <c r="LC4" s="90">
        <v>62095</v>
      </c>
      <c r="LD4" s="90">
        <v>116212</v>
      </c>
      <c r="LE4" s="90">
        <v>91725</v>
      </c>
      <c r="LF4" s="90">
        <v>133479</v>
      </c>
      <c r="LG4" s="90">
        <v>146155</v>
      </c>
      <c r="LH4" s="90">
        <v>136130</v>
      </c>
      <c r="LI4" s="90">
        <v>67954</v>
      </c>
      <c r="LJ4" s="90">
        <v>73071</v>
      </c>
      <c r="LK4" s="90">
        <v>178927</v>
      </c>
      <c r="LL4" s="90">
        <v>153108</v>
      </c>
      <c r="LM4" s="90">
        <v>137630</v>
      </c>
      <c r="LN4" s="90">
        <v>116750</v>
      </c>
      <c r="LO4" s="90">
        <v>86990</v>
      </c>
      <c r="LP4" s="90">
        <v>67949</v>
      </c>
      <c r="LQ4" s="90">
        <v>77429</v>
      </c>
      <c r="LR4" s="90">
        <v>141194</v>
      </c>
      <c r="LS4" s="90">
        <v>124436</v>
      </c>
      <c r="LT4" s="90">
        <v>141569</v>
      </c>
      <c r="LU4" s="90">
        <v>134901</v>
      </c>
      <c r="LV4" s="90">
        <v>159988</v>
      </c>
      <c r="LW4" s="90">
        <v>85449</v>
      </c>
      <c r="LX4" s="90">
        <v>58431</v>
      </c>
      <c r="LY4" s="90">
        <v>172452</v>
      </c>
      <c r="LZ4" s="90">
        <v>178740</v>
      </c>
      <c r="MA4" s="90">
        <v>144396</v>
      </c>
      <c r="MB4" s="90">
        <v>160739</v>
      </c>
      <c r="MC4" s="90">
        <v>155041</v>
      </c>
      <c r="MD4" s="90">
        <v>93313</v>
      </c>
      <c r="ME4" s="90">
        <v>67239</v>
      </c>
      <c r="MF4" s="90">
        <v>173088</v>
      </c>
      <c r="MG4" s="90">
        <v>189441</v>
      </c>
      <c r="MH4" s="90">
        <v>176291</v>
      </c>
      <c r="MI4" s="90">
        <v>140821</v>
      </c>
      <c r="MJ4" s="90">
        <v>119825</v>
      </c>
      <c r="MK4" s="90">
        <v>87657</v>
      </c>
      <c r="ML4" s="90">
        <v>60830</v>
      </c>
      <c r="MM4" s="90">
        <v>125765</v>
      </c>
      <c r="MN4" s="90">
        <v>137509</v>
      </c>
      <c r="MO4" s="90">
        <v>140477</v>
      </c>
      <c r="MP4" s="90">
        <v>148646</v>
      </c>
      <c r="MQ4" s="90">
        <v>114766</v>
      </c>
      <c r="MR4" s="90">
        <v>125717</v>
      </c>
      <c r="MS4" s="90">
        <v>127113</v>
      </c>
      <c r="MT4" s="20">
        <v>148187</v>
      </c>
      <c r="MU4" s="20">
        <v>136103</v>
      </c>
      <c r="MV4" s="20">
        <v>109706</v>
      </c>
      <c r="MW4" s="20">
        <v>101932</v>
      </c>
      <c r="MX4" s="20">
        <v>97399</v>
      </c>
      <c r="MY4" s="20">
        <v>65946</v>
      </c>
      <c r="MZ4" s="20">
        <v>71169</v>
      </c>
      <c r="NA4" s="20">
        <v>137937</v>
      </c>
      <c r="NB4" s="20">
        <v>117649</v>
      </c>
      <c r="NC4" s="20">
        <v>61826</v>
      </c>
    </row>
    <row r="5" spans="1:367">
      <c r="A5" s="91">
        <f>+A4/A3</f>
        <v>105.08617521272427</v>
      </c>
      <c r="B5" s="92" t="s">
        <v>424</v>
      </c>
      <c r="C5" s="7"/>
      <c r="D5" s="7">
        <f t="shared" ref="D5:AI5" si="0">+D4/D3</f>
        <v>123.68461802729347</v>
      </c>
      <c r="E5" s="7">
        <f t="shared" si="0"/>
        <v>107.51801253933108</v>
      </c>
      <c r="F5" s="7">
        <f t="shared" si="0"/>
        <v>113.44784227559259</v>
      </c>
      <c r="G5" s="7">
        <f t="shared" si="0"/>
        <v>98.602140530479289</v>
      </c>
      <c r="H5" s="7">
        <f t="shared" si="0"/>
        <v>109.74013330036611</v>
      </c>
      <c r="I5" s="7">
        <f t="shared" si="0"/>
        <v>101.36630206121764</v>
      </c>
      <c r="J5" s="7">
        <f t="shared" si="0"/>
        <v>198.78289206931146</v>
      </c>
      <c r="K5" s="7">
        <f t="shared" si="0"/>
        <v>137.75895683070402</v>
      </c>
      <c r="L5" s="7">
        <f t="shared" si="0"/>
        <v>80.621958448530876</v>
      </c>
      <c r="M5" s="7">
        <f t="shared" si="0"/>
        <v>120.28460598046725</v>
      </c>
      <c r="N5" s="7">
        <f t="shared" si="0"/>
        <v>117.16510067114093</v>
      </c>
      <c r="O5" s="7">
        <f t="shared" si="0"/>
        <v>113.17314797300489</v>
      </c>
      <c r="P5" s="7">
        <f t="shared" si="0"/>
        <v>104.12805674817996</v>
      </c>
      <c r="Q5" s="7">
        <f t="shared" si="0"/>
        <v>196.52956270667255</v>
      </c>
      <c r="R5" s="7">
        <f t="shared" si="0"/>
        <v>161.47610702501171</v>
      </c>
      <c r="S5" s="7">
        <f t="shared" si="0"/>
        <v>164.37819900406137</v>
      </c>
      <c r="T5" s="7">
        <f t="shared" si="0"/>
        <v>115.34270865178846</v>
      </c>
      <c r="U5" s="7">
        <f t="shared" si="0"/>
        <v>120.88888888888889</v>
      </c>
      <c r="V5" s="7">
        <f t="shared" si="0"/>
        <v>98.98693759071115</v>
      </c>
      <c r="W5" s="7">
        <f t="shared" si="0"/>
        <v>180.67857589023035</v>
      </c>
      <c r="X5" s="7">
        <f t="shared" si="0"/>
        <v>105.01626646010844</v>
      </c>
      <c r="Y5" s="7">
        <f t="shared" si="0"/>
        <v>86.139989706639241</v>
      </c>
      <c r="Z5" s="7">
        <f t="shared" si="0"/>
        <v>84.26548672566372</v>
      </c>
      <c r="AA5" s="7">
        <f t="shared" si="0"/>
        <v>113.67623421354764</v>
      </c>
      <c r="AB5" s="7">
        <f t="shared" si="0"/>
        <v>113.7581505631298</v>
      </c>
      <c r="AC5" s="7">
        <f t="shared" si="0"/>
        <v>98.102679098366323</v>
      </c>
      <c r="AD5" s="7">
        <f t="shared" si="0"/>
        <v>122.57898674440807</v>
      </c>
      <c r="AE5" s="7">
        <f t="shared" si="0"/>
        <v>144.84522699438247</v>
      </c>
      <c r="AF5" s="7">
        <f t="shared" si="0"/>
        <v>107.11651299245599</v>
      </c>
      <c r="AG5" s="7">
        <f t="shared" si="0"/>
        <v>112.2827380952381</v>
      </c>
      <c r="AH5" s="7">
        <f t="shared" si="0"/>
        <v>140.66228070175438</v>
      </c>
      <c r="AI5" s="7">
        <f t="shared" si="0"/>
        <v>143.30827574582838</v>
      </c>
      <c r="AJ5" s="7">
        <f t="shared" ref="AJ5:BO5" si="1">+AJ4/AJ3</f>
        <v>123.63890100305277</v>
      </c>
      <c r="AK5" s="7">
        <f t="shared" si="1"/>
        <v>150.68588413299921</v>
      </c>
      <c r="AL5" s="7">
        <f t="shared" si="1"/>
        <v>148.11751296635364</v>
      </c>
      <c r="AM5" s="7">
        <f t="shared" si="1"/>
        <v>168.26786545202555</v>
      </c>
      <c r="AN5" s="7">
        <f t="shared" si="1"/>
        <v>168.04033239008817</v>
      </c>
      <c r="AO5" s="7">
        <f t="shared" si="1"/>
        <v>152.97391030094099</v>
      </c>
      <c r="AP5" s="7">
        <f t="shared" si="1"/>
        <v>183.38902147971359</v>
      </c>
      <c r="AQ5" s="7">
        <f t="shared" si="1"/>
        <v>149.32190887495341</v>
      </c>
      <c r="AR5" s="7">
        <f t="shared" si="1"/>
        <v>135.74821097270075</v>
      </c>
      <c r="AS5" s="7">
        <f t="shared" si="1"/>
        <v>136.16288891820426</v>
      </c>
      <c r="AT5" s="7">
        <f t="shared" si="1"/>
        <v>139.03417752643225</v>
      </c>
      <c r="AU5" s="7">
        <f t="shared" si="1"/>
        <v>105.09457364496706</v>
      </c>
      <c r="AV5" s="7">
        <f t="shared" si="1"/>
        <v>158.95058400718779</v>
      </c>
      <c r="AW5" s="7">
        <f t="shared" si="1"/>
        <v>168.87608069164264</v>
      </c>
      <c r="AX5" s="7">
        <f t="shared" si="1"/>
        <v>129.64057608015028</v>
      </c>
      <c r="AY5" s="7">
        <f t="shared" si="1"/>
        <v>152.40991267935919</v>
      </c>
      <c r="AZ5" s="7">
        <f t="shared" si="1"/>
        <v>150.45173304472306</v>
      </c>
      <c r="BA5" s="7">
        <f t="shared" si="1"/>
        <v>150.13449724256017</v>
      </c>
      <c r="BB5" s="7">
        <f t="shared" si="1"/>
        <v>126.40533002788968</v>
      </c>
      <c r="BC5" s="7">
        <f t="shared" si="1"/>
        <v>183.0611111111111</v>
      </c>
      <c r="BD5" s="7">
        <f t="shared" si="1"/>
        <v>201.1414299094599</v>
      </c>
      <c r="BE5" s="7">
        <f t="shared" si="1"/>
        <v>124.40848806366049</v>
      </c>
      <c r="BF5" s="7">
        <f t="shared" si="1"/>
        <v>130.14451476793249</v>
      </c>
      <c r="BG5" s="7">
        <f t="shared" si="1"/>
        <v>156.15959026383831</v>
      </c>
      <c r="BH5" s="7">
        <f t="shared" si="1"/>
        <v>133.06720563571861</v>
      </c>
      <c r="BI5" s="7">
        <f t="shared" si="1"/>
        <v>128.19527235354573</v>
      </c>
      <c r="BJ5" s="7">
        <f t="shared" si="1"/>
        <v>162.32453217123819</v>
      </c>
      <c r="BK5" s="7">
        <f t="shared" si="1"/>
        <v>168.41538461538462</v>
      </c>
      <c r="BL5" s="7">
        <f t="shared" si="1"/>
        <v>143.47877332751284</v>
      </c>
      <c r="BM5" s="7">
        <f t="shared" si="1"/>
        <v>146.9647710483359</v>
      </c>
      <c r="BN5" s="7">
        <f t="shared" si="1"/>
        <v>195.83197141529433</v>
      </c>
      <c r="BO5" s="7">
        <f t="shared" si="1"/>
        <v>169.27947647523408</v>
      </c>
      <c r="BP5" s="7">
        <f t="shared" ref="BP5:CL5" si="2">+BP4/BP3</f>
        <v>126.2183732871583</v>
      </c>
      <c r="BQ5" s="7">
        <f t="shared" si="2"/>
        <v>124.82452107279694</v>
      </c>
      <c r="BR5" s="7">
        <f t="shared" si="2"/>
        <v>164.29996104402025</v>
      </c>
      <c r="BS5" s="7">
        <f t="shared" si="2"/>
        <v>121.25431711145997</v>
      </c>
      <c r="BT5" s="7">
        <f t="shared" si="2"/>
        <v>123.61618917689859</v>
      </c>
      <c r="BU5" s="7">
        <f t="shared" si="2"/>
        <v>118.52277094077289</v>
      </c>
      <c r="BV5" s="7">
        <f t="shared" si="2"/>
        <v>125.75601875714453</v>
      </c>
      <c r="BW5" s="7">
        <f t="shared" si="2"/>
        <v>132.15056642588652</v>
      </c>
      <c r="BX5" s="7">
        <f t="shared" si="2"/>
        <v>119.39615952732646</v>
      </c>
      <c r="BY5" s="7">
        <f t="shared" si="2"/>
        <v>158.63494967978042</v>
      </c>
      <c r="BZ5" s="7">
        <f t="shared" si="2"/>
        <v>112.64354711005542</v>
      </c>
      <c r="CA5" s="7">
        <f t="shared" si="2"/>
        <v>108.13904035651063</v>
      </c>
      <c r="CB5" s="7">
        <f t="shared" si="2"/>
        <v>105.34040816326532</v>
      </c>
      <c r="CC5" s="7">
        <f t="shared" si="2"/>
        <v>107.45228215767635</v>
      </c>
      <c r="CD5" s="7">
        <f t="shared" si="2"/>
        <v>105.28453194879968</v>
      </c>
      <c r="CE5" s="7">
        <f t="shared" si="2"/>
        <v>122.66776985743381</v>
      </c>
      <c r="CF5" s="7">
        <f t="shared" si="2"/>
        <v>114.67143587123147</v>
      </c>
      <c r="CG5" s="7">
        <f t="shared" si="2"/>
        <v>106.11555009219423</v>
      </c>
      <c r="CH5" s="7">
        <f t="shared" si="2"/>
        <v>119.94522150705914</v>
      </c>
      <c r="CI5" s="7">
        <f t="shared" si="2"/>
        <v>119.02346745928222</v>
      </c>
      <c r="CJ5" s="7">
        <f t="shared" si="2"/>
        <v>121.1089537526816</v>
      </c>
      <c r="CK5" s="7">
        <f t="shared" si="2"/>
        <v>84.997319034852566</v>
      </c>
      <c r="CL5" s="7">
        <f t="shared" si="2"/>
        <v>146.03126395712371</v>
      </c>
      <c r="CP5" s="7">
        <f t="shared" ref="CP5:DK5" si="3">+CP4/CP3</f>
        <v>266.19624014554279</v>
      </c>
      <c r="CQ5" s="7">
        <f t="shared" si="3"/>
        <v>112.43308223733752</v>
      </c>
      <c r="CR5" s="7">
        <f t="shared" si="3"/>
        <v>116.09852979107558</v>
      </c>
      <c r="CS5" s="7">
        <f t="shared" si="3"/>
        <v>128.12382495948134</v>
      </c>
      <c r="CT5" s="7">
        <f t="shared" si="3"/>
        <v>132.80776119402987</v>
      </c>
      <c r="CU5" s="7">
        <f t="shared" si="3"/>
        <v>160.45776699029128</v>
      </c>
      <c r="CV5" s="7">
        <f t="shared" si="3"/>
        <v>141.92302405498282</v>
      </c>
      <c r="CW5" s="7">
        <f t="shared" si="3"/>
        <v>150.0754659754972</v>
      </c>
      <c r="CX5" s="7">
        <f t="shared" si="3"/>
        <v>148.0865846402304</v>
      </c>
      <c r="CY5" s="7">
        <f t="shared" si="3"/>
        <v>165.10010811393428</v>
      </c>
      <c r="CZ5" s="7">
        <f t="shared" si="3"/>
        <v>137.22663551401868</v>
      </c>
      <c r="DA5" s="7">
        <f t="shared" si="3"/>
        <v>161.97803044902679</v>
      </c>
      <c r="DB5" s="7">
        <f t="shared" si="3"/>
        <v>118.50108213619031</v>
      </c>
      <c r="DC5" s="7">
        <f t="shared" si="3"/>
        <v>137.77169578574771</v>
      </c>
      <c r="DD5" s="7">
        <f t="shared" si="3"/>
        <v>125.93413475621971</v>
      </c>
      <c r="DE5" s="7">
        <f t="shared" si="3"/>
        <v>158.04566424881628</v>
      </c>
      <c r="DF5" s="7">
        <f t="shared" si="3"/>
        <v>134.84269241317827</v>
      </c>
      <c r="DG5" s="7">
        <f t="shared" si="3"/>
        <v>164.45022348638767</v>
      </c>
      <c r="DH5" s="7">
        <f t="shared" si="3"/>
        <v>153.43718592964825</v>
      </c>
      <c r="DI5" s="7">
        <f t="shared" si="3"/>
        <v>114.11518637484127</v>
      </c>
      <c r="DJ5" s="7">
        <f t="shared" si="3"/>
        <v>136.22776902350807</v>
      </c>
      <c r="DK5" s="7">
        <f t="shared" si="3"/>
        <v>150.75257207644728</v>
      </c>
      <c r="DM5" s="7">
        <f t="shared" ref="DM5:DR5" si="4">+DM4/DM3</f>
        <v>87.594708456116194</v>
      </c>
      <c r="DN5" s="7">
        <f t="shared" si="4"/>
        <v>132.09049156035189</v>
      </c>
      <c r="DO5" s="7">
        <f t="shared" si="4"/>
        <v>139.41283415836645</v>
      </c>
      <c r="DP5" s="7">
        <f t="shared" si="4"/>
        <v>141.53495200451724</v>
      </c>
      <c r="DQ5" s="7">
        <f t="shared" si="4"/>
        <v>148.94314516770214</v>
      </c>
      <c r="DR5" s="7">
        <f t="shared" si="4"/>
        <v>139.47218672307784</v>
      </c>
      <c r="DT5" s="7">
        <f t="shared" ref="DT5:EQ5" si="5">+DT4/DT3</f>
        <v>123.00421610391729</v>
      </c>
      <c r="DU5" s="7">
        <f t="shared" si="5"/>
        <v>136.24313725490197</v>
      </c>
      <c r="DV5" s="7">
        <f t="shared" si="5"/>
        <v>168.58497806758402</v>
      </c>
      <c r="DW5" s="7">
        <f t="shared" si="5"/>
        <v>127.60599553750119</v>
      </c>
      <c r="DX5" s="7">
        <f t="shared" si="5"/>
        <v>114.83542505327968</v>
      </c>
      <c r="DY5" s="7">
        <f t="shared" si="5"/>
        <v>113.43997320208315</v>
      </c>
      <c r="DZ5" s="7">
        <f t="shared" si="5"/>
        <v>101.00261985852765</v>
      </c>
      <c r="EA5" s="7">
        <f t="shared" si="5"/>
        <v>94.768367097876492</v>
      </c>
      <c r="EB5" s="7">
        <f t="shared" si="5"/>
        <v>142.76628010704727</v>
      </c>
      <c r="EC5" s="7">
        <f t="shared" si="5"/>
        <v>137.62267746545973</v>
      </c>
      <c r="ED5" s="7">
        <f t="shared" si="5"/>
        <v>99.469090909090895</v>
      </c>
      <c r="EE5" s="7">
        <f t="shared" si="5"/>
        <v>96.722143864598024</v>
      </c>
      <c r="EF5" s="7">
        <f t="shared" si="5"/>
        <v>103.76628382807382</v>
      </c>
      <c r="EG5" s="7">
        <f t="shared" si="5"/>
        <v>98.34652406417112</v>
      </c>
      <c r="EH5" s="7">
        <f t="shared" si="5"/>
        <v>99.130434782608688</v>
      </c>
      <c r="EI5" s="7">
        <f t="shared" si="5"/>
        <v>101.05786951713969</v>
      </c>
      <c r="EJ5" s="7">
        <f t="shared" si="5"/>
        <v>135.72998430141288</v>
      </c>
      <c r="EK5" s="7">
        <f t="shared" si="5"/>
        <v>83.475247524752476</v>
      </c>
      <c r="EL5" s="7">
        <f t="shared" si="5"/>
        <v>93.496424167694215</v>
      </c>
      <c r="EM5" s="7">
        <f t="shared" si="5"/>
        <v>94.084366840731079</v>
      </c>
      <c r="EN5" s="7">
        <f t="shared" si="5"/>
        <v>96.440631224145861</v>
      </c>
      <c r="EO5" s="7">
        <f t="shared" si="5"/>
        <v>91.052234912168814</v>
      </c>
      <c r="EP5" s="7">
        <f t="shared" si="5"/>
        <v>84.24389301921407</v>
      </c>
      <c r="EQ5" s="7">
        <f t="shared" si="5"/>
        <v>108.91114701130856</v>
      </c>
      <c r="ER5" s="7">
        <f t="shared" ref="ER5:EX5" si="6">+ER4/ER3</f>
        <v>94.857165790424219</v>
      </c>
      <c r="ES5" s="7">
        <f t="shared" si="6"/>
        <v>88.379138651644567</v>
      </c>
      <c r="ET5" s="7">
        <f t="shared" si="6"/>
        <v>87.276682624612775</v>
      </c>
      <c r="EU5" s="7">
        <f t="shared" si="6"/>
        <v>90.662085602543954</v>
      </c>
      <c r="EV5" s="7">
        <f t="shared" si="6"/>
        <v>83.646760205880284</v>
      </c>
      <c r="EW5" s="7">
        <f t="shared" si="6"/>
        <v>89.641858707971281</v>
      </c>
      <c r="EX5" s="7">
        <f t="shared" si="6"/>
        <v>104.98290598290598</v>
      </c>
      <c r="EY5" s="7">
        <f>+EY4/EY3</f>
        <v>92.850460666194195</v>
      </c>
      <c r="EZ5" s="7">
        <f>+EZ4/EZ3</f>
        <v>88.836061897286385</v>
      </c>
      <c r="FA5" s="7">
        <f>+FA4/FA3</f>
        <v>85.419421487603316</v>
      </c>
      <c r="FB5" s="7">
        <f>+FB4/FB3</f>
        <v>81.825760420578291</v>
      </c>
      <c r="FG5" s="7">
        <f t="shared" ref="FG5:GO5" si="7">+FG4/FG3</f>
        <v>79.382374362709399</v>
      </c>
      <c r="FH5" s="7">
        <f t="shared" si="7"/>
        <v>81.484614410535642</v>
      </c>
      <c r="FI5" s="7">
        <f t="shared" si="7"/>
        <v>82.83216671969457</v>
      </c>
      <c r="FJ5" s="7">
        <f t="shared" si="7"/>
        <v>83.495615221170553</v>
      </c>
      <c r="FK5" s="7">
        <f t="shared" si="7"/>
        <v>78.464346203034793</v>
      </c>
      <c r="FL5" s="7">
        <f t="shared" si="7"/>
        <v>92.478035373908426</v>
      </c>
      <c r="FM5" s="7">
        <f t="shared" si="7"/>
        <v>87.821824968077777</v>
      </c>
      <c r="FN5" s="7">
        <f t="shared" si="7"/>
        <v>95.321783165090153</v>
      </c>
      <c r="FO5" s="7">
        <f t="shared" si="7"/>
        <v>100.09788775036051</v>
      </c>
      <c r="FP5" s="7">
        <f t="shared" si="7"/>
        <v>111.08077277970804</v>
      </c>
      <c r="FQ5" s="7">
        <f t="shared" si="7"/>
        <v>102.57522043204122</v>
      </c>
      <c r="FR5" s="7">
        <f t="shared" si="7"/>
        <v>88.096262736012008</v>
      </c>
      <c r="FS5" s="7">
        <f t="shared" si="7"/>
        <v>118.53535102952121</v>
      </c>
      <c r="FT5" s="7">
        <f t="shared" si="7"/>
        <v>84.503035312705876</v>
      </c>
      <c r="FU5" s="7">
        <f t="shared" si="7"/>
        <v>83.226321184362135</v>
      </c>
      <c r="FV5" s="7">
        <f t="shared" si="7"/>
        <v>91.723194190906227</v>
      </c>
      <c r="FW5" s="7">
        <f t="shared" si="7"/>
        <v>114.34856601163828</v>
      </c>
      <c r="FX5" s="7">
        <f t="shared" si="7"/>
        <v>94.649209932279916</v>
      </c>
      <c r="FY5" s="7">
        <f t="shared" si="7"/>
        <v>85.263223983676014</v>
      </c>
      <c r="FZ5" s="7">
        <f t="shared" si="7"/>
        <v>116.11538461538461</v>
      </c>
      <c r="GA5" s="7">
        <f t="shared" si="7"/>
        <v>93.867410017158875</v>
      </c>
      <c r="GB5" s="7">
        <f t="shared" si="7"/>
        <v>92.012966141802565</v>
      </c>
      <c r="GC5" s="7">
        <f t="shared" si="7"/>
        <v>116.19563821617552</v>
      </c>
      <c r="GD5" s="7">
        <f t="shared" si="7"/>
        <v>130.47924010478059</v>
      </c>
      <c r="GE5" s="7">
        <f t="shared" si="7"/>
        <v>86.215688859591296</v>
      </c>
      <c r="GF5" s="7">
        <f t="shared" si="7"/>
        <v>87.734537025741119</v>
      </c>
      <c r="GG5" s="7">
        <f t="shared" si="7"/>
        <v>115.00705645161291</v>
      </c>
      <c r="GH5" s="7">
        <f t="shared" si="7"/>
        <v>88.713664249860571</v>
      </c>
      <c r="GI5" s="7">
        <f t="shared" si="7"/>
        <v>88.452931461601992</v>
      </c>
      <c r="GJ5" s="7">
        <f t="shared" si="7"/>
        <v>90.726778924497552</v>
      </c>
      <c r="GK5" s="7">
        <f t="shared" si="7"/>
        <v>87.494480102695775</v>
      </c>
      <c r="GL5" s="7">
        <f t="shared" si="7"/>
        <v>74.79700383961729</v>
      </c>
      <c r="GM5" s="7">
        <f t="shared" si="7"/>
        <v>79.309242916860185</v>
      </c>
      <c r="GN5" s="7">
        <f t="shared" si="7"/>
        <v>116.03423680456491</v>
      </c>
      <c r="GO5" s="7">
        <f t="shared" si="7"/>
        <v>91.434847728407391</v>
      </c>
      <c r="GQ5" s="7">
        <f t="shared" ref="GQ5:HV5" si="8">+GQ4/GQ3</f>
        <v>84.699109332644895</v>
      </c>
      <c r="GR5" s="7">
        <f t="shared" si="8"/>
        <v>108.66570889719713</v>
      </c>
      <c r="GS5" s="7">
        <f t="shared" si="8"/>
        <v>131.89325266920898</v>
      </c>
      <c r="GT5" s="7">
        <f t="shared" si="8"/>
        <v>120.96294988850224</v>
      </c>
      <c r="GU5" s="7">
        <f t="shared" si="8"/>
        <v>97.032948929159787</v>
      </c>
      <c r="GV5" s="7">
        <f t="shared" si="8"/>
        <v>94.351307881147903</v>
      </c>
      <c r="GW5" s="7">
        <f t="shared" si="8"/>
        <v>107.59427567160434</v>
      </c>
      <c r="GX5" s="7">
        <f t="shared" si="8"/>
        <v>103.22213681783242</v>
      </c>
      <c r="GY5" s="7">
        <f t="shared" si="8"/>
        <v>125.22287959538993</v>
      </c>
      <c r="GZ5" s="7">
        <f t="shared" si="8"/>
        <v>122.92762668590831</v>
      </c>
      <c r="HA5" s="7">
        <f t="shared" si="8"/>
        <v>108.66700192220995</v>
      </c>
      <c r="HB5" s="7">
        <f t="shared" si="8"/>
        <v>113.7322314049587</v>
      </c>
      <c r="HC5" s="7">
        <f t="shared" si="8"/>
        <v>98.956649504129317</v>
      </c>
      <c r="HD5" s="7">
        <f t="shared" si="8"/>
        <v>95.086544828802914</v>
      </c>
      <c r="HE5" s="7">
        <f t="shared" si="8"/>
        <v>114.45429390597593</v>
      </c>
      <c r="HF5" s="7">
        <f t="shared" si="8"/>
        <v>133.34448634971804</v>
      </c>
      <c r="HG5" s="7">
        <f t="shared" si="8"/>
        <v>141.71082018427737</v>
      </c>
      <c r="HH5" s="7">
        <f t="shared" si="8"/>
        <v>114.88571974869458</v>
      </c>
      <c r="HI5" s="7">
        <f t="shared" si="8"/>
        <v>112.86766398158804</v>
      </c>
      <c r="HJ5" s="7">
        <f t="shared" si="8"/>
        <v>120.61799257259008</v>
      </c>
      <c r="HK5" s="7">
        <f t="shared" si="8"/>
        <v>124.23028785905394</v>
      </c>
      <c r="HL5" s="7">
        <f t="shared" si="8"/>
        <v>145.03756806392292</v>
      </c>
      <c r="HM5" s="7">
        <f t="shared" si="8"/>
        <v>120.44767669508217</v>
      </c>
      <c r="HN5" s="7">
        <f t="shared" si="8"/>
        <v>107.17398465002077</v>
      </c>
      <c r="HO5" s="7">
        <f t="shared" si="8"/>
        <v>109.67378537106248</v>
      </c>
      <c r="HP5" s="7">
        <f t="shared" si="8"/>
        <v>115.00315457413249</v>
      </c>
      <c r="HQ5" s="7">
        <f t="shared" si="8"/>
        <v>118.02680362731722</v>
      </c>
      <c r="HR5" s="7">
        <f t="shared" si="8"/>
        <v>126.40765442953423</v>
      </c>
      <c r="HS5" s="7">
        <f t="shared" si="8"/>
        <v>141.63405137178961</v>
      </c>
      <c r="HT5" s="7">
        <f t="shared" si="8"/>
        <v>121.86278998724725</v>
      </c>
      <c r="HU5" s="7">
        <f t="shared" si="8"/>
        <v>88.842969648878295</v>
      </c>
      <c r="HV5" s="7">
        <f t="shared" si="8"/>
        <v>104.74328927218183</v>
      </c>
      <c r="HW5" s="7">
        <f t="shared" ref="HW5:JB5" si="9">+HW4/HW3</f>
        <v>118.76604018146467</v>
      </c>
      <c r="HX5" s="7">
        <f t="shared" si="9"/>
        <v>102.69660519645116</v>
      </c>
      <c r="HY5" s="7">
        <f t="shared" si="9"/>
        <v>114.09092576029035</v>
      </c>
      <c r="HZ5" s="7">
        <f t="shared" si="9"/>
        <v>113.72380177127866</v>
      </c>
      <c r="IA5" s="7">
        <f t="shared" si="9"/>
        <v>124.73577305522133</v>
      </c>
      <c r="IB5" s="7">
        <f t="shared" si="9"/>
        <v>125.24171658694848</v>
      </c>
      <c r="IC5" s="7">
        <f t="shared" si="9"/>
        <v>116.92593478785082</v>
      </c>
      <c r="ID5" s="7">
        <f t="shared" si="9"/>
        <v>129.35572078193408</v>
      </c>
      <c r="IE5" s="7">
        <f t="shared" si="9"/>
        <v>121.22814184960842</v>
      </c>
      <c r="IF5" s="7">
        <f t="shared" si="9"/>
        <v>132.16634397783326</v>
      </c>
      <c r="IG5" s="7">
        <f t="shared" si="9"/>
        <v>113.84170310911378</v>
      </c>
      <c r="IH5" s="7">
        <f t="shared" si="9"/>
        <v>124.30622047961172</v>
      </c>
      <c r="II5" s="7">
        <f t="shared" si="9"/>
        <v>101.9798826487846</v>
      </c>
      <c r="IJ5" s="7">
        <f t="shared" si="9"/>
        <v>89.655325772737385</v>
      </c>
      <c r="IK5" s="7">
        <f t="shared" si="9"/>
        <v>106.09069253403332</v>
      </c>
      <c r="IL5" s="7">
        <f t="shared" si="9"/>
        <v>133.61451233535024</v>
      </c>
      <c r="IM5" s="7">
        <f t="shared" si="9"/>
        <v>123.34150371389168</v>
      </c>
      <c r="IN5" s="7">
        <f t="shared" si="9"/>
        <v>127.31371940743733</v>
      </c>
      <c r="IO5" s="7">
        <f t="shared" si="9"/>
        <v>119.38183920106914</v>
      </c>
      <c r="IP5" s="7">
        <f t="shared" si="9"/>
        <v>125.2033556652061</v>
      </c>
      <c r="IQ5" s="7">
        <f t="shared" si="9"/>
        <v>119.77913849345214</v>
      </c>
      <c r="IR5" s="7">
        <f t="shared" si="9"/>
        <v>103.48285601046517</v>
      </c>
      <c r="IS5" s="7">
        <f t="shared" si="9"/>
        <v>92.077184167567651</v>
      </c>
      <c r="IT5" s="7">
        <f t="shared" si="9"/>
        <v>92.585276357889654</v>
      </c>
      <c r="IU5" s="7">
        <f t="shared" si="9"/>
        <v>93.338709365764231</v>
      </c>
      <c r="IV5" s="7">
        <f t="shared" si="9"/>
        <v>114.62995845093997</v>
      </c>
      <c r="IW5" s="7">
        <f t="shared" si="9"/>
        <v>106.45154276534281</v>
      </c>
      <c r="IX5" s="7">
        <f t="shared" si="9"/>
        <v>97.68530103741513</v>
      </c>
      <c r="IY5" s="7">
        <f t="shared" si="9"/>
        <v>95.321496161457645</v>
      </c>
      <c r="IZ5" s="7">
        <f t="shared" si="9"/>
        <v>103.12928138671488</v>
      </c>
      <c r="JA5" s="7">
        <f t="shared" si="9"/>
        <v>102.87376370885261</v>
      </c>
      <c r="JB5" s="7">
        <f t="shared" si="9"/>
        <v>117.72043748782086</v>
      </c>
      <c r="JC5" s="7">
        <f t="shared" ref="JC5:KH5" si="10">+JC4/JC3</f>
        <v>111.6843869098488</v>
      </c>
      <c r="JD5" s="7">
        <f t="shared" si="10"/>
        <v>110.23686622433097</v>
      </c>
      <c r="JE5" s="7">
        <f t="shared" si="10"/>
        <v>99.031634930331563</v>
      </c>
      <c r="JF5" s="7">
        <f t="shared" si="10"/>
        <v>103.95205479452055</v>
      </c>
      <c r="JG5" s="7">
        <f t="shared" si="10"/>
        <v>101.46383338024204</v>
      </c>
      <c r="JH5" s="7">
        <f t="shared" si="10"/>
        <v>100.07398688414327</v>
      </c>
      <c r="JI5" s="7">
        <f t="shared" si="10"/>
        <v>98.388875511678293</v>
      </c>
      <c r="JJ5" s="7">
        <f t="shared" si="10"/>
        <v>90.506739464255247</v>
      </c>
      <c r="JK5" s="7">
        <f t="shared" si="10"/>
        <v>90.153048829864758</v>
      </c>
      <c r="JL5" s="7">
        <f t="shared" si="10"/>
        <v>96.857610474631755</v>
      </c>
      <c r="JM5" s="7">
        <f t="shared" si="10"/>
        <v>102.26694582570009</v>
      </c>
      <c r="JN5" s="7">
        <f t="shared" si="10"/>
        <v>90.352385636989666</v>
      </c>
      <c r="JO5" s="7">
        <f t="shared" si="10"/>
        <v>98.390758005674911</v>
      </c>
      <c r="JP5" s="7">
        <f t="shared" si="10"/>
        <v>102.60203003234957</v>
      </c>
      <c r="JQ5" s="7">
        <f t="shared" si="10"/>
        <v>92.900037234012018</v>
      </c>
      <c r="JR5" s="7">
        <f t="shared" si="10"/>
        <v>97.588724774583739</v>
      </c>
      <c r="JS5" s="7">
        <f t="shared" si="10"/>
        <v>99.741805992210629</v>
      </c>
      <c r="JT5" s="7">
        <f t="shared" si="10"/>
        <v>99.725462898510386</v>
      </c>
      <c r="JU5" s="7">
        <f t="shared" si="10"/>
        <v>100.70515643762857</v>
      </c>
      <c r="JV5" s="7">
        <f t="shared" si="10"/>
        <v>100.09883050545254</v>
      </c>
      <c r="JW5" s="7">
        <f t="shared" si="10"/>
        <v>94.380279274184971</v>
      </c>
      <c r="JX5" s="7">
        <f t="shared" si="10"/>
        <v>97.96567858778198</v>
      </c>
      <c r="JY5" s="7">
        <f t="shared" si="10"/>
        <v>89.366219541667107</v>
      </c>
      <c r="JZ5" s="7">
        <f t="shared" si="10"/>
        <v>85.151343327345302</v>
      </c>
      <c r="KA5" s="7">
        <f t="shared" si="10"/>
        <v>92.892502756339582</v>
      </c>
      <c r="KB5" s="7">
        <f t="shared" si="10"/>
        <v>79.046205303227183</v>
      </c>
      <c r="KC5" s="7">
        <f t="shared" si="10"/>
        <v>75.564263666607474</v>
      </c>
      <c r="KD5" s="7">
        <f t="shared" si="10"/>
        <v>73.146157153267083</v>
      </c>
      <c r="KE5" s="7">
        <f t="shared" si="10"/>
        <v>73.913619070529279</v>
      </c>
      <c r="KF5" s="7">
        <f t="shared" si="10"/>
        <v>73.427442084134185</v>
      </c>
      <c r="KG5" s="7">
        <f t="shared" si="10"/>
        <v>79.191172309723683</v>
      </c>
      <c r="KH5" s="7">
        <f t="shared" si="10"/>
        <v>92.122505161734338</v>
      </c>
      <c r="KI5" s="7">
        <f t="shared" ref="KI5:LN5" si="11">+KI4/KI3</f>
        <v>80.298730772463657</v>
      </c>
      <c r="KJ5" s="7">
        <f t="shared" si="11"/>
        <v>80.694572824508114</v>
      </c>
      <c r="KK5" s="7">
        <f t="shared" si="11"/>
        <v>81.094450373532538</v>
      </c>
      <c r="KL5" s="7">
        <f t="shared" si="11"/>
        <v>82.336471551371261</v>
      </c>
      <c r="KM5" s="7">
        <f t="shared" si="11"/>
        <v>79.654508797653961</v>
      </c>
      <c r="KN5" s="7">
        <f t="shared" si="11"/>
        <v>81.261305504399431</v>
      </c>
      <c r="KO5" s="7">
        <f t="shared" si="11"/>
        <v>82.354626664419342</v>
      </c>
      <c r="KP5" s="7">
        <f t="shared" si="11"/>
        <v>80.625749482175948</v>
      </c>
      <c r="KQ5" s="7">
        <f t="shared" si="11"/>
        <v>79.523549126830133</v>
      </c>
      <c r="KR5" s="7">
        <f t="shared" si="11"/>
        <v>102.34773715637995</v>
      </c>
      <c r="KS5" s="7">
        <f t="shared" si="11"/>
        <v>121.43496236536984</v>
      </c>
      <c r="KT5" s="7">
        <f t="shared" si="11"/>
        <v>112.25574248497887</v>
      </c>
      <c r="KU5" s="7">
        <f t="shared" si="11"/>
        <v>131.67048453759608</v>
      </c>
      <c r="KV5" s="7">
        <f t="shared" si="11"/>
        <v>100.79904686258935</v>
      </c>
      <c r="KW5" s="7">
        <f t="shared" si="11"/>
        <v>75.14808291245329</v>
      </c>
      <c r="KX5" s="7">
        <f t="shared" si="11"/>
        <v>79.139897974957478</v>
      </c>
      <c r="KY5" s="7">
        <f t="shared" si="11"/>
        <v>92.518120139712337</v>
      </c>
      <c r="KZ5" s="7">
        <f t="shared" si="11"/>
        <v>111.5333243732285</v>
      </c>
      <c r="LA5" s="7">
        <f t="shared" si="11"/>
        <v>92.926179638615253</v>
      </c>
      <c r="LB5" s="7">
        <f t="shared" si="11"/>
        <v>86.32296685866288</v>
      </c>
      <c r="LC5" s="7">
        <f t="shared" si="11"/>
        <v>91.833867389696806</v>
      </c>
      <c r="LD5" s="7">
        <f t="shared" si="11"/>
        <v>73.844003177124705</v>
      </c>
      <c r="LE5" s="7">
        <f t="shared" si="11"/>
        <v>58.30596461489565</v>
      </c>
      <c r="LF5" s="7">
        <f t="shared" si="11"/>
        <v>92.827876416778835</v>
      </c>
      <c r="LG5" s="7">
        <f t="shared" si="11"/>
        <v>120.97904360897881</v>
      </c>
      <c r="LH5" s="7">
        <f t="shared" si="11"/>
        <v>103.39773940710901</v>
      </c>
      <c r="LI5" s="7">
        <f t="shared" si="11"/>
        <v>92.928547008547014</v>
      </c>
      <c r="LJ5" s="7">
        <f t="shared" si="11"/>
        <v>106.0152339499456</v>
      </c>
      <c r="LK5" s="7">
        <f t="shared" si="11"/>
        <v>79.044509849599052</v>
      </c>
      <c r="LL5" s="7">
        <f t="shared" si="11"/>
        <v>103.81895056226779</v>
      </c>
      <c r="LM5" s="7">
        <f t="shared" si="11"/>
        <v>129.09681181227526</v>
      </c>
      <c r="LN5" s="7">
        <f t="shared" si="11"/>
        <v>91.321334772012122</v>
      </c>
      <c r="LO5" s="7">
        <f t="shared" ref="LO5:NC5" si="12">+LO4/LO3</f>
        <v>69.619450623804994</v>
      </c>
      <c r="LP5" s="7">
        <f t="shared" si="12"/>
        <v>97.582460505864276</v>
      </c>
      <c r="LQ5" s="7">
        <f t="shared" si="12"/>
        <v>109.76349675132899</v>
      </c>
      <c r="LR5" s="7">
        <f t="shared" si="12"/>
        <v>91.396050931533182</v>
      </c>
      <c r="LS5" s="7">
        <f t="shared" si="12"/>
        <v>99.008845783211868</v>
      </c>
      <c r="LT5" s="7">
        <f t="shared" si="12"/>
        <v>110.97332478028794</v>
      </c>
      <c r="LU5" s="7">
        <f t="shared" si="12"/>
        <v>95.810176292885842</v>
      </c>
      <c r="LV5" s="7">
        <f t="shared" si="12"/>
        <v>91.969837511580792</v>
      </c>
      <c r="LW5" s="7">
        <f t="shared" si="12"/>
        <v>88.011445440612562</v>
      </c>
      <c r="LX5" s="7">
        <f t="shared" si="12"/>
        <v>100.31072961373391</v>
      </c>
      <c r="LY5" s="7">
        <f t="shared" si="12"/>
        <v>83.180247476061908</v>
      </c>
      <c r="LZ5" s="7">
        <f t="shared" si="12"/>
        <v>89.096139055951014</v>
      </c>
      <c r="MA5" s="7">
        <f t="shared" si="12"/>
        <v>101.85331276151842</v>
      </c>
      <c r="MB5" s="7">
        <f t="shared" si="12"/>
        <v>101.77178185949464</v>
      </c>
      <c r="MC5" s="7">
        <f t="shared" si="12"/>
        <v>92.777422441936906</v>
      </c>
      <c r="MD5" s="7">
        <f t="shared" si="12"/>
        <v>90.258588474204132</v>
      </c>
      <c r="ME5" s="7">
        <f t="shared" si="12"/>
        <v>112.6571204110973</v>
      </c>
      <c r="MF5" s="7">
        <f t="shared" si="12"/>
        <v>91.285104968284216</v>
      </c>
      <c r="MG5" s="7">
        <f t="shared" si="12"/>
        <v>91.466613694112752</v>
      </c>
      <c r="MH5" s="7">
        <f t="shared" si="12"/>
        <v>110.64860376764096</v>
      </c>
      <c r="MI5" s="7">
        <f t="shared" si="12"/>
        <v>92.015989891221807</v>
      </c>
      <c r="MJ5" s="7">
        <f t="shared" si="12"/>
        <v>88.776324543394665</v>
      </c>
      <c r="MK5" s="7">
        <f t="shared" si="12"/>
        <v>93.711820703543637</v>
      </c>
      <c r="ML5" s="7">
        <f t="shared" si="12"/>
        <v>114.41379310344826</v>
      </c>
      <c r="MM5" s="7">
        <f t="shared" si="12"/>
        <v>94.203503153367919</v>
      </c>
      <c r="MN5" s="7">
        <f t="shared" si="12"/>
        <v>90.345489880752808</v>
      </c>
      <c r="MO5" s="7">
        <f t="shared" si="12"/>
        <v>101.26900248756725</v>
      </c>
      <c r="MP5" s="7">
        <f t="shared" si="12"/>
        <v>119.60320011844699</v>
      </c>
      <c r="MQ5" s="7">
        <f t="shared" si="12"/>
        <v>115.83913354715332</v>
      </c>
      <c r="MR5" s="7">
        <f t="shared" si="12"/>
        <v>117.14205172059911</v>
      </c>
      <c r="MS5" s="7">
        <f t="shared" si="12"/>
        <v>115.1093985185761</v>
      </c>
      <c r="MT5" s="7">
        <f t="shared" si="12"/>
        <v>102.78867052023122</v>
      </c>
      <c r="MU5" s="7">
        <f t="shared" si="12"/>
        <v>109.98222222222222</v>
      </c>
      <c r="MV5" s="7">
        <f t="shared" si="12"/>
        <v>104.11757822709521</v>
      </c>
      <c r="MW5" s="7">
        <f t="shared" si="12"/>
        <v>103.49475251903372</v>
      </c>
      <c r="MX5" s="7">
        <f t="shared" si="12"/>
        <v>107.17251783635602</v>
      </c>
      <c r="MY5" s="7">
        <f t="shared" si="12"/>
        <v>116.34107615407233</v>
      </c>
      <c r="MZ5" s="7">
        <f t="shared" si="12"/>
        <v>120.16715913887717</v>
      </c>
      <c r="NA5" s="7">
        <f t="shared" si="12"/>
        <v>119.78897090751194</v>
      </c>
      <c r="NB5" s="7">
        <f t="shared" si="12"/>
        <v>127.04505298266646</v>
      </c>
      <c r="NC5" s="7">
        <f t="shared" si="12"/>
        <v>127.29262051307688</v>
      </c>
    </row>
    <row r="6" spans="1:367">
      <c r="LM6" s="25"/>
    </row>
    <row r="7" spans="1:367">
      <c r="A7" s="10" t="s">
        <v>57</v>
      </c>
      <c r="B7" s="10" t="s">
        <v>56</v>
      </c>
      <c r="C7" s="11">
        <v>46023</v>
      </c>
      <c r="D7" s="11">
        <f>+C7+1</f>
        <v>46024</v>
      </c>
      <c r="E7" s="11">
        <f t="shared" ref="E7:BP7" si="13">+D7+1</f>
        <v>46025</v>
      </c>
      <c r="F7" s="11">
        <f t="shared" si="13"/>
        <v>46026</v>
      </c>
      <c r="G7" s="11">
        <f t="shared" si="13"/>
        <v>46027</v>
      </c>
      <c r="H7" s="11">
        <f t="shared" si="13"/>
        <v>46028</v>
      </c>
      <c r="I7" s="11">
        <f t="shared" si="13"/>
        <v>46029</v>
      </c>
      <c r="J7" s="11">
        <f t="shared" si="13"/>
        <v>46030</v>
      </c>
      <c r="K7" s="11">
        <f t="shared" si="13"/>
        <v>46031</v>
      </c>
      <c r="L7" s="11">
        <f t="shared" si="13"/>
        <v>46032</v>
      </c>
      <c r="M7" s="11">
        <f t="shared" si="13"/>
        <v>46033</v>
      </c>
      <c r="N7" s="11">
        <f t="shared" si="13"/>
        <v>46034</v>
      </c>
      <c r="O7" s="11">
        <f t="shared" si="13"/>
        <v>46035</v>
      </c>
      <c r="P7" s="11">
        <f t="shared" si="13"/>
        <v>46036</v>
      </c>
      <c r="Q7" s="11">
        <f t="shared" si="13"/>
        <v>46037</v>
      </c>
      <c r="R7" s="11">
        <f t="shared" si="13"/>
        <v>46038</v>
      </c>
      <c r="S7" s="11">
        <f t="shared" si="13"/>
        <v>46039</v>
      </c>
      <c r="T7" s="11">
        <f t="shared" si="13"/>
        <v>46040</v>
      </c>
      <c r="U7" s="11">
        <f t="shared" si="13"/>
        <v>46041</v>
      </c>
      <c r="V7" s="11">
        <f t="shared" si="13"/>
        <v>46042</v>
      </c>
      <c r="W7" s="11">
        <f t="shared" si="13"/>
        <v>46043</v>
      </c>
      <c r="X7" s="11">
        <f t="shared" si="13"/>
        <v>46044</v>
      </c>
      <c r="Y7" s="11">
        <f t="shared" si="13"/>
        <v>46045</v>
      </c>
      <c r="Z7" s="11">
        <f t="shared" si="13"/>
        <v>46046</v>
      </c>
      <c r="AA7" s="11">
        <f t="shared" si="13"/>
        <v>46047</v>
      </c>
      <c r="AB7" s="11">
        <f t="shared" si="13"/>
        <v>46048</v>
      </c>
      <c r="AC7" s="11">
        <f t="shared" si="13"/>
        <v>46049</v>
      </c>
      <c r="AD7" s="11">
        <f t="shared" si="13"/>
        <v>46050</v>
      </c>
      <c r="AE7" s="11">
        <f t="shared" si="13"/>
        <v>46051</v>
      </c>
      <c r="AF7" s="11">
        <f t="shared" si="13"/>
        <v>46052</v>
      </c>
      <c r="AG7" s="11">
        <f t="shared" si="13"/>
        <v>46053</v>
      </c>
      <c r="AH7" s="11">
        <f t="shared" si="13"/>
        <v>46054</v>
      </c>
      <c r="AI7" s="11">
        <f t="shared" si="13"/>
        <v>46055</v>
      </c>
      <c r="AJ7" s="11">
        <f t="shared" si="13"/>
        <v>46056</v>
      </c>
      <c r="AK7" s="11">
        <f t="shared" si="13"/>
        <v>46057</v>
      </c>
      <c r="AL7" s="11">
        <f t="shared" si="13"/>
        <v>46058</v>
      </c>
      <c r="AM7" s="11">
        <f t="shared" si="13"/>
        <v>46059</v>
      </c>
      <c r="AN7" s="11">
        <f t="shared" si="13"/>
        <v>46060</v>
      </c>
      <c r="AO7" s="11">
        <f t="shared" si="13"/>
        <v>46061</v>
      </c>
      <c r="AP7" s="11">
        <f t="shared" si="13"/>
        <v>46062</v>
      </c>
      <c r="AQ7" s="11">
        <f t="shared" si="13"/>
        <v>46063</v>
      </c>
      <c r="AR7" s="11">
        <f t="shared" si="13"/>
        <v>46064</v>
      </c>
      <c r="AS7" s="11">
        <f t="shared" si="13"/>
        <v>46065</v>
      </c>
      <c r="AT7" s="11">
        <f t="shared" si="13"/>
        <v>46066</v>
      </c>
      <c r="AU7" s="11">
        <f t="shared" si="13"/>
        <v>46067</v>
      </c>
      <c r="AV7" s="11">
        <f t="shared" si="13"/>
        <v>46068</v>
      </c>
      <c r="AW7" s="11">
        <f t="shared" si="13"/>
        <v>46069</v>
      </c>
      <c r="AX7" s="11">
        <f t="shared" si="13"/>
        <v>46070</v>
      </c>
      <c r="AY7" s="11">
        <f t="shared" si="13"/>
        <v>46071</v>
      </c>
      <c r="AZ7" s="11">
        <f t="shared" si="13"/>
        <v>46072</v>
      </c>
      <c r="BA7" s="11">
        <f t="shared" si="13"/>
        <v>46073</v>
      </c>
      <c r="BB7" s="11">
        <f t="shared" si="13"/>
        <v>46074</v>
      </c>
      <c r="BC7" s="11">
        <f t="shared" si="13"/>
        <v>46075</v>
      </c>
      <c r="BD7" s="11">
        <f t="shared" si="13"/>
        <v>46076</v>
      </c>
      <c r="BE7" s="11">
        <f t="shared" si="13"/>
        <v>46077</v>
      </c>
      <c r="BF7" s="11">
        <f t="shared" si="13"/>
        <v>46078</v>
      </c>
      <c r="BG7" s="11">
        <f t="shared" si="13"/>
        <v>46079</v>
      </c>
      <c r="BH7" s="11">
        <f t="shared" si="13"/>
        <v>46080</v>
      </c>
      <c r="BI7" s="11">
        <f t="shared" si="13"/>
        <v>46081</v>
      </c>
      <c r="BJ7" s="11">
        <f t="shared" si="13"/>
        <v>46082</v>
      </c>
      <c r="BK7" s="11">
        <f t="shared" si="13"/>
        <v>46083</v>
      </c>
      <c r="BL7" s="11">
        <f t="shared" si="13"/>
        <v>46084</v>
      </c>
      <c r="BM7" s="11">
        <f t="shared" si="13"/>
        <v>46085</v>
      </c>
      <c r="BN7" s="11">
        <f t="shared" si="13"/>
        <v>46086</v>
      </c>
      <c r="BO7" s="11">
        <f t="shared" si="13"/>
        <v>46087</v>
      </c>
      <c r="BP7" s="11">
        <f t="shared" si="13"/>
        <v>46088</v>
      </c>
      <c r="BQ7" s="11">
        <f t="shared" ref="BQ7:EB7" si="14">+BP7+1</f>
        <v>46089</v>
      </c>
      <c r="BR7" s="11">
        <f t="shared" si="14"/>
        <v>46090</v>
      </c>
      <c r="BS7" s="11">
        <f t="shared" si="14"/>
        <v>46091</v>
      </c>
      <c r="BT7" s="11">
        <f t="shared" si="14"/>
        <v>46092</v>
      </c>
      <c r="BU7" s="11">
        <f t="shared" si="14"/>
        <v>46093</v>
      </c>
      <c r="BV7" s="11">
        <f t="shared" si="14"/>
        <v>46094</v>
      </c>
      <c r="BW7" s="11">
        <f t="shared" si="14"/>
        <v>46095</v>
      </c>
      <c r="BX7" s="11">
        <f t="shared" si="14"/>
        <v>46096</v>
      </c>
      <c r="BY7" s="11">
        <f t="shared" si="14"/>
        <v>46097</v>
      </c>
      <c r="BZ7" s="11">
        <f t="shared" si="14"/>
        <v>46098</v>
      </c>
      <c r="CA7" s="11">
        <f t="shared" si="14"/>
        <v>46099</v>
      </c>
      <c r="CB7" s="11">
        <f t="shared" si="14"/>
        <v>46100</v>
      </c>
      <c r="CC7" s="11">
        <f t="shared" si="14"/>
        <v>46101</v>
      </c>
      <c r="CD7" s="11">
        <f t="shared" si="14"/>
        <v>46102</v>
      </c>
      <c r="CE7" s="11">
        <f t="shared" si="14"/>
        <v>46103</v>
      </c>
      <c r="CF7" s="11">
        <f t="shared" si="14"/>
        <v>46104</v>
      </c>
      <c r="CG7" s="11">
        <f t="shared" si="14"/>
        <v>46105</v>
      </c>
      <c r="CH7" s="11">
        <f t="shared" si="14"/>
        <v>46106</v>
      </c>
      <c r="CI7" s="11">
        <f t="shared" si="14"/>
        <v>46107</v>
      </c>
      <c r="CJ7" s="11">
        <f t="shared" si="14"/>
        <v>46108</v>
      </c>
      <c r="CK7" s="11">
        <f t="shared" si="14"/>
        <v>46109</v>
      </c>
      <c r="CL7" s="11">
        <f t="shared" si="14"/>
        <v>46110</v>
      </c>
      <c r="CM7" s="11">
        <f t="shared" si="14"/>
        <v>46111</v>
      </c>
      <c r="CN7" s="11">
        <f t="shared" si="14"/>
        <v>46112</v>
      </c>
      <c r="CO7" s="11">
        <f t="shared" si="14"/>
        <v>46113</v>
      </c>
      <c r="CP7" s="11">
        <f t="shared" si="14"/>
        <v>46114</v>
      </c>
      <c r="CQ7" s="11">
        <f t="shared" si="14"/>
        <v>46115</v>
      </c>
      <c r="CR7" s="11">
        <f t="shared" si="14"/>
        <v>46116</v>
      </c>
      <c r="CS7" s="11">
        <f t="shared" si="14"/>
        <v>46117</v>
      </c>
      <c r="CT7" s="11">
        <f t="shared" si="14"/>
        <v>46118</v>
      </c>
      <c r="CU7" s="11">
        <f t="shared" si="14"/>
        <v>46119</v>
      </c>
      <c r="CV7" s="11">
        <f t="shared" si="14"/>
        <v>46120</v>
      </c>
      <c r="CW7" s="11">
        <f t="shared" si="14"/>
        <v>46121</v>
      </c>
      <c r="CX7" s="11">
        <f t="shared" si="14"/>
        <v>46122</v>
      </c>
      <c r="CY7" s="11">
        <f t="shared" si="14"/>
        <v>46123</v>
      </c>
      <c r="CZ7" s="11">
        <f t="shared" si="14"/>
        <v>46124</v>
      </c>
      <c r="DA7" s="11">
        <f t="shared" si="14"/>
        <v>46125</v>
      </c>
      <c r="DB7" s="11">
        <f t="shared" si="14"/>
        <v>46126</v>
      </c>
      <c r="DC7" s="11">
        <f t="shared" si="14"/>
        <v>46127</v>
      </c>
      <c r="DD7" s="11">
        <f t="shared" si="14"/>
        <v>46128</v>
      </c>
      <c r="DE7" s="11">
        <f t="shared" si="14"/>
        <v>46129</v>
      </c>
      <c r="DF7" s="11">
        <f t="shared" si="14"/>
        <v>46130</v>
      </c>
      <c r="DG7" s="11">
        <f t="shared" si="14"/>
        <v>46131</v>
      </c>
      <c r="DH7" s="11">
        <f t="shared" si="14"/>
        <v>46132</v>
      </c>
      <c r="DI7" s="11">
        <f t="shared" si="14"/>
        <v>46133</v>
      </c>
      <c r="DJ7" s="11">
        <f t="shared" si="14"/>
        <v>46134</v>
      </c>
      <c r="DK7" s="11">
        <f t="shared" si="14"/>
        <v>46135</v>
      </c>
      <c r="DL7" s="11">
        <f t="shared" si="14"/>
        <v>46136</v>
      </c>
      <c r="DM7" s="11">
        <f t="shared" si="14"/>
        <v>46137</v>
      </c>
      <c r="DN7" s="11">
        <f t="shared" si="14"/>
        <v>46138</v>
      </c>
      <c r="DO7" s="11">
        <f t="shared" si="14"/>
        <v>46139</v>
      </c>
      <c r="DP7" s="11">
        <f t="shared" si="14"/>
        <v>46140</v>
      </c>
      <c r="DQ7" s="11">
        <f t="shared" si="14"/>
        <v>46141</v>
      </c>
      <c r="DR7" s="11">
        <f t="shared" si="14"/>
        <v>46142</v>
      </c>
      <c r="DS7" s="11">
        <f t="shared" si="14"/>
        <v>46143</v>
      </c>
      <c r="DT7" s="11">
        <f t="shared" si="14"/>
        <v>46144</v>
      </c>
      <c r="DU7" s="11">
        <f t="shared" si="14"/>
        <v>46145</v>
      </c>
      <c r="DV7" s="11">
        <f t="shared" si="14"/>
        <v>46146</v>
      </c>
      <c r="DW7" s="11">
        <f t="shared" si="14"/>
        <v>46147</v>
      </c>
      <c r="DX7" s="11">
        <f t="shared" si="14"/>
        <v>46148</v>
      </c>
      <c r="DY7" s="11">
        <f t="shared" si="14"/>
        <v>46149</v>
      </c>
      <c r="DZ7" s="11">
        <f t="shared" si="14"/>
        <v>46150</v>
      </c>
      <c r="EA7" s="11">
        <f t="shared" si="14"/>
        <v>46151</v>
      </c>
      <c r="EB7" s="11">
        <f t="shared" si="14"/>
        <v>46152</v>
      </c>
      <c r="EC7" s="11">
        <f t="shared" ref="EC7:GN7" si="15">+EB7+1</f>
        <v>46153</v>
      </c>
      <c r="ED7" s="11">
        <f t="shared" si="15"/>
        <v>46154</v>
      </c>
      <c r="EE7" s="11">
        <f t="shared" si="15"/>
        <v>46155</v>
      </c>
      <c r="EF7" s="11">
        <f t="shared" si="15"/>
        <v>46156</v>
      </c>
      <c r="EG7" s="11">
        <f t="shared" si="15"/>
        <v>46157</v>
      </c>
      <c r="EH7" s="11">
        <f t="shared" si="15"/>
        <v>46158</v>
      </c>
      <c r="EI7" s="11">
        <f t="shared" si="15"/>
        <v>46159</v>
      </c>
      <c r="EJ7" s="11">
        <f t="shared" si="15"/>
        <v>46160</v>
      </c>
      <c r="EK7" s="11">
        <f t="shared" si="15"/>
        <v>46161</v>
      </c>
      <c r="EL7" s="11">
        <f t="shared" si="15"/>
        <v>46162</v>
      </c>
      <c r="EM7" s="11">
        <f t="shared" si="15"/>
        <v>46163</v>
      </c>
      <c r="EN7" s="11">
        <f t="shared" si="15"/>
        <v>46164</v>
      </c>
      <c r="EO7" s="11">
        <f t="shared" si="15"/>
        <v>46165</v>
      </c>
      <c r="EP7" s="11">
        <f t="shared" si="15"/>
        <v>46166</v>
      </c>
      <c r="EQ7" s="11">
        <f t="shared" si="15"/>
        <v>46167</v>
      </c>
      <c r="ER7" s="11">
        <f t="shared" si="15"/>
        <v>46168</v>
      </c>
      <c r="ES7" s="11">
        <f t="shared" si="15"/>
        <v>46169</v>
      </c>
      <c r="ET7" s="11">
        <f t="shared" si="15"/>
        <v>46170</v>
      </c>
      <c r="EU7" s="11">
        <f t="shared" si="15"/>
        <v>46171</v>
      </c>
      <c r="EV7" s="11">
        <f t="shared" si="15"/>
        <v>46172</v>
      </c>
      <c r="EW7" s="11">
        <f t="shared" si="15"/>
        <v>46173</v>
      </c>
      <c r="EX7" s="11">
        <f t="shared" si="15"/>
        <v>46174</v>
      </c>
      <c r="EY7" s="11">
        <f t="shared" si="15"/>
        <v>46175</v>
      </c>
      <c r="EZ7" s="11">
        <f t="shared" si="15"/>
        <v>46176</v>
      </c>
      <c r="FA7" s="11">
        <f t="shared" si="15"/>
        <v>46177</v>
      </c>
      <c r="FB7" s="11">
        <f t="shared" si="15"/>
        <v>46178</v>
      </c>
      <c r="FC7" s="11">
        <f t="shared" si="15"/>
        <v>46179</v>
      </c>
      <c r="FD7" s="11">
        <f t="shared" si="15"/>
        <v>46180</v>
      </c>
      <c r="FE7" s="11">
        <f t="shared" si="15"/>
        <v>46181</v>
      </c>
      <c r="FF7" s="11">
        <f t="shared" si="15"/>
        <v>46182</v>
      </c>
      <c r="FG7" s="11">
        <f t="shared" si="15"/>
        <v>46183</v>
      </c>
      <c r="FH7" s="11">
        <f t="shared" si="15"/>
        <v>46184</v>
      </c>
      <c r="FI7" s="11">
        <f t="shared" si="15"/>
        <v>46185</v>
      </c>
      <c r="FJ7" s="11">
        <f t="shared" si="15"/>
        <v>46186</v>
      </c>
      <c r="FK7" s="11">
        <f t="shared" si="15"/>
        <v>46187</v>
      </c>
      <c r="FL7" s="11">
        <f t="shared" si="15"/>
        <v>46188</v>
      </c>
      <c r="FM7" s="11">
        <f t="shared" si="15"/>
        <v>46189</v>
      </c>
      <c r="FN7" s="11">
        <f t="shared" si="15"/>
        <v>46190</v>
      </c>
      <c r="FO7" s="11">
        <f t="shared" si="15"/>
        <v>46191</v>
      </c>
      <c r="FP7" s="11">
        <f t="shared" si="15"/>
        <v>46192</v>
      </c>
      <c r="FQ7" s="11">
        <f t="shared" si="15"/>
        <v>46193</v>
      </c>
      <c r="FR7" s="11">
        <f t="shared" si="15"/>
        <v>46194</v>
      </c>
      <c r="FS7" s="11">
        <f t="shared" si="15"/>
        <v>46195</v>
      </c>
      <c r="FT7" s="11">
        <f t="shared" si="15"/>
        <v>46196</v>
      </c>
      <c r="FU7" s="11">
        <f t="shared" si="15"/>
        <v>46197</v>
      </c>
      <c r="FV7" s="11">
        <f t="shared" si="15"/>
        <v>46198</v>
      </c>
      <c r="FW7" s="11">
        <f t="shared" si="15"/>
        <v>46199</v>
      </c>
      <c r="FX7" s="11">
        <f t="shared" si="15"/>
        <v>46200</v>
      </c>
      <c r="FY7" s="11">
        <f t="shared" si="15"/>
        <v>46201</v>
      </c>
      <c r="FZ7" s="11">
        <f t="shared" si="15"/>
        <v>46202</v>
      </c>
      <c r="GA7" s="11">
        <f t="shared" si="15"/>
        <v>46203</v>
      </c>
      <c r="GB7" s="11">
        <f t="shared" si="15"/>
        <v>46204</v>
      </c>
      <c r="GC7" s="11">
        <f t="shared" si="15"/>
        <v>46205</v>
      </c>
      <c r="GD7" s="11">
        <f t="shared" si="15"/>
        <v>46206</v>
      </c>
      <c r="GE7" s="11">
        <f t="shared" si="15"/>
        <v>46207</v>
      </c>
      <c r="GF7" s="11">
        <f t="shared" si="15"/>
        <v>46208</v>
      </c>
      <c r="GG7" s="11">
        <f t="shared" si="15"/>
        <v>46209</v>
      </c>
      <c r="GH7" s="11">
        <f t="shared" si="15"/>
        <v>46210</v>
      </c>
      <c r="GI7" s="11">
        <f t="shared" si="15"/>
        <v>46211</v>
      </c>
      <c r="GJ7" s="11">
        <f t="shared" si="15"/>
        <v>46212</v>
      </c>
      <c r="GK7" s="11">
        <f t="shared" si="15"/>
        <v>46213</v>
      </c>
      <c r="GL7" s="11">
        <f t="shared" si="15"/>
        <v>46214</v>
      </c>
      <c r="GM7" s="11">
        <f t="shared" si="15"/>
        <v>46215</v>
      </c>
      <c r="GN7" s="11">
        <f t="shared" si="15"/>
        <v>46216</v>
      </c>
      <c r="GO7" s="11">
        <f t="shared" ref="GO7:IZ7" si="16">+GN7+1</f>
        <v>46217</v>
      </c>
      <c r="GP7" s="11">
        <f t="shared" si="16"/>
        <v>46218</v>
      </c>
      <c r="GQ7" s="11">
        <f t="shared" si="16"/>
        <v>46219</v>
      </c>
      <c r="GR7" s="11">
        <f t="shared" si="16"/>
        <v>46220</v>
      </c>
      <c r="GS7" s="11">
        <f t="shared" si="16"/>
        <v>46221</v>
      </c>
      <c r="GT7" s="11">
        <f t="shared" si="16"/>
        <v>46222</v>
      </c>
      <c r="GU7" s="11">
        <f t="shared" si="16"/>
        <v>46223</v>
      </c>
      <c r="GV7" s="11">
        <f t="shared" si="16"/>
        <v>46224</v>
      </c>
      <c r="GW7" s="11">
        <f t="shared" si="16"/>
        <v>46225</v>
      </c>
      <c r="GX7" s="11">
        <f t="shared" si="16"/>
        <v>46226</v>
      </c>
      <c r="GY7" s="11">
        <f t="shared" si="16"/>
        <v>46227</v>
      </c>
      <c r="GZ7" s="11">
        <f t="shared" si="16"/>
        <v>46228</v>
      </c>
      <c r="HA7" s="11">
        <f t="shared" si="16"/>
        <v>46229</v>
      </c>
      <c r="HB7" s="11">
        <f t="shared" si="16"/>
        <v>46230</v>
      </c>
      <c r="HC7" s="11">
        <f t="shared" si="16"/>
        <v>46231</v>
      </c>
      <c r="HD7" s="11">
        <f t="shared" si="16"/>
        <v>46232</v>
      </c>
      <c r="HE7" s="11">
        <f t="shared" si="16"/>
        <v>46233</v>
      </c>
      <c r="HF7" s="11">
        <f t="shared" si="16"/>
        <v>46234</v>
      </c>
      <c r="HG7" s="11">
        <f t="shared" si="16"/>
        <v>46235</v>
      </c>
      <c r="HH7" s="11">
        <f t="shared" si="16"/>
        <v>46236</v>
      </c>
      <c r="HI7" s="11">
        <f t="shared" si="16"/>
        <v>46237</v>
      </c>
      <c r="HJ7" s="11">
        <f t="shared" si="16"/>
        <v>46238</v>
      </c>
      <c r="HK7" s="11">
        <f t="shared" si="16"/>
        <v>46239</v>
      </c>
      <c r="HL7" s="11">
        <f t="shared" si="16"/>
        <v>46240</v>
      </c>
      <c r="HM7" s="11">
        <f t="shared" si="16"/>
        <v>46241</v>
      </c>
      <c r="HN7" s="11">
        <f t="shared" si="16"/>
        <v>46242</v>
      </c>
      <c r="HO7" s="11">
        <f t="shared" si="16"/>
        <v>46243</v>
      </c>
      <c r="HP7" s="11">
        <f t="shared" si="16"/>
        <v>46244</v>
      </c>
      <c r="HQ7" s="11">
        <f t="shared" si="16"/>
        <v>46245</v>
      </c>
      <c r="HR7" s="11">
        <f t="shared" si="16"/>
        <v>46246</v>
      </c>
      <c r="HS7" s="11">
        <f t="shared" si="16"/>
        <v>46247</v>
      </c>
      <c r="HT7" s="11">
        <f t="shared" si="16"/>
        <v>46248</v>
      </c>
      <c r="HU7" s="11">
        <f t="shared" si="16"/>
        <v>46249</v>
      </c>
      <c r="HV7" s="11">
        <f t="shared" si="16"/>
        <v>46250</v>
      </c>
      <c r="HW7" s="11">
        <f t="shared" si="16"/>
        <v>46251</v>
      </c>
      <c r="HX7" s="11">
        <f t="shared" si="16"/>
        <v>46252</v>
      </c>
      <c r="HY7" s="11">
        <f t="shared" si="16"/>
        <v>46253</v>
      </c>
      <c r="HZ7" s="11">
        <f t="shared" si="16"/>
        <v>46254</v>
      </c>
      <c r="IA7" s="11">
        <f t="shared" si="16"/>
        <v>46255</v>
      </c>
      <c r="IB7" s="11">
        <f t="shared" si="16"/>
        <v>46256</v>
      </c>
      <c r="IC7" s="11">
        <f t="shared" si="16"/>
        <v>46257</v>
      </c>
      <c r="ID7" s="11">
        <f t="shared" si="16"/>
        <v>46258</v>
      </c>
      <c r="IE7" s="11">
        <f t="shared" si="16"/>
        <v>46259</v>
      </c>
      <c r="IF7" s="11">
        <f t="shared" si="16"/>
        <v>46260</v>
      </c>
      <c r="IG7" s="11">
        <f t="shared" si="16"/>
        <v>46261</v>
      </c>
      <c r="IH7" s="11">
        <f t="shared" si="16"/>
        <v>46262</v>
      </c>
      <c r="II7" s="11">
        <f t="shared" si="16"/>
        <v>46263</v>
      </c>
      <c r="IJ7" s="11">
        <f t="shared" si="16"/>
        <v>46264</v>
      </c>
      <c r="IK7" s="11">
        <f t="shared" si="16"/>
        <v>46265</v>
      </c>
      <c r="IL7" s="11">
        <f t="shared" si="16"/>
        <v>46266</v>
      </c>
      <c r="IM7" s="11">
        <f t="shared" si="16"/>
        <v>46267</v>
      </c>
      <c r="IN7" s="11">
        <f t="shared" si="16"/>
        <v>46268</v>
      </c>
      <c r="IO7" s="11">
        <f t="shared" si="16"/>
        <v>46269</v>
      </c>
      <c r="IP7" s="11">
        <f t="shared" si="16"/>
        <v>46270</v>
      </c>
      <c r="IQ7" s="11">
        <f t="shared" si="16"/>
        <v>46271</v>
      </c>
      <c r="IR7" s="11">
        <f t="shared" si="16"/>
        <v>46272</v>
      </c>
      <c r="IS7" s="11">
        <f t="shared" si="16"/>
        <v>46273</v>
      </c>
      <c r="IT7" s="11">
        <f t="shared" si="16"/>
        <v>46274</v>
      </c>
      <c r="IU7" s="11">
        <f t="shared" si="16"/>
        <v>46275</v>
      </c>
      <c r="IV7" s="11">
        <f t="shared" si="16"/>
        <v>46276</v>
      </c>
      <c r="IW7" s="11">
        <f t="shared" si="16"/>
        <v>46277</v>
      </c>
      <c r="IX7" s="11">
        <f t="shared" si="16"/>
        <v>46278</v>
      </c>
      <c r="IY7" s="11">
        <f t="shared" si="16"/>
        <v>46279</v>
      </c>
      <c r="IZ7" s="11">
        <f t="shared" si="16"/>
        <v>46280</v>
      </c>
      <c r="JA7" s="11">
        <f t="shared" ref="JA7:LL7" si="17">+IZ7+1</f>
        <v>46281</v>
      </c>
      <c r="JB7" s="11">
        <f t="shared" si="17"/>
        <v>46282</v>
      </c>
      <c r="JC7" s="11">
        <f t="shared" si="17"/>
        <v>46283</v>
      </c>
      <c r="JD7" s="11">
        <f t="shared" si="17"/>
        <v>46284</v>
      </c>
      <c r="JE7" s="11">
        <f t="shared" si="17"/>
        <v>46285</v>
      </c>
      <c r="JF7" s="11">
        <f t="shared" si="17"/>
        <v>46286</v>
      </c>
      <c r="JG7" s="11">
        <f t="shared" si="17"/>
        <v>46287</v>
      </c>
      <c r="JH7" s="11">
        <f t="shared" si="17"/>
        <v>46288</v>
      </c>
      <c r="JI7" s="11">
        <f t="shared" si="17"/>
        <v>46289</v>
      </c>
      <c r="JJ7" s="11">
        <f t="shared" si="17"/>
        <v>46290</v>
      </c>
      <c r="JK7" s="11">
        <f t="shared" si="17"/>
        <v>46291</v>
      </c>
      <c r="JL7" s="11">
        <f t="shared" si="17"/>
        <v>46292</v>
      </c>
      <c r="JM7" s="11">
        <f t="shared" si="17"/>
        <v>46293</v>
      </c>
      <c r="JN7" s="11">
        <f t="shared" si="17"/>
        <v>46294</v>
      </c>
      <c r="JO7" s="11">
        <f t="shared" si="17"/>
        <v>46295</v>
      </c>
      <c r="JP7" s="11">
        <f t="shared" si="17"/>
        <v>46296</v>
      </c>
      <c r="JQ7" s="11">
        <f t="shared" si="17"/>
        <v>46297</v>
      </c>
      <c r="JR7" s="11">
        <f t="shared" si="17"/>
        <v>46298</v>
      </c>
      <c r="JS7" s="11">
        <f t="shared" si="17"/>
        <v>46299</v>
      </c>
      <c r="JT7" s="11">
        <f t="shared" si="17"/>
        <v>46300</v>
      </c>
      <c r="JU7" s="11">
        <f t="shared" si="17"/>
        <v>46301</v>
      </c>
      <c r="JV7" s="11">
        <f t="shared" si="17"/>
        <v>46302</v>
      </c>
      <c r="JW7" s="11">
        <f t="shared" si="17"/>
        <v>46303</v>
      </c>
      <c r="JX7" s="11">
        <f t="shared" si="17"/>
        <v>46304</v>
      </c>
      <c r="JY7" s="11">
        <f t="shared" si="17"/>
        <v>46305</v>
      </c>
      <c r="JZ7" s="11">
        <f t="shared" si="17"/>
        <v>46306</v>
      </c>
      <c r="KA7" s="11">
        <f t="shared" si="17"/>
        <v>46307</v>
      </c>
      <c r="KB7" s="11">
        <f t="shared" si="17"/>
        <v>46308</v>
      </c>
      <c r="KC7" s="11">
        <f t="shared" si="17"/>
        <v>46309</v>
      </c>
      <c r="KD7" s="11">
        <f t="shared" si="17"/>
        <v>46310</v>
      </c>
      <c r="KE7" s="11">
        <f t="shared" si="17"/>
        <v>46311</v>
      </c>
      <c r="KF7" s="11">
        <f t="shared" si="17"/>
        <v>46312</v>
      </c>
      <c r="KG7" s="11">
        <f t="shared" si="17"/>
        <v>46313</v>
      </c>
      <c r="KH7" s="11">
        <f t="shared" si="17"/>
        <v>46314</v>
      </c>
      <c r="KI7" s="11">
        <f t="shared" si="17"/>
        <v>46315</v>
      </c>
      <c r="KJ7" s="11">
        <f t="shared" si="17"/>
        <v>46316</v>
      </c>
      <c r="KK7" s="11">
        <f t="shared" si="17"/>
        <v>46317</v>
      </c>
      <c r="KL7" s="11">
        <f t="shared" si="17"/>
        <v>46318</v>
      </c>
      <c r="KM7" s="11">
        <f t="shared" si="17"/>
        <v>46319</v>
      </c>
      <c r="KN7" s="11">
        <f t="shared" si="17"/>
        <v>46320</v>
      </c>
      <c r="KO7" s="11">
        <f t="shared" si="17"/>
        <v>46321</v>
      </c>
      <c r="KP7" s="11">
        <f t="shared" si="17"/>
        <v>46322</v>
      </c>
      <c r="KQ7" s="11">
        <f t="shared" si="17"/>
        <v>46323</v>
      </c>
      <c r="KR7" s="11">
        <f t="shared" si="17"/>
        <v>46324</v>
      </c>
      <c r="KS7" s="11">
        <f t="shared" si="17"/>
        <v>46325</v>
      </c>
      <c r="KT7" s="11">
        <f t="shared" si="17"/>
        <v>46326</v>
      </c>
      <c r="KU7" s="11">
        <f t="shared" si="17"/>
        <v>46327</v>
      </c>
      <c r="KV7" s="11">
        <f t="shared" si="17"/>
        <v>46328</v>
      </c>
      <c r="KW7" s="11">
        <f t="shared" si="17"/>
        <v>46329</v>
      </c>
      <c r="KX7" s="11">
        <f t="shared" si="17"/>
        <v>46330</v>
      </c>
      <c r="KY7" s="11">
        <f t="shared" si="17"/>
        <v>46331</v>
      </c>
      <c r="KZ7" s="11">
        <f t="shared" si="17"/>
        <v>46332</v>
      </c>
      <c r="LA7" s="11">
        <f t="shared" si="17"/>
        <v>46333</v>
      </c>
      <c r="LB7" s="11">
        <f t="shared" si="17"/>
        <v>46334</v>
      </c>
      <c r="LC7" s="11">
        <f t="shared" si="17"/>
        <v>46335</v>
      </c>
      <c r="LD7" s="11">
        <f t="shared" si="17"/>
        <v>46336</v>
      </c>
      <c r="LE7" s="11">
        <f t="shared" si="17"/>
        <v>46337</v>
      </c>
      <c r="LF7" s="11">
        <f t="shared" si="17"/>
        <v>46338</v>
      </c>
      <c r="LG7" s="11">
        <f t="shared" si="17"/>
        <v>46339</v>
      </c>
      <c r="LH7" s="11">
        <f t="shared" si="17"/>
        <v>46340</v>
      </c>
      <c r="LI7" s="11">
        <f t="shared" si="17"/>
        <v>46341</v>
      </c>
      <c r="LJ7" s="11">
        <f t="shared" si="17"/>
        <v>46342</v>
      </c>
      <c r="LK7" s="11">
        <f t="shared" si="17"/>
        <v>46343</v>
      </c>
      <c r="LL7" s="11">
        <f t="shared" si="17"/>
        <v>46344</v>
      </c>
      <c r="LM7" s="11">
        <f t="shared" ref="LM7:NC7" si="18">+LL7+1</f>
        <v>46345</v>
      </c>
      <c r="LN7" s="11">
        <f t="shared" si="18"/>
        <v>46346</v>
      </c>
      <c r="LO7" s="11">
        <f t="shared" si="18"/>
        <v>46347</v>
      </c>
      <c r="LP7" s="11">
        <f t="shared" si="18"/>
        <v>46348</v>
      </c>
      <c r="LQ7" s="11">
        <f t="shared" si="18"/>
        <v>46349</v>
      </c>
      <c r="LR7" s="11">
        <f t="shared" si="18"/>
        <v>46350</v>
      </c>
      <c r="LS7" s="11">
        <f t="shared" si="18"/>
        <v>46351</v>
      </c>
      <c r="LT7" s="11">
        <f t="shared" si="18"/>
        <v>46352</v>
      </c>
      <c r="LU7" s="11">
        <f t="shared" si="18"/>
        <v>46353</v>
      </c>
      <c r="LV7" s="11">
        <f t="shared" si="18"/>
        <v>46354</v>
      </c>
      <c r="LW7" s="11">
        <f t="shared" si="18"/>
        <v>46355</v>
      </c>
      <c r="LX7" s="11">
        <f t="shared" si="18"/>
        <v>46356</v>
      </c>
      <c r="LY7" s="11">
        <f t="shared" si="18"/>
        <v>46357</v>
      </c>
      <c r="LZ7" s="11">
        <f t="shared" si="18"/>
        <v>46358</v>
      </c>
      <c r="MA7" s="11">
        <f t="shared" si="18"/>
        <v>46359</v>
      </c>
      <c r="MB7" s="11">
        <f t="shared" si="18"/>
        <v>46360</v>
      </c>
      <c r="MC7" s="11">
        <f t="shared" si="18"/>
        <v>46361</v>
      </c>
      <c r="MD7" s="11">
        <f t="shared" si="18"/>
        <v>46362</v>
      </c>
      <c r="ME7" s="11">
        <f t="shared" si="18"/>
        <v>46363</v>
      </c>
      <c r="MF7" s="11">
        <f t="shared" si="18"/>
        <v>46364</v>
      </c>
      <c r="MG7" s="11">
        <f t="shared" si="18"/>
        <v>46365</v>
      </c>
      <c r="MH7" s="11">
        <f t="shared" si="18"/>
        <v>46366</v>
      </c>
      <c r="MI7" s="11">
        <f t="shared" si="18"/>
        <v>46367</v>
      </c>
      <c r="MJ7" s="11">
        <f t="shared" si="18"/>
        <v>46368</v>
      </c>
      <c r="MK7" s="11">
        <f t="shared" si="18"/>
        <v>46369</v>
      </c>
      <c r="ML7" s="11">
        <f t="shared" si="18"/>
        <v>46370</v>
      </c>
      <c r="MM7" s="11">
        <f t="shared" si="18"/>
        <v>46371</v>
      </c>
      <c r="MN7" s="11">
        <f t="shared" si="18"/>
        <v>46372</v>
      </c>
      <c r="MO7" s="11">
        <f t="shared" si="18"/>
        <v>46373</v>
      </c>
      <c r="MP7" s="11">
        <f t="shared" si="18"/>
        <v>46374</v>
      </c>
      <c r="MQ7" s="11">
        <f t="shared" si="18"/>
        <v>46375</v>
      </c>
      <c r="MR7" s="11">
        <f t="shared" si="18"/>
        <v>46376</v>
      </c>
      <c r="MS7" s="11">
        <f t="shared" si="18"/>
        <v>46377</v>
      </c>
      <c r="MT7" s="11">
        <f t="shared" si="18"/>
        <v>46378</v>
      </c>
      <c r="MU7" s="11">
        <f t="shared" si="18"/>
        <v>46379</v>
      </c>
      <c r="MV7" s="11">
        <f t="shared" si="18"/>
        <v>46380</v>
      </c>
      <c r="MW7" s="11">
        <f t="shared" si="18"/>
        <v>46381</v>
      </c>
      <c r="MX7" s="11">
        <f t="shared" si="18"/>
        <v>46382</v>
      </c>
      <c r="MY7" s="11">
        <f t="shared" si="18"/>
        <v>46383</v>
      </c>
      <c r="MZ7" s="11">
        <f t="shared" si="18"/>
        <v>46384</v>
      </c>
      <c r="NA7" s="11">
        <f t="shared" si="18"/>
        <v>46385</v>
      </c>
      <c r="NB7" s="11">
        <f t="shared" si="18"/>
        <v>46386</v>
      </c>
      <c r="NC7" s="11">
        <f t="shared" si="18"/>
        <v>46387</v>
      </c>
    </row>
    <row r="8" spans="1:367">
      <c r="A8" s="12"/>
      <c r="B8" s="12" t="s">
        <v>10</v>
      </c>
      <c r="C8" s="8" t="s">
        <v>54</v>
      </c>
      <c r="D8" s="8" t="s">
        <v>54</v>
      </c>
      <c r="E8" s="8" t="s">
        <v>54</v>
      </c>
      <c r="F8" s="8" t="s">
        <v>54</v>
      </c>
      <c r="G8" s="8" t="s">
        <v>425</v>
      </c>
      <c r="H8" s="8" t="s">
        <v>425</v>
      </c>
      <c r="I8" s="8" t="s">
        <v>425</v>
      </c>
      <c r="J8" s="8" t="s">
        <v>425</v>
      </c>
      <c r="K8" s="8" t="s">
        <v>425</v>
      </c>
      <c r="L8" s="8" t="s">
        <v>425</v>
      </c>
      <c r="M8" s="8" t="s">
        <v>425</v>
      </c>
      <c r="N8" s="32" t="s">
        <v>2</v>
      </c>
      <c r="O8" s="32" t="s">
        <v>2</v>
      </c>
      <c r="P8" s="32" t="s">
        <v>2</v>
      </c>
      <c r="Q8" s="32" t="s">
        <v>2</v>
      </c>
      <c r="R8" s="32" t="s">
        <v>2</v>
      </c>
      <c r="S8" s="32" t="s">
        <v>2</v>
      </c>
      <c r="T8" s="32" t="s">
        <v>2</v>
      </c>
      <c r="U8" s="32" t="s">
        <v>3</v>
      </c>
      <c r="V8" s="32" t="s">
        <v>3</v>
      </c>
      <c r="W8" s="32" t="s">
        <v>3</v>
      </c>
      <c r="X8" s="32" t="s">
        <v>3</v>
      </c>
      <c r="Y8" s="32" t="s">
        <v>3</v>
      </c>
      <c r="Z8" s="32" t="s">
        <v>3</v>
      </c>
      <c r="AA8" s="32" t="s">
        <v>3</v>
      </c>
      <c r="AB8" s="32" t="s">
        <v>4</v>
      </c>
      <c r="AC8" s="32" t="s">
        <v>4</v>
      </c>
      <c r="AD8" s="32" t="s">
        <v>4</v>
      </c>
      <c r="AE8" s="32" t="s">
        <v>4</v>
      </c>
      <c r="AF8" s="32" t="s">
        <v>4</v>
      </c>
      <c r="AG8" s="32" t="s">
        <v>4</v>
      </c>
      <c r="AH8" s="32" t="s">
        <v>4</v>
      </c>
      <c r="AI8" s="32" t="s">
        <v>5</v>
      </c>
      <c r="AJ8" s="32" t="s">
        <v>5</v>
      </c>
      <c r="AK8" s="32" t="s">
        <v>5</v>
      </c>
      <c r="AL8" s="32" t="s">
        <v>5</v>
      </c>
      <c r="AM8" s="32" t="s">
        <v>5</v>
      </c>
      <c r="AN8" s="32" t="s">
        <v>5</v>
      </c>
      <c r="AO8" s="32" t="s">
        <v>5</v>
      </c>
      <c r="AP8" s="7" t="s">
        <v>6</v>
      </c>
      <c r="AQ8" s="7" t="s">
        <v>6</v>
      </c>
      <c r="AR8" s="7" t="s">
        <v>6</v>
      </c>
      <c r="AS8" s="7" t="s">
        <v>6</v>
      </c>
      <c r="AT8" s="7" t="s">
        <v>6</v>
      </c>
      <c r="AU8" s="7" t="s">
        <v>6</v>
      </c>
      <c r="AV8" s="7" t="s">
        <v>6</v>
      </c>
      <c r="AW8" s="8" t="s">
        <v>7</v>
      </c>
      <c r="AX8" s="8" t="s">
        <v>7</v>
      </c>
      <c r="AY8" s="8" t="s">
        <v>7</v>
      </c>
      <c r="AZ8" s="8" t="s">
        <v>7</v>
      </c>
      <c r="BA8" s="8" t="s">
        <v>7</v>
      </c>
      <c r="BB8" s="8" t="s">
        <v>7</v>
      </c>
      <c r="BC8" s="8" t="s">
        <v>7</v>
      </c>
      <c r="BD8" s="7" t="s">
        <v>8</v>
      </c>
      <c r="BE8" s="7" t="s">
        <v>8</v>
      </c>
      <c r="BF8" s="7" t="s">
        <v>8</v>
      </c>
      <c r="BG8" s="7" t="s">
        <v>8</v>
      </c>
      <c r="BH8" s="7" t="s">
        <v>8</v>
      </c>
      <c r="BI8" s="7" t="s">
        <v>8</v>
      </c>
      <c r="BJ8" s="7" t="s">
        <v>8</v>
      </c>
      <c r="BK8" s="7" t="s">
        <v>11</v>
      </c>
      <c r="BL8" s="7" t="s">
        <v>11</v>
      </c>
      <c r="BM8" s="7" t="s">
        <v>11</v>
      </c>
      <c r="BN8" s="7" t="s">
        <v>11</v>
      </c>
      <c r="BO8" s="7" t="s">
        <v>11</v>
      </c>
      <c r="BP8" s="7" t="s">
        <v>11</v>
      </c>
      <c r="BQ8" s="7" t="s">
        <v>11</v>
      </c>
      <c r="BR8" s="7" t="s">
        <v>12</v>
      </c>
      <c r="BS8" s="7" t="s">
        <v>12</v>
      </c>
      <c r="BT8" s="7" t="s">
        <v>12</v>
      </c>
      <c r="BU8" s="7" t="s">
        <v>12</v>
      </c>
      <c r="BV8" s="7" t="s">
        <v>12</v>
      </c>
      <c r="BW8" s="7" t="s">
        <v>12</v>
      </c>
      <c r="BX8" s="7" t="s">
        <v>12</v>
      </c>
      <c r="BY8" s="7" t="s">
        <v>13</v>
      </c>
      <c r="BZ8" s="7" t="s">
        <v>13</v>
      </c>
      <c r="CA8" s="7" t="s">
        <v>13</v>
      </c>
      <c r="CB8" s="7" t="s">
        <v>13</v>
      </c>
      <c r="CC8" s="7" t="s">
        <v>13</v>
      </c>
      <c r="CD8" s="7" t="s">
        <v>13</v>
      </c>
      <c r="CE8" s="7" t="s">
        <v>13</v>
      </c>
      <c r="CF8" s="7" t="s">
        <v>14</v>
      </c>
      <c r="CG8" s="7" t="s">
        <v>14</v>
      </c>
      <c r="CH8" s="7" t="s">
        <v>14</v>
      </c>
      <c r="CI8" s="7" t="s">
        <v>14</v>
      </c>
      <c r="CJ8" s="7" t="s">
        <v>14</v>
      </c>
      <c r="CK8" s="7" t="s">
        <v>14</v>
      </c>
      <c r="CL8" s="7" t="s">
        <v>14</v>
      </c>
      <c r="CM8" s="7" t="s">
        <v>15</v>
      </c>
      <c r="CN8" s="7" t="s">
        <v>15</v>
      </c>
      <c r="CO8" s="7" t="s">
        <v>15</v>
      </c>
      <c r="CP8" s="7" t="s">
        <v>15</v>
      </c>
      <c r="CQ8" s="7" t="s">
        <v>15</v>
      </c>
      <c r="CR8" s="7" t="s">
        <v>15</v>
      </c>
      <c r="CS8" s="7" t="s">
        <v>15</v>
      </c>
      <c r="CT8" s="7" t="s">
        <v>16</v>
      </c>
      <c r="CU8" s="7" t="s">
        <v>16</v>
      </c>
      <c r="CV8" s="7" t="s">
        <v>16</v>
      </c>
      <c r="CW8" s="7" t="s">
        <v>16</v>
      </c>
      <c r="CX8" s="7" t="s">
        <v>16</v>
      </c>
      <c r="CY8" s="7" t="s">
        <v>16</v>
      </c>
      <c r="CZ8" s="7" t="s">
        <v>16</v>
      </c>
      <c r="DA8" s="7" t="s">
        <v>17</v>
      </c>
      <c r="DB8" s="7" t="s">
        <v>17</v>
      </c>
      <c r="DC8" s="7" t="s">
        <v>17</v>
      </c>
      <c r="DD8" s="7" t="s">
        <v>17</v>
      </c>
      <c r="DE8" s="7" t="s">
        <v>17</v>
      </c>
      <c r="DF8" s="7" t="s">
        <v>17</v>
      </c>
      <c r="DG8" s="7" t="s">
        <v>17</v>
      </c>
      <c r="DH8" s="7" t="s">
        <v>18</v>
      </c>
      <c r="DI8" s="7" t="s">
        <v>18</v>
      </c>
      <c r="DJ8" s="7" t="s">
        <v>18</v>
      </c>
      <c r="DK8" s="7" t="s">
        <v>18</v>
      </c>
      <c r="DL8" s="7" t="s">
        <v>18</v>
      </c>
      <c r="DM8" s="7" t="s">
        <v>18</v>
      </c>
      <c r="DN8" s="7" t="s">
        <v>18</v>
      </c>
      <c r="DO8" s="7" t="s">
        <v>19</v>
      </c>
      <c r="DP8" s="7" t="s">
        <v>19</v>
      </c>
      <c r="DQ8" s="7" t="s">
        <v>19</v>
      </c>
      <c r="DR8" s="7" t="s">
        <v>19</v>
      </c>
      <c r="DS8" s="7" t="s">
        <v>19</v>
      </c>
      <c r="DT8" s="7" t="s">
        <v>19</v>
      </c>
      <c r="DU8" s="7" t="s">
        <v>19</v>
      </c>
      <c r="DV8" s="7" t="s">
        <v>20</v>
      </c>
      <c r="DW8" s="7" t="s">
        <v>20</v>
      </c>
      <c r="DX8" s="7" t="s">
        <v>20</v>
      </c>
      <c r="DY8" s="7" t="s">
        <v>20</v>
      </c>
      <c r="DZ8" s="7" t="s">
        <v>20</v>
      </c>
      <c r="EA8" s="7" t="s">
        <v>20</v>
      </c>
      <c r="EB8" s="7" t="s">
        <v>20</v>
      </c>
      <c r="EC8" s="8" t="s">
        <v>21</v>
      </c>
      <c r="ED8" s="8" t="s">
        <v>21</v>
      </c>
      <c r="EE8" s="8" t="s">
        <v>21</v>
      </c>
      <c r="EF8" s="8" t="s">
        <v>21</v>
      </c>
      <c r="EG8" s="8" t="s">
        <v>21</v>
      </c>
      <c r="EH8" s="8" t="s">
        <v>21</v>
      </c>
      <c r="EI8" s="8" t="s">
        <v>21</v>
      </c>
      <c r="EJ8" s="8" t="s">
        <v>22</v>
      </c>
      <c r="EK8" s="8" t="s">
        <v>22</v>
      </c>
      <c r="EL8" s="8" t="s">
        <v>22</v>
      </c>
      <c r="EM8" s="8" t="s">
        <v>22</v>
      </c>
      <c r="EN8" s="8" t="s">
        <v>22</v>
      </c>
      <c r="EO8" s="8" t="s">
        <v>22</v>
      </c>
      <c r="EP8" s="8" t="s">
        <v>22</v>
      </c>
      <c r="EQ8" s="8" t="s">
        <v>23</v>
      </c>
      <c r="ER8" s="8" t="s">
        <v>23</v>
      </c>
      <c r="ES8" s="8" t="s">
        <v>23</v>
      </c>
      <c r="ET8" s="8" t="s">
        <v>23</v>
      </c>
      <c r="EU8" s="8" t="s">
        <v>23</v>
      </c>
      <c r="EV8" s="8" t="s">
        <v>23</v>
      </c>
      <c r="EW8" s="8" t="s">
        <v>23</v>
      </c>
      <c r="EX8" s="7" t="s">
        <v>24</v>
      </c>
      <c r="EY8" s="7" t="s">
        <v>24</v>
      </c>
      <c r="EZ8" s="7" t="s">
        <v>24</v>
      </c>
      <c r="FA8" s="7" t="s">
        <v>24</v>
      </c>
      <c r="FB8" s="7" t="s">
        <v>24</v>
      </c>
      <c r="FC8" s="7" t="s">
        <v>24</v>
      </c>
      <c r="FD8" s="7" t="s">
        <v>24</v>
      </c>
      <c r="FE8" s="7" t="s">
        <v>25</v>
      </c>
      <c r="FF8" s="7" t="s">
        <v>25</v>
      </c>
      <c r="FG8" s="7" t="s">
        <v>25</v>
      </c>
      <c r="FH8" s="7" t="s">
        <v>25</v>
      </c>
      <c r="FI8" s="7" t="s">
        <v>25</v>
      </c>
      <c r="FJ8" s="7" t="s">
        <v>25</v>
      </c>
      <c r="FK8" s="7" t="s">
        <v>25</v>
      </c>
      <c r="FL8" s="7" t="s">
        <v>26</v>
      </c>
      <c r="FM8" s="7" t="s">
        <v>26</v>
      </c>
      <c r="FN8" s="7" t="s">
        <v>26</v>
      </c>
      <c r="FO8" s="7" t="s">
        <v>26</v>
      </c>
      <c r="FP8" s="7" t="s">
        <v>26</v>
      </c>
      <c r="FQ8" s="7" t="s">
        <v>26</v>
      </c>
      <c r="FR8" s="7" t="s">
        <v>26</v>
      </c>
      <c r="FS8" s="7" t="s">
        <v>27</v>
      </c>
      <c r="FT8" s="7" t="s">
        <v>27</v>
      </c>
      <c r="FU8" s="7" t="s">
        <v>27</v>
      </c>
      <c r="FV8" s="7" t="s">
        <v>27</v>
      </c>
      <c r="FW8" s="7" t="s">
        <v>27</v>
      </c>
      <c r="FX8" s="7" t="s">
        <v>27</v>
      </c>
      <c r="FY8" s="7" t="s">
        <v>27</v>
      </c>
      <c r="FZ8" s="7" t="s">
        <v>28</v>
      </c>
      <c r="GA8" s="7" t="s">
        <v>28</v>
      </c>
      <c r="GB8" s="7" t="s">
        <v>28</v>
      </c>
      <c r="GC8" s="7" t="s">
        <v>28</v>
      </c>
      <c r="GD8" s="7" t="s">
        <v>28</v>
      </c>
      <c r="GE8" s="7" t="s">
        <v>28</v>
      </c>
      <c r="GF8" s="7" t="s">
        <v>28</v>
      </c>
      <c r="GG8" s="7" t="s">
        <v>29</v>
      </c>
      <c r="GH8" s="7" t="s">
        <v>29</v>
      </c>
      <c r="GI8" s="7" t="s">
        <v>29</v>
      </c>
      <c r="GJ8" s="7" t="s">
        <v>29</v>
      </c>
      <c r="GK8" s="7" t="s">
        <v>29</v>
      </c>
      <c r="GL8" s="7" t="s">
        <v>29</v>
      </c>
      <c r="GM8" s="7" t="s">
        <v>29</v>
      </c>
      <c r="GN8" s="8" t="s">
        <v>30</v>
      </c>
      <c r="GO8" s="8" t="s">
        <v>30</v>
      </c>
      <c r="GP8" s="8" t="s">
        <v>30</v>
      </c>
      <c r="GQ8" s="8" t="s">
        <v>30</v>
      </c>
      <c r="GR8" s="8" t="s">
        <v>30</v>
      </c>
      <c r="GS8" s="8" t="s">
        <v>30</v>
      </c>
      <c r="GT8" s="8" t="s">
        <v>30</v>
      </c>
      <c r="GU8" s="8" t="s">
        <v>31</v>
      </c>
      <c r="GV8" s="8" t="s">
        <v>31</v>
      </c>
      <c r="GW8" s="8" t="s">
        <v>31</v>
      </c>
      <c r="GX8" s="8" t="s">
        <v>31</v>
      </c>
      <c r="GY8" s="8" t="s">
        <v>31</v>
      </c>
      <c r="GZ8" s="8" t="s">
        <v>31</v>
      </c>
      <c r="HA8" s="8" t="s">
        <v>31</v>
      </c>
      <c r="HB8" s="8" t="s">
        <v>32</v>
      </c>
      <c r="HC8" s="8" t="s">
        <v>32</v>
      </c>
      <c r="HD8" s="8" t="s">
        <v>32</v>
      </c>
      <c r="HE8" s="8" t="s">
        <v>32</v>
      </c>
      <c r="HF8" s="8" t="s">
        <v>32</v>
      </c>
      <c r="HG8" s="8" t="s">
        <v>32</v>
      </c>
      <c r="HH8" s="8" t="s">
        <v>32</v>
      </c>
      <c r="HI8" s="8" t="s">
        <v>33</v>
      </c>
      <c r="HJ8" s="8" t="s">
        <v>33</v>
      </c>
      <c r="HK8" s="8" t="s">
        <v>33</v>
      </c>
      <c r="HL8" s="8" t="s">
        <v>33</v>
      </c>
      <c r="HM8" s="8" t="s">
        <v>33</v>
      </c>
      <c r="HN8" s="8" t="s">
        <v>33</v>
      </c>
      <c r="HO8" s="8" t="s">
        <v>33</v>
      </c>
      <c r="HP8" s="8" t="s">
        <v>34</v>
      </c>
      <c r="HQ8" s="8" t="s">
        <v>34</v>
      </c>
      <c r="HR8" s="8" t="s">
        <v>34</v>
      </c>
      <c r="HS8" s="8" t="s">
        <v>34</v>
      </c>
      <c r="HT8" s="8" t="s">
        <v>34</v>
      </c>
      <c r="HU8" s="8" t="s">
        <v>34</v>
      </c>
      <c r="HV8" s="8" t="s">
        <v>34</v>
      </c>
      <c r="HW8" s="7" t="s">
        <v>35</v>
      </c>
      <c r="HX8" s="7" t="s">
        <v>35</v>
      </c>
      <c r="HY8" s="7" t="s">
        <v>35</v>
      </c>
      <c r="HZ8" s="7" t="s">
        <v>35</v>
      </c>
      <c r="IA8" s="7" t="s">
        <v>35</v>
      </c>
      <c r="IB8" s="7" t="s">
        <v>35</v>
      </c>
      <c r="IC8" s="7" t="s">
        <v>35</v>
      </c>
      <c r="ID8" s="7" t="s">
        <v>36</v>
      </c>
      <c r="IE8" s="7" t="s">
        <v>36</v>
      </c>
      <c r="IF8" s="7" t="s">
        <v>36</v>
      </c>
      <c r="IG8" s="7" t="s">
        <v>36</v>
      </c>
      <c r="IH8" s="7" t="s">
        <v>36</v>
      </c>
      <c r="II8" s="7" t="s">
        <v>36</v>
      </c>
      <c r="IJ8" s="7" t="s">
        <v>36</v>
      </c>
      <c r="IK8" s="7" t="s">
        <v>37</v>
      </c>
      <c r="IL8" s="7" t="s">
        <v>37</v>
      </c>
      <c r="IM8" s="7" t="s">
        <v>37</v>
      </c>
      <c r="IN8" s="7" t="s">
        <v>37</v>
      </c>
      <c r="IO8" s="7" t="s">
        <v>37</v>
      </c>
      <c r="IP8" s="7" t="s">
        <v>37</v>
      </c>
      <c r="IQ8" s="7" t="s">
        <v>37</v>
      </c>
      <c r="IR8" s="7" t="s">
        <v>38</v>
      </c>
      <c r="IS8" s="7" t="s">
        <v>38</v>
      </c>
      <c r="IT8" s="7" t="s">
        <v>38</v>
      </c>
      <c r="IU8" s="7" t="s">
        <v>38</v>
      </c>
      <c r="IV8" s="7" t="s">
        <v>38</v>
      </c>
      <c r="IW8" s="7" t="s">
        <v>38</v>
      </c>
      <c r="IX8" s="7" t="s">
        <v>38</v>
      </c>
      <c r="IY8" s="7" t="s">
        <v>39</v>
      </c>
      <c r="IZ8" s="7" t="s">
        <v>39</v>
      </c>
      <c r="JA8" s="7" t="s">
        <v>39</v>
      </c>
      <c r="JB8" s="7" t="s">
        <v>39</v>
      </c>
      <c r="JC8" s="7" t="s">
        <v>39</v>
      </c>
      <c r="JD8" s="7" t="s">
        <v>39</v>
      </c>
      <c r="JE8" s="7" t="s">
        <v>39</v>
      </c>
      <c r="JF8" s="7" t="s">
        <v>40</v>
      </c>
      <c r="JG8" s="7" t="s">
        <v>40</v>
      </c>
      <c r="JH8" s="7" t="s">
        <v>40</v>
      </c>
      <c r="JI8" s="7" t="s">
        <v>40</v>
      </c>
      <c r="JJ8" s="7" t="s">
        <v>40</v>
      </c>
      <c r="JK8" s="7" t="s">
        <v>40</v>
      </c>
      <c r="JL8" s="7" t="s">
        <v>40</v>
      </c>
      <c r="JM8" s="7" t="s">
        <v>41</v>
      </c>
      <c r="JN8" s="7" t="s">
        <v>41</v>
      </c>
      <c r="JO8" s="7" t="s">
        <v>41</v>
      </c>
      <c r="JP8" s="7" t="s">
        <v>41</v>
      </c>
      <c r="JQ8" s="7" t="s">
        <v>41</v>
      </c>
      <c r="JR8" s="7" t="s">
        <v>41</v>
      </c>
      <c r="JS8" s="7" t="s">
        <v>41</v>
      </c>
      <c r="JT8" s="7" t="s">
        <v>42</v>
      </c>
      <c r="JU8" s="7" t="s">
        <v>42</v>
      </c>
      <c r="JV8" s="7" t="s">
        <v>42</v>
      </c>
      <c r="JW8" s="7" t="s">
        <v>42</v>
      </c>
      <c r="JX8" s="7" t="s">
        <v>42</v>
      </c>
      <c r="JY8" s="7" t="s">
        <v>42</v>
      </c>
      <c r="JZ8" s="7" t="s">
        <v>42</v>
      </c>
      <c r="KA8" s="8"/>
      <c r="KB8" s="20"/>
      <c r="KC8" s="8"/>
      <c r="KD8" s="8"/>
      <c r="KE8" s="8"/>
      <c r="KF8" s="8"/>
      <c r="KG8" s="8"/>
      <c r="KH8" s="8"/>
      <c r="KI8" s="20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36"/>
      <c r="KV8" s="8"/>
      <c r="KW8" s="8"/>
      <c r="KX8" s="8"/>
      <c r="KY8" s="8"/>
      <c r="KZ8" s="8"/>
      <c r="LA8" s="8"/>
      <c r="LB8" s="8"/>
      <c r="LC8" s="8"/>
      <c r="LD8" s="8"/>
      <c r="LE8" s="20"/>
      <c r="LF8" s="20"/>
      <c r="LG8" s="8"/>
      <c r="LH8" s="8"/>
      <c r="LI8" s="8"/>
      <c r="LJ8" s="8"/>
      <c r="LK8" s="20"/>
      <c r="LL8" s="8"/>
      <c r="LM8" s="8"/>
      <c r="LN8" s="8"/>
      <c r="LO8" s="8"/>
      <c r="LP8" s="8"/>
      <c r="LQ8" s="8"/>
      <c r="LR8" s="20"/>
      <c r="LS8" s="8"/>
      <c r="LT8" s="8"/>
      <c r="LU8" s="8"/>
      <c r="LV8" s="8"/>
      <c r="LW8" s="8"/>
      <c r="LX8" s="8"/>
      <c r="LY8" s="20"/>
      <c r="LZ8" s="1"/>
      <c r="MA8" s="1"/>
      <c r="MB8" s="1"/>
      <c r="MC8" s="1"/>
      <c r="MD8" s="8"/>
      <c r="ME8" s="8"/>
      <c r="MF8" s="1"/>
      <c r="MG8" s="1"/>
      <c r="MH8" s="1"/>
      <c r="MI8" s="1"/>
      <c r="MJ8" s="1"/>
      <c r="MK8" s="1"/>
      <c r="ML8" s="1"/>
      <c r="MM8" s="1"/>
      <c r="MN8" s="1"/>
      <c r="MO8" s="1"/>
      <c r="MP8" s="34"/>
      <c r="MQ8" s="1"/>
      <c r="MR8" s="1"/>
      <c r="MS8" s="1"/>
      <c r="MT8" s="20"/>
      <c r="MU8" s="8"/>
      <c r="MV8" s="8"/>
      <c r="MW8" s="8"/>
      <c r="MX8" s="8"/>
      <c r="MY8" s="8"/>
      <c r="MZ8" s="8"/>
      <c r="NA8" s="8"/>
      <c r="NB8" s="8"/>
      <c r="NC8" s="8"/>
    </row>
    <row r="9" spans="1:367">
      <c r="A9" s="13">
        <f>+SUM(C9:NC9)</f>
        <v>323054.43099944096</v>
      </c>
      <c r="B9" s="14" t="s">
        <v>427</v>
      </c>
      <c r="C9" s="7"/>
      <c r="D9" s="7">
        <v>1043.2477059556188</v>
      </c>
      <c r="E9" s="7">
        <v>1165.3333333333335</v>
      </c>
      <c r="F9" s="7"/>
      <c r="G9" s="7">
        <v>1154.0588537430335</v>
      </c>
      <c r="H9" s="7">
        <v>1192.8466366029293</v>
      </c>
      <c r="I9" s="7">
        <v>865.33239672121726</v>
      </c>
      <c r="J9" s="7">
        <v>846.17453487796433</v>
      </c>
      <c r="K9" s="7">
        <v>1026.2840789280867</v>
      </c>
      <c r="L9" s="7">
        <v>734.32700680435096</v>
      </c>
      <c r="M9" s="47"/>
      <c r="N9" s="7">
        <v>1032.9761943796632</v>
      </c>
      <c r="O9" s="7">
        <v>1105.9334867996708</v>
      </c>
      <c r="P9" s="7">
        <v>821.4861115735514</v>
      </c>
      <c r="Q9" s="7">
        <v>1179.1083821347406</v>
      </c>
      <c r="R9" s="7">
        <v>1208.4907062638522</v>
      </c>
      <c r="S9" s="7">
        <v>1246.9626387116107</v>
      </c>
      <c r="T9" s="8"/>
      <c r="U9" s="7">
        <v>1033.75</v>
      </c>
      <c r="V9" s="7">
        <v>996.46707789240793</v>
      </c>
      <c r="W9" s="7">
        <v>1060.376055107527</v>
      </c>
      <c r="X9" s="7">
        <v>956.52375403179337</v>
      </c>
      <c r="Y9" s="7">
        <v>1027.611345919368</v>
      </c>
      <c r="Z9" s="7">
        <v>1030.0833333333335</v>
      </c>
      <c r="AA9" s="8"/>
      <c r="AB9" s="7">
        <v>1214.75</v>
      </c>
      <c r="AC9" s="7">
        <v>1073.1240616036912</v>
      </c>
      <c r="AD9" s="7">
        <v>812.70606828358314</v>
      </c>
      <c r="AE9" s="7">
        <v>1079.8645556576409</v>
      </c>
      <c r="AF9" s="7">
        <v>1091.1666666666667</v>
      </c>
      <c r="AG9" s="7">
        <v>968.08333333333326</v>
      </c>
      <c r="AH9" s="8"/>
      <c r="AI9" s="7">
        <v>1145.2732194125701</v>
      </c>
      <c r="AJ9" s="7">
        <v>796.45688728609821</v>
      </c>
      <c r="AK9" s="7">
        <v>958.2781496064772</v>
      </c>
      <c r="AL9" s="7">
        <v>871.39152240730061</v>
      </c>
      <c r="AM9" s="7">
        <v>1227.25</v>
      </c>
      <c r="AN9" s="7">
        <v>1087.1666666666665</v>
      </c>
      <c r="AO9" s="8"/>
      <c r="AP9" s="7">
        <v>961.43520186277806</v>
      </c>
      <c r="AQ9" s="7">
        <v>996.47375252895699</v>
      </c>
      <c r="AR9" s="7">
        <v>1052.5685489517409</v>
      </c>
      <c r="AS9" s="7">
        <v>953.06808700692488</v>
      </c>
      <c r="AT9" s="7">
        <v>1092.6666666666665</v>
      </c>
      <c r="AU9" s="7">
        <v>1098.5833333333333</v>
      </c>
      <c r="AV9" s="8"/>
      <c r="AW9" s="7">
        <v>1192.1666666666665</v>
      </c>
      <c r="AX9" s="7">
        <v>1061.991169565842</v>
      </c>
      <c r="AY9" s="7">
        <v>928.10017670679872</v>
      </c>
      <c r="AZ9" s="7">
        <v>1105.8333333333335</v>
      </c>
      <c r="BA9" s="7">
        <v>979</v>
      </c>
      <c r="BB9" s="7">
        <v>1175.4166666666667</v>
      </c>
      <c r="BC9" s="8"/>
      <c r="BD9" s="7">
        <v>1179.649686167679</v>
      </c>
      <c r="BE9" s="7">
        <v>1042.5126635732408</v>
      </c>
      <c r="BF9" s="7">
        <v>1121.4366678121419</v>
      </c>
      <c r="BG9" s="7">
        <v>931.63920430767519</v>
      </c>
      <c r="BH9" s="7">
        <v>1095.7843241482212</v>
      </c>
      <c r="BI9" s="7">
        <v>1060.8428127454092</v>
      </c>
      <c r="BJ9" s="8"/>
      <c r="BK9" s="7">
        <v>1730.6666666666665</v>
      </c>
      <c r="BL9" s="7">
        <v>1603.25</v>
      </c>
      <c r="BM9" s="7">
        <v>1310.4166666666665</v>
      </c>
      <c r="BN9" s="7">
        <v>1367.2499999999998</v>
      </c>
      <c r="BO9" s="7">
        <v>1251.2067880784205</v>
      </c>
      <c r="BP9" s="7">
        <v>1341.4187089370571</v>
      </c>
      <c r="BQ9" s="8"/>
      <c r="BR9" s="7">
        <v>1665</v>
      </c>
      <c r="BS9" s="7">
        <v>1867.25</v>
      </c>
      <c r="BT9" s="7">
        <v>1900.7675503795153</v>
      </c>
      <c r="BU9" s="7">
        <v>1872.5</v>
      </c>
      <c r="BV9" s="7">
        <v>1756.1666666666667</v>
      </c>
      <c r="BW9" s="7">
        <v>1578.1666666666667</v>
      </c>
      <c r="BX9" s="7">
        <v>1267.1666666666665</v>
      </c>
      <c r="BY9" s="7">
        <v>1721.3333333333335</v>
      </c>
      <c r="BZ9" s="7">
        <v>1017</v>
      </c>
      <c r="CA9" s="7">
        <v>1191.4166666666665</v>
      </c>
      <c r="CB9" s="7">
        <v>375</v>
      </c>
      <c r="CE9" s="8"/>
      <c r="CF9" s="7">
        <v>1508.7500000000002</v>
      </c>
      <c r="CG9" s="7">
        <v>1369.6666666666667</v>
      </c>
      <c r="CH9" s="7">
        <v>1082.4289411149502</v>
      </c>
      <c r="CI9" s="7">
        <v>772.17185856224421</v>
      </c>
      <c r="CJ9" s="7">
        <v>956.89111277658196</v>
      </c>
      <c r="CK9" s="7">
        <v>985.08333333333326</v>
      </c>
      <c r="CL9" s="8"/>
      <c r="CM9" s="7">
        <v>1144.5833333333335</v>
      </c>
      <c r="CN9" s="7">
        <v>1177.9166666666665</v>
      </c>
      <c r="CO9" s="7">
        <v>1075.25</v>
      </c>
      <c r="CP9" s="7">
        <v>663.39812272455174</v>
      </c>
      <c r="CQ9" s="7">
        <v>1035.4166666666665</v>
      </c>
      <c r="CR9" s="7">
        <v>936.66666666666674</v>
      </c>
      <c r="CS9" s="8"/>
      <c r="CT9" s="7">
        <v>1208.9166666666667</v>
      </c>
      <c r="CU9" s="7">
        <v>1200.0833333333335</v>
      </c>
      <c r="CV9" s="7">
        <v>1137.25</v>
      </c>
      <c r="CW9" s="7">
        <v>1186.5</v>
      </c>
      <c r="CX9" s="7">
        <v>1019.1348071975463</v>
      </c>
      <c r="CY9" s="7">
        <v>1104.4166666666667</v>
      </c>
      <c r="CZ9" s="8"/>
      <c r="DA9" s="7">
        <v>1197.6666666666665</v>
      </c>
      <c r="DB9" s="7">
        <v>1296.0833333333333</v>
      </c>
      <c r="DC9" s="7">
        <v>1148.0000000000002</v>
      </c>
      <c r="DD9" s="7">
        <v>1158.75</v>
      </c>
      <c r="DE9" s="7">
        <v>1092.4585017455511</v>
      </c>
      <c r="DF9" s="7">
        <v>947.04705638474297</v>
      </c>
      <c r="DG9" s="7">
        <v>806.23890115553127</v>
      </c>
      <c r="DH9" s="7">
        <v>1068.8143167851388</v>
      </c>
      <c r="DI9" s="7">
        <v>827.57658920733729</v>
      </c>
      <c r="DJ9" s="7">
        <v>967.10161638394652</v>
      </c>
      <c r="DK9" s="46">
        <v>864.39385557531693</v>
      </c>
      <c r="DL9" s="46">
        <v>914.64094707166964</v>
      </c>
      <c r="DM9" s="7">
        <v>967.91617409339062</v>
      </c>
      <c r="DN9" s="8"/>
      <c r="DO9" s="7">
        <v>1160.6666666666667</v>
      </c>
      <c r="DP9" s="7">
        <v>1253.5</v>
      </c>
      <c r="DQ9" s="7">
        <v>1120.8333333333335</v>
      </c>
      <c r="DR9" s="7">
        <v>1215.5</v>
      </c>
      <c r="DS9" s="7">
        <v>0</v>
      </c>
      <c r="DT9" s="7">
        <v>1184.9166666666667</v>
      </c>
      <c r="DU9" s="7">
        <v>1034.4166666666667</v>
      </c>
      <c r="DV9" s="7">
        <v>1230.95594912664</v>
      </c>
      <c r="DW9" s="7">
        <v>1190.6885828107609</v>
      </c>
      <c r="DX9" s="7">
        <v>1213.0822190112021</v>
      </c>
      <c r="DY9" s="7">
        <v>1168.246535882585</v>
      </c>
      <c r="DZ9" s="7">
        <v>1167.2083291388856</v>
      </c>
      <c r="EA9" s="7">
        <v>956.61960015908949</v>
      </c>
      <c r="EC9" s="7">
        <v>1656.9970323739281</v>
      </c>
      <c r="ED9" s="7">
        <v>1581.5812932833696</v>
      </c>
      <c r="EE9" s="7">
        <v>1587.9166666666665</v>
      </c>
      <c r="EF9" s="7">
        <v>1695.7547318593909</v>
      </c>
      <c r="EG9" s="7">
        <v>1703.3392476732843</v>
      </c>
      <c r="EH9" s="7">
        <v>1760.3379053310996</v>
      </c>
      <c r="EI9" s="7">
        <v>1927.9999999999998</v>
      </c>
      <c r="EJ9" s="7">
        <v>2079.1870576066499</v>
      </c>
      <c r="EK9" s="7">
        <v>1726.6380270819211</v>
      </c>
      <c r="EL9" s="7">
        <v>1899.2023193151872</v>
      </c>
      <c r="EM9" s="7">
        <v>1499.472767859791</v>
      </c>
      <c r="EN9" s="7">
        <v>1296.5301223230138</v>
      </c>
      <c r="EO9" s="7">
        <v>1011.1369805865344</v>
      </c>
      <c r="EQ9" s="7">
        <v>1302.5</v>
      </c>
      <c r="ER9" s="7">
        <v>400.66666666666669</v>
      </c>
      <c r="EV9" s="7">
        <v>1362.2630826822269</v>
      </c>
      <c r="EX9" s="7">
        <v>1488.9574263762131</v>
      </c>
      <c r="EY9" s="7">
        <v>1532.2225606921309</v>
      </c>
      <c r="EZ9" s="7">
        <v>1423.3412399769404</v>
      </c>
      <c r="FA9" s="7">
        <v>1273.5826893939393</v>
      </c>
      <c r="FB9" s="7">
        <v>1379.6629098686037</v>
      </c>
      <c r="FC9" s="7">
        <v>1302.1916899839723</v>
      </c>
      <c r="FD9" s="8"/>
      <c r="FE9" s="7">
        <v>1395.0557132055221</v>
      </c>
      <c r="FF9" s="7">
        <v>1493.9763570003065</v>
      </c>
      <c r="FG9" s="7">
        <v>1389.5747477660252</v>
      </c>
      <c r="FH9" s="7">
        <v>1534.049459774508</v>
      </c>
      <c r="FI9" s="7">
        <v>1753.8148949923268</v>
      </c>
      <c r="FJ9" s="7">
        <v>1508.4458028089346</v>
      </c>
      <c r="FK9" s="7">
        <v>1146.8902263339937</v>
      </c>
      <c r="FL9" s="7">
        <v>1705.6313304531827</v>
      </c>
      <c r="FM9" s="7">
        <v>1612.3893876095992</v>
      </c>
      <c r="FN9" s="7">
        <v>1427.6131591123985</v>
      </c>
      <c r="FO9" s="7">
        <v>1197.6741484047468</v>
      </c>
      <c r="FP9" s="7">
        <v>1211.2182957345242</v>
      </c>
      <c r="FQ9" s="7">
        <v>1205.6954793692776</v>
      </c>
      <c r="FR9" s="8"/>
      <c r="FS9" s="7">
        <v>1490.7348286589151</v>
      </c>
      <c r="FT9" s="7">
        <v>1658.0401103633192</v>
      </c>
      <c r="FU9" s="7">
        <v>1420.479816750455</v>
      </c>
      <c r="FV9" s="7">
        <v>1612.9817652928521</v>
      </c>
      <c r="FW9" s="7">
        <v>1616.4321418829529</v>
      </c>
      <c r="FX9" s="7">
        <v>1635.2987521485311</v>
      </c>
      <c r="FY9" s="7">
        <v>1115.8196854601081</v>
      </c>
      <c r="FZ9" s="7">
        <v>1500.5722862245773</v>
      </c>
      <c r="GA9" s="7">
        <v>1398.341109029149</v>
      </c>
      <c r="GB9" s="7">
        <v>1332.5027245220833</v>
      </c>
      <c r="GC9" s="7">
        <v>1483.223736078673</v>
      </c>
      <c r="GD9" s="7">
        <v>1443.3276908375058</v>
      </c>
      <c r="GE9" s="7">
        <v>1387.8265927937293</v>
      </c>
      <c r="GF9" s="8"/>
      <c r="GG9" s="7">
        <v>1416.2855681735525</v>
      </c>
      <c r="GH9" s="7">
        <v>1710.2169070250193</v>
      </c>
      <c r="GI9" s="7">
        <v>1587.3009881158021</v>
      </c>
      <c r="GJ9" s="7">
        <v>1525.3475981077147</v>
      </c>
      <c r="GK9" s="7">
        <v>1506.2213481334288</v>
      </c>
      <c r="GL9" s="7">
        <v>1480.4319183640728</v>
      </c>
      <c r="GM9" s="7">
        <v>1481.6076086956518</v>
      </c>
      <c r="GN9" s="7">
        <v>1460.8824186728662</v>
      </c>
      <c r="GO9" s="7">
        <v>1029.6377640746935</v>
      </c>
      <c r="GP9" s="7">
        <v>1131.4957890292892</v>
      </c>
      <c r="GQ9" s="7">
        <v>1407.4166666666665</v>
      </c>
      <c r="GR9" s="7">
        <v>1377</v>
      </c>
      <c r="GS9" s="7">
        <v>1192.75</v>
      </c>
      <c r="GT9" s="8"/>
      <c r="GU9" s="7">
        <v>1166.5670371370768</v>
      </c>
      <c r="GV9" s="7">
        <v>1313.4166666666665</v>
      </c>
      <c r="GW9" s="7">
        <v>1222.6489447609299</v>
      </c>
      <c r="GX9" s="7">
        <v>1237.4642968997496</v>
      </c>
      <c r="GY9" s="7">
        <v>1364.3333333333333</v>
      </c>
      <c r="GZ9" s="7">
        <v>1320.2499999999998</v>
      </c>
      <c r="HA9" s="7">
        <v>1087.3333333333335</v>
      </c>
      <c r="HB9" s="7">
        <v>1446.4166666666667</v>
      </c>
      <c r="HC9" s="7">
        <v>1350</v>
      </c>
      <c r="HD9" s="7">
        <v>1293.9166666666665</v>
      </c>
      <c r="HE9" s="7">
        <v>1396.3333333333335</v>
      </c>
      <c r="HF9" s="7">
        <v>1427.6666666666665</v>
      </c>
      <c r="HG9" s="7">
        <v>986.5</v>
      </c>
      <c r="HH9" s="8"/>
      <c r="HI9" s="7">
        <v>1332.3333333333335</v>
      </c>
      <c r="HJ9" s="7">
        <v>1308.6666666666665</v>
      </c>
      <c r="HK9" s="7">
        <v>1217.2493272166109</v>
      </c>
      <c r="HL9" s="7">
        <v>1212.5823186454384</v>
      </c>
      <c r="HM9" s="7">
        <v>1261.5422500650027</v>
      </c>
      <c r="HN9" s="7">
        <v>1268.2499999999998</v>
      </c>
      <c r="HO9" s="7">
        <v>1059.25</v>
      </c>
      <c r="HP9" s="7">
        <v>1350.6658848392622</v>
      </c>
      <c r="HQ9" s="7">
        <v>1418.4233942753203</v>
      </c>
      <c r="HR9" s="7">
        <v>1496.6554189243263</v>
      </c>
      <c r="HS9" s="7">
        <v>1792.635309515998</v>
      </c>
      <c r="HT9" s="7">
        <v>2207.75</v>
      </c>
      <c r="HU9" s="7">
        <v>1966.6666666666667</v>
      </c>
      <c r="HV9" s="20"/>
      <c r="HW9" s="7">
        <v>1976.4924836219002</v>
      </c>
      <c r="HX9" s="7">
        <v>1652.1384353765604</v>
      </c>
      <c r="HY9" s="7">
        <v>1649.1191282821871</v>
      </c>
      <c r="HZ9" s="7">
        <v>1545.0311614190216</v>
      </c>
      <c r="IA9" s="7">
        <v>1563.7459645564024</v>
      </c>
      <c r="IB9" s="7">
        <v>1410.7024826215904</v>
      </c>
      <c r="IC9" s="7">
        <v>1187.3333333333335</v>
      </c>
      <c r="ID9" s="7">
        <v>1386.4914065407745</v>
      </c>
      <c r="IE9" s="7">
        <v>1184.4673483514666</v>
      </c>
      <c r="IF9" s="7">
        <v>1276.86762249648</v>
      </c>
      <c r="IG9" s="7">
        <v>1625.711248684222</v>
      </c>
      <c r="IH9" s="7">
        <v>1445.7764486123124</v>
      </c>
      <c r="II9" s="7">
        <v>1096.4730896786657</v>
      </c>
      <c r="IJ9" s="8"/>
      <c r="IK9" s="7">
        <v>1485.6653826687048</v>
      </c>
      <c r="IL9" s="7">
        <v>1409.7902515822786</v>
      </c>
      <c r="IM9" s="7">
        <v>1470.3927692941634</v>
      </c>
      <c r="IN9" s="7">
        <v>1964.5358630292276</v>
      </c>
      <c r="IO9" s="7">
        <v>1824.1028035852357</v>
      </c>
      <c r="IP9" s="7">
        <v>1297.025859532677</v>
      </c>
      <c r="IQ9" s="7">
        <v>835.10263561001989</v>
      </c>
      <c r="IR9" s="7">
        <v>1329.6283453179442</v>
      </c>
      <c r="IS9" s="7">
        <v>1220.8054449869933</v>
      </c>
      <c r="IT9" s="7">
        <v>1670.8393347771621</v>
      </c>
      <c r="IU9" s="7">
        <v>1542.5700486524672</v>
      </c>
      <c r="IV9" s="7">
        <v>1404.8627791850859</v>
      </c>
      <c r="IW9" s="7">
        <v>913.78077195809215</v>
      </c>
      <c r="IX9" s="8"/>
      <c r="IY9" s="7">
        <v>1638.375622216113</v>
      </c>
      <c r="IZ9" s="7">
        <v>1452.2762708136379</v>
      </c>
      <c r="JA9" s="7">
        <v>1486.0865396400832</v>
      </c>
      <c r="JB9" s="7">
        <v>1745.2345398471077</v>
      </c>
      <c r="JC9" s="7">
        <v>1315.8948164009375</v>
      </c>
      <c r="JD9" s="7">
        <v>1176.7180221493359</v>
      </c>
      <c r="JE9" s="8"/>
      <c r="JF9" s="7">
        <v>1741.1666666666667</v>
      </c>
      <c r="JG9" s="7">
        <v>1328.8796810716588</v>
      </c>
      <c r="JH9" s="7">
        <v>1388.9232165960591</v>
      </c>
      <c r="JI9" s="7">
        <v>1462.0187991508355</v>
      </c>
      <c r="JJ9" s="7">
        <v>1429.5432119221896</v>
      </c>
      <c r="JK9" s="7">
        <v>1205.1560426611491</v>
      </c>
      <c r="JL9" s="8"/>
      <c r="JM9" s="7">
        <v>2057.166666666667</v>
      </c>
      <c r="JN9" s="7">
        <v>1910.9051721235483</v>
      </c>
      <c r="JO9" s="7">
        <v>1564.4456967959222</v>
      </c>
      <c r="JP9" s="7">
        <v>1321.6131159784845</v>
      </c>
      <c r="JQ9" s="7">
        <v>1517.7462027066699</v>
      </c>
      <c r="JR9" s="7">
        <v>1361.8333333333333</v>
      </c>
      <c r="JS9" s="8"/>
      <c r="JT9" s="47">
        <v>1983.25</v>
      </c>
      <c r="JU9" s="47">
        <v>2037.916666666667</v>
      </c>
      <c r="JV9" s="47">
        <v>1555.3976093535937</v>
      </c>
      <c r="JW9" s="7">
        <v>1636.9317883254489</v>
      </c>
      <c r="JX9" s="7">
        <v>1727.916666666667</v>
      </c>
      <c r="JY9" s="7">
        <v>1642.5</v>
      </c>
      <c r="JZ9" s="8"/>
      <c r="KA9" s="8"/>
      <c r="KB9" s="8"/>
      <c r="KC9" s="8"/>
      <c r="KD9" s="8"/>
      <c r="KE9" s="8"/>
      <c r="KF9" s="8"/>
      <c r="KG9" s="8"/>
      <c r="KH9" s="8"/>
      <c r="KI9" s="8"/>
      <c r="KJ9" s="8"/>
      <c r="KK9" s="8"/>
      <c r="KL9" s="8"/>
      <c r="KM9" s="8"/>
      <c r="KN9" s="8"/>
      <c r="KO9" s="8"/>
      <c r="KP9" s="8"/>
      <c r="KQ9" s="8"/>
      <c r="KR9" s="8"/>
      <c r="KS9" s="8"/>
      <c r="KT9" s="8"/>
      <c r="KU9" s="36"/>
      <c r="KV9" s="8"/>
      <c r="KW9" s="8"/>
      <c r="KX9" s="8"/>
      <c r="KY9" s="8"/>
      <c r="KZ9" s="8"/>
      <c r="LA9" s="8"/>
      <c r="LB9" s="8"/>
      <c r="LC9" s="8"/>
      <c r="LD9" s="8"/>
      <c r="LE9" s="20"/>
      <c r="LF9" s="20"/>
      <c r="LG9" s="8"/>
      <c r="LH9" s="8"/>
      <c r="LI9" s="8"/>
      <c r="LJ9" s="8"/>
      <c r="LK9" s="8"/>
      <c r="LL9" s="8"/>
      <c r="LM9" s="8"/>
      <c r="LN9" s="8"/>
      <c r="LO9" s="8"/>
      <c r="LP9" s="8"/>
      <c r="LQ9" s="8"/>
      <c r="LR9" s="8"/>
      <c r="LS9" s="8"/>
      <c r="LT9" s="8"/>
      <c r="LU9" s="8"/>
      <c r="LV9" s="8"/>
      <c r="LW9" s="8"/>
      <c r="LX9" s="8"/>
      <c r="LY9" s="20"/>
      <c r="LZ9" s="62"/>
      <c r="MA9" s="62"/>
      <c r="MB9" s="62"/>
      <c r="MC9" s="62"/>
      <c r="MD9" s="8"/>
      <c r="ME9" s="8"/>
      <c r="MF9"/>
      <c r="MG9"/>
      <c r="MH9"/>
      <c r="MI9"/>
      <c r="MJ9"/>
      <c r="MK9"/>
      <c r="ML9"/>
      <c r="MM9" s="62"/>
      <c r="MN9" s="62"/>
      <c r="MO9" s="62"/>
      <c r="MP9" s="34"/>
      <c r="MQ9" s="62"/>
      <c r="MR9" s="62"/>
      <c r="MS9" s="62"/>
      <c r="MT9" s="8"/>
      <c r="MU9" s="8"/>
      <c r="MV9" s="8"/>
      <c r="MW9" s="8"/>
      <c r="MX9" s="8"/>
      <c r="MY9" s="8"/>
      <c r="MZ9" s="8"/>
      <c r="NA9" s="8"/>
      <c r="NB9" s="8"/>
      <c r="NC9" s="8"/>
    </row>
    <row r="10" spans="1:367">
      <c r="A10" s="15">
        <f>+SUM(C10:NC10)</f>
        <v>32711247</v>
      </c>
      <c r="B10" s="16" t="s">
        <v>423</v>
      </c>
      <c r="C10" s="7"/>
      <c r="D10" s="7">
        <v>148138</v>
      </c>
      <c r="E10" s="7">
        <v>155727</v>
      </c>
      <c r="F10" s="7"/>
      <c r="G10" s="20">
        <v>123247</v>
      </c>
      <c r="H10" s="20">
        <v>126300</v>
      </c>
      <c r="I10" s="20">
        <v>99689</v>
      </c>
      <c r="J10" s="20">
        <v>98729</v>
      </c>
      <c r="K10" s="20">
        <v>116944</v>
      </c>
      <c r="L10" s="20">
        <v>82717</v>
      </c>
      <c r="M10" s="20"/>
      <c r="N10" s="7">
        <v>127486</v>
      </c>
      <c r="O10" s="7">
        <v>124583</v>
      </c>
      <c r="P10" s="7">
        <v>81814</v>
      </c>
      <c r="Q10" s="7">
        <v>104899</v>
      </c>
      <c r="R10" s="7">
        <v>111351</v>
      </c>
      <c r="S10" s="7">
        <v>89996</v>
      </c>
      <c r="T10" s="8"/>
      <c r="U10" s="7">
        <v>116390</v>
      </c>
      <c r="V10" s="7">
        <v>118949</v>
      </c>
      <c r="W10" s="7">
        <v>125369</v>
      </c>
      <c r="X10" s="7">
        <v>109590</v>
      </c>
      <c r="Y10" s="7">
        <v>115008</v>
      </c>
      <c r="Z10" s="7">
        <v>94887</v>
      </c>
      <c r="AA10" s="7"/>
      <c r="AB10" s="7">
        <v>132874</v>
      </c>
      <c r="AC10" s="7">
        <v>114029</v>
      </c>
      <c r="AD10" s="7">
        <v>77414</v>
      </c>
      <c r="AE10" s="7">
        <v>110874</v>
      </c>
      <c r="AF10" s="7">
        <v>71995</v>
      </c>
      <c r="AG10" s="7">
        <v>79834</v>
      </c>
      <c r="AH10" s="8"/>
      <c r="AI10" s="7">
        <v>135545</v>
      </c>
      <c r="AJ10" s="7">
        <v>85578</v>
      </c>
      <c r="AK10" s="7">
        <v>115190</v>
      </c>
      <c r="AL10" s="7">
        <v>94846</v>
      </c>
      <c r="AM10" s="7">
        <v>75885</v>
      </c>
      <c r="AN10" s="7">
        <v>79208</v>
      </c>
      <c r="AO10" s="8"/>
      <c r="AP10" s="7">
        <v>136119</v>
      </c>
      <c r="AQ10" s="7">
        <v>95221</v>
      </c>
      <c r="AR10" s="7">
        <v>107577</v>
      </c>
      <c r="AS10" s="7">
        <v>71385</v>
      </c>
      <c r="AT10" s="7">
        <v>97417</v>
      </c>
      <c r="AU10" s="7">
        <v>68945</v>
      </c>
      <c r="AV10" s="8"/>
      <c r="AW10" s="7">
        <v>135932</v>
      </c>
      <c r="AX10" s="7">
        <v>126078</v>
      </c>
      <c r="AY10" s="7">
        <v>110853</v>
      </c>
      <c r="AZ10" s="7">
        <v>105572</v>
      </c>
      <c r="BA10" s="7">
        <v>78588</v>
      </c>
      <c r="BB10" s="7">
        <v>94250</v>
      </c>
      <c r="BC10" s="8"/>
      <c r="BD10" s="7">
        <v>141585</v>
      </c>
      <c r="BE10" s="7">
        <v>122535</v>
      </c>
      <c r="BF10" s="7">
        <v>133166</v>
      </c>
      <c r="BG10" s="7">
        <v>109948</v>
      </c>
      <c r="BH10" s="7">
        <v>124777</v>
      </c>
      <c r="BI10" s="7">
        <v>116103</v>
      </c>
      <c r="BJ10" s="8"/>
      <c r="BK10" s="7">
        <v>175528</v>
      </c>
      <c r="BL10" s="7">
        <v>167689</v>
      </c>
      <c r="BM10" s="7">
        <v>221549</v>
      </c>
      <c r="BN10" s="7">
        <v>150215</v>
      </c>
      <c r="BO10" s="7">
        <v>137723</v>
      </c>
      <c r="BP10" s="7">
        <v>147854</v>
      </c>
      <c r="BQ10" s="8"/>
      <c r="BR10" s="101">
        <v>184135</v>
      </c>
      <c r="BS10" s="101">
        <v>196484</v>
      </c>
      <c r="BT10" s="101">
        <v>204794</v>
      </c>
      <c r="BU10" s="101">
        <v>213939</v>
      </c>
      <c r="BV10" s="101">
        <v>202249</v>
      </c>
      <c r="BW10" s="101">
        <v>182757</v>
      </c>
      <c r="BX10" s="101">
        <v>155764</v>
      </c>
      <c r="BY10" s="78">
        <v>194766</v>
      </c>
      <c r="BZ10" s="78">
        <v>113058</v>
      </c>
      <c r="CA10" s="78">
        <v>87749</v>
      </c>
      <c r="CB10" s="78">
        <v>22179</v>
      </c>
      <c r="CC10" s="8"/>
      <c r="CD10" s="8"/>
      <c r="CE10" s="8"/>
      <c r="CF10" s="27">
        <v>167958</v>
      </c>
      <c r="CG10" s="27">
        <v>154730</v>
      </c>
      <c r="CH10" s="27">
        <v>136790</v>
      </c>
      <c r="CI10" s="27">
        <v>103252</v>
      </c>
      <c r="CJ10" s="27">
        <v>113641</v>
      </c>
      <c r="CK10" s="27">
        <v>92110</v>
      </c>
      <c r="CL10" s="8"/>
      <c r="CM10" s="7">
        <v>147380</v>
      </c>
      <c r="CN10" s="7">
        <v>148942</v>
      </c>
      <c r="CO10" s="7">
        <v>116519</v>
      </c>
      <c r="CP10" s="7">
        <v>101865</v>
      </c>
      <c r="CQ10" s="7">
        <v>120543</v>
      </c>
      <c r="CR10" s="7">
        <v>114645</v>
      </c>
      <c r="CS10" s="8"/>
      <c r="CT10" s="7">
        <v>138164</v>
      </c>
      <c r="CU10" s="7">
        <v>150498</v>
      </c>
      <c r="CV10" s="7">
        <v>135226</v>
      </c>
      <c r="CW10" s="7">
        <v>139569</v>
      </c>
      <c r="CX10" s="7">
        <v>119188</v>
      </c>
      <c r="CY10" s="7">
        <v>124565</v>
      </c>
      <c r="CZ10" s="8"/>
      <c r="DA10" s="7">
        <v>132752</v>
      </c>
      <c r="DB10" s="7">
        <v>150916</v>
      </c>
      <c r="DC10" s="7">
        <v>133898</v>
      </c>
      <c r="DD10" s="7">
        <v>132832</v>
      </c>
      <c r="DE10" s="7">
        <v>124934</v>
      </c>
      <c r="DF10" s="7">
        <v>109284</v>
      </c>
      <c r="DG10" s="7">
        <v>93997</v>
      </c>
      <c r="DH10" s="7">
        <v>124737</v>
      </c>
      <c r="DI10" s="7">
        <v>101318</v>
      </c>
      <c r="DJ10" s="7">
        <v>117163</v>
      </c>
      <c r="DK10" s="7">
        <v>101843</v>
      </c>
      <c r="DL10" s="7">
        <v>100482</v>
      </c>
      <c r="DM10" s="7">
        <v>96205</v>
      </c>
      <c r="DN10" s="8"/>
      <c r="DO10" s="101">
        <v>130416</v>
      </c>
      <c r="DP10" s="101">
        <v>144560</v>
      </c>
      <c r="DQ10" s="101">
        <v>128545</v>
      </c>
      <c r="DR10" s="101">
        <v>138912</v>
      </c>
      <c r="DT10" s="101">
        <v>152718</v>
      </c>
      <c r="DU10" s="101">
        <v>127009</v>
      </c>
      <c r="DV10" s="7">
        <v>185827</v>
      </c>
      <c r="DW10" s="7">
        <v>147340</v>
      </c>
      <c r="DX10" s="7">
        <v>158173</v>
      </c>
      <c r="DY10" s="7">
        <v>159682</v>
      </c>
      <c r="DZ10" s="7">
        <v>142277</v>
      </c>
      <c r="EA10" s="7">
        <v>107735</v>
      </c>
      <c r="EB10" s="8"/>
      <c r="EC10" s="7">
        <v>170211</v>
      </c>
      <c r="ED10" s="7">
        <v>165144</v>
      </c>
      <c r="EE10" s="7">
        <v>163061</v>
      </c>
      <c r="EF10" s="7">
        <v>170810</v>
      </c>
      <c r="EG10" s="7">
        <v>175233</v>
      </c>
      <c r="EH10" s="7">
        <v>193591</v>
      </c>
      <c r="EI10" s="7">
        <v>205814</v>
      </c>
      <c r="EJ10" s="7">
        <v>222055</v>
      </c>
      <c r="EK10" s="7">
        <v>187930</v>
      </c>
      <c r="EL10" s="7">
        <v>202037</v>
      </c>
      <c r="EM10" s="7">
        <v>162968</v>
      </c>
      <c r="EN10" s="7">
        <v>131895</v>
      </c>
      <c r="EO10" s="7">
        <v>104834</v>
      </c>
      <c r="EQ10" s="7">
        <v>127706</v>
      </c>
      <c r="ER10" s="7">
        <v>29460</v>
      </c>
      <c r="EV10" s="7">
        <v>146496</v>
      </c>
      <c r="EX10" s="7">
        <v>161323</v>
      </c>
      <c r="EY10" s="7">
        <v>164131</v>
      </c>
      <c r="EZ10" s="7">
        <v>157172</v>
      </c>
      <c r="FA10" s="7">
        <v>136797</v>
      </c>
      <c r="FB10" s="7">
        <v>149482</v>
      </c>
      <c r="FC10" s="7">
        <v>145676</v>
      </c>
      <c r="FD10" s="8"/>
      <c r="FE10" s="7">
        <v>132672</v>
      </c>
      <c r="FF10" s="7">
        <v>143660</v>
      </c>
      <c r="FG10" s="7">
        <v>121687</v>
      </c>
      <c r="FH10" s="7">
        <v>130807</v>
      </c>
      <c r="FI10" s="7">
        <v>145135</v>
      </c>
      <c r="FJ10" s="7">
        <v>144356</v>
      </c>
      <c r="FK10" s="7">
        <v>119104</v>
      </c>
      <c r="FL10" s="7">
        <v>169542</v>
      </c>
      <c r="FM10" s="7">
        <v>160143</v>
      </c>
      <c r="FN10" s="7">
        <v>147519</v>
      </c>
      <c r="FO10" s="7">
        <v>128827</v>
      </c>
      <c r="FP10" s="7">
        <v>127175</v>
      </c>
      <c r="FQ10" s="7">
        <v>116166</v>
      </c>
      <c r="FR10" s="8"/>
      <c r="FS10" s="7">
        <v>142287</v>
      </c>
      <c r="FT10" s="7">
        <v>156553</v>
      </c>
      <c r="FU10" s="7">
        <v>136806</v>
      </c>
      <c r="FV10" s="7">
        <v>156652</v>
      </c>
      <c r="FW10" s="7">
        <v>142792</v>
      </c>
      <c r="FX10" s="7">
        <v>166297</v>
      </c>
      <c r="FY10" s="7">
        <v>117769</v>
      </c>
      <c r="FZ10" s="7">
        <v>152678</v>
      </c>
      <c r="GA10" s="7">
        <v>143110</v>
      </c>
      <c r="GB10" s="7">
        <v>132593</v>
      </c>
      <c r="GC10" s="7">
        <v>132181</v>
      </c>
      <c r="GD10" s="7">
        <v>124736</v>
      </c>
      <c r="GE10" s="7">
        <v>127507</v>
      </c>
      <c r="GF10" s="8"/>
      <c r="GG10" s="7">
        <v>135817</v>
      </c>
      <c r="GH10" s="7">
        <v>128565</v>
      </c>
      <c r="GI10" s="7">
        <v>120728</v>
      </c>
      <c r="GJ10" s="7">
        <v>117130</v>
      </c>
      <c r="GK10" s="7">
        <v>125549</v>
      </c>
      <c r="GL10" s="7">
        <v>134683</v>
      </c>
      <c r="GM10" s="7">
        <v>114784</v>
      </c>
      <c r="GN10" s="7">
        <v>150258</v>
      </c>
      <c r="GO10" s="7">
        <v>84614</v>
      </c>
      <c r="GP10" s="7">
        <v>118866</v>
      </c>
      <c r="GQ10" s="7">
        <v>145486</v>
      </c>
      <c r="GR10" s="7">
        <v>143490</v>
      </c>
      <c r="GS10" s="7">
        <v>125126</v>
      </c>
      <c r="GT10" s="8"/>
      <c r="GU10" s="7">
        <v>112337</v>
      </c>
      <c r="GV10" s="7">
        <v>115263</v>
      </c>
      <c r="GW10" s="7">
        <v>110269</v>
      </c>
      <c r="GX10" s="7">
        <v>126746</v>
      </c>
      <c r="GY10" s="7">
        <v>133621</v>
      </c>
      <c r="GZ10" s="7">
        <v>136059</v>
      </c>
      <c r="HA10" s="7">
        <v>106235</v>
      </c>
      <c r="HB10" s="78">
        <v>147358</v>
      </c>
      <c r="HC10" s="78">
        <v>137554</v>
      </c>
      <c r="HD10" s="78">
        <v>133519</v>
      </c>
      <c r="HE10" s="78">
        <v>139467</v>
      </c>
      <c r="HF10" s="78">
        <v>142653</v>
      </c>
      <c r="HG10" s="78">
        <v>96654</v>
      </c>
      <c r="HH10" s="8"/>
      <c r="HI10" s="7">
        <v>130500</v>
      </c>
      <c r="HJ10" s="7">
        <v>120146</v>
      </c>
      <c r="HK10" s="7">
        <v>111092</v>
      </c>
      <c r="HL10" s="7">
        <v>116149</v>
      </c>
      <c r="HM10" s="7">
        <v>113047</v>
      </c>
      <c r="HN10" s="7">
        <v>117434</v>
      </c>
      <c r="HO10" s="7">
        <v>102790</v>
      </c>
      <c r="HP10" s="7">
        <v>125495</v>
      </c>
      <c r="HQ10" s="7">
        <v>129773</v>
      </c>
      <c r="HR10" s="7">
        <v>134005</v>
      </c>
      <c r="HS10" s="7">
        <v>152972</v>
      </c>
      <c r="HT10" s="7">
        <v>175241</v>
      </c>
      <c r="HU10" s="7">
        <v>165762</v>
      </c>
      <c r="HW10" s="7">
        <v>175604</v>
      </c>
      <c r="HX10" s="7">
        <v>159272</v>
      </c>
      <c r="HY10" s="7">
        <v>153109</v>
      </c>
      <c r="HZ10" s="7">
        <v>140409</v>
      </c>
      <c r="IA10" s="7">
        <v>133037</v>
      </c>
      <c r="IB10" s="7">
        <v>132056</v>
      </c>
      <c r="IC10" s="7">
        <v>121091</v>
      </c>
      <c r="ID10" s="7">
        <v>99747</v>
      </c>
      <c r="IE10" s="7">
        <v>96523</v>
      </c>
      <c r="IF10" s="7">
        <v>100730</v>
      </c>
      <c r="IG10" s="7">
        <v>109601</v>
      </c>
      <c r="IH10" s="7">
        <v>108539</v>
      </c>
      <c r="II10" s="7">
        <v>89533</v>
      </c>
      <c r="IJ10" s="8"/>
      <c r="IK10" s="7">
        <v>146863</v>
      </c>
      <c r="IL10" s="7">
        <v>137837</v>
      </c>
      <c r="IM10" s="7">
        <v>139739</v>
      </c>
      <c r="IN10" s="7">
        <v>138460</v>
      </c>
      <c r="IO10" s="7">
        <v>163233</v>
      </c>
      <c r="IP10" s="7">
        <v>72157</v>
      </c>
      <c r="IQ10" s="7">
        <v>81884</v>
      </c>
      <c r="IR10" s="7">
        <v>141120</v>
      </c>
      <c r="IS10" s="7">
        <v>131704</v>
      </c>
      <c r="IT10" s="7">
        <v>164087</v>
      </c>
      <c r="IU10" s="7">
        <v>173717</v>
      </c>
      <c r="IV10" s="7">
        <v>136181</v>
      </c>
      <c r="IW10" s="7">
        <v>103020</v>
      </c>
      <c r="IX10" s="8"/>
      <c r="IY10" s="7">
        <v>166765</v>
      </c>
      <c r="IZ10" s="7">
        <v>149637</v>
      </c>
      <c r="JA10" s="7">
        <v>152703</v>
      </c>
      <c r="JB10" s="7">
        <v>144881</v>
      </c>
      <c r="JC10" s="7">
        <v>128567</v>
      </c>
      <c r="JD10" s="7">
        <v>117877</v>
      </c>
      <c r="JE10" s="8"/>
      <c r="JF10" s="7">
        <v>181378</v>
      </c>
      <c r="JG10" s="7">
        <v>137744</v>
      </c>
      <c r="JH10" s="7">
        <v>127822</v>
      </c>
      <c r="JI10" s="7">
        <v>146512</v>
      </c>
      <c r="JJ10" s="7">
        <v>122419</v>
      </c>
      <c r="JK10" s="7">
        <v>112035</v>
      </c>
      <c r="JM10" s="7">
        <v>202503</v>
      </c>
      <c r="JN10" s="7">
        <v>196966</v>
      </c>
      <c r="JO10" s="7">
        <v>146984</v>
      </c>
      <c r="JP10" s="7">
        <v>137980</v>
      </c>
      <c r="JQ10" s="7">
        <v>146758</v>
      </c>
      <c r="JR10" s="7">
        <v>118764</v>
      </c>
      <c r="JS10" s="8"/>
      <c r="JT10" s="47">
        <v>194508</v>
      </c>
      <c r="JU10" s="47">
        <v>197642</v>
      </c>
      <c r="JV10" s="47">
        <v>144769</v>
      </c>
      <c r="JW10" s="7">
        <v>134178</v>
      </c>
      <c r="JX10" s="7">
        <v>126044</v>
      </c>
      <c r="JY10" s="7">
        <v>108033</v>
      </c>
      <c r="JZ10" s="8"/>
      <c r="KA10" s="8"/>
      <c r="KB10" s="20"/>
      <c r="KC10" s="8"/>
      <c r="KD10" s="8"/>
      <c r="KE10" s="8"/>
      <c r="KF10" s="8"/>
      <c r="KG10" s="8"/>
      <c r="KH10" s="8"/>
      <c r="KI10" s="8"/>
      <c r="KJ10" s="8"/>
      <c r="KK10" s="8"/>
      <c r="KL10" s="8"/>
      <c r="KM10" s="8"/>
      <c r="KN10" s="8"/>
      <c r="KO10" s="8"/>
      <c r="KP10" s="8"/>
      <c r="KQ10" s="8"/>
      <c r="KR10" s="8"/>
      <c r="KS10" s="8"/>
      <c r="KT10" s="8"/>
      <c r="KU10" s="8"/>
      <c r="KV10" s="8"/>
      <c r="KW10" s="8"/>
      <c r="KX10" s="8"/>
      <c r="KY10" s="8"/>
      <c r="KZ10" s="8"/>
      <c r="LA10" s="8"/>
      <c r="LB10" s="8"/>
      <c r="LC10" s="8"/>
      <c r="LD10" s="8"/>
      <c r="LE10" s="20"/>
      <c r="LF10" s="8"/>
      <c r="LG10" s="8"/>
      <c r="LH10" s="8"/>
      <c r="LI10" s="8"/>
      <c r="LJ10" s="8"/>
      <c r="LK10" s="8"/>
      <c r="LL10" s="8"/>
      <c r="LM10" s="8"/>
      <c r="LN10" s="8"/>
      <c r="LO10" s="8"/>
      <c r="LP10" s="8"/>
      <c r="LQ10" s="8"/>
      <c r="LR10" s="8"/>
      <c r="LS10" s="8"/>
      <c r="LT10" s="8"/>
      <c r="LU10" s="8"/>
      <c r="LV10" s="8"/>
      <c r="LW10" s="8"/>
      <c r="LX10" s="8"/>
      <c r="LY10" s="20"/>
      <c r="LZ10" s="8"/>
      <c r="MA10" s="8"/>
      <c r="MB10" s="8"/>
      <c r="MC10" s="8"/>
      <c r="MD10" s="8"/>
      <c r="ME10" s="8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 s="8"/>
      <c r="MU10" s="8"/>
      <c r="MW10" s="8"/>
      <c r="MX10" s="8"/>
      <c r="MY10" s="8"/>
      <c r="MZ10" s="8"/>
      <c r="NA10" s="8"/>
      <c r="NB10" s="8"/>
      <c r="NC10" s="8"/>
    </row>
    <row r="11" spans="1:367">
      <c r="A11" s="17">
        <f>+A10/A9</f>
        <v>101.25614714152182</v>
      </c>
      <c r="B11" s="18" t="s">
        <v>424</v>
      </c>
      <c r="C11" s="7"/>
      <c r="D11" s="7">
        <f t="shared" ref="D11:BO11" si="19">+IFERROR(D10/D9,"")</f>
        <v>141.99695734226901</v>
      </c>
      <c r="E11" s="7">
        <f t="shared" si="19"/>
        <v>133.63300915331806</v>
      </c>
      <c r="F11" s="7"/>
      <c r="G11" s="7">
        <f t="shared" si="19"/>
        <v>106.79438020016488</v>
      </c>
      <c r="H11" s="7">
        <f t="shared" si="19"/>
        <v>105.88117208402065</v>
      </c>
      <c r="I11" s="7">
        <f t="shared" si="19"/>
        <v>115.20312931507711</v>
      </c>
      <c r="J11" s="7">
        <f t="shared" si="19"/>
        <v>116.67687448693873</v>
      </c>
      <c r="K11" s="7">
        <f t="shared" si="19"/>
        <v>113.94895663015976</v>
      </c>
      <c r="L11" s="7">
        <f t="shared" si="19"/>
        <v>112.64327640619999</v>
      </c>
      <c r="M11" s="8"/>
      <c r="N11" s="7">
        <f t="shared" si="19"/>
        <v>123.4162032906863</v>
      </c>
      <c r="O11" s="7">
        <f t="shared" si="19"/>
        <v>112.64963172470335</v>
      </c>
      <c r="P11" s="7">
        <f t="shared" si="19"/>
        <v>99.592675819297554</v>
      </c>
      <c r="Q11" s="7">
        <f t="shared" si="19"/>
        <v>88.964680083168844</v>
      </c>
      <c r="R11" s="7">
        <f t="shared" si="19"/>
        <v>92.140551369443884</v>
      </c>
      <c r="S11" s="7">
        <f t="shared" si="19"/>
        <v>72.172170365092782</v>
      </c>
      <c r="T11" s="7" t="str">
        <f t="shared" si="19"/>
        <v/>
      </c>
      <c r="U11" s="7">
        <f t="shared" si="19"/>
        <v>112.590084643289</v>
      </c>
      <c r="V11" s="7">
        <f t="shared" si="19"/>
        <v>119.37072748212093</v>
      </c>
      <c r="W11" s="7">
        <f t="shared" si="19"/>
        <v>118.23069692693788</v>
      </c>
      <c r="X11" s="7">
        <f t="shared" si="19"/>
        <v>114.57112229369413</v>
      </c>
      <c r="Y11" s="7">
        <f t="shared" si="19"/>
        <v>111.91779893896205</v>
      </c>
      <c r="Z11" s="7">
        <f t="shared" si="19"/>
        <v>92.115848232343652</v>
      </c>
      <c r="AA11" s="7" t="str">
        <f t="shared" si="19"/>
        <v/>
      </c>
      <c r="AB11" s="7">
        <f t="shared" si="19"/>
        <v>109.38382383206421</v>
      </c>
      <c r="AC11" s="7">
        <f t="shared" si="19"/>
        <v>106.25891644773439</v>
      </c>
      <c r="AD11" s="7">
        <f t="shared" si="19"/>
        <v>95.254610518039584</v>
      </c>
      <c r="AE11" s="7">
        <f t="shared" si="19"/>
        <v>102.67398760252611</v>
      </c>
      <c r="AF11" s="7">
        <f t="shared" si="19"/>
        <v>65.979838093783414</v>
      </c>
      <c r="AG11" s="7">
        <f t="shared" si="19"/>
        <v>82.466041146595515</v>
      </c>
      <c r="AH11" s="7" t="str">
        <f t="shared" si="19"/>
        <v/>
      </c>
      <c r="AI11" s="7">
        <f t="shared" si="19"/>
        <v>118.35167163825179</v>
      </c>
      <c r="AJ11" s="7">
        <f t="shared" si="19"/>
        <v>107.44837713891124</v>
      </c>
      <c r="AK11" s="7">
        <f t="shared" si="19"/>
        <v>120.20518264692092</v>
      </c>
      <c r="AL11" s="7">
        <f t="shared" si="19"/>
        <v>108.84429967597005</v>
      </c>
      <c r="AM11" s="7">
        <f t="shared" si="19"/>
        <v>61.833367284579346</v>
      </c>
      <c r="AN11" s="7">
        <f t="shared" si="19"/>
        <v>72.85727426030968</v>
      </c>
      <c r="AO11" s="7" t="str">
        <f t="shared" si="19"/>
        <v/>
      </c>
      <c r="AP11" s="7">
        <f t="shared" si="19"/>
        <v>141.57896417384117</v>
      </c>
      <c r="AQ11" s="7">
        <f t="shared" si="19"/>
        <v>95.557961018379089</v>
      </c>
      <c r="AR11" s="7">
        <f t="shared" si="19"/>
        <v>102.20426983794695</v>
      </c>
      <c r="AS11" s="7">
        <f t="shared" si="19"/>
        <v>74.90021014572207</v>
      </c>
      <c r="AT11" s="7">
        <f t="shared" si="19"/>
        <v>89.155277608297752</v>
      </c>
      <c r="AU11" s="7">
        <f t="shared" si="19"/>
        <v>62.75809754987484</v>
      </c>
      <c r="AV11" s="7" t="str">
        <f t="shared" si="19"/>
        <v/>
      </c>
      <c r="AW11" s="7">
        <f t="shared" si="19"/>
        <v>114.02097022228438</v>
      </c>
      <c r="AX11" s="7">
        <f t="shared" si="19"/>
        <v>118.71850125791779</v>
      </c>
      <c r="AY11" s="7">
        <f t="shared" si="19"/>
        <v>119.44077027691397</v>
      </c>
      <c r="AZ11" s="7">
        <f t="shared" si="19"/>
        <v>95.468274302938951</v>
      </c>
      <c r="BA11" s="7">
        <f t="shared" si="19"/>
        <v>80.273748723186927</v>
      </c>
      <c r="BB11" s="7">
        <f t="shared" si="19"/>
        <v>80.184331797235018</v>
      </c>
      <c r="BC11" s="7" t="str">
        <f t="shared" si="19"/>
        <v/>
      </c>
      <c r="BD11" s="7">
        <f t="shared" si="19"/>
        <v>120.02292007550679</v>
      </c>
      <c r="BE11" s="7">
        <f t="shared" si="19"/>
        <v>117.5381405728041</v>
      </c>
      <c r="BF11" s="7">
        <f t="shared" si="19"/>
        <v>118.74589428201877</v>
      </c>
      <c r="BG11" s="7">
        <f t="shared" si="19"/>
        <v>118.01564327867155</v>
      </c>
      <c r="BH11" s="7">
        <f t="shared" si="19"/>
        <v>113.87003559937953</v>
      </c>
      <c r="BI11" s="7">
        <f t="shared" si="19"/>
        <v>109.44411236527222</v>
      </c>
      <c r="BJ11" s="7" t="str">
        <f t="shared" si="19"/>
        <v/>
      </c>
      <c r="BK11" s="7">
        <f t="shared" si="19"/>
        <v>101.42218798151002</v>
      </c>
      <c r="BL11" s="7">
        <f t="shared" si="19"/>
        <v>104.59317012318728</v>
      </c>
      <c r="BM11" s="7">
        <f t="shared" si="19"/>
        <v>169.06759936406996</v>
      </c>
      <c r="BN11" s="7">
        <f t="shared" si="19"/>
        <v>109.86652038763944</v>
      </c>
      <c r="BO11" s="7">
        <f t="shared" si="19"/>
        <v>110.07213300969407</v>
      </c>
      <c r="BP11" s="7">
        <f t="shared" ref="BP11:EB11" si="20">+IFERROR(BP10/BP9,"")</f>
        <v>110.22210963283777</v>
      </c>
      <c r="BQ11" s="7" t="str">
        <f t="shared" si="20"/>
        <v/>
      </c>
      <c r="BR11" s="7">
        <f t="shared" si="20"/>
        <v>110.59159159159159</v>
      </c>
      <c r="BS11" s="7">
        <f t="shared" si="20"/>
        <v>105.22640246351587</v>
      </c>
      <c r="BT11" s="7">
        <f t="shared" si="20"/>
        <v>107.74279051592077</v>
      </c>
      <c r="BU11" s="7">
        <f t="shared" si="20"/>
        <v>114.25313751668892</v>
      </c>
      <c r="BV11" s="7">
        <f t="shared" si="20"/>
        <v>115.16503748695074</v>
      </c>
      <c r="BW11" s="7">
        <f t="shared" si="20"/>
        <v>115.80335832717287</v>
      </c>
      <c r="BX11" s="7">
        <f t="shared" si="20"/>
        <v>122.92305668814943</v>
      </c>
      <c r="BY11" s="7">
        <f t="shared" si="20"/>
        <v>113.14833462432222</v>
      </c>
      <c r="BZ11" s="7">
        <f t="shared" si="20"/>
        <v>111.16814159292035</v>
      </c>
      <c r="CA11" s="7">
        <f t="shared" si="20"/>
        <v>73.650975729173965</v>
      </c>
      <c r="CB11" s="7">
        <f t="shared" si="20"/>
        <v>59.143999999999998</v>
      </c>
      <c r="CC11" s="7" t="str">
        <f t="shared" si="20"/>
        <v/>
      </c>
      <c r="CD11" s="7" t="str">
        <f t="shared" si="20"/>
        <v/>
      </c>
      <c r="CE11" s="7" t="str">
        <f t="shared" si="20"/>
        <v/>
      </c>
      <c r="CF11" s="7">
        <f t="shared" si="20"/>
        <v>111.32261806130902</v>
      </c>
      <c r="CG11" s="7">
        <f t="shared" si="20"/>
        <v>112.96909223655391</v>
      </c>
      <c r="CH11" s="7">
        <f t="shared" si="20"/>
        <v>126.37319162872731</v>
      </c>
      <c r="CI11" s="7">
        <f t="shared" si="20"/>
        <v>133.71634676281968</v>
      </c>
      <c r="CJ11" s="7">
        <f t="shared" si="20"/>
        <v>118.76063899292716</v>
      </c>
      <c r="CK11" s="7">
        <f t="shared" si="20"/>
        <v>93.504779629472978</v>
      </c>
      <c r="CL11" s="7" t="str">
        <f t="shared" si="20"/>
        <v/>
      </c>
      <c r="CM11" s="7">
        <f t="shared" si="20"/>
        <v>128.76301419730615</v>
      </c>
      <c r="CN11" s="7">
        <f t="shared" si="20"/>
        <v>126.44527767951894</v>
      </c>
      <c r="CO11" s="7">
        <f t="shared" si="20"/>
        <v>108.36456637991165</v>
      </c>
      <c r="CP11" s="7">
        <f t="shared" si="20"/>
        <v>153.55032899647679</v>
      </c>
      <c r="CQ11" s="7">
        <f t="shared" si="20"/>
        <v>116.41979879275655</v>
      </c>
      <c r="CR11" s="7">
        <f t="shared" si="20"/>
        <v>122.39679715302491</v>
      </c>
      <c r="CS11" s="7" t="str">
        <f t="shared" si="20"/>
        <v/>
      </c>
      <c r="CT11" s="7">
        <f t="shared" si="20"/>
        <v>114.28744743916729</v>
      </c>
      <c r="CU11" s="7">
        <f t="shared" si="20"/>
        <v>125.40629122977569</v>
      </c>
      <c r="CV11" s="7">
        <f t="shared" si="20"/>
        <v>118.90613321609145</v>
      </c>
      <c r="CW11" s="7">
        <f t="shared" si="20"/>
        <v>117.63084702907712</v>
      </c>
      <c r="CX11" s="7">
        <f t="shared" si="20"/>
        <v>116.9501808379477</v>
      </c>
      <c r="CY11" s="7">
        <f t="shared" si="20"/>
        <v>112.78804798913453</v>
      </c>
      <c r="CZ11" s="7" t="str">
        <f t="shared" si="20"/>
        <v/>
      </c>
      <c r="DA11" s="7">
        <f t="shared" si="20"/>
        <v>110.84219315335376</v>
      </c>
      <c r="DB11" s="7">
        <f t="shared" si="20"/>
        <v>116.44004372146853</v>
      </c>
      <c r="DC11" s="7">
        <f t="shared" si="20"/>
        <v>116.63588850174213</v>
      </c>
      <c r="DD11" s="7">
        <f t="shared" si="20"/>
        <v>114.63387270765911</v>
      </c>
      <c r="DE11" s="7">
        <f t="shared" si="20"/>
        <v>114.36040801584505</v>
      </c>
      <c r="DF11" s="7">
        <f t="shared" si="20"/>
        <v>115.3944772471821</v>
      </c>
      <c r="DG11" s="7">
        <f t="shared" si="20"/>
        <v>116.58703129466966</v>
      </c>
      <c r="DH11" s="7">
        <f t="shared" si="20"/>
        <v>116.70595915593034</v>
      </c>
      <c r="DI11" s="7">
        <f t="shared" si="20"/>
        <v>122.42733944062336</v>
      </c>
      <c r="DJ11" s="7">
        <f t="shared" si="20"/>
        <v>121.14859288321716</v>
      </c>
      <c r="DK11" s="7">
        <f t="shared" si="20"/>
        <v>117.82013412417894</v>
      </c>
      <c r="DL11" s="7">
        <f t="shared" si="20"/>
        <v>109.85950314350666</v>
      </c>
      <c r="DM11" s="7">
        <f t="shared" si="20"/>
        <v>99.393937796433121</v>
      </c>
      <c r="DN11" s="7" t="str">
        <f t="shared" si="20"/>
        <v/>
      </c>
      <c r="DO11" s="7">
        <f t="shared" si="20"/>
        <v>112.36300976450315</v>
      </c>
      <c r="DP11" s="7">
        <f t="shared" si="20"/>
        <v>115.32508974870363</v>
      </c>
      <c r="DQ11" s="7">
        <f t="shared" si="20"/>
        <v>114.68698884758362</v>
      </c>
      <c r="DR11" s="7">
        <f t="shared" si="20"/>
        <v>114.28383381324558</v>
      </c>
      <c r="DS11" s="7" t="str">
        <f t="shared" si="20"/>
        <v/>
      </c>
      <c r="DT11" s="7">
        <f t="shared" si="20"/>
        <v>128.88501301076025</v>
      </c>
      <c r="DU11" s="7">
        <f t="shared" si="20"/>
        <v>122.78321114960121</v>
      </c>
      <c r="DV11" s="7">
        <f t="shared" si="20"/>
        <v>150.96153532694956</v>
      </c>
      <c r="DW11" s="7">
        <f t="shared" si="20"/>
        <v>123.74352297238507</v>
      </c>
      <c r="DX11" s="7">
        <f t="shared" si="20"/>
        <v>130.38934832375065</v>
      </c>
      <c r="DY11" s="7">
        <f t="shared" si="20"/>
        <v>136.68519023629179</v>
      </c>
      <c r="DZ11" s="7">
        <f t="shared" si="20"/>
        <v>121.89512056083908</v>
      </c>
      <c r="EA11" s="7">
        <f t="shared" si="20"/>
        <v>112.62052333245447</v>
      </c>
      <c r="EB11" s="7" t="str">
        <f t="shared" si="20"/>
        <v/>
      </c>
      <c r="EC11" s="7">
        <f t="shared" ref="EC11:GN11" si="21">+IFERROR(EC10/EC9,"")</f>
        <v>102.72257383354754</v>
      </c>
      <c r="ED11" s="7">
        <f t="shared" si="21"/>
        <v>104.41701650198476</v>
      </c>
      <c r="EE11" s="7">
        <f t="shared" si="21"/>
        <v>102.68863815271584</v>
      </c>
      <c r="EF11" s="7">
        <f t="shared" si="21"/>
        <v>100.72801024279453</v>
      </c>
      <c r="EG11" s="7">
        <f t="shared" si="21"/>
        <v>102.87615942588276</v>
      </c>
      <c r="EH11" s="7">
        <f t="shared" si="21"/>
        <v>109.97377231593939</v>
      </c>
      <c r="EI11" s="7">
        <f t="shared" si="21"/>
        <v>106.75000000000001</v>
      </c>
      <c r="EJ11" s="7">
        <f t="shared" si="21"/>
        <v>106.79895259429293</v>
      </c>
      <c r="EK11" s="7">
        <f t="shared" si="21"/>
        <v>108.84157365490687</v>
      </c>
      <c r="EL11" s="7">
        <f t="shared" si="21"/>
        <v>106.37992484805427</v>
      </c>
      <c r="EM11" s="7">
        <f t="shared" si="21"/>
        <v>108.68353430159686</v>
      </c>
      <c r="EN11" s="7">
        <f t="shared" si="21"/>
        <v>101.72922150368679</v>
      </c>
      <c r="EO11" s="7">
        <f t="shared" si="21"/>
        <v>103.67932536617197</v>
      </c>
      <c r="EQ11" s="7">
        <f t="shared" si="21"/>
        <v>98.046833013435702</v>
      </c>
      <c r="ER11" s="7">
        <f t="shared" si="21"/>
        <v>73.527454242928442</v>
      </c>
      <c r="EV11" s="7">
        <f t="shared" si="21"/>
        <v>107.53869928821443</v>
      </c>
      <c r="EW11" s="7" t="str">
        <f t="shared" si="21"/>
        <v/>
      </c>
      <c r="EX11" s="7">
        <f t="shared" si="21"/>
        <v>108.34628119127881</v>
      </c>
      <c r="EY11" s="7">
        <f t="shared" si="21"/>
        <v>107.11955574251515</v>
      </c>
      <c r="EZ11" s="7">
        <f t="shared" si="21"/>
        <v>110.42467932886308</v>
      </c>
      <c r="FA11" s="7">
        <f t="shared" si="21"/>
        <v>107.41116469249255</v>
      </c>
      <c r="FB11" s="7">
        <f t="shared" si="21"/>
        <v>108.34675552322875</v>
      </c>
      <c r="FC11" s="7">
        <f t="shared" si="21"/>
        <v>111.86985842444825</v>
      </c>
      <c r="FD11" s="7" t="str">
        <f t="shared" si="21"/>
        <v/>
      </c>
      <c r="FE11" s="7">
        <f t="shared" si="21"/>
        <v>95.101578198013172</v>
      </c>
      <c r="FF11" s="7">
        <f t="shared" si="21"/>
        <v>96.159486946934678</v>
      </c>
      <c r="FG11" s="7">
        <f t="shared" si="21"/>
        <v>87.571395634263141</v>
      </c>
      <c r="FH11" s="7">
        <f t="shared" si="21"/>
        <v>85.26908905481281</v>
      </c>
      <c r="FI11" s="7">
        <f t="shared" si="21"/>
        <v>82.753887205773211</v>
      </c>
      <c r="FJ11" s="7">
        <f t="shared" si="21"/>
        <v>95.698499562390097</v>
      </c>
      <c r="FK11" s="7">
        <f t="shared" si="21"/>
        <v>103.84952043816172</v>
      </c>
      <c r="FL11" s="7">
        <f t="shared" si="21"/>
        <v>99.40131666961878</v>
      </c>
      <c r="FM11" s="7">
        <f t="shared" si="21"/>
        <v>99.320301430050549</v>
      </c>
      <c r="FN11" s="7">
        <f t="shared" si="21"/>
        <v>103.33261434191191</v>
      </c>
      <c r="FO11" s="7">
        <f t="shared" si="21"/>
        <v>107.56431552905464</v>
      </c>
      <c r="FP11" s="7">
        <f t="shared" si="21"/>
        <v>104.99758833553346</v>
      </c>
      <c r="FQ11" s="7">
        <f t="shared" si="21"/>
        <v>96.347711331528473</v>
      </c>
      <c r="FR11" s="7" t="str">
        <f t="shared" si="21"/>
        <v/>
      </c>
      <c r="FS11" s="7">
        <f t="shared" si="21"/>
        <v>95.447558656695023</v>
      </c>
      <c r="FT11" s="7">
        <f t="shared" si="21"/>
        <v>94.420514329834404</v>
      </c>
      <c r="FU11" s="7">
        <f t="shared" si="21"/>
        <v>96.309710554679143</v>
      </c>
      <c r="FV11" s="7">
        <f t="shared" si="21"/>
        <v>97.119510815770667</v>
      </c>
      <c r="FW11" s="7">
        <f t="shared" si="21"/>
        <v>88.337763337014664</v>
      </c>
      <c r="FX11" s="7">
        <f t="shared" si="21"/>
        <v>101.69212187162212</v>
      </c>
      <c r="FY11" s="7">
        <f t="shared" si="21"/>
        <v>105.54483088496326</v>
      </c>
      <c r="FZ11" s="7">
        <f t="shared" si="21"/>
        <v>101.74651458087108</v>
      </c>
      <c r="GA11" s="7">
        <f t="shared" si="21"/>
        <v>102.34269669677344</v>
      </c>
      <c r="GB11" s="7">
        <f t="shared" si="21"/>
        <v>99.506738380258042</v>
      </c>
      <c r="GC11" s="7">
        <f t="shared" si="21"/>
        <v>89.117371024184351</v>
      </c>
      <c r="GD11" s="7">
        <f t="shared" si="21"/>
        <v>86.422508756567026</v>
      </c>
      <c r="GE11" s="7">
        <f t="shared" si="21"/>
        <v>91.87531112465949</v>
      </c>
      <c r="GF11" s="7" t="str">
        <f t="shared" si="21"/>
        <v/>
      </c>
      <c r="GG11" s="7">
        <f t="shared" si="21"/>
        <v>95.896620746584418</v>
      </c>
      <c r="GH11" s="7">
        <f t="shared" si="21"/>
        <v>75.174674903456079</v>
      </c>
      <c r="GI11" s="7">
        <f t="shared" si="21"/>
        <v>76.058668711162071</v>
      </c>
      <c r="GJ11" s="7">
        <f t="shared" si="21"/>
        <v>76.789054603230639</v>
      </c>
      <c r="GK11" s="7">
        <f t="shared" si="21"/>
        <v>83.353618746398368</v>
      </c>
      <c r="GL11" s="7">
        <f t="shared" si="21"/>
        <v>90.9754770410714</v>
      </c>
      <c r="GM11" s="7">
        <f t="shared" si="21"/>
        <v>77.472604302465243</v>
      </c>
      <c r="GN11" s="7">
        <f t="shared" si="21"/>
        <v>102.85427360848205</v>
      </c>
      <c r="GO11" s="7">
        <f t="shared" ref="GO11:IZ11" si="22">+IFERROR(GO10/GO9,"")</f>
        <v>82.178415509108902</v>
      </c>
      <c r="GP11" s="7">
        <f t="shared" si="22"/>
        <v>105.05209224152323</v>
      </c>
      <c r="GQ11" s="7">
        <f t="shared" si="22"/>
        <v>103.370951506898</v>
      </c>
      <c r="GR11" s="7">
        <f t="shared" si="22"/>
        <v>104.20479302832244</v>
      </c>
      <c r="GS11" s="7">
        <f t="shared" si="22"/>
        <v>104.90547055124712</v>
      </c>
      <c r="GT11" s="7" t="str">
        <f t="shared" si="22"/>
        <v/>
      </c>
      <c r="GU11" s="7">
        <f t="shared" si="22"/>
        <v>96.29708059957801</v>
      </c>
      <c r="GV11" s="7">
        <f t="shared" si="22"/>
        <v>87.758137174037188</v>
      </c>
      <c r="GW11" s="7">
        <f t="shared" si="22"/>
        <v>90.188602764926443</v>
      </c>
      <c r="GX11" s="7">
        <f t="shared" si="22"/>
        <v>102.42396513381432</v>
      </c>
      <c r="GY11" s="7">
        <f t="shared" si="22"/>
        <v>97.93867578793062</v>
      </c>
      <c r="GZ11" s="7">
        <f t="shared" si="22"/>
        <v>103.05548191630375</v>
      </c>
      <c r="HA11" s="7">
        <f t="shared" si="22"/>
        <v>97.70232985898221</v>
      </c>
      <c r="HB11" s="7">
        <f t="shared" si="22"/>
        <v>101.87797430431526</v>
      </c>
      <c r="HC11" s="7">
        <f t="shared" si="22"/>
        <v>101.89185185185185</v>
      </c>
      <c r="HD11" s="7">
        <f t="shared" si="22"/>
        <v>103.18979841566305</v>
      </c>
      <c r="HE11" s="7">
        <f t="shared" si="22"/>
        <v>99.880878491286694</v>
      </c>
      <c r="HF11" s="7">
        <f t="shared" si="22"/>
        <v>99.920382909175828</v>
      </c>
      <c r="HG11" s="7">
        <f t="shared" si="22"/>
        <v>97.976685250886973</v>
      </c>
      <c r="HH11" s="7" t="str">
        <f t="shared" si="22"/>
        <v/>
      </c>
      <c r="HI11" s="7">
        <f t="shared" si="22"/>
        <v>97.948461346009495</v>
      </c>
      <c r="HJ11" s="7">
        <f t="shared" si="22"/>
        <v>91.807947019867555</v>
      </c>
      <c r="HK11" s="7">
        <f t="shared" si="22"/>
        <v>91.264786528184331</v>
      </c>
      <c r="HL11" s="7">
        <f t="shared" si="22"/>
        <v>95.786486586534352</v>
      </c>
      <c r="HM11" s="7">
        <f t="shared" si="22"/>
        <v>89.610157720976133</v>
      </c>
      <c r="HN11" s="7">
        <f t="shared" si="22"/>
        <v>92.595308495959017</v>
      </c>
      <c r="HO11" s="7">
        <f t="shared" si="22"/>
        <v>97.040358744394624</v>
      </c>
      <c r="HP11" s="7">
        <f t="shared" si="22"/>
        <v>92.913429893089145</v>
      </c>
      <c r="HQ11" s="7">
        <f t="shared" si="22"/>
        <v>91.49101779042617</v>
      </c>
      <c r="HR11" s="7">
        <f t="shared" si="22"/>
        <v>89.53630762671601</v>
      </c>
      <c r="HS11" s="7">
        <f t="shared" si="22"/>
        <v>85.333586361914087</v>
      </c>
      <c r="HT11" s="7">
        <f t="shared" si="22"/>
        <v>79.375382176423955</v>
      </c>
      <c r="HU11" s="7">
        <f t="shared" si="22"/>
        <v>84.285762711864407</v>
      </c>
      <c r="HV11" s="7" t="str">
        <f t="shared" si="22"/>
        <v/>
      </c>
      <c r="HW11" s="7">
        <f t="shared" si="22"/>
        <v>88.846277663655798</v>
      </c>
      <c r="HX11" s="7">
        <f t="shared" si="22"/>
        <v>96.403543788809827</v>
      </c>
      <c r="HY11" s="7">
        <f t="shared" si="22"/>
        <v>92.842898596104888</v>
      </c>
      <c r="HZ11" s="7">
        <f t="shared" si="22"/>
        <v>90.877778718095541</v>
      </c>
      <c r="IA11" s="7">
        <f t="shared" si="22"/>
        <v>85.0758390527578</v>
      </c>
      <c r="IB11" s="7">
        <f t="shared" si="22"/>
        <v>93.610099667927614</v>
      </c>
      <c r="IC11" s="7">
        <f t="shared" si="22"/>
        <v>101.98568220101066</v>
      </c>
      <c r="ID11" s="7">
        <f t="shared" si="22"/>
        <v>71.942025409925677</v>
      </c>
      <c r="IE11" s="7">
        <f t="shared" si="22"/>
        <v>81.49063807823832</v>
      </c>
      <c r="IF11" s="7">
        <f t="shared" si="22"/>
        <v>78.888365736032043</v>
      </c>
      <c r="IG11" s="7">
        <f t="shared" si="22"/>
        <v>67.417261268694645</v>
      </c>
      <c r="IH11" s="7">
        <f t="shared" si="22"/>
        <v>75.073155399770201</v>
      </c>
      <c r="II11" s="7">
        <f t="shared" si="22"/>
        <v>81.655446761797592</v>
      </c>
      <c r="IJ11" s="7" t="str">
        <f t="shared" si="22"/>
        <v/>
      </c>
      <c r="IK11" s="7">
        <f t="shared" si="22"/>
        <v>98.853349962418591</v>
      </c>
      <c r="IL11" s="7">
        <f t="shared" si="22"/>
        <v>97.771281823873153</v>
      </c>
      <c r="IM11" s="7">
        <f t="shared" si="22"/>
        <v>95.035151775861422</v>
      </c>
      <c r="IN11" s="7">
        <f t="shared" si="22"/>
        <v>70.479751785493391</v>
      </c>
      <c r="IO11" s="7">
        <f t="shared" si="22"/>
        <v>89.486732699039209</v>
      </c>
      <c r="IP11" s="7">
        <f t="shared" si="22"/>
        <v>55.632661037304544</v>
      </c>
      <c r="IQ11" s="7">
        <f t="shared" si="22"/>
        <v>98.052618334973829</v>
      </c>
      <c r="IR11" s="7">
        <f t="shared" si="22"/>
        <v>106.13492145901493</v>
      </c>
      <c r="IS11" s="7">
        <f t="shared" si="22"/>
        <v>107.88287399996254</v>
      </c>
      <c r="IT11" s="7">
        <f t="shared" si="22"/>
        <v>98.206330545769731</v>
      </c>
      <c r="IU11" s="7">
        <f t="shared" si="22"/>
        <v>112.61530726060241</v>
      </c>
      <c r="IV11" s="7">
        <f t="shared" si="22"/>
        <v>96.935445950809566</v>
      </c>
      <c r="IW11" s="7">
        <f t="shared" si="22"/>
        <v>112.7403893378539</v>
      </c>
      <c r="IX11" s="7" t="str">
        <f t="shared" si="22"/>
        <v/>
      </c>
      <c r="IY11" s="7">
        <f t="shared" si="22"/>
        <v>101.7867928078843</v>
      </c>
      <c r="IZ11" s="7">
        <f t="shared" si="22"/>
        <v>103.03618051692455</v>
      </c>
      <c r="JA11" s="7">
        <f t="shared" ref="JA11:JZ11" si="23">+IFERROR(JA10/JA9,"")</f>
        <v>102.75511952149388</v>
      </c>
      <c r="JB11" s="7">
        <f t="shared" si="23"/>
        <v>83.015203224600626</v>
      </c>
      <c r="JC11" s="7">
        <f t="shared" si="23"/>
        <v>97.703097844582715</v>
      </c>
      <c r="JD11" s="7">
        <f t="shared" si="23"/>
        <v>100.17438144160622</v>
      </c>
      <c r="JE11" s="7" t="str">
        <f t="shared" si="23"/>
        <v/>
      </c>
      <c r="JF11" s="7">
        <f t="shared" si="23"/>
        <v>104.17038384225135</v>
      </c>
      <c r="JG11" s="7">
        <f t="shared" si="23"/>
        <v>103.654229921642</v>
      </c>
      <c r="JH11" s="7">
        <f t="shared" si="23"/>
        <v>92.029565401940076</v>
      </c>
      <c r="JI11" s="7">
        <f t="shared" si="23"/>
        <v>100.21211771360024</v>
      </c>
      <c r="JJ11" s="7">
        <f t="shared" si="23"/>
        <v>85.635046901025959</v>
      </c>
      <c r="JK11" s="7">
        <f t="shared" si="23"/>
        <v>92.963065390778297</v>
      </c>
      <c r="JL11" s="7" t="str">
        <f t="shared" si="23"/>
        <v/>
      </c>
      <c r="JM11" s="7">
        <f t="shared" si="23"/>
        <v>98.437819006724439</v>
      </c>
      <c r="JN11" s="7">
        <f t="shared" si="23"/>
        <v>103.07471185559453</v>
      </c>
      <c r="JO11" s="7">
        <f t="shared" si="23"/>
        <v>93.952765699079208</v>
      </c>
      <c r="JP11" s="7">
        <f t="shared" si="23"/>
        <v>104.40271690088635</v>
      </c>
      <c r="JQ11" s="7">
        <f t="shared" si="23"/>
        <v>96.694690942582753</v>
      </c>
      <c r="JR11" s="7">
        <f t="shared" si="23"/>
        <v>87.208909558193611</v>
      </c>
      <c r="JS11" s="7" t="str">
        <f t="shared" si="23"/>
        <v/>
      </c>
      <c r="JT11" s="7">
        <f t="shared" si="23"/>
        <v>98.075381318542796</v>
      </c>
      <c r="JU11" s="7">
        <f t="shared" si="23"/>
        <v>96.982375792271512</v>
      </c>
      <c r="JV11" s="7">
        <f t="shared" si="23"/>
        <v>93.075236280043157</v>
      </c>
      <c r="JW11" s="7">
        <f t="shared" si="23"/>
        <v>81.969206632160052</v>
      </c>
      <c r="JX11" s="7">
        <f t="shared" si="23"/>
        <v>72.945647455992273</v>
      </c>
      <c r="JY11" s="7">
        <f t="shared" si="23"/>
        <v>65.773515981735159</v>
      </c>
      <c r="JZ11" s="7" t="str">
        <f t="shared" si="23"/>
        <v/>
      </c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  <c r="KW11" s="8"/>
      <c r="KX11" s="8"/>
      <c r="KY11" s="8"/>
      <c r="KZ11" s="8"/>
      <c r="LA11" s="8"/>
      <c r="LB11" s="8"/>
      <c r="LC11" s="8"/>
      <c r="LD11" s="8"/>
      <c r="LE11" s="8"/>
      <c r="LF11" s="8"/>
      <c r="LG11" s="8"/>
      <c r="LH11" s="8"/>
      <c r="LI11" s="8"/>
      <c r="LJ11" s="8"/>
      <c r="LK11" s="8"/>
      <c r="LL11" s="8"/>
      <c r="LM11" s="8"/>
      <c r="LN11" s="8"/>
      <c r="LO11" s="8"/>
      <c r="LP11" s="8"/>
      <c r="LQ11" s="8"/>
      <c r="LR11" s="8"/>
      <c r="LS11" s="8"/>
      <c r="LT11" s="8"/>
      <c r="LU11" s="8"/>
      <c r="LV11" s="8"/>
      <c r="LW11" s="8"/>
      <c r="LX11" s="8"/>
      <c r="LY11" s="83"/>
      <c r="LZ11" s="34"/>
      <c r="MA11" s="34"/>
      <c r="MB11" s="34"/>
      <c r="MC11" s="34"/>
      <c r="MD11" s="34"/>
      <c r="ME11" s="34"/>
      <c r="MF11" s="34"/>
      <c r="MG11" s="34"/>
      <c r="MH11" s="34"/>
      <c r="MI11" s="34"/>
      <c r="MJ11" s="34"/>
      <c r="MK11" s="34"/>
      <c r="ML11" s="34"/>
      <c r="MM11" s="34"/>
      <c r="MN11" s="34"/>
      <c r="MO11" s="34"/>
      <c r="MP11" s="34"/>
      <c r="MQ11" s="34"/>
      <c r="MR11" s="34"/>
      <c r="MS11" s="34"/>
      <c r="MT11" s="8"/>
      <c r="MU11" s="8"/>
      <c r="MW11" s="8"/>
      <c r="MX11" s="8"/>
      <c r="MY11" s="8"/>
      <c r="MZ11" s="8"/>
      <c r="NA11" s="8"/>
      <c r="NB11" s="8"/>
      <c r="NC11" s="8"/>
    </row>
    <row r="12" spans="1:367" ht="16.8">
      <c r="E12" s="35"/>
      <c r="G12" s="36"/>
      <c r="H12" s="35"/>
      <c r="N12" s="36"/>
      <c r="U12" s="36"/>
      <c r="AB12" s="36"/>
      <c r="AI12" s="36"/>
      <c r="AP12" s="20"/>
      <c r="BR12" s="8"/>
      <c r="CG12" s="36"/>
      <c r="DO12" s="20"/>
      <c r="DW12" s="52"/>
      <c r="FS12" s="20"/>
      <c r="FZ12" s="20"/>
      <c r="GG12" s="20"/>
      <c r="GN12" s="20"/>
      <c r="GU12" s="20"/>
      <c r="HB12" s="20"/>
      <c r="HC12" s="68"/>
      <c r="HD12" s="25"/>
      <c r="HI12" s="20"/>
      <c r="HP12" s="20"/>
      <c r="ID12" s="20"/>
      <c r="IK12" s="20"/>
      <c r="IR12" s="20"/>
      <c r="IW12" s="56"/>
      <c r="IX12" s="56"/>
      <c r="JI12" s="68"/>
      <c r="JJ12" s="25"/>
      <c r="JQ12" s="68"/>
      <c r="JR12" s="25"/>
      <c r="JX12" s="68"/>
      <c r="JY12" s="25"/>
      <c r="KG12" s="68"/>
      <c r="KH12" s="25"/>
      <c r="KI12" s="72"/>
      <c r="KJ12" s="55"/>
      <c r="KP12" s="25"/>
      <c r="LG12" s="25"/>
      <c r="LM12" s="25"/>
      <c r="LT12" s="68"/>
      <c r="LU12" s="25"/>
      <c r="LX12" s="72"/>
      <c r="LY12" s="55"/>
      <c r="LZ12" s="55"/>
      <c r="MA12" s="55"/>
      <c r="MB12" s="55"/>
      <c r="MC12" s="55"/>
      <c r="MD12" s="55"/>
      <c r="ME12" s="56"/>
      <c r="MF12" s="25"/>
      <c r="MG12" s="55"/>
      <c r="MH12" s="56"/>
      <c r="MI12" s="56"/>
      <c r="MJ12" s="56"/>
      <c r="MK12" s="56"/>
      <c r="ML12" s="56"/>
      <c r="MM12" s="25"/>
      <c r="MN12" s="56"/>
      <c r="MO12" s="56"/>
      <c r="MP12" s="56"/>
      <c r="MQ12" s="56"/>
      <c r="MR12" s="56"/>
      <c r="MS12" s="55"/>
      <c r="MT12" s="56"/>
      <c r="MU12" s="56"/>
      <c r="MV12" s="56"/>
      <c r="MW12" s="56"/>
      <c r="MX12" s="56"/>
      <c r="MY12" s="56"/>
      <c r="MZ12" s="56"/>
      <c r="NA12" s="56"/>
      <c r="NB12" s="56"/>
      <c r="NC12" s="56"/>
    </row>
    <row r="13" spans="1:367" ht="16.8">
      <c r="G13" s="36"/>
      <c r="H13" s="35"/>
      <c r="N13" s="36"/>
      <c r="U13" s="36"/>
      <c r="AB13" s="36"/>
      <c r="AI13" s="36"/>
      <c r="AP13" s="20"/>
      <c r="BI13" s="78"/>
      <c r="BR13" s="8"/>
      <c r="DO13" s="20"/>
      <c r="DW13" s="52"/>
      <c r="FS13" s="20"/>
      <c r="FZ13" s="20"/>
      <c r="GG13" s="20"/>
      <c r="GN13" s="20"/>
      <c r="GU13" s="20"/>
      <c r="HB13" s="20"/>
      <c r="HC13" s="68"/>
      <c r="HD13" s="25"/>
      <c r="HI13" s="20"/>
      <c r="HP13" s="20"/>
      <c r="HW13" s="20"/>
      <c r="HX13" s="8"/>
      <c r="HY13" s="8"/>
      <c r="HZ13" s="8"/>
      <c r="IA13" s="8"/>
      <c r="IB13" s="8"/>
      <c r="IC13" s="8"/>
      <c r="ID13" s="20"/>
      <c r="IK13" s="20"/>
      <c r="IR13" s="20"/>
      <c r="IW13" s="72"/>
      <c r="IX13" s="55"/>
      <c r="JI13" s="68"/>
      <c r="JJ13" s="25"/>
      <c r="JQ13" s="68"/>
      <c r="JR13" s="25"/>
      <c r="JX13" s="68"/>
      <c r="JY13" s="25"/>
      <c r="KG13" s="68"/>
      <c r="KH13" s="25"/>
      <c r="KI13" s="72"/>
      <c r="KJ13" s="55"/>
      <c r="KP13" s="25"/>
      <c r="LG13" s="25"/>
      <c r="LT13" s="68"/>
      <c r="LU13" s="25"/>
      <c r="LX13" s="72"/>
      <c r="LY13" s="55"/>
      <c r="LZ13" s="55"/>
      <c r="MA13" s="55"/>
      <c r="MB13" s="55"/>
      <c r="MC13" s="55"/>
      <c r="MD13" s="55"/>
      <c r="ME13" s="56"/>
      <c r="MF13" s="25"/>
      <c r="MG13" s="55"/>
      <c r="MH13" s="56"/>
      <c r="MI13" s="56"/>
      <c r="MJ13" s="56"/>
      <c r="MK13" s="56"/>
      <c r="ML13" s="56"/>
      <c r="MM13" s="25"/>
      <c r="MN13" s="56"/>
      <c r="MO13" s="56"/>
      <c r="MP13" s="56"/>
      <c r="MQ13" s="56"/>
      <c r="MR13" s="56"/>
      <c r="MS13" s="55"/>
      <c r="MT13" s="56"/>
      <c r="MU13" s="56"/>
      <c r="MV13" s="56"/>
      <c r="MW13" s="56"/>
      <c r="MX13" s="56"/>
      <c r="MY13" s="56"/>
      <c r="MZ13" s="56"/>
      <c r="NA13" s="56"/>
      <c r="NB13" s="56"/>
      <c r="NC13" s="56"/>
    </row>
    <row r="14" spans="1:367" ht="16.8">
      <c r="C14" s="36"/>
      <c r="E14" s="35"/>
      <c r="F14" s="27"/>
      <c r="G14" s="36"/>
      <c r="H14" s="35"/>
      <c r="N14" s="36"/>
      <c r="U14" s="36"/>
      <c r="AB14" s="36"/>
      <c r="AI14" s="36"/>
      <c r="AJ14" s="36"/>
      <c r="AP14" s="20"/>
      <c r="BI14" s="78"/>
      <c r="BR14" s="8"/>
      <c r="BZ14" s="78"/>
      <c r="CM14" s="208"/>
      <c r="CT14" s="208"/>
      <c r="DO14" s="20"/>
      <c r="DV14" s="208"/>
      <c r="DW14" s="52"/>
      <c r="FE14" s="208"/>
      <c r="FL14" s="208"/>
      <c r="FS14" s="20"/>
      <c r="FZ14" s="20"/>
      <c r="GG14" s="20"/>
      <c r="GN14" s="20"/>
      <c r="GU14" s="20"/>
      <c r="HB14" s="20"/>
      <c r="HC14" s="68"/>
      <c r="HD14" s="25"/>
      <c r="HI14" s="20"/>
      <c r="HP14" s="20"/>
      <c r="ID14" s="20"/>
      <c r="IK14" s="20"/>
      <c r="IR14" s="20"/>
      <c r="IW14" s="72"/>
      <c r="IX14" s="55"/>
      <c r="JI14" s="68"/>
      <c r="JJ14" s="25"/>
      <c r="JQ14" s="68"/>
      <c r="JR14" s="25"/>
      <c r="JX14" s="68"/>
      <c r="JY14" s="25"/>
      <c r="KG14" s="68"/>
      <c r="KH14" s="25"/>
      <c r="KI14" s="72"/>
      <c r="KJ14" s="55"/>
      <c r="KP14" s="25"/>
      <c r="LG14" s="25"/>
      <c r="LT14" s="68"/>
      <c r="LU14" s="25"/>
      <c r="LX14" s="72"/>
      <c r="LY14" s="55"/>
      <c r="LZ14" s="55"/>
      <c r="MA14" s="55"/>
      <c r="MB14" s="55"/>
      <c r="MC14" s="55"/>
      <c r="MD14" s="55"/>
      <c r="ME14" s="56"/>
      <c r="MF14" s="25"/>
      <c r="MG14" s="55"/>
      <c r="MH14" s="56"/>
      <c r="MI14" s="56"/>
      <c r="MJ14" s="56"/>
      <c r="MK14" s="56"/>
      <c r="ML14" s="56"/>
      <c r="MM14" s="25"/>
      <c r="MN14" s="56"/>
      <c r="MO14" s="56"/>
      <c r="MP14" s="56"/>
      <c r="MQ14" s="56"/>
      <c r="MR14" s="56"/>
      <c r="MS14" s="55"/>
      <c r="MT14" s="56"/>
      <c r="MU14" s="56"/>
      <c r="MV14" s="56"/>
      <c r="MW14" s="56"/>
      <c r="MX14" s="56"/>
      <c r="MY14" s="56"/>
      <c r="MZ14" s="56"/>
      <c r="NA14" s="56"/>
      <c r="NB14" s="56"/>
      <c r="NC14" s="56"/>
    </row>
    <row r="15" spans="1:367" ht="16.8">
      <c r="D15" s="36"/>
      <c r="E15" s="35"/>
      <c r="F15" s="27"/>
      <c r="G15" s="36"/>
      <c r="H15" s="35"/>
      <c r="AB15" s="36"/>
      <c r="AJ15" s="36"/>
      <c r="AP15" s="36"/>
      <c r="BI15" s="78"/>
      <c r="BZ15" s="78"/>
      <c r="DW15" s="52"/>
      <c r="HC15" s="68"/>
      <c r="HD15" s="25"/>
      <c r="IW15" s="72"/>
      <c r="IX15" s="55"/>
      <c r="JI15" s="68"/>
      <c r="JJ15" s="25"/>
      <c r="JQ15" s="68"/>
      <c r="JR15" s="25"/>
      <c r="JX15" s="68"/>
      <c r="JY15" s="25"/>
      <c r="KG15" s="68"/>
      <c r="KH15" s="25"/>
      <c r="KI15" s="72"/>
      <c r="KJ15" s="55"/>
      <c r="KP15" s="25"/>
      <c r="LG15" s="25"/>
      <c r="LX15" s="72"/>
      <c r="LY15" s="55"/>
      <c r="LZ15" s="55"/>
      <c r="MA15" s="55"/>
      <c r="MB15" s="55"/>
      <c r="MC15" s="55"/>
      <c r="MD15" s="55"/>
      <c r="ME15" s="56"/>
      <c r="MF15" s="25"/>
      <c r="MG15" s="55"/>
      <c r="MH15" s="56"/>
      <c r="MI15" s="56"/>
      <c r="MJ15" s="56"/>
      <c r="MK15" s="56"/>
      <c r="ML15" s="56"/>
      <c r="MM15" s="25"/>
      <c r="MN15" s="56"/>
      <c r="MO15" s="56"/>
      <c r="MP15" s="56"/>
      <c r="MQ15" s="56"/>
      <c r="MR15" s="56"/>
      <c r="MS15" s="55"/>
      <c r="MT15" s="56"/>
      <c r="MU15" s="56"/>
      <c r="MV15" s="56"/>
      <c r="MW15" s="56"/>
      <c r="MX15" s="56"/>
      <c r="MY15" s="56"/>
      <c r="MZ15" s="56"/>
      <c r="NA15" s="56"/>
      <c r="NB15" s="56"/>
      <c r="NC15" s="56"/>
    </row>
    <row r="16" spans="1:367" ht="16.8">
      <c r="E16" s="35"/>
      <c r="F16" s="35"/>
      <c r="AJ16" s="36"/>
      <c r="AP16" s="36"/>
      <c r="BI16" s="78"/>
      <c r="BZ16" s="78"/>
      <c r="DA16" s="31"/>
      <c r="DW16" s="52"/>
      <c r="IW16" s="72"/>
      <c r="IX16" s="55"/>
      <c r="JI16" s="68"/>
      <c r="JJ16" s="25"/>
      <c r="JQ16" s="68"/>
      <c r="JR16" s="25"/>
      <c r="JX16" s="68"/>
      <c r="JY16" s="25"/>
      <c r="KG16" s="68"/>
      <c r="KH16" s="25"/>
      <c r="KI16" s="72"/>
      <c r="KJ16" s="55"/>
      <c r="LG16" s="25"/>
      <c r="LX16" s="72"/>
      <c r="LY16" s="55"/>
      <c r="LZ16" s="55"/>
      <c r="MA16" s="55"/>
      <c r="MB16" s="55"/>
      <c r="MC16" s="55"/>
      <c r="MD16" s="55"/>
      <c r="ME16" s="56"/>
      <c r="MF16" s="25"/>
      <c r="MG16" s="55"/>
      <c r="MH16" s="56"/>
      <c r="MI16" s="56"/>
      <c r="MJ16" s="56"/>
      <c r="MK16" s="56"/>
      <c r="ML16" s="56"/>
      <c r="MM16" s="56"/>
      <c r="MN16" s="56"/>
      <c r="MO16" s="56"/>
      <c r="MP16" s="56"/>
      <c r="MQ16" s="56"/>
      <c r="MR16" s="56"/>
      <c r="MS16" s="55"/>
      <c r="MT16" s="56"/>
      <c r="MU16" s="56"/>
      <c r="MV16" s="56"/>
      <c r="MW16" s="56"/>
      <c r="MX16" s="56"/>
      <c r="MY16" s="56"/>
      <c r="MZ16" s="56"/>
      <c r="NA16" s="56"/>
      <c r="NB16" s="56"/>
      <c r="NC16" s="56"/>
    </row>
    <row r="17" spans="5:367" ht="16.8">
      <c r="E17" s="35"/>
      <c r="F17" s="35"/>
      <c r="BI17" s="78"/>
      <c r="BZ17" s="78"/>
      <c r="DW17" s="52"/>
      <c r="IW17" s="72"/>
      <c r="IX17" s="55"/>
      <c r="JX17" s="68"/>
      <c r="JY17" s="25"/>
      <c r="KI17" s="72"/>
      <c r="KJ17" s="55"/>
      <c r="LG17" s="25"/>
      <c r="LX17" s="72"/>
      <c r="LY17" s="55"/>
      <c r="LZ17" s="55"/>
      <c r="MA17" s="56"/>
      <c r="MB17" s="55"/>
      <c r="MC17" s="55"/>
      <c r="MD17" s="55"/>
      <c r="ME17" s="56"/>
      <c r="MF17" s="56"/>
      <c r="MG17" s="55"/>
      <c r="MH17" s="56"/>
      <c r="MI17" s="56"/>
      <c r="MJ17" s="56"/>
      <c r="MK17" s="56"/>
      <c r="ML17" s="56"/>
      <c r="MM17" s="56"/>
      <c r="MN17" s="56"/>
      <c r="MO17" s="56"/>
      <c r="MP17" s="56"/>
      <c r="MQ17" s="56"/>
      <c r="MR17" s="56"/>
      <c r="MS17" s="56"/>
      <c r="MT17" s="56"/>
      <c r="MU17" s="56"/>
      <c r="MV17" s="56"/>
      <c r="MW17" s="56"/>
      <c r="MX17" s="56"/>
      <c r="MY17" s="56"/>
      <c r="MZ17" s="56"/>
      <c r="NA17" s="56"/>
      <c r="NB17" s="56"/>
      <c r="NC17" s="56"/>
    </row>
    <row r="18" spans="5:367" ht="16.8">
      <c r="E18" s="35"/>
      <c r="F18" s="35"/>
      <c r="BI18" s="78"/>
      <c r="DW18" s="52"/>
      <c r="IW18" s="72"/>
      <c r="IX18" s="55"/>
      <c r="KI18" s="72"/>
      <c r="KJ18" s="55"/>
      <c r="LG18" s="25"/>
      <c r="LX18" s="72"/>
      <c r="LY18" s="55"/>
      <c r="LZ18" s="56"/>
      <c r="MA18" s="56"/>
      <c r="MB18" s="55"/>
      <c r="MC18" s="55"/>
      <c r="MD18" s="55"/>
      <c r="ME18" s="56"/>
      <c r="MF18" s="56"/>
      <c r="MG18" s="55"/>
      <c r="MH18" s="56"/>
      <c r="MI18" s="56"/>
      <c r="MJ18" s="56"/>
      <c r="MK18" s="56"/>
      <c r="ML18" s="56"/>
      <c r="MM18" s="56"/>
      <c r="MN18" s="56"/>
      <c r="MO18" s="56"/>
      <c r="MP18" s="56"/>
      <c r="MQ18" s="56"/>
      <c r="MR18" s="56"/>
      <c r="MS18" s="56"/>
      <c r="MT18" s="56"/>
      <c r="MU18" s="56"/>
      <c r="MV18" s="56"/>
      <c r="MW18" s="56"/>
      <c r="MX18" s="56"/>
      <c r="MY18" s="56"/>
      <c r="MZ18" s="56"/>
      <c r="NA18" s="56"/>
      <c r="NB18" s="56"/>
      <c r="NC18" s="56"/>
    </row>
    <row r="19" spans="5:367" ht="16.8">
      <c r="E19" s="35"/>
      <c r="F19" s="35"/>
      <c r="DW19" s="52"/>
      <c r="IW19" s="72"/>
      <c r="IX19" s="55"/>
      <c r="KI19" s="8"/>
      <c r="KJ19" s="8"/>
      <c r="LX19" s="8"/>
      <c r="LY19" s="8"/>
      <c r="LZ19" s="8"/>
      <c r="MA19" s="8"/>
      <c r="MB19" s="8"/>
      <c r="MC19" s="8"/>
      <c r="MD19" s="8"/>
      <c r="ME19" s="8"/>
      <c r="MF19" s="8"/>
      <c r="MG19" s="8"/>
      <c r="MH19" s="8"/>
      <c r="MI19" s="8"/>
      <c r="MJ19" s="8"/>
      <c r="MK19" s="8"/>
      <c r="ML19" s="8"/>
      <c r="MM19" s="8"/>
      <c r="MN19" s="8"/>
      <c r="MO19" s="8"/>
      <c r="MP19" s="8"/>
      <c r="MQ19" s="8"/>
      <c r="MR19" s="8"/>
      <c r="MS19" s="8"/>
      <c r="MT19" s="8"/>
      <c r="MU19" s="8"/>
      <c r="MV19" s="8"/>
      <c r="MW19" s="8"/>
      <c r="MX19" s="8"/>
      <c r="MY19" s="8"/>
      <c r="MZ19" s="8"/>
      <c r="NA19" s="8"/>
      <c r="NB19" s="8"/>
      <c r="NC19" s="8"/>
    </row>
    <row r="20" spans="5:367" ht="16.8">
      <c r="E20" s="35"/>
      <c r="IW20" s="72"/>
      <c r="IX20" s="55"/>
      <c r="KI20" s="53"/>
      <c r="KJ20" s="8"/>
      <c r="LX20" s="53"/>
      <c r="LY20" s="8"/>
      <c r="LZ20" s="8"/>
      <c r="MA20" s="8"/>
      <c r="MB20" s="8"/>
      <c r="MC20" s="8"/>
      <c r="MD20" s="8"/>
      <c r="ME20" s="8"/>
      <c r="MF20" s="8"/>
      <c r="MG20" s="8"/>
      <c r="MH20" s="8"/>
      <c r="MI20" s="8"/>
      <c r="MJ20" s="8"/>
      <c r="MK20" s="8"/>
      <c r="ML20" s="8"/>
      <c r="MM20" s="8"/>
      <c r="MN20" s="8"/>
      <c r="MO20" s="8"/>
      <c r="MP20" s="8"/>
      <c r="MQ20" s="8"/>
      <c r="MR20" s="8"/>
      <c r="MS20" s="8"/>
      <c r="MT20" s="8"/>
      <c r="MU20" s="8"/>
      <c r="MV20" s="8"/>
      <c r="MW20" s="8"/>
      <c r="MX20" s="8"/>
      <c r="MY20" s="8"/>
      <c r="MZ20" s="8"/>
      <c r="NA20" s="8"/>
      <c r="NB20" s="8"/>
      <c r="NC20" s="8"/>
    </row>
    <row r="21" spans="5:367" ht="16.8">
      <c r="E21" s="35"/>
      <c r="IW21" s="72"/>
      <c r="IX21" s="55"/>
      <c r="KI21" s="57"/>
      <c r="KJ21" s="8"/>
      <c r="LX21" s="57"/>
      <c r="LY21" s="8"/>
      <c r="LZ21" s="8"/>
      <c r="MA21" s="8"/>
      <c r="MB21" s="8"/>
      <c r="MC21" s="8"/>
      <c r="MD21" s="8"/>
      <c r="ME21" s="8"/>
      <c r="MF21" s="8"/>
      <c r="MG21" s="8"/>
      <c r="MH21" s="8"/>
      <c r="MI21" s="8"/>
      <c r="MJ21" s="8"/>
      <c r="MK21" s="8"/>
      <c r="ML21" s="8"/>
      <c r="MM21" s="8"/>
      <c r="MN21" s="8"/>
      <c r="MO21" s="8"/>
      <c r="MP21" s="8"/>
      <c r="MQ21" s="8"/>
      <c r="MR21" s="8"/>
      <c r="MS21" s="8"/>
      <c r="MT21" s="8"/>
      <c r="MU21" s="8"/>
      <c r="MV21" s="8"/>
      <c r="MW21" s="8"/>
      <c r="MX21" s="8"/>
      <c r="MY21" s="8"/>
      <c r="MZ21" s="8"/>
      <c r="NA21" s="8"/>
      <c r="NB21" s="8"/>
      <c r="NC21" s="8"/>
    </row>
    <row r="22" spans="5:367" ht="16.8">
      <c r="IW22" s="72"/>
      <c r="IX22" s="55"/>
      <c r="KI22" s="57"/>
      <c r="KJ22" s="8"/>
      <c r="LX22" s="57"/>
      <c r="LY22" s="8"/>
      <c r="LZ22" s="8"/>
      <c r="MA22" s="8"/>
      <c r="MB22" s="8"/>
      <c r="MC22" s="8"/>
      <c r="MD22" s="8"/>
      <c r="ME22" s="8"/>
      <c r="MF22" s="8"/>
      <c r="MG22" s="8"/>
      <c r="MH22" s="8"/>
      <c r="MI22" s="8"/>
      <c r="MJ22" s="8"/>
      <c r="MK22" s="8"/>
      <c r="ML22" s="8"/>
      <c r="MM22" s="8"/>
      <c r="MN22" s="8"/>
      <c r="MO22" s="8"/>
      <c r="MP22" s="8"/>
      <c r="MQ22" s="8"/>
      <c r="MR22" s="8"/>
      <c r="MS22" s="8"/>
      <c r="MT22" s="8"/>
      <c r="MU22" s="8"/>
      <c r="MV22" s="8"/>
      <c r="MW22" s="8"/>
      <c r="MX22" s="8"/>
      <c r="MY22" s="8"/>
      <c r="MZ22" s="8"/>
      <c r="NA22" s="8"/>
      <c r="NB22" s="8"/>
      <c r="NC22" s="8"/>
    </row>
    <row r="23" spans="5:367" ht="16.8">
      <c r="IW23" s="72"/>
      <c r="IX23" s="55"/>
    </row>
    <row r="24" spans="5:367" ht="16.8">
      <c r="IW24" s="72"/>
      <c r="IX24" s="55"/>
    </row>
    <row r="25" spans="5:367" ht="16.8">
      <c r="IW25" s="72"/>
      <c r="IX25" s="55"/>
    </row>
    <row r="26" spans="5:367" ht="16.8">
      <c r="IW26" s="72"/>
      <c r="IX26" s="55"/>
    </row>
    <row r="27" spans="5:367">
      <c r="IW27" s="8"/>
      <c r="IX27" s="8"/>
    </row>
    <row r="28" spans="5:367">
      <c r="IW28" s="53"/>
      <c r="IX28" s="8"/>
    </row>
    <row r="29" spans="5:367">
      <c r="IW29" s="57"/>
      <c r="IX29" s="8"/>
    </row>
    <row r="30" spans="5:367">
      <c r="IW30" s="57"/>
      <c r="IX30" s="8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E044F-CC7F-4354-A092-6D823EF263EF}">
  <dimension ref="A1:NC39"/>
  <sheetViews>
    <sheetView showGridLines="0" topLeftCell="JK1" workbookViewId="0">
      <selection activeCell="JT12" sqref="JT12:JT16"/>
    </sheetView>
  </sheetViews>
  <sheetFormatPr defaultColWidth="8.88671875" defaultRowHeight="14.4"/>
  <cols>
    <col min="1" max="1" width="11.44140625" style="8" bestFit="1" customWidth="1"/>
    <col min="2" max="2" width="22.44140625" style="8" bestFit="1" customWidth="1"/>
    <col min="3" max="3" width="11.44140625" style="8" customWidth="1"/>
    <col min="4" max="4" width="11.33203125" style="8" customWidth="1"/>
    <col min="5" max="5" width="12.33203125" style="8" customWidth="1"/>
    <col min="6" max="6" width="12" style="8" customWidth="1"/>
    <col min="7" max="7" width="11.5546875" style="8" customWidth="1"/>
    <col min="8" max="9" width="11.33203125" style="8" customWidth="1"/>
    <col min="10" max="10" width="11.5546875" style="8" customWidth="1"/>
    <col min="11" max="11" width="11.44140625" style="8" customWidth="1"/>
    <col min="12" max="12" width="12.44140625" style="8" customWidth="1"/>
    <col min="13" max="13" width="12.109375" style="8" customWidth="1"/>
    <col min="14" max="14" width="11.44140625" style="8" customWidth="1"/>
    <col min="15" max="15" width="11.109375" style="8" customWidth="1"/>
    <col min="16" max="16" width="11" style="8" customWidth="1"/>
    <col min="17" max="17" width="11.44140625" style="8" customWidth="1"/>
    <col min="18" max="18" width="11.33203125" style="8" customWidth="1"/>
    <col min="19" max="19" width="12.33203125" style="8" customWidth="1"/>
    <col min="20" max="20" width="12" style="8" customWidth="1"/>
    <col min="21" max="21" width="11.44140625" style="8" customWidth="1"/>
    <col min="22" max="22" width="11.109375" style="8" customWidth="1"/>
    <col min="23" max="23" width="11" style="8" customWidth="1"/>
    <col min="24" max="24" width="11.44140625" style="8" customWidth="1"/>
    <col min="25" max="25" width="11.33203125" style="8" customWidth="1"/>
    <col min="26" max="26" width="12.33203125" style="8" customWidth="1"/>
    <col min="27" max="27" width="12" style="8" customWidth="1"/>
    <col min="28" max="28" width="11.44140625" style="8" customWidth="1"/>
    <col min="29" max="29" width="11.109375" style="8" customWidth="1"/>
    <col min="30" max="30" width="11" style="8" customWidth="1"/>
    <col min="31" max="31" width="11.44140625" style="8" customWidth="1"/>
    <col min="32" max="32" width="11.33203125" style="8" customWidth="1"/>
    <col min="33" max="33" width="12.33203125" style="8" customWidth="1"/>
    <col min="34" max="34" width="12" style="8" customWidth="1"/>
    <col min="35" max="35" width="11.44140625" style="8" customWidth="1"/>
    <col min="36" max="36" width="11.109375" style="8" customWidth="1"/>
    <col min="37" max="37" width="11" style="8" customWidth="1"/>
    <col min="38" max="38" width="11.44140625" style="8" customWidth="1"/>
    <col min="39" max="39" width="11.33203125" style="8" customWidth="1"/>
    <col min="40" max="40" width="12.33203125" style="8" customWidth="1"/>
    <col min="41" max="41" width="12" style="8" customWidth="1"/>
    <col min="42" max="42" width="11.44140625" style="8" customWidth="1"/>
    <col min="43" max="43" width="11.109375" style="8" customWidth="1"/>
    <col min="44" max="44" width="11" style="8" customWidth="1"/>
    <col min="45" max="45" width="11.44140625" style="8" customWidth="1"/>
    <col min="46" max="46" width="11.33203125" style="8" customWidth="1"/>
    <col min="47" max="47" width="12.33203125" style="8" customWidth="1"/>
    <col min="48" max="48" width="12" style="8" customWidth="1"/>
    <col min="49" max="49" width="11.44140625" style="8" customWidth="1"/>
    <col min="50" max="50" width="11.109375" style="8" customWidth="1"/>
    <col min="51" max="51" width="11" style="8" customWidth="1"/>
    <col min="52" max="52" width="11.44140625" style="8" customWidth="1"/>
    <col min="53" max="53" width="11.33203125" style="8" customWidth="1"/>
    <col min="54" max="54" width="12.33203125" style="8" customWidth="1"/>
    <col min="55" max="55" width="12" style="8" customWidth="1"/>
    <col min="56" max="56" width="11.44140625" style="8" customWidth="1"/>
    <col min="57" max="57" width="11.109375" style="8" customWidth="1"/>
    <col min="58" max="58" width="11" style="8" customWidth="1"/>
    <col min="59" max="59" width="11.44140625" style="8" customWidth="1"/>
    <col min="60" max="60" width="11.33203125" style="8" customWidth="1"/>
    <col min="61" max="61" width="12.33203125" style="8" customWidth="1"/>
    <col min="62" max="62" width="12" style="8" customWidth="1"/>
    <col min="63" max="63" width="11.44140625" style="8" customWidth="1"/>
    <col min="64" max="64" width="12.109375" style="8" customWidth="1"/>
    <col min="65" max="65" width="12" style="8" customWidth="1"/>
    <col min="66" max="66" width="12.44140625" style="8" customWidth="1"/>
    <col min="67" max="67" width="12.33203125" style="8" customWidth="1"/>
    <col min="68" max="68" width="13.44140625" style="8" customWidth="1"/>
    <col min="69" max="69" width="13.109375" style="8" customWidth="1"/>
    <col min="70" max="70" width="12.44140625" style="8" customWidth="1"/>
    <col min="71" max="71" width="12.109375" style="8" customWidth="1"/>
    <col min="72" max="72" width="12" style="8" customWidth="1"/>
    <col min="73" max="73" width="12.44140625" style="8" customWidth="1"/>
    <col min="74" max="74" width="12.33203125" style="8" customWidth="1"/>
    <col min="75" max="75" width="13.44140625" style="8" customWidth="1"/>
    <col min="76" max="76" width="13.109375" style="8" customWidth="1"/>
    <col min="77" max="77" width="12.44140625" style="8" customWidth="1"/>
    <col min="78" max="78" width="12.109375" style="8" customWidth="1"/>
    <col min="79" max="79" width="12" style="8" customWidth="1"/>
    <col min="80" max="80" width="12.44140625" style="8" customWidth="1"/>
    <col min="81" max="81" width="12.33203125" style="8" customWidth="1"/>
    <col min="82" max="82" width="13.44140625" style="8" customWidth="1"/>
    <col min="83" max="83" width="13.109375" style="8" customWidth="1"/>
    <col min="84" max="84" width="12.44140625" style="8" customWidth="1"/>
    <col min="85" max="85" width="12.109375" style="8" customWidth="1"/>
    <col min="86" max="86" width="12" style="8" customWidth="1"/>
    <col min="87" max="87" width="12.44140625" style="8" customWidth="1"/>
    <col min="88" max="88" width="12.33203125" style="8" customWidth="1"/>
    <col min="89" max="89" width="13.44140625" style="8" customWidth="1"/>
    <col min="90" max="90" width="13.109375" style="8" customWidth="1"/>
    <col min="91" max="91" width="12.44140625" style="8" customWidth="1"/>
    <col min="92" max="92" width="12.109375" style="8" customWidth="1"/>
    <col min="93" max="93" width="12" style="8" customWidth="1"/>
    <col min="94" max="94" width="12.44140625" style="8" customWidth="1"/>
    <col min="95" max="95" width="12.33203125" style="8" customWidth="1"/>
    <col min="96" max="96" width="13.44140625" style="8" customWidth="1"/>
    <col min="97" max="97" width="13.109375" style="8" customWidth="1"/>
    <col min="98" max="98" width="12.44140625" style="8" customWidth="1"/>
    <col min="99" max="99" width="12.109375" style="8" customWidth="1"/>
    <col min="100" max="100" width="12" style="8" customWidth="1"/>
    <col min="101" max="101" width="12.44140625" style="8" customWidth="1"/>
    <col min="102" max="102" width="12.33203125" style="8" customWidth="1"/>
    <col min="103" max="103" width="13.44140625" style="8" customWidth="1"/>
    <col min="104" max="104" width="13.109375" style="8" customWidth="1"/>
    <col min="105" max="105" width="12.44140625" style="8" customWidth="1"/>
    <col min="106" max="106" width="12.109375" style="8" customWidth="1"/>
    <col min="107" max="107" width="12" style="8" customWidth="1"/>
    <col min="108" max="108" width="12.44140625" style="8" customWidth="1"/>
    <col min="109" max="109" width="12.33203125" style="8" customWidth="1"/>
    <col min="110" max="110" width="13.44140625" style="8" customWidth="1"/>
    <col min="111" max="111" width="13.109375" style="8" customWidth="1"/>
    <col min="112" max="112" width="12.44140625" style="8" customWidth="1"/>
    <col min="113" max="113" width="12.109375" style="8" customWidth="1"/>
    <col min="114" max="114" width="12" style="8" customWidth="1"/>
    <col min="115" max="115" width="12.44140625" style="8" customWidth="1"/>
    <col min="116" max="116" width="12.33203125" style="8" customWidth="1"/>
    <col min="117" max="117" width="13.44140625" style="8" customWidth="1"/>
    <col min="118" max="118" width="13.109375" style="8" customWidth="1"/>
    <col min="119" max="119" width="12.44140625" style="8" customWidth="1"/>
    <col min="120" max="120" width="12.109375" style="8" customWidth="1"/>
    <col min="121" max="121" width="12" style="8" customWidth="1"/>
    <col min="122" max="122" width="12.44140625" style="8" customWidth="1"/>
    <col min="123" max="123" width="12.33203125" style="8" customWidth="1"/>
    <col min="124" max="124" width="13.44140625" style="8" customWidth="1"/>
    <col min="125" max="125" width="13.109375" style="8" customWidth="1"/>
    <col min="126" max="126" width="12.44140625" style="8" customWidth="1"/>
    <col min="127" max="127" width="12.109375" style="8" customWidth="1"/>
    <col min="128" max="128" width="12" style="8" customWidth="1"/>
    <col min="129" max="129" width="12.44140625" style="8" customWidth="1"/>
    <col min="130" max="130" width="12.33203125" style="8" customWidth="1"/>
    <col min="131" max="131" width="13.44140625" style="8" customWidth="1"/>
    <col min="132" max="132" width="13.109375" style="8" customWidth="1"/>
    <col min="133" max="133" width="12.44140625" style="8" customWidth="1"/>
    <col min="134" max="134" width="12.109375" style="8" customWidth="1"/>
    <col min="135" max="135" width="12" style="8" customWidth="1"/>
    <col min="136" max="136" width="12.44140625" style="8" customWidth="1"/>
    <col min="137" max="137" width="12.33203125" style="8" customWidth="1"/>
    <col min="138" max="138" width="13.44140625" style="8" customWidth="1"/>
    <col min="139" max="139" width="13.109375" style="8" customWidth="1"/>
    <col min="140" max="140" width="12.44140625" style="8" customWidth="1"/>
    <col min="141" max="141" width="12.109375" style="8" customWidth="1"/>
    <col min="142" max="142" width="12" style="8" customWidth="1"/>
    <col min="143" max="143" width="12.44140625" style="8" customWidth="1"/>
    <col min="144" max="144" width="12.33203125" style="8" customWidth="1"/>
    <col min="145" max="145" width="13.44140625" style="8" customWidth="1"/>
    <col min="146" max="146" width="13.109375" style="8" customWidth="1"/>
    <col min="147" max="147" width="12.44140625" style="8" customWidth="1"/>
    <col min="148" max="148" width="12.109375" style="8" customWidth="1"/>
    <col min="149" max="149" width="12" style="8" customWidth="1"/>
    <col min="150" max="150" width="12.44140625" style="8" customWidth="1"/>
    <col min="151" max="151" width="12.33203125" style="8" customWidth="1"/>
    <col min="152" max="152" width="13.44140625" style="8" customWidth="1"/>
    <col min="153" max="153" width="13.109375" style="8" customWidth="1"/>
    <col min="154" max="154" width="12.44140625" style="8" customWidth="1"/>
    <col min="155" max="155" width="12.109375" style="8" customWidth="1"/>
    <col min="156" max="156" width="12" style="8" customWidth="1"/>
    <col min="157" max="157" width="12.44140625" style="8" customWidth="1"/>
    <col min="158" max="158" width="12.33203125" style="8" customWidth="1"/>
    <col min="159" max="159" width="13.44140625" style="8" customWidth="1"/>
    <col min="160" max="160" width="13.109375" style="8" customWidth="1"/>
    <col min="161" max="161" width="12.44140625" style="8" customWidth="1"/>
    <col min="162" max="162" width="12.109375" style="8" customWidth="1"/>
    <col min="163" max="163" width="12" style="8" customWidth="1"/>
    <col min="164" max="164" width="12.44140625" style="8" customWidth="1"/>
    <col min="165" max="165" width="12.33203125" style="8" customWidth="1"/>
    <col min="166" max="166" width="13.44140625" style="8" customWidth="1"/>
    <col min="167" max="167" width="13.109375" style="8" customWidth="1"/>
    <col min="168" max="168" width="12.44140625" style="8" customWidth="1"/>
    <col min="169" max="169" width="12.109375" style="8" customWidth="1"/>
    <col min="170" max="170" width="12" style="8" customWidth="1"/>
    <col min="171" max="171" width="12.44140625" style="8" customWidth="1"/>
    <col min="172" max="172" width="12.33203125" style="8" customWidth="1"/>
    <col min="173" max="173" width="13.44140625" style="8" customWidth="1"/>
    <col min="174" max="174" width="13.109375" style="8" customWidth="1"/>
    <col min="175" max="175" width="12.44140625" style="8" customWidth="1"/>
    <col min="176" max="176" width="12.109375" style="8" customWidth="1"/>
    <col min="177" max="177" width="12" style="8" customWidth="1"/>
    <col min="178" max="178" width="12.44140625" style="8" customWidth="1"/>
    <col min="179" max="179" width="12.33203125" style="8" customWidth="1"/>
    <col min="180" max="180" width="13.44140625" style="8" customWidth="1"/>
    <col min="181" max="181" width="13.109375" style="8" customWidth="1"/>
    <col min="182" max="182" width="12.44140625" style="8" customWidth="1"/>
    <col min="183" max="183" width="12.109375" style="8" customWidth="1"/>
    <col min="184" max="184" width="12" style="8" customWidth="1"/>
    <col min="185" max="185" width="12.44140625" style="8" customWidth="1"/>
    <col min="186" max="186" width="12.33203125" style="8" customWidth="1"/>
    <col min="187" max="187" width="13.44140625" style="8" customWidth="1"/>
    <col min="188" max="188" width="13.109375" style="8" customWidth="1"/>
    <col min="189" max="189" width="12.44140625" style="8" customWidth="1"/>
    <col min="190" max="190" width="12.109375" style="8" customWidth="1"/>
    <col min="191" max="191" width="12" style="8" customWidth="1"/>
    <col min="192" max="192" width="12.44140625" style="8" customWidth="1"/>
    <col min="193" max="193" width="12.33203125" style="8" customWidth="1"/>
    <col min="194" max="194" width="13.44140625" style="8" customWidth="1"/>
    <col min="195" max="195" width="13.109375" style="8" customWidth="1"/>
    <col min="196" max="196" width="12.44140625" style="8" customWidth="1"/>
    <col min="197" max="197" width="12.109375" style="8" customWidth="1"/>
    <col min="198" max="198" width="12" style="8" customWidth="1"/>
    <col min="199" max="199" width="12.44140625" style="8" customWidth="1"/>
    <col min="200" max="200" width="12.33203125" style="8" customWidth="1"/>
    <col min="201" max="201" width="13.44140625" style="8" customWidth="1"/>
    <col min="202" max="202" width="13.109375" style="8" customWidth="1"/>
    <col min="203" max="203" width="12.44140625" style="8" customWidth="1"/>
    <col min="204" max="204" width="12.109375" style="8" customWidth="1"/>
    <col min="205" max="205" width="12" style="8" customWidth="1"/>
    <col min="206" max="206" width="12.44140625" style="8" customWidth="1"/>
    <col min="207" max="207" width="12.33203125" style="8" customWidth="1"/>
    <col min="208" max="208" width="13.44140625" style="8" customWidth="1"/>
    <col min="209" max="209" width="13.109375" style="8" customWidth="1"/>
    <col min="210" max="210" width="12.44140625" style="8" customWidth="1"/>
    <col min="211" max="211" width="12.109375" style="8" customWidth="1"/>
    <col min="212" max="212" width="12" style="8" customWidth="1"/>
    <col min="213" max="213" width="12.44140625" style="8" customWidth="1"/>
    <col min="214" max="214" width="12.33203125" style="8" customWidth="1"/>
    <col min="215" max="215" width="13.44140625" style="8" customWidth="1"/>
    <col min="216" max="216" width="13.109375" style="8" customWidth="1"/>
    <col min="217" max="217" width="12.44140625" style="8" customWidth="1"/>
    <col min="218" max="218" width="12.109375" style="8" customWidth="1"/>
    <col min="219" max="219" width="12" style="8" customWidth="1"/>
    <col min="220" max="220" width="12.44140625" style="8" customWidth="1"/>
    <col min="221" max="221" width="12.33203125" style="8" customWidth="1"/>
    <col min="222" max="222" width="13.44140625" style="8" customWidth="1"/>
    <col min="223" max="223" width="13.109375" style="8" customWidth="1"/>
    <col min="224" max="224" width="12.44140625" style="8" customWidth="1"/>
    <col min="225" max="225" width="12.109375" style="8" customWidth="1"/>
    <col min="226" max="226" width="12" style="8" customWidth="1"/>
    <col min="227" max="227" width="12.44140625" style="8" customWidth="1"/>
    <col min="228" max="228" width="12.33203125" style="8" customWidth="1"/>
    <col min="229" max="229" width="13.44140625" style="8" customWidth="1"/>
    <col min="230" max="230" width="13.109375" style="8" customWidth="1"/>
    <col min="231" max="231" width="12.44140625" style="8" customWidth="1"/>
    <col min="232" max="232" width="12.109375" style="8" customWidth="1"/>
    <col min="233" max="233" width="12" style="8" customWidth="1"/>
    <col min="234" max="234" width="12.44140625" style="8" customWidth="1"/>
    <col min="235" max="235" width="12.33203125" style="8" customWidth="1"/>
    <col min="236" max="236" width="13.44140625" style="8" customWidth="1"/>
    <col min="237" max="237" width="13.109375" style="8" customWidth="1"/>
    <col min="238" max="238" width="12.44140625" style="8" customWidth="1"/>
    <col min="239" max="239" width="12.109375" style="8" customWidth="1"/>
    <col min="240" max="240" width="12" style="8" customWidth="1"/>
    <col min="241" max="241" width="12.44140625" style="8" customWidth="1"/>
    <col min="242" max="242" width="12.33203125" style="8" customWidth="1"/>
    <col min="243" max="243" width="13.44140625" style="8" customWidth="1"/>
    <col min="244" max="244" width="13.109375" style="8" customWidth="1"/>
    <col min="245" max="245" width="12.44140625" style="8" customWidth="1"/>
    <col min="246" max="246" width="12.109375" style="8" customWidth="1"/>
    <col min="247" max="247" width="12" style="8" customWidth="1"/>
    <col min="248" max="248" width="12.44140625" style="8" customWidth="1"/>
    <col min="249" max="249" width="12.33203125" style="8" customWidth="1"/>
    <col min="250" max="250" width="13.44140625" style="8" customWidth="1"/>
    <col min="251" max="251" width="13.109375" style="8" customWidth="1"/>
    <col min="252" max="252" width="12.44140625" style="8" customWidth="1"/>
    <col min="253" max="253" width="12.109375" style="8" customWidth="1"/>
    <col min="254" max="254" width="12" style="8" customWidth="1"/>
    <col min="255" max="255" width="12.44140625" style="8" customWidth="1"/>
    <col min="256" max="256" width="12.33203125" style="8" customWidth="1"/>
    <col min="257" max="257" width="13.44140625" style="8" customWidth="1"/>
    <col min="258" max="258" width="13.109375" style="8" customWidth="1"/>
    <col min="259" max="259" width="12.44140625" style="8" customWidth="1"/>
    <col min="260" max="260" width="12.109375" style="8" customWidth="1"/>
    <col min="261" max="261" width="12" style="8" customWidth="1"/>
    <col min="262" max="262" width="12.44140625" style="8" customWidth="1"/>
    <col min="263" max="263" width="12.33203125" style="8" customWidth="1"/>
    <col min="264" max="264" width="13.44140625" style="8" customWidth="1"/>
    <col min="265" max="265" width="13.109375" style="8" customWidth="1"/>
    <col min="266" max="266" width="12.44140625" style="8" customWidth="1"/>
    <col min="267" max="267" width="12.109375" style="8" customWidth="1"/>
    <col min="268" max="268" width="12" style="8" customWidth="1"/>
    <col min="269" max="269" width="12.44140625" style="8" customWidth="1"/>
    <col min="270" max="270" width="12.33203125" style="8" customWidth="1"/>
    <col min="271" max="271" width="13.44140625" style="8" customWidth="1"/>
    <col min="272" max="272" width="13.109375" style="8" customWidth="1"/>
    <col min="273" max="273" width="12.44140625" style="8" customWidth="1"/>
    <col min="274" max="274" width="12.109375" style="8" customWidth="1"/>
    <col min="275" max="275" width="12" style="8" customWidth="1"/>
    <col min="276" max="276" width="12.44140625" style="8" customWidth="1"/>
    <col min="277" max="277" width="12.33203125" style="8" customWidth="1"/>
    <col min="278" max="278" width="13.44140625" style="8" customWidth="1"/>
    <col min="279" max="279" width="13.109375" style="8" customWidth="1"/>
    <col min="280" max="280" width="12.44140625" style="8" customWidth="1"/>
    <col min="281" max="281" width="12.109375" style="8" customWidth="1"/>
    <col min="282" max="282" width="12" style="8" customWidth="1"/>
    <col min="283" max="283" width="12.44140625" style="8" customWidth="1"/>
    <col min="284" max="284" width="12.33203125" style="8" customWidth="1"/>
    <col min="285" max="285" width="13.44140625" style="8" customWidth="1"/>
    <col min="286" max="286" width="13.109375" style="8" customWidth="1"/>
    <col min="287" max="287" width="12.44140625" style="8" customWidth="1"/>
    <col min="288" max="288" width="12.109375" style="8" customWidth="1"/>
    <col min="289" max="289" width="12" style="8" customWidth="1"/>
    <col min="290" max="290" width="12.44140625" style="8" customWidth="1"/>
    <col min="291" max="291" width="12.33203125" style="8" customWidth="1"/>
    <col min="292" max="292" width="13.44140625" style="8" customWidth="1"/>
    <col min="293" max="293" width="13.109375" style="8" customWidth="1"/>
    <col min="294" max="294" width="12.44140625" style="8" customWidth="1"/>
    <col min="295" max="295" width="12.109375" style="8" customWidth="1"/>
    <col min="296" max="296" width="12" style="8" customWidth="1"/>
    <col min="297" max="297" width="12.44140625" style="8" customWidth="1"/>
    <col min="298" max="298" width="12.33203125" style="8" customWidth="1"/>
    <col min="299" max="299" width="13.44140625" style="8" customWidth="1"/>
    <col min="300" max="300" width="13.109375" style="8" customWidth="1"/>
    <col min="301" max="301" width="12.44140625" style="8" customWidth="1"/>
    <col min="302" max="302" width="12.109375" style="8" customWidth="1"/>
    <col min="303" max="303" width="12" style="8" customWidth="1"/>
    <col min="304" max="304" width="12.44140625" style="8" customWidth="1"/>
    <col min="305" max="305" width="12.33203125" style="8" customWidth="1"/>
    <col min="306" max="306" width="13.44140625" style="8" customWidth="1"/>
    <col min="307" max="307" width="13.109375" style="8" customWidth="1"/>
    <col min="308" max="308" width="12.44140625" style="8" customWidth="1"/>
    <col min="309" max="309" width="12.109375" style="8" customWidth="1"/>
    <col min="310" max="310" width="12" style="8" customWidth="1"/>
    <col min="311" max="311" width="12.44140625" style="8" customWidth="1"/>
    <col min="312" max="312" width="12.33203125" style="8" customWidth="1"/>
    <col min="313" max="313" width="13.44140625" style="8" customWidth="1"/>
    <col min="314" max="314" width="13.109375" style="8" customWidth="1"/>
    <col min="315" max="315" width="12.44140625" style="8" customWidth="1"/>
    <col min="316" max="316" width="12.109375" style="8" customWidth="1"/>
    <col min="317" max="317" width="12" style="8" customWidth="1"/>
    <col min="318" max="318" width="12.44140625" style="8" customWidth="1"/>
    <col min="319" max="319" width="12.33203125" style="8" customWidth="1"/>
    <col min="320" max="320" width="13.44140625" style="8" customWidth="1"/>
    <col min="321" max="321" width="13.109375" style="8" customWidth="1"/>
    <col min="322" max="322" width="12.44140625" style="8" customWidth="1"/>
    <col min="323" max="323" width="12.109375" style="8" customWidth="1"/>
    <col min="324" max="324" width="12" style="8" customWidth="1"/>
    <col min="325" max="325" width="12.44140625" style="8" customWidth="1"/>
    <col min="326" max="326" width="12.33203125" style="8" customWidth="1"/>
    <col min="327" max="327" width="13.44140625" style="8" customWidth="1"/>
    <col min="328" max="328" width="13.109375" style="8" customWidth="1"/>
    <col min="329" max="329" width="12.44140625" style="8" customWidth="1"/>
    <col min="330" max="330" width="12.109375" style="8" customWidth="1"/>
    <col min="331" max="331" width="12" style="8" customWidth="1"/>
    <col min="332" max="332" width="12.44140625" style="8" customWidth="1"/>
    <col min="333" max="333" width="12.33203125" style="8" customWidth="1"/>
    <col min="334" max="334" width="13.44140625" style="8" customWidth="1"/>
    <col min="335" max="335" width="13.109375" style="8" customWidth="1"/>
    <col min="336" max="336" width="12.44140625" style="8" customWidth="1"/>
    <col min="337" max="337" width="12.109375" style="8" customWidth="1"/>
    <col min="338" max="338" width="12" style="8" customWidth="1"/>
    <col min="339" max="339" width="12.44140625" style="8" customWidth="1"/>
    <col min="340" max="340" width="12.33203125" style="8" customWidth="1"/>
    <col min="341" max="341" width="13.44140625" style="8" customWidth="1"/>
    <col min="342" max="342" width="13.109375" style="8" customWidth="1"/>
    <col min="343" max="343" width="12.44140625" style="8" customWidth="1"/>
    <col min="344" max="344" width="12.109375" style="8" customWidth="1"/>
    <col min="345" max="345" width="12" style="8" customWidth="1"/>
    <col min="346" max="346" width="12.44140625" style="8" customWidth="1"/>
    <col min="347" max="347" width="12.33203125" style="8" customWidth="1"/>
    <col min="348" max="348" width="13.44140625" style="8" customWidth="1"/>
    <col min="349" max="349" width="13.109375" style="8" customWidth="1"/>
    <col min="350" max="350" width="12.44140625" style="8" customWidth="1"/>
    <col min="351" max="351" width="12.109375" style="8" bestFit="1" customWidth="1"/>
    <col min="352" max="352" width="12" style="8" bestFit="1" customWidth="1"/>
    <col min="353" max="353" width="12.44140625" style="8" bestFit="1" customWidth="1"/>
    <col min="354" max="354" width="12.33203125" style="8" bestFit="1" customWidth="1"/>
    <col min="355" max="355" width="13.44140625" style="8" bestFit="1" customWidth="1"/>
    <col min="356" max="356" width="13.109375" style="8" bestFit="1" customWidth="1"/>
    <col min="357" max="357" width="12.44140625" style="8" bestFit="1" customWidth="1"/>
    <col min="358" max="358" width="12.109375" style="8" bestFit="1" customWidth="1"/>
    <col min="359" max="359" width="12" style="8" bestFit="1" customWidth="1"/>
    <col min="360" max="360" width="12.44140625" style="8" bestFit="1" customWidth="1"/>
    <col min="361" max="361" width="12.33203125" style="8" bestFit="1" customWidth="1"/>
    <col min="362" max="362" width="13.44140625" style="8" bestFit="1" customWidth="1"/>
    <col min="363" max="363" width="13.109375" style="8" bestFit="1" customWidth="1"/>
    <col min="364" max="364" width="12.44140625" style="8" bestFit="1" customWidth="1"/>
    <col min="365" max="366" width="11.33203125" style="8" bestFit="1" customWidth="1"/>
    <col min="367" max="367" width="11.5546875" style="8" bestFit="1" customWidth="1"/>
    <col min="368" max="368" width="9" style="8" bestFit="1" customWidth="1"/>
    <col min="369" max="370" width="11.33203125" style="8" bestFit="1" customWidth="1"/>
    <col min="371" max="371" width="9" style="8" bestFit="1" customWidth="1"/>
    <col min="372" max="16384" width="8.88671875" style="8"/>
  </cols>
  <sheetData>
    <row r="1" spans="1:367">
      <c r="A1" s="10" t="s">
        <v>57</v>
      </c>
      <c r="B1" s="10" t="s">
        <v>56</v>
      </c>
      <c r="C1" s="11">
        <v>45658</v>
      </c>
      <c r="D1" s="11">
        <v>45659</v>
      </c>
      <c r="E1" s="11">
        <v>45660</v>
      </c>
      <c r="F1" s="11">
        <v>45661</v>
      </c>
      <c r="G1" s="11">
        <v>45662</v>
      </c>
      <c r="H1" s="11">
        <v>45663</v>
      </c>
      <c r="I1" s="11">
        <v>45664</v>
      </c>
      <c r="J1" s="11">
        <v>45665</v>
      </c>
      <c r="K1" s="11">
        <v>45666</v>
      </c>
      <c r="L1" s="11">
        <v>45667</v>
      </c>
      <c r="M1" s="11">
        <v>45668</v>
      </c>
      <c r="N1" s="11">
        <v>45669</v>
      </c>
      <c r="O1" s="11">
        <v>45670</v>
      </c>
      <c r="P1" s="11">
        <v>45671</v>
      </c>
      <c r="Q1" s="11">
        <v>45672</v>
      </c>
      <c r="R1" s="11">
        <v>45673</v>
      </c>
      <c r="S1" s="11">
        <v>45674</v>
      </c>
      <c r="T1" s="11">
        <v>45675</v>
      </c>
      <c r="U1" s="11">
        <v>45676</v>
      </c>
      <c r="V1" s="11">
        <v>45677</v>
      </c>
      <c r="W1" s="11">
        <v>45678</v>
      </c>
      <c r="X1" s="11">
        <v>45679</v>
      </c>
      <c r="Y1" s="11">
        <v>45680</v>
      </c>
      <c r="Z1" s="11">
        <v>45681</v>
      </c>
      <c r="AA1" s="11">
        <v>45682</v>
      </c>
      <c r="AB1" s="11">
        <v>45683</v>
      </c>
      <c r="AC1" s="11">
        <v>45684</v>
      </c>
      <c r="AD1" s="11">
        <v>45685</v>
      </c>
      <c r="AE1" s="11">
        <v>45686</v>
      </c>
      <c r="AF1" s="11">
        <v>45687</v>
      </c>
      <c r="AG1" s="11">
        <v>45688</v>
      </c>
      <c r="AH1" s="11">
        <v>45689</v>
      </c>
      <c r="AI1" s="11">
        <v>45690</v>
      </c>
      <c r="AJ1" s="11">
        <v>45691</v>
      </c>
      <c r="AK1" s="11">
        <v>45692</v>
      </c>
      <c r="AL1" s="11">
        <v>45693</v>
      </c>
      <c r="AM1" s="11">
        <v>45694</v>
      </c>
      <c r="AN1" s="11">
        <v>45695</v>
      </c>
      <c r="AO1" s="11">
        <v>45696</v>
      </c>
      <c r="AP1" s="11">
        <v>45697</v>
      </c>
      <c r="AQ1" s="11">
        <v>45698</v>
      </c>
      <c r="AR1" s="11">
        <v>45699</v>
      </c>
      <c r="AS1" s="11">
        <v>45700</v>
      </c>
      <c r="AT1" s="11">
        <v>45701</v>
      </c>
      <c r="AU1" s="11">
        <v>45702</v>
      </c>
      <c r="AV1" s="11">
        <v>45703</v>
      </c>
      <c r="AW1" s="11">
        <v>45704</v>
      </c>
      <c r="AX1" s="11">
        <v>45705</v>
      </c>
      <c r="AY1" s="11">
        <v>45706</v>
      </c>
      <c r="AZ1" s="11">
        <v>45707</v>
      </c>
      <c r="BA1" s="11">
        <v>45708</v>
      </c>
      <c r="BB1" s="11">
        <v>45709</v>
      </c>
      <c r="BC1" s="11">
        <v>45710</v>
      </c>
      <c r="BD1" s="11">
        <v>45711</v>
      </c>
      <c r="BE1" s="11">
        <v>45712</v>
      </c>
      <c r="BF1" s="11">
        <v>45713</v>
      </c>
      <c r="BG1" s="11">
        <v>45714</v>
      </c>
      <c r="BH1" s="11">
        <v>45715</v>
      </c>
      <c r="BI1" s="11">
        <v>45716</v>
      </c>
      <c r="BJ1" s="11">
        <v>45717</v>
      </c>
      <c r="BK1" s="11">
        <v>45718</v>
      </c>
      <c r="BL1" s="11">
        <v>45719</v>
      </c>
      <c r="BM1" s="11">
        <v>45720</v>
      </c>
      <c r="BN1" s="11">
        <v>45721</v>
      </c>
      <c r="BO1" s="11">
        <v>45722</v>
      </c>
      <c r="BP1" s="11">
        <v>45723</v>
      </c>
      <c r="BQ1" s="11">
        <v>45724</v>
      </c>
      <c r="BR1" s="11">
        <v>45725</v>
      </c>
      <c r="BS1" s="11">
        <v>45726</v>
      </c>
      <c r="BT1" s="11">
        <v>45727</v>
      </c>
      <c r="BU1" s="11">
        <v>45728</v>
      </c>
      <c r="BV1" s="11">
        <v>45729</v>
      </c>
      <c r="BW1" s="11">
        <v>45730</v>
      </c>
      <c r="BX1" s="11">
        <v>45731</v>
      </c>
      <c r="BY1" s="11">
        <v>45732</v>
      </c>
      <c r="BZ1" s="11">
        <v>45733</v>
      </c>
      <c r="CA1" s="11">
        <v>45734</v>
      </c>
      <c r="CB1" s="11">
        <v>45735</v>
      </c>
      <c r="CC1" s="11">
        <v>45736</v>
      </c>
      <c r="CD1" s="11">
        <v>45737</v>
      </c>
      <c r="CE1" s="11">
        <v>45738</v>
      </c>
      <c r="CF1" s="11">
        <v>45739</v>
      </c>
      <c r="CG1" s="11">
        <v>45740</v>
      </c>
      <c r="CH1" s="11">
        <v>45741</v>
      </c>
      <c r="CI1" s="11">
        <v>45742</v>
      </c>
      <c r="CJ1" s="11">
        <v>45743</v>
      </c>
      <c r="CK1" s="11">
        <v>45744</v>
      </c>
      <c r="CL1" s="11">
        <v>45745</v>
      </c>
      <c r="CM1" s="11">
        <v>45746</v>
      </c>
      <c r="CN1" s="11">
        <v>45747</v>
      </c>
      <c r="CO1" s="11">
        <v>45748</v>
      </c>
      <c r="CP1" s="11">
        <v>45749</v>
      </c>
      <c r="CQ1" s="11">
        <v>45750</v>
      </c>
      <c r="CR1" s="11">
        <v>45751</v>
      </c>
      <c r="CS1" s="11">
        <v>45752</v>
      </c>
      <c r="CT1" s="11">
        <v>45753</v>
      </c>
      <c r="CU1" s="11">
        <v>45754</v>
      </c>
      <c r="CV1" s="11">
        <v>45755</v>
      </c>
      <c r="CW1" s="11">
        <v>45756</v>
      </c>
      <c r="CX1" s="11">
        <v>45757</v>
      </c>
      <c r="CY1" s="11">
        <v>45758</v>
      </c>
      <c r="CZ1" s="11">
        <v>45759</v>
      </c>
      <c r="DA1" s="11">
        <v>45760</v>
      </c>
      <c r="DB1" s="11">
        <v>45761</v>
      </c>
      <c r="DC1" s="11">
        <v>45762</v>
      </c>
      <c r="DD1" s="11">
        <v>45763</v>
      </c>
      <c r="DE1" s="11">
        <v>45764</v>
      </c>
      <c r="DF1" s="11">
        <v>45765</v>
      </c>
      <c r="DG1" s="11">
        <v>45766</v>
      </c>
      <c r="DH1" s="11">
        <v>45767</v>
      </c>
      <c r="DI1" s="11">
        <v>45768</v>
      </c>
      <c r="DJ1" s="11">
        <v>45769</v>
      </c>
      <c r="DK1" s="11">
        <v>45770</v>
      </c>
      <c r="DL1" s="11">
        <v>45771</v>
      </c>
      <c r="DM1" s="11">
        <v>45772</v>
      </c>
      <c r="DN1" s="11">
        <v>45773</v>
      </c>
      <c r="DO1" s="11">
        <v>45774</v>
      </c>
      <c r="DP1" s="11">
        <v>45775</v>
      </c>
      <c r="DQ1" s="11">
        <v>45776</v>
      </c>
      <c r="DR1" s="11">
        <v>45777</v>
      </c>
      <c r="DS1" s="11">
        <v>45778</v>
      </c>
      <c r="DT1" s="11">
        <v>45779</v>
      </c>
      <c r="DU1" s="11">
        <v>45780</v>
      </c>
      <c r="DV1" s="11">
        <v>45781</v>
      </c>
      <c r="DW1" s="11">
        <v>45782</v>
      </c>
      <c r="DX1" s="11">
        <v>45783</v>
      </c>
      <c r="DY1" s="11">
        <v>45784</v>
      </c>
      <c r="DZ1" s="11">
        <v>45785</v>
      </c>
      <c r="EA1" s="11">
        <v>45786</v>
      </c>
      <c r="EB1" s="11">
        <v>45787</v>
      </c>
      <c r="EC1" s="11">
        <v>45788</v>
      </c>
      <c r="ED1" s="11">
        <v>45789</v>
      </c>
      <c r="EE1" s="11">
        <v>45790</v>
      </c>
      <c r="EF1" s="11">
        <v>45791</v>
      </c>
      <c r="EG1" s="11">
        <v>45792</v>
      </c>
      <c r="EH1" s="11">
        <v>45793</v>
      </c>
      <c r="EI1" s="11">
        <v>45794</v>
      </c>
      <c r="EJ1" s="11">
        <v>45795</v>
      </c>
      <c r="EK1" s="11">
        <v>45796</v>
      </c>
      <c r="EL1" s="11">
        <v>45797</v>
      </c>
      <c r="EM1" s="11">
        <v>45798</v>
      </c>
      <c r="EN1" s="11">
        <v>45799</v>
      </c>
      <c r="EO1" s="11">
        <v>45800</v>
      </c>
      <c r="EP1" s="11">
        <v>45801</v>
      </c>
      <c r="EQ1" s="11">
        <v>45802</v>
      </c>
      <c r="ER1" s="11">
        <v>45803</v>
      </c>
      <c r="ES1" s="11">
        <v>45804</v>
      </c>
      <c r="ET1" s="11">
        <v>45805</v>
      </c>
      <c r="EU1" s="11">
        <v>45806</v>
      </c>
      <c r="EV1" s="11">
        <v>45807</v>
      </c>
      <c r="EW1" s="11">
        <v>45808</v>
      </c>
      <c r="EX1" s="11">
        <v>45809</v>
      </c>
      <c r="EY1" s="11">
        <v>45810</v>
      </c>
      <c r="EZ1" s="11">
        <v>45811</v>
      </c>
      <c r="FA1" s="11">
        <v>45812</v>
      </c>
      <c r="FB1" s="11">
        <v>45813</v>
      </c>
      <c r="FC1" s="11">
        <v>45814</v>
      </c>
      <c r="FD1" s="11">
        <v>45815</v>
      </c>
      <c r="FE1" s="11">
        <v>45816</v>
      </c>
      <c r="FF1" s="11">
        <v>45817</v>
      </c>
      <c r="FG1" s="11">
        <v>45818</v>
      </c>
      <c r="FH1" s="11">
        <v>45819</v>
      </c>
      <c r="FI1" s="11">
        <v>45820</v>
      </c>
      <c r="FJ1" s="11">
        <v>45821</v>
      </c>
      <c r="FK1" s="11">
        <v>45822</v>
      </c>
      <c r="FL1" s="11">
        <v>45823</v>
      </c>
      <c r="FM1" s="11">
        <v>45824</v>
      </c>
      <c r="FN1" s="11">
        <v>45825</v>
      </c>
      <c r="FO1" s="11">
        <v>45826</v>
      </c>
      <c r="FP1" s="11">
        <v>45827</v>
      </c>
      <c r="FQ1" s="11">
        <v>45828</v>
      </c>
      <c r="FR1" s="11">
        <v>45829</v>
      </c>
      <c r="FS1" s="11">
        <v>45830</v>
      </c>
      <c r="FT1" s="11">
        <v>45831</v>
      </c>
      <c r="FU1" s="11">
        <v>45832</v>
      </c>
      <c r="FV1" s="11">
        <v>45833</v>
      </c>
      <c r="FW1" s="11">
        <v>45834</v>
      </c>
      <c r="FX1" s="11">
        <v>45835</v>
      </c>
      <c r="FY1" s="11">
        <v>45836</v>
      </c>
      <c r="FZ1" s="11">
        <v>45837</v>
      </c>
      <c r="GA1" s="11">
        <v>45838</v>
      </c>
      <c r="GB1" s="11">
        <v>45839</v>
      </c>
      <c r="GC1" s="11">
        <v>45840</v>
      </c>
      <c r="GD1" s="11">
        <v>45841</v>
      </c>
      <c r="GE1" s="11">
        <v>45842</v>
      </c>
      <c r="GF1" s="11">
        <v>45843</v>
      </c>
      <c r="GG1" s="11">
        <v>45844</v>
      </c>
      <c r="GH1" s="11">
        <v>45845</v>
      </c>
      <c r="GI1" s="11">
        <v>45846</v>
      </c>
      <c r="GJ1" s="11">
        <v>45847</v>
      </c>
      <c r="GK1" s="11">
        <v>45848</v>
      </c>
      <c r="GL1" s="11">
        <v>45849</v>
      </c>
      <c r="GM1" s="11">
        <v>45850</v>
      </c>
      <c r="GN1" s="11">
        <v>45851</v>
      </c>
      <c r="GO1" s="11">
        <v>45852</v>
      </c>
      <c r="GP1" s="11">
        <v>45853</v>
      </c>
      <c r="GQ1" s="11">
        <v>45854</v>
      </c>
      <c r="GR1" s="11">
        <v>45855</v>
      </c>
      <c r="GS1" s="11">
        <v>45856</v>
      </c>
      <c r="GT1" s="11">
        <v>45857</v>
      </c>
      <c r="GU1" s="11">
        <v>45858</v>
      </c>
      <c r="GV1" s="11">
        <v>45859</v>
      </c>
      <c r="GW1" s="11">
        <v>45860</v>
      </c>
      <c r="GX1" s="11">
        <v>45861</v>
      </c>
      <c r="GY1" s="11">
        <v>45862</v>
      </c>
      <c r="GZ1" s="11">
        <v>45863</v>
      </c>
      <c r="HA1" s="11">
        <v>45864</v>
      </c>
      <c r="HB1" s="11">
        <v>45865</v>
      </c>
      <c r="HC1" s="11">
        <v>45866</v>
      </c>
      <c r="HD1" s="11">
        <v>45867</v>
      </c>
      <c r="HE1" s="11">
        <v>45868</v>
      </c>
      <c r="HF1" s="11">
        <v>45869</v>
      </c>
      <c r="HG1" s="11">
        <v>45870</v>
      </c>
      <c r="HH1" s="11">
        <v>45871</v>
      </c>
      <c r="HI1" s="11">
        <v>45872</v>
      </c>
      <c r="HJ1" s="11">
        <v>45873</v>
      </c>
      <c r="HK1" s="11">
        <v>45874</v>
      </c>
      <c r="HL1" s="11">
        <v>45875</v>
      </c>
      <c r="HM1" s="11">
        <v>45876</v>
      </c>
      <c r="HN1" s="11">
        <v>45877</v>
      </c>
      <c r="HO1" s="11">
        <v>45878</v>
      </c>
      <c r="HP1" s="11">
        <v>45879</v>
      </c>
      <c r="HQ1" s="11">
        <v>45880</v>
      </c>
      <c r="HR1" s="11">
        <v>45881</v>
      </c>
      <c r="HS1" s="11">
        <v>45882</v>
      </c>
      <c r="HT1" s="11">
        <v>45883</v>
      </c>
      <c r="HU1" s="11">
        <v>45884</v>
      </c>
      <c r="HV1" s="11">
        <v>45885</v>
      </c>
      <c r="HW1" s="11">
        <v>45886</v>
      </c>
      <c r="HX1" s="11">
        <v>45887</v>
      </c>
      <c r="HY1" s="11">
        <v>45888</v>
      </c>
      <c r="HZ1" s="11">
        <v>45889</v>
      </c>
      <c r="IA1" s="11">
        <v>45890</v>
      </c>
      <c r="IB1" s="11">
        <v>45891</v>
      </c>
      <c r="IC1" s="11">
        <v>45892</v>
      </c>
      <c r="ID1" s="11">
        <v>45893</v>
      </c>
      <c r="IE1" s="11">
        <v>45894</v>
      </c>
      <c r="IF1" s="11">
        <v>45895</v>
      </c>
      <c r="IG1" s="11">
        <v>45896</v>
      </c>
      <c r="IH1" s="11">
        <v>45897</v>
      </c>
      <c r="II1" s="11">
        <v>45898</v>
      </c>
      <c r="IJ1" s="11">
        <v>45899</v>
      </c>
      <c r="IK1" s="11">
        <v>45900</v>
      </c>
      <c r="IL1" s="11">
        <v>45901</v>
      </c>
      <c r="IM1" s="11">
        <v>45902</v>
      </c>
      <c r="IN1" s="11">
        <v>45903</v>
      </c>
      <c r="IO1" s="11">
        <v>45904</v>
      </c>
      <c r="IP1" s="11">
        <v>45905</v>
      </c>
      <c r="IQ1" s="11">
        <v>45906</v>
      </c>
      <c r="IR1" s="11">
        <v>45907</v>
      </c>
      <c r="IS1" s="11">
        <v>45908</v>
      </c>
      <c r="IT1" s="11">
        <v>45909</v>
      </c>
      <c r="IU1" s="11">
        <v>45910</v>
      </c>
      <c r="IV1" s="11">
        <v>45911</v>
      </c>
      <c r="IW1" s="11">
        <v>45912</v>
      </c>
      <c r="IX1" s="11">
        <v>45913</v>
      </c>
      <c r="IY1" s="11">
        <v>45914</v>
      </c>
      <c r="IZ1" s="11">
        <v>45915</v>
      </c>
      <c r="JA1" s="11">
        <v>45916</v>
      </c>
      <c r="JB1" s="11">
        <v>45917</v>
      </c>
      <c r="JC1" s="11">
        <v>45918</v>
      </c>
      <c r="JD1" s="11">
        <v>45919</v>
      </c>
      <c r="JE1" s="11">
        <v>45920</v>
      </c>
      <c r="JF1" s="11">
        <v>45921</v>
      </c>
      <c r="JG1" s="11">
        <v>45922</v>
      </c>
      <c r="JH1" s="11">
        <v>45923</v>
      </c>
      <c r="JI1" s="11">
        <v>45924</v>
      </c>
      <c r="JJ1" s="11">
        <v>45925</v>
      </c>
      <c r="JK1" s="11">
        <v>45926</v>
      </c>
      <c r="JL1" s="11">
        <v>45927</v>
      </c>
      <c r="JM1" s="11">
        <v>45928</v>
      </c>
      <c r="JN1" s="11">
        <v>45929</v>
      </c>
      <c r="JO1" s="11">
        <v>45930</v>
      </c>
      <c r="JP1" s="11">
        <v>45931</v>
      </c>
      <c r="JQ1" s="11">
        <v>45932</v>
      </c>
      <c r="JR1" s="11">
        <v>45933</v>
      </c>
      <c r="JS1" s="11">
        <v>45934</v>
      </c>
      <c r="JT1" s="11">
        <v>45935</v>
      </c>
      <c r="JU1" s="11">
        <v>45936</v>
      </c>
      <c r="JV1" s="11">
        <v>45937</v>
      </c>
      <c r="JW1" s="11">
        <v>45938</v>
      </c>
      <c r="JX1" s="11">
        <v>45939</v>
      </c>
      <c r="JY1" s="11">
        <v>45940</v>
      </c>
      <c r="JZ1" s="11">
        <v>45941</v>
      </c>
      <c r="KA1" s="11">
        <v>45942</v>
      </c>
      <c r="KB1" s="11">
        <v>45943</v>
      </c>
      <c r="KC1" s="11">
        <v>45944</v>
      </c>
      <c r="KD1" s="11">
        <v>45945</v>
      </c>
      <c r="KE1" s="11">
        <v>45946</v>
      </c>
      <c r="KF1" s="11">
        <v>45947</v>
      </c>
      <c r="KG1" s="11">
        <v>45948</v>
      </c>
      <c r="KH1" s="11">
        <v>45949</v>
      </c>
      <c r="KI1" s="11">
        <v>45950</v>
      </c>
      <c r="KJ1" s="11">
        <v>45951</v>
      </c>
      <c r="KK1" s="11">
        <v>45952</v>
      </c>
      <c r="KL1" s="11">
        <v>45953</v>
      </c>
      <c r="KM1" s="11">
        <v>45954</v>
      </c>
      <c r="KN1" s="11">
        <v>45955</v>
      </c>
      <c r="KO1" s="11">
        <v>45956</v>
      </c>
      <c r="KP1" s="11">
        <v>45957</v>
      </c>
      <c r="KQ1" s="11">
        <v>45958</v>
      </c>
      <c r="KR1" s="11">
        <v>45959</v>
      </c>
      <c r="KS1" s="11">
        <v>45960</v>
      </c>
      <c r="KT1" s="11">
        <v>45961</v>
      </c>
      <c r="KU1" s="11">
        <v>45962</v>
      </c>
      <c r="KV1" s="11">
        <v>45963</v>
      </c>
      <c r="KW1" s="11">
        <v>45964</v>
      </c>
      <c r="KX1" s="11">
        <v>45965</v>
      </c>
      <c r="KY1" s="11">
        <v>45966</v>
      </c>
      <c r="KZ1" s="11">
        <v>45967</v>
      </c>
      <c r="LA1" s="11">
        <v>45968</v>
      </c>
      <c r="LB1" s="11">
        <v>45969</v>
      </c>
      <c r="LC1" s="11">
        <v>45970</v>
      </c>
      <c r="LD1" s="11">
        <v>45971</v>
      </c>
      <c r="LE1" s="11">
        <v>45972</v>
      </c>
      <c r="LF1" s="11">
        <v>45973</v>
      </c>
      <c r="LG1" s="11">
        <v>45974</v>
      </c>
      <c r="LH1" s="11">
        <v>45975</v>
      </c>
      <c r="LI1" s="11">
        <v>45976</v>
      </c>
      <c r="LJ1" s="11">
        <v>45977</v>
      </c>
      <c r="LK1" s="11">
        <v>45978</v>
      </c>
      <c r="LL1" s="11">
        <v>45979</v>
      </c>
      <c r="LM1" s="11">
        <v>45980</v>
      </c>
      <c r="LN1" s="11">
        <v>45981</v>
      </c>
      <c r="LO1" s="11">
        <v>45982</v>
      </c>
      <c r="LP1" s="11">
        <v>45983</v>
      </c>
      <c r="LQ1" s="11">
        <v>45984</v>
      </c>
      <c r="LR1" s="11">
        <v>45985</v>
      </c>
      <c r="LS1" s="11">
        <v>45986</v>
      </c>
      <c r="LT1" s="11">
        <v>45987</v>
      </c>
      <c r="LU1" s="11">
        <v>45988</v>
      </c>
      <c r="LV1" s="11">
        <v>45989</v>
      </c>
      <c r="LW1" s="11">
        <v>45990</v>
      </c>
      <c r="LX1" s="11">
        <v>45991</v>
      </c>
      <c r="LY1" s="11">
        <v>45992</v>
      </c>
      <c r="LZ1" s="11">
        <v>45993</v>
      </c>
      <c r="MA1" s="11">
        <v>45994</v>
      </c>
      <c r="MB1" s="11">
        <v>45995</v>
      </c>
      <c r="MC1" s="11">
        <v>45996</v>
      </c>
      <c r="MD1" s="11">
        <v>45997</v>
      </c>
      <c r="ME1" s="11">
        <v>45998</v>
      </c>
      <c r="MF1" s="11">
        <v>45999</v>
      </c>
      <c r="MG1" s="11">
        <v>46000</v>
      </c>
      <c r="MH1" s="11">
        <v>46001</v>
      </c>
      <c r="MI1" s="11">
        <v>46002</v>
      </c>
      <c r="MJ1" s="11">
        <v>46003</v>
      </c>
      <c r="MK1" s="11">
        <v>46004</v>
      </c>
      <c r="ML1" s="11">
        <v>46005</v>
      </c>
      <c r="MM1" s="11">
        <v>46006</v>
      </c>
      <c r="MN1" s="11">
        <v>46007</v>
      </c>
      <c r="MO1" s="11">
        <v>46008</v>
      </c>
      <c r="MP1" s="11">
        <v>46009</v>
      </c>
      <c r="MQ1" s="11">
        <v>46010</v>
      </c>
      <c r="MR1" s="11">
        <v>46011</v>
      </c>
      <c r="MS1" s="11">
        <v>46012</v>
      </c>
      <c r="MT1" s="11">
        <v>46013</v>
      </c>
      <c r="MU1" s="11">
        <v>46014</v>
      </c>
      <c r="MV1" s="11">
        <v>46015</v>
      </c>
      <c r="MW1" s="11">
        <v>46016</v>
      </c>
      <c r="MX1" s="11">
        <v>46017</v>
      </c>
      <c r="MY1" s="11">
        <v>46018</v>
      </c>
      <c r="MZ1" s="11">
        <v>46019</v>
      </c>
      <c r="NA1" s="11">
        <v>46020</v>
      </c>
      <c r="NB1" s="11">
        <v>46021</v>
      </c>
      <c r="NC1" s="11">
        <v>46022</v>
      </c>
    </row>
    <row r="2" spans="1:367">
      <c r="B2" s="12" t="s">
        <v>10</v>
      </c>
      <c r="C2" s="8" t="s">
        <v>54</v>
      </c>
      <c r="D2" s="8" t="s">
        <v>54</v>
      </c>
      <c r="E2" s="8" t="s">
        <v>54</v>
      </c>
      <c r="F2" s="8" t="s">
        <v>54</v>
      </c>
      <c r="G2" s="8" t="s">
        <v>54</v>
      </c>
      <c r="H2" s="8" t="s">
        <v>425</v>
      </c>
      <c r="I2" s="8" t="s">
        <v>425</v>
      </c>
      <c r="J2" s="8" t="s">
        <v>425</v>
      </c>
      <c r="K2" s="8" t="s">
        <v>425</v>
      </c>
      <c r="L2" s="8" t="s">
        <v>425</v>
      </c>
      <c r="M2" s="8" t="s">
        <v>425</v>
      </c>
      <c r="N2" s="8" t="s">
        <v>425</v>
      </c>
      <c r="O2" s="8" t="s">
        <v>2</v>
      </c>
      <c r="P2" s="8" t="s">
        <v>2</v>
      </c>
      <c r="Q2" s="8" t="s">
        <v>2</v>
      </c>
      <c r="R2" s="8" t="s">
        <v>2</v>
      </c>
      <c r="S2" s="8" t="s">
        <v>2</v>
      </c>
      <c r="T2" s="8" t="s">
        <v>2</v>
      </c>
      <c r="U2" s="8" t="s">
        <v>2</v>
      </c>
      <c r="V2" s="8" t="s">
        <v>3</v>
      </c>
      <c r="W2" s="8" t="s">
        <v>3</v>
      </c>
      <c r="X2" s="8" t="s">
        <v>3</v>
      </c>
      <c r="Y2" s="8" t="s">
        <v>3</v>
      </c>
      <c r="Z2" s="8" t="s">
        <v>3</v>
      </c>
      <c r="AA2" s="8" t="s">
        <v>3</v>
      </c>
      <c r="AB2" s="8" t="s">
        <v>3</v>
      </c>
      <c r="AC2" s="8" t="s">
        <v>4</v>
      </c>
      <c r="AD2" s="8" t="s">
        <v>4</v>
      </c>
      <c r="AE2" s="8" t="s">
        <v>4</v>
      </c>
      <c r="AF2" s="8" t="s">
        <v>4</v>
      </c>
      <c r="AG2" s="8" t="s">
        <v>4</v>
      </c>
      <c r="AH2" s="8" t="s">
        <v>4</v>
      </c>
      <c r="AI2" s="8" t="s">
        <v>4</v>
      </c>
      <c r="AJ2" s="8" t="s">
        <v>5</v>
      </c>
      <c r="AK2" s="8" t="s">
        <v>5</v>
      </c>
      <c r="AL2" s="8" t="s">
        <v>5</v>
      </c>
      <c r="AM2" s="8" t="s">
        <v>5</v>
      </c>
      <c r="AN2" s="8" t="s">
        <v>5</v>
      </c>
      <c r="AO2" s="8" t="s">
        <v>5</v>
      </c>
      <c r="AP2" s="8" t="s">
        <v>5</v>
      </c>
      <c r="AQ2" s="8" t="s">
        <v>6</v>
      </c>
      <c r="AR2" s="8" t="s">
        <v>6</v>
      </c>
      <c r="AS2" s="8" t="s">
        <v>6</v>
      </c>
      <c r="AT2" s="8" t="s">
        <v>6</v>
      </c>
      <c r="AU2" s="8" t="s">
        <v>6</v>
      </c>
      <c r="AV2" s="8" t="s">
        <v>6</v>
      </c>
      <c r="AW2" s="8" t="s">
        <v>6</v>
      </c>
      <c r="AX2" s="8" t="s">
        <v>7</v>
      </c>
      <c r="AY2" s="8" t="s">
        <v>7</v>
      </c>
      <c r="AZ2" s="8" t="s">
        <v>7</v>
      </c>
      <c r="BA2" s="8" t="s">
        <v>7</v>
      </c>
      <c r="BB2" s="8" t="s">
        <v>7</v>
      </c>
      <c r="BC2" s="8" t="s">
        <v>7</v>
      </c>
      <c r="BD2" s="8" t="s">
        <v>7</v>
      </c>
      <c r="BE2" s="8" t="s">
        <v>8</v>
      </c>
      <c r="BF2" s="8" t="s">
        <v>8</v>
      </c>
      <c r="BG2" s="8" t="s">
        <v>8</v>
      </c>
      <c r="BH2" s="8" t="s">
        <v>8</v>
      </c>
      <c r="BI2" s="8" t="s">
        <v>8</v>
      </c>
      <c r="BJ2" s="8" t="s">
        <v>8</v>
      </c>
      <c r="BK2" s="8" t="s">
        <v>8</v>
      </c>
      <c r="BL2" s="8" t="s">
        <v>11</v>
      </c>
      <c r="BM2" s="8" t="s">
        <v>11</v>
      </c>
      <c r="BN2" s="8" t="s">
        <v>11</v>
      </c>
      <c r="BO2" s="8" t="s">
        <v>11</v>
      </c>
      <c r="BP2" s="8" t="s">
        <v>11</v>
      </c>
      <c r="BQ2" s="8" t="s">
        <v>11</v>
      </c>
      <c r="BR2" s="8" t="s">
        <v>11</v>
      </c>
      <c r="BS2" s="8" t="s">
        <v>12</v>
      </c>
      <c r="BT2" s="8" t="s">
        <v>12</v>
      </c>
      <c r="BU2" s="8" t="s">
        <v>12</v>
      </c>
      <c r="BV2" s="8" t="s">
        <v>12</v>
      </c>
      <c r="BW2" s="8" t="s">
        <v>12</v>
      </c>
      <c r="BX2" s="8" t="s">
        <v>12</v>
      </c>
      <c r="BY2" s="8" t="s">
        <v>12</v>
      </c>
      <c r="BZ2" s="8" t="s">
        <v>13</v>
      </c>
      <c r="CA2" s="8" t="s">
        <v>13</v>
      </c>
      <c r="CB2" s="8" t="s">
        <v>13</v>
      </c>
      <c r="CC2" s="8" t="s">
        <v>13</v>
      </c>
      <c r="CD2" s="8" t="s">
        <v>13</v>
      </c>
      <c r="CE2" s="8" t="s">
        <v>13</v>
      </c>
      <c r="CF2" s="8" t="s">
        <v>13</v>
      </c>
      <c r="CG2" s="8" t="s">
        <v>14</v>
      </c>
      <c r="CH2" s="8" t="s">
        <v>14</v>
      </c>
      <c r="CI2" s="8" t="s">
        <v>14</v>
      </c>
      <c r="CJ2" s="8" t="s">
        <v>14</v>
      </c>
      <c r="CK2" s="8" t="s">
        <v>14</v>
      </c>
      <c r="CL2" s="8" t="s">
        <v>14</v>
      </c>
      <c r="CM2" s="8" t="s">
        <v>14</v>
      </c>
      <c r="CN2" s="8" t="s">
        <v>15</v>
      </c>
      <c r="CO2" s="8" t="s">
        <v>15</v>
      </c>
      <c r="CP2" s="8" t="s">
        <v>15</v>
      </c>
      <c r="CQ2" s="8" t="s">
        <v>15</v>
      </c>
      <c r="CR2" s="8" t="s">
        <v>15</v>
      </c>
      <c r="CS2" s="8" t="s">
        <v>15</v>
      </c>
      <c r="CT2" s="8" t="s">
        <v>15</v>
      </c>
      <c r="CU2" s="8" t="s">
        <v>16</v>
      </c>
      <c r="CV2" s="8" t="s">
        <v>16</v>
      </c>
      <c r="CW2" s="8" t="s">
        <v>16</v>
      </c>
      <c r="CX2" s="8" t="s">
        <v>16</v>
      </c>
      <c r="CY2" s="8" t="s">
        <v>16</v>
      </c>
      <c r="CZ2" s="8" t="s">
        <v>16</v>
      </c>
      <c r="DA2" s="8" t="s">
        <v>16</v>
      </c>
      <c r="DB2" s="8" t="s">
        <v>17</v>
      </c>
      <c r="DC2" s="8" t="s">
        <v>17</v>
      </c>
      <c r="DD2" s="8" t="s">
        <v>17</v>
      </c>
      <c r="DE2" s="8" t="s">
        <v>17</v>
      </c>
      <c r="DF2" s="8" t="s">
        <v>17</v>
      </c>
      <c r="DG2" s="8" t="s">
        <v>17</v>
      </c>
      <c r="DH2" s="8" t="s">
        <v>17</v>
      </c>
      <c r="DI2" s="8" t="s">
        <v>18</v>
      </c>
      <c r="DJ2" s="8" t="s">
        <v>18</v>
      </c>
      <c r="DK2" s="8" t="s">
        <v>18</v>
      </c>
      <c r="DL2" s="8" t="s">
        <v>18</v>
      </c>
      <c r="DM2" s="8" t="s">
        <v>18</v>
      </c>
      <c r="DN2" s="8" t="s">
        <v>18</v>
      </c>
      <c r="DO2" s="8" t="s">
        <v>18</v>
      </c>
      <c r="DP2" s="8" t="s">
        <v>19</v>
      </c>
      <c r="DQ2" s="8" t="s">
        <v>19</v>
      </c>
      <c r="DR2" s="8" t="s">
        <v>19</v>
      </c>
      <c r="DS2" s="8" t="s">
        <v>19</v>
      </c>
      <c r="DT2" s="8" t="s">
        <v>19</v>
      </c>
      <c r="DU2" s="8" t="s">
        <v>19</v>
      </c>
      <c r="DV2" s="8" t="s">
        <v>19</v>
      </c>
      <c r="DW2" s="8" t="s">
        <v>20</v>
      </c>
      <c r="DX2" s="8" t="s">
        <v>20</v>
      </c>
      <c r="DY2" s="8" t="s">
        <v>20</v>
      </c>
      <c r="DZ2" s="8" t="s">
        <v>20</v>
      </c>
      <c r="EA2" s="8" t="s">
        <v>20</v>
      </c>
      <c r="EB2" s="8" t="s">
        <v>20</v>
      </c>
      <c r="EC2" s="8" t="s">
        <v>20</v>
      </c>
      <c r="ED2" s="8" t="s">
        <v>21</v>
      </c>
      <c r="EE2" s="8" t="s">
        <v>21</v>
      </c>
      <c r="EF2" s="8" t="s">
        <v>21</v>
      </c>
      <c r="EG2" s="8" t="s">
        <v>21</v>
      </c>
      <c r="EH2" s="8" t="s">
        <v>21</v>
      </c>
      <c r="EI2" s="8" t="s">
        <v>21</v>
      </c>
      <c r="EJ2" s="8" t="s">
        <v>21</v>
      </c>
      <c r="EK2" s="8" t="s">
        <v>22</v>
      </c>
      <c r="EL2" s="8" t="s">
        <v>22</v>
      </c>
      <c r="EM2" s="8" t="s">
        <v>22</v>
      </c>
      <c r="EN2" s="8" t="s">
        <v>22</v>
      </c>
      <c r="EO2" s="8" t="s">
        <v>22</v>
      </c>
      <c r="EP2" s="8" t="s">
        <v>22</v>
      </c>
      <c r="EQ2" s="8" t="s">
        <v>22</v>
      </c>
      <c r="ER2" s="8" t="s">
        <v>23</v>
      </c>
      <c r="ES2" s="8" t="s">
        <v>23</v>
      </c>
      <c r="ET2" s="8" t="s">
        <v>23</v>
      </c>
      <c r="EU2" s="8" t="s">
        <v>23</v>
      </c>
      <c r="EV2" s="8" t="s">
        <v>23</v>
      </c>
      <c r="EW2" s="8" t="s">
        <v>23</v>
      </c>
      <c r="EX2" s="8" t="s">
        <v>23</v>
      </c>
      <c r="EY2" s="8" t="s">
        <v>24</v>
      </c>
      <c r="EZ2" s="8" t="s">
        <v>24</v>
      </c>
      <c r="FA2" s="8" t="s">
        <v>24</v>
      </c>
      <c r="FB2" s="8" t="s">
        <v>24</v>
      </c>
      <c r="FC2" s="8" t="s">
        <v>24</v>
      </c>
      <c r="FD2" s="8" t="s">
        <v>24</v>
      </c>
      <c r="FE2" s="8" t="s">
        <v>24</v>
      </c>
      <c r="FF2" s="8" t="s">
        <v>25</v>
      </c>
      <c r="FG2" s="8" t="s">
        <v>25</v>
      </c>
      <c r="FH2" s="8" t="s">
        <v>25</v>
      </c>
      <c r="FI2" s="8" t="s">
        <v>25</v>
      </c>
      <c r="FJ2" s="8" t="s">
        <v>25</v>
      </c>
      <c r="FK2" s="8" t="s">
        <v>25</v>
      </c>
      <c r="FL2" s="8" t="s">
        <v>25</v>
      </c>
      <c r="FM2" s="8" t="s">
        <v>26</v>
      </c>
      <c r="FN2" s="8" t="s">
        <v>26</v>
      </c>
      <c r="FO2" s="8" t="s">
        <v>26</v>
      </c>
      <c r="FP2" s="8" t="s">
        <v>26</v>
      </c>
      <c r="FQ2" s="8" t="s">
        <v>26</v>
      </c>
      <c r="FR2" s="8" t="s">
        <v>26</v>
      </c>
      <c r="FS2" s="8" t="s">
        <v>26</v>
      </c>
      <c r="FT2" s="8" t="s">
        <v>27</v>
      </c>
      <c r="FU2" s="8" t="s">
        <v>27</v>
      </c>
      <c r="FV2" s="8" t="s">
        <v>27</v>
      </c>
      <c r="FW2" s="8" t="s">
        <v>27</v>
      </c>
      <c r="FX2" s="8" t="s">
        <v>27</v>
      </c>
      <c r="FY2" s="8" t="s">
        <v>27</v>
      </c>
      <c r="FZ2" s="8" t="s">
        <v>27</v>
      </c>
      <c r="GA2" s="8" t="s">
        <v>28</v>
      </c>
      <c r="GB2" s="8" t="s">
        <v>28</v>
      </c>
      <c r="GC2" s="8" t="s">
        <v>28</v>
      </c>
      <c r="GD2" s="8" t="s">
        <v>28</v>
      </c>
      <c r="GE2" s="8" t="s">
        <v>28</v>
      </c>
      <c r="GF2" s="8" t="s">
        <v>28</v>
      </c>
      <c r="GG2" s="8" t="s">
        <v>28</v>
      </c>
      <c r="GH2" s="8" t="s">
        <v>29</v>
      </c>
      <c r="GI2" s="8" t="s">
        <v>29</v>
      </c>
      <c r="GJ2" s="8" t="s">
        <v>29</v>
      </c>
      <c r="GK2" s="8" t="s">
        <v>29</v>
      </c>
      <c r="GL2" s="8" t="s">
        <v>29</v>
      </c>
      <c r="GM2" s="8" t="s">
        <v>29</v>
      </c>
      <c r="GN2" s="8" t="s">
        <v>29</v>
      </c>
      <c r="GO2" s="8" t="s">
        <v>30</v>
      </c>
      <c r="GP2" s="8" t="s">
        <v>30</v>
      </c>
      <c r="GQ2" s="8" t="s">
        <v>30</v>
      </c>
      <c r="GR2" s="8" t="s">
        <v>30</v>
      </c>
      <c r="GS2" s="8" t="s">
        <v>30</v>
      </c>
      <c r="GT2" s="8" t="s">
        <v>30</v>
      </c>
      <c r="GU2" s="8" t="s">
        <v>30</v>
      </c>
      <c r="GV2" s="8" t="s">
        <v>31</v>
      </c>
      <c r="GW2" s="8" t="s">
        <v>31</v>
      </c>
      <c r="GX2" s="8" t="s">
        <v>31</v>
      </c>
      <c r="GY2" s="8" t="s">
        <v>31</v>
      </c>
      <c r="GZ2" s="8" t="s">
        <v>31</v>
      </c>
      <c r="HA2" s="8" t="s">
        <v>31</v>
      </c>
      <c r="HB2" s="8" t="s">
        <v>31</v>
      </c>
      <c r="HC2" s="8" t="s">
        <v>32</v>
      </c>
      <c r="HD2" s="8" t="s">
        <v>32</v>
      </c>
      <c r="HE2" s="8" t="s">
        <v>32</v>
      </c>
      <c r="HF2" s="8" t="s">
        <v>32</v>
      </c>
      <c r="HG2" s="8" t="s">
        <v>32</v>
      </c>
      <c r="HH2" s="8" t="s">
        <v>32</v>
      </c>
      <c r="HI2" s="8" t="s">
        <v>32</v>
      </c>
      <c r="HJ2" s="8" t="s">
        <v>33</v>
      </c>
      <c r="HK2" s="8" t="s">
        <v>33</v>
      </c>
      <c r="HL2" s="8" t="s">
        <v>33</v>
      </c>
      <c r="HM2" s="8" t="s">
        <v>33</v>
      </c>
      <c r="HN2" s="8" t="s">
        <v>33</v>
      </c>
      <c r="HO2" s="8" t="s">
        <v>33</v>
      </c>
      <c r="HP2" s="8" t="s">
        <v>33</v>
      </c>
      <c r="HQ2" s="8" t="s">
        <v>34</v>
      </c>
      <c r="HR2" s="8" t="s">
        <v>34</v>
      </c>
      <c r="HS2" s="8" t="s">
        <v>34</v>
      </c>
      <c r="HT2" s="8" t="s">
        <v>34</v>
      </c>
      <c r="HU2" s="8" t="s">
        <v>34</v>
      </c>
      <c r="HV2" s="8" t="s">
        <v>34</v>
      </c>
      <c r="HW2" s="8" t="s">
        <v>34</v>
      </c>
      <c r="HX2" s="8" t="s">
        <v>35</v>
      </c>
      <c r="HY2" s="8" t="s">
        <v>35</v>
      </c>
      <c r="HZ2" s="8" t="s">
        <v>35</v>
      </c>
      <c r="IA2" s="8" t="s">
        <v>35</v>
      </c>
      <c r="IB2" s="8" t="s">
        <v>35</v>
      </c>
      <c r="IC2" s="8" t="s">
        <v>35</v>
      </c>
      <c r="ID2" s="8" t="s">
        <v>35</v>
      </c>
      <c r="IE2" s="8" t="s">
        <v>36</v>
      </c>
      <c r="IF2" s="8" t="s">
        <v>36</v>
      </c>
      <c r="IG2" s="8" t="s">
        <v>36</v>
      </c>
      <c r="IH2" s="8" t="s">
        <v>36</v>
      </c>
      <c r="II2" s="8" t="s">
        <v>36</v>
      </c>
      <c r="IJ2" s="8" t="s">
        <v>36</v>
      </c>
      <c r="IK2" s="8" t="s">
        <v>36</v>
      </c>
      <c r="IL2" s="8" t="s">
        <v>37</v>
      </c>
      <c r="IM2" s="8" t="s">
        <v>37</v>
      </c>
      <c r="IN2" s="8" t="s">
        <v>37</v>
      </c>
      <c r="IO2" s="8" t="s">
        <v>37</v>
      </c>
      <c r="IP2" s="8" t="s">
        <v>37</v>
      </c>
      <c r="IQ2" s="8" t="s">
        <v>37</v>
      </c>
      <c r="IR2" s="8" t="s">
        <v>37</v>
      </c>
      <c r="IS2" s="8" t="s">
        <v>38</v>
      </c>
      <c r="IT2" s="8" t="s">
        <v>38</v>
      </c>
      <c r="IU2" s="8" t="s">
        <v>38</v>
      </c>
      <c r="IV2" s="8" t="s">
        <v>38</v>
      </c>
      <c r="IW2" s="8" t="s">
        <v>38</v>
      </c>
      <c r="IX2" s="8" t="s">
        <v>38</v>
      </c>
      <c r="IY2" s="8" t="s">
        <v>38</v>
      </c>
      <c r="IZ2" s="8" t="s">
        <v>39</v>
      </c>
      <c r="JA2" s="8" t="s">
        <v>39</v>
      </c>
      <c r="JB2" s="8" t="s">
        <v>39</v>
      </c>
      <c r="JC2" s="8" t="s">
        <v>39</v>
      </c>
      <c r="JD2" s="8" t="s">
        <v>39</v>
      </c>
      <c r="JE2" s="8" t="s">
        <v>39</v>
      </c>
      <c r="JF2" s="8" t="s">
        <v>39</v>
      </c>
      <c r="JG2" s="8" t="s">
        <v>40</v>
      </c>
      <c r="JH2" s="8" t="s">
        <v>40</v>
      </c>
      <c r="JI2" s="8" t="s">
        <v>40</v>
      </c>
      <c r="JJ2" s="8" t="s">
        <v>40</v>
      </c>
      <c r="JK2" s="8" t="s">
        <v>40</v>
      </c>
      <c r="JL2" s="8" t="s">
        <v>40</v>
      </c>
      <c r="JM2" s="8" t="s">
        <v>40</v>
      </c>
      <c r="JN2" s="8" t="s">
        <v>41</v>
      </c>
      <c r="JO2" s="8" t="s">
        <v>41</v>
      </c>
      <c r="JP2" s="8" t="s">
        <v>41</v>
      </c>
      <c r="JQ2" s="8" t="s">
        <v>41</v>
      </c>
      <c r="JR2" s="8" t="s">
        <v>41</v>
      </c>
      <c r="JS2" s="8" t="s">
        <v>41</v>
      </c>
      <c r="JT2" s="8" t="s">
        <v>41</v>
      </c>
      <c r="JU2" s="8" t="s">
        <v>42</v>
      </c>
      <c r="JV2" s="8" t="s">
        <v>42</v>
      </c>
      <c r="JW2" s="8" t="s">
        <v>42</v>
      </c>
      <c r="JX2" s="8" t="s">
        <v>42</v>
      </c>
      <c r="JY2" s="8" t="s">
        <v>42</v>
      </c>
      <c r="JZ2" s="8" t="s">
        <v>42</v>
      </c>
      <c r="KA2" s="8" t="s">
        <v>42</v>
      </c>
      <c r="KB2" s="8" t="s">
        <v>43</v>
      </c>
      <c r="KC2" s="8" t="s">
        <v>43</v>
      </c>
      <c r="KD2" s="8" t="s">
        <v>43</v>
      </c>
      <c r="KE2" s="8" t="s">
        <v>43</v>
      </c>
      <c r="KF2" s="8" t="s">
        <v>43</v>
      </c>
      <c r="KG2" s="8" t="s">
        <v>43</v>
      </c>
      <c r="KH2" s="8" t="s">
        <v>43</v>
      </c>
      <c r="KI2" s="8" t="s">
        <v>44</v>
      </c>
      <c r="KJ2" s="8" t="s">
        <v>44</v>
      </c>
      <c r="KK2" s="8" t="s">
        <v>44</v>
      </c>
      <c r="KL2" s="8" t="s">
        <v>44</v>
      </c>
      <c r="KM2" s="8" t="s">
        <v>44</v>
      </c>
      <c r="KN2" s="8" t="s">
        <v>44</v>
      </c>
      <c r="KO2" s="8" t="s">
        <v>44</v>
      </c>
      <c r="KP2" s="8" t="s">
        <v>45</v>
      </c>
      <c r="KQ2" s="8" t="s">
        <v>45</v>
      </c>
      <c r="KR2" s="8" t="s">
        <v>45</v>
      </c>
      <c r="KS2" s="8" t="s">
        <v>45</v>
      </c>
      <c r="KT2" s="8" t="s">
        <v>45</v>
      </c>
      <c r="KU2" s="8" t="s">
        <v>45</v>
      </c>
      <c r="KV2" s="8" t="s">
        <v>45</v>
      </c>
      <c r="KW2" s="8" t="s">
        <v>46</v>
      </c>
      <c r="KX2" s="8" t="s">
        <v>46</v>
      </c>
      <c r="KY2" s="8" t="s">
        <v>46</v>
      </c>
      <c r="KZ2" s="8" t="s">
        <v>46</v>
      </c>
      <c r="LA2" s="8" t="s">
        <v>46</v>
      </c>
      <c r="LB2" s="8" t="s">
        <v>46</v>
      </c>
      <c r="LC2" s="8" t="s">
        <v>46</v>
      </c>
      <c r="LD2" s="8" t="s">
        <v>47</v>
      </c>
      <c r="LE2" s="8" t="s">
        <v>47</v>
      </c>
      <c r="LF2" s="8" t="s">
        <v>47</v>
      </c>
      <c r="LG2" s="8" t="s">
        <v>47</v>
      </c>
      <c r="LH2" s="8" t="s">
        <v>47</v>
      </c>
      <c r="LI2" s="8" t="s">
        <v>47</v>
      </c>
      <c r="LJ2" s="8" t="s">
        <v>47</v>
      </c>
      <c r="LK2" s="8" t="s">
        <v>48</v>
      </c>
      <c r="LL2" s="8" t="s">
        <v>48</v>
      </c>
      <c r="LM2" s="8" t="s">
        <v>48</v>
      </c>
      <c r="LN2" s="8" t="s">
        <v>48</v>
      </c>
      <c r="LO2" s="8" t="s">
        <v>48</v>
      </c>
      <c r="LP2" s="8" t="s">
        <v>48</v>
      </c>
      <c r="LQ2" s="8" t="s">
        <v>48</v>
      </c>
      <c r="LR2" s="8" t="s">
        <v>49</v>
      </c>
      <c r="LS2" s="8" t="s">
        <v>49</v>
      </c>
      <c r="LT2" s="8" t="s">
        <v>49</v>
      </c>
      <c r="LU2" s="8" t="s">
        <v>49</v>
      </c>
      <c r="LV2" s="8" t="s">
        <v>49</v>
      </c>
      <c r="LW2" s="8" t="s">
        <v>49</v>
      </c>
      <c r="LX2" s="8" t="s">
        <v>49</v>
      </c>
      <c r="LY2" s="8" t="s">
        <v>50</v>
      </c>
      <c r="LZ2" s="8" t="s">
        <v>50</v>
      </c>
      <c r="MA2" s="8" t="s">
        <v>50</v>
      </c>
      <c r="MB2" s="8" t="s">
        <v>50</v>
      </c>
      <c r="MC2" s="8" t="s">
        <v>50</v>
      </c>
      <c r="MD2" s="8" t="s">
        <v>50</v>
      </c>
      <c r="ME2" s="8" t="s">
        <v>50</v>
      </c>
      <c r="MF2" s="8" t="s">
        <v>51</v>
      </c>
      <c r="MG2" s="8" t="s">
        <v>51</v>
      </c>
      <c r="MH2" s="8" t="s">
        <v>51</v>
      </c>
      <c r="MI2" s="8" t="s">
        <v>51</v>
      </c>
      <c r="MJ2" s="8" t="s">
        <v>51</v>
      </c>
      <c r="MK2" s="8" t="s">
        <v>51</v>
      </c>
      <c r="ML2" s="8" t="s">
        <v>51</v>
      </c>
      <c r="MM2" s="8" t="s">
        <v>52</v>
      </c>
      <c r="MN2" s="8" t="s">
        <v>52</v>
      </c>
      <c r="MO2" s="8" t="s">
        <v>52</v>
      </c>
      <c r="MP2" s="8" t="s">
        <v>52</v>
      </c>
      <c r="MQ2" s="8" t="s">
        <v>52</v>
      </c>
      <c r="MR2" s="8" t="s">
        <v>52</v>
      </c>
      <c r="MS2" s="8" t="s">
        <v>52</v>
      </c>
      <c r="MT2" s="8" t="s">
        <v>53</v>
      </c>
      <c r="MU2" s="8" t="s">
        <v>53</v>
      </c>
      <c r="MV2" s="8" t="s">
        <v>53</v>
      </c>
      <c r="MW2" s="8" t="s">
        <v>53</v>
      </c>
      <c r="MX2" s="8" t="s">
        <v>53</v>
      </c>
      <c r="MY2" s="8" t="s">
        <v>53</v>
      </c>
      <c r="MZ2" s="8" t="s">
        <v>53</v>
      </c>
      <c r="NA2" s="8" t="s">
        <v>54</v>
      </c>
      <c r="NB2" s="8" t="s">
        <v>54</v>
      </c>
      <c r="NC2" s="8" t="s">
        <v>54</v>
      </c>
    </row>
    <row r="3" spans="1:367">
      <c r="A3" s="13">
        <f>SUM(C3:NC3)</f>
        <v>518384.91368857148</v>
      </c>
      <c r="B3" s="14" t="s">
        <v>427</v>
      </c>
      <c r="C3" s="103"/>
      <c r="D3" s="2">
        <v>1448.7532977946414</v>
      </c>
      <c r="E3" s="2">
        <v>1248.4675834319371</v>
      </c>
      <c r="F3" s="2">
        <v>818.22023966937866</v>
      </c>
      <c r="G3" s="2">
        <v>721.71655339353879</v>
      </c>
      <c r="H3" s="2">
        <v>1283.3784955097731</v>
      </c>
      <c r="I3" s="2">
        <v>1287.0606492579577</v>
      </c>
      <c r="J3" s="2">
        <v>649.30027111828679</v>
      </c>
      <c r="K3" s="2">
        <v>751.38631970531389</v>
      </c>
      <c r="L3" s="2">
        <v>711.88827746865184</v>
      </c>
      <c r="M3" s="2">
        <v>721.80334596965156</v>
      </c>
      <c r="N3" s="2">
        <v>708.29920781877252</v>
      </c>
      <c r="O3" s="7">
        <v>1009.249868151362</v>
      </c>
      <c r="P3" s="7">
        <v>1036.23706259241</v>
      </c>
      <c r="Q3" s="7">
        <v>1367.6519957877122</v>
      </c>
      <c r="R3" s="7">
        <v>1228.6664739875623</v>
      </c>
      <c r="S3" s="7">
        <v>1278.3559148911684</v>
      </c>
      <c r="T3" s="7">
        <v>710.92294505871268</v>
      </c>
      <c r="U3" s="7">
        <v>676.78584255135752</v>
      </c>
      <c r="V3" s="7">
        <v>1303.7138031389668</v>
      </c>
      <c r="W3" s="7">
        <v>1411.878560072812</v>
      </c>
      <c r="X3" s="7">
        <v>1059.9936055195355</v>
      </c>
      <c r="Y3" s="7">
        <v>841.30758650365476</v>
      </c>
      <c r="Z3" s="7">
        <v>991.84134813496178</v>
      </c>
      <c r="AA3" s="7">
        <v>765.31819703563917</v>
      </c>
      <c r="AB3" s="7">
        <v>709.55857075493225</v>
      </c>
      <c r="AC3" s="7">
        <v>945.6568231505712</v>
      </c>
      <c r="AD3" s="7">
        <v>980.26291580561315</v>
      </c>
      <c r="AE3" s="7">
        <v>995.96869871775903</v>
      </c>
      <c r="AF3" s="7">
        <v>1059.2568025881365</v>
      </c>
      <c r="AG3" s="7">
        <v>989.0802712133559</v>
      </c>
      <c r="AH3" s="7">
        <v>651.78415931846405</v>
      </c>
      <c r="AI3" s="7">
        <v>673.2661454913756</v>
      </c>
      <c r="AJ3" s="7">
        <v>937.70469834633229</v>
      </c>
      <c r="AK3" s="7">
        <v>1159.6915910861942</v>
      </c>
      <c r="AL3" s="7">
        <v>1413.6574004230827</v>
      </c>
      <c r="AM3" s="7">
        <v>1349.2193763539908</v>
      </c>
      <c r="AN3" s="7">
        <v>1274.0485334809075</v>
      </c>
      <c r="AO3" s="7">
        <v>573.39546277702073</v>
      </c>
      <c r="AP3" s="7">
        <v>619.56355814418123</v>
      </c>
      <c r="AQ3" s="7">
        <v>1336.7972393939647</v>
      </c>
      <c r="AR3" s="7">
        <v>2094.0981972018294</v>
      </c>
      <c r="AS3" s="7">
        <v>1368.2865748709123</v>
      </c>
      <c r="AT3" s="7">
        <v>1316.9802124936875</v>
      </c>
      <c r="AU3" s="7">
        <v>916.6692168626023</v>
      </c>
      <c r="AV3" s="7">
        <v>532.62557783470243</v>
      </c>
      <c r="AW3" s="7">
        <v>656.64110201042445</v>
      </c>
      <c r="AX3" s="7">
        <v>1101.7384113700648</v>
      </c>
      <c r="AY3" s="7">
        <v>1305.096180578005</v>
      </c>
      <c r="AZ3" s="7">
        <v>1141.7193344343236</v>
      </c>
      <c r="BA3" s="7">
        <v>1203.8482183908047</v>
      </c>
      <c r="BB3" s="7">
        <v>875.38772687915218</v>
      </c>
      <c r="BC3" s="7">
        <v>326.43100490550398</v>
      </c>
      <c r="BD3" s="7">
        <v>435.97612617557724</v>
      </c>
      <c r="BE3" s="7">
        <v>1571.762915682456</v>
      </c>
      <c r="BF3" s="7">
        <v>1325.1306871816823</v>
      </c>
      <c r="BG3" s="7">
        <v>1306.8333684142351</v>
      </c>
      <c r="BH3" s="7">
        <v>968.53042959738605</v>
      </c>
      <c r="BI3" s="7">
        <v>878.11512206812324</v>
      </c>
      <c r="BJ3" s="7">
        <v>521.0858188010385</v>
      </c>
      <c r="BK3" s="7">
        <v>280.94641528156785</v>
      </c>
      <c r="BL3" s="7">
        <v>1293.8002329432359</v>
      </c>
      <c r="BM3" s="7">
        <v>1241.7574628112479</v>
      </c>
      <c r="BN3" s="7">
        <v>1260.4515975954869</v>
      </c>
      <c r="BO3" s="7">
        <v>1212.7390432428583</v>
      </c>
      <c r="BP3" s="7">
        <v>1183.6739896610952</v>
      </c>
      <c r="BQ3" s="7">
        <v>1411.3348753700363</v>
      </c>
      <c r="BR3" s="7">
        <v>598.66218980922736</v>
      </c>
      <c r="BS3" s="7">
        <v>2080.1791310230656</v>
      </c>
      <c r="BT3" s="7">
        <v>1840.7871799526945</v>
      </c>
      <c r="BU3" s="7">
        <v>1746.2924955497954</v>
      </c>
      <c r="BV3" s="7">
        <v>1877.4485606970429</v>
      </c>
      <c r="BW3" s="7">
        <v>1646.9133122196188</v>
      </c>
      <c r="BX3" s="7">
        <v>1153.1515287092573</v>
      </c>
      <c r="BY3" s="7">
        <v>601.67113250559521</v>
      </c>
      <c r="BZ3" s="7">
        <v>2047.3433141528355</v>
      </c>
      <c r="CA3" s="7">
        <v>2228.2919320116152</v>
      </c>
      <c r="CB3" s="7">
        <v>2082.6649222463661</v>
      </c>
      <c r="CC3" s="7">
        <v>2304.5490314300423</v>
      </c>
      <c r="CD3" s="7">
        <v>2365.9754216512397</v>
      </c>
      <c r="CE3" s="7">
        <v>2055.1605775101543</v>
      </c>
      <c r="CF3" s="7">
        <v>2143.0246412420779</v>
      </c>
      <c r="CG3" s="7">
        <v>2614.0967881268757</v>
      </c>
      <c r="CH3" s="7">
        <v>2647.7200648495118</v>
      </c>
      <c r="CI3" s="7">
        <v>2024.6356862615805</v>
      </c>
      <c r="CJ3" s="7">
        <v>1274.245243647285</v>
      </c>
      <c r="CK3" s="7">
        <v>1205.6732040198988</v>
      </c>
      <c r="CL3" s="7">
        <v>424.07545780804264</v>
      </c>
      <c r="CM3" s="7"/>
      <c r="CN3" s="7"/>
      <c r="CO3" s="7"/>
      <c r="CP3" s="7">
        <v>1020.3528251775558</v>
      </c>
      <c r="CQ3" s="7">
        <v>1581.1522585669782</v>
      </c>
      <c r="CR3" s="7">
        <v>1118.0421812217412</v>
      </c>
      <c r="CS3" s="7">
        <v>847.54413167180599</v>
      </c>
      <c r="CT3" s="7">
        <v>674.50194256495809</v>
      </c>
      <c r="CU3" s="7">
        <v>1125.2312901320461</v>
      </c>
      <c r="CV3" s="7">
        <v>1132.9730093984067</v>
      </c>
      <c r="CW3" s="7">
        <v>998.16323217870172</v>
      </c>
      <c r="CX3" s="7">
        <v>1302.0074309779479</v>
      </c>
      <c r="CY3" s="7">
        <v>1205.4058468071207</v>
      </c>
      <c r="CZ3" s="7">
        <v>755.46258468800227</v>
      </c>
      <c r="DA3" s="7">
        <v>551.88559741373615</v>
      </c>
      <c r="DB3" s="7">
        <v>963.88874423467496</v>
      </c>
      <c r="DC3" s="7">
        <v>1629.5029474677344</v>
      </c>
      <c r="DD3" s="7">
        <v>1646.5066060205095</v>
      </c>
      <c r="DE3" s="7">
        <v>1397.1530153556066</v>
      </c>
      <c r="DF3" s="7">
        <v>1436.7906756165182</v>
      </c>
      <c r="DG3" s="7">
        <v>848.50765894520828</v>
      </c>
      <c r="DH3" s="7">
        <v>847.54681569143111</v>
      </c>
      <c r="DI3" s="7">
        <v>1584.728189866378</v>
      </c>
      <c r="DJ3" s="7">
        <v>1626.7852871200596</v>
      </c>
      <c r="DK3" s="7">
        <v>342.35541215524461</v>
      </c>
      <c r="DL3" s="7"/>
      <c r="DM3" s="7">
        <v>1750.2977595128857</v>
      </c>
      <c r="DN3" s="7">
        <v>1798.3684033024256</v>
      </c>
      <c r="DO3" s="7">
        <v>1349.6681057639155</v>
      </c>
      <c r="DP3" s="7">
        <v>1169.3261792199421</v>
      </c>
      <c r="DQ3" s="7">
        <v>1241.3444099397045</v>
      </c>
      <c r="DR3" s="7">
        <v>1378.0697867209287</v>
      </c>
      <c r="DS3" s="7"/>
      <c r="DT3" s="7">
        <v>1683.4903242677824</v>
      </c>
      <c r="DU3" s="7">
        <v>1305.5495706890022</v>
      </c>
      <c r="DV3" s="7">
        <v>591.61451068057625</v>
      </c>
      <c r="DW3" s="7">
        <v>1767.4524692995442</v>
      </c>
      <c r="DX3" s="7">
        <v>1785.0595971717696</v>
      </c>
      <c r="DY3" s="7">
        <v>1914.3503592218772</v>
      </c>
      <c r="DZ3" s="7">
        <v>1930.2556163047059</v>
      </c>
      <c r="EA3" s="7">
        <v>1910.9439153022672</v>
      </c>
      <c r="EB3" s="7">
        <v>1423.5651811315529</v>
      </c>
      <c r="EC3" s="7">
        <v>557.45660292417415</v>
      </c>
      <c r="ED3" s="7">
        <v>2116.4426461808575</v>
      </c>
      <c r="EE3" s="7">
        <v>1790.5583273361217</v>
      </c>
      <c r="EF3" s="7">
        <v>1907.1693054625466</v>
      </c>
      <c r="EG3" s="7">
        <v>1895.3691549950604</v>
      </c>
      <c r="EH3" s="7">
        <v>1828.2894396738066</v>
      </c>
      <c r="EI3" s="7">
        <v>1171.1775936926626</v>
      </c>
      <c r="EJ3" s="7">
        <v>601.92476931442002</v>
      </c>
      <c r="EK3" s="7">
        <v>1946.6184264368117</v>
      </c>
      <c r="EL3" s="7">
        <v>2083.9507060908331</v>
      </c>
      <c r="EM3" s="7">
        <v>2096.9340966598947</v>
      </c>
      <c r="EN3" s="7">
        <v>2038.0636640290022</v>
      </c>
      <c r="EO3" s="7">
        <v>1808.481435591583</v>
      </c>
      <c r="EP3" s="7">
        <v>1290.911047382179</v>
      </c>
      <c r="EQ3" s="7">
        <v>640.10342018217079</v>
      </c>
      <c r="ER3" s="7">
        <v>2063.1655510099267</v>
      </c>
      <c r="ES3" s="7">
        <v>2058.7108500718887</v>
      </c>
      <c r="ET3" s="7">
        <v>2045.8680077968813</v>
      </c>
      <c r="EU3" s="7">
        <v>2083.0098850406384</v>
      </c>
      <c r="EV3" s="7">
        <v>2105.5213445253917</v>
      </c>
      <c r="EW3" s="7">
        <v>2522.1097646287899</v>
      </c>
      <c r="EX3" s="7">
        <v>1996.2412612213861</v>
      </c>
      <c r="EY3" s="7">
        <v>2035.1624554709351</v>
      </c>
      <c r="EZ3" s="7">
        <v>1631.4900701313759</v>
      </c>
      <c r="FA3" s="7">
        <v>1222.9290341322617</v>
      </c>
      <c r="FB3" s="7">
        <v>606.59840991868725</v>
      </c>
      <c r="FC3" s="7"/>
      <c r="FD3" s="7"/>
      <c r="FE3" s="7"/>
      <c r="FF3" s="7"/>
      <c r="FG3" s="7">
        <v>1628.3327577516845</v>
      </c>
      <c r="FH3" s="7">
        <v>2097.5999011934282</v>
      </c>
      <c r="FI3" s="7">
        <v>2043.1465221425515</v>
      </c>
      <c r="FJ3" s="7">
        <v>2104.6209856989367</v>
      </c>
      <c r="FK3" s="7">
        <v>2132.8012337217274</v>
      </c>
      <c r="FL3" s="7">
        <v>2072.5667991740897</v>
      </c>
      <c r="FM3" s="7">
        <v>2060.5325864305078</v>
      </c>
      <c r="FN3" s="7">
        <v>2080.1644341294591</v>
      </c>
      <c r="FO3" s="7">
        <v>2274.9389827435098</v>
      </c>
      <c r="FP3" s="7">
        <v>1766.9271822571886</v>
      </c>
      <c r="FQ3" s="7">
        <v>1393.9994708149447</v>
      </c>
      <c r="FR3" s="7">
        <v>1130.9538093015794</v>
      </c>
      <c r="FS3" s="7">
        <v>611.25</v>
      </c>
      <c r="FT3" s="7">
        <v>1682.3549410698099</v>
      </c>
      <c r="FU3" s="7">
        <v>1704.6682510884348</v>
      </c>
      <c r="FV3" s="7">
        <v>1908.0262938593762</v>
      </c>
      <c r="FW3" s="7">
        <v>1347.3209073463227</v>
      </c>
      <c r="FX3" s="7">
        <v>2128.3510503627303</v>
      </c>
      <c r="FY3" s="7">
        <v>1163.770459584111</v>
      </c>
      <c r="FZ3" s="7">
        <v>647.66666666666663</v>
      </c>
      <c r="GA3" s="7">
        <v>1904.845978830597</v>
      </c>
      <c r="GB3" s="7">
        <v>1948.6309351432878</v>
      </c>
      <c r="GC3" s="7">
        <v>1258.4638695905298</v>
      </c>
      <c r="GD3" s="7">
        <v>1242.8561544783129</v>
      </c>
      <c r="GE3" s="7">
        <v>1172.9013433186824</v>
      </c>
      <c r="GF3" s="7">
        <v>1236.0106606217028</v>
      </c>
      <c r="GG3" s="7">
        <v>514.48657795715883</v>
      </c>
      <c r="GH3" s="7">
        <v>1183.0790471873656</v>
      </c>
      <c r="GI3" s="7">
        <v>1584.031128960022</v>
      </c>
      <c r="GJ3" s="7">
        <v>1851.963510917727</v>
      </c>
      <c r="GK3" s="7">
        <v>1630.4254887926611</v>
      </c>
      <c r="GL3" s="7">
        <v>1451.9166511002102</v>
      </c>
      <c r="GM3" s="7">
        <v>1222.0406415246769</v>
      </c>
      <c r="GN3" s="7">
        <v>538.28053966242362</v>
      </c>
      <c r="GO3" s="7">
        <v>1143.1673343044429</v>
      </c>
      <c r="GP3" s="7">
        <v>0</v>
      </c>
      <c r="GQ3" s="7">
        <v>1797.6647159766374</v>
      </c>
      <c r="GR3" s="7">
        <v>1567.8797327188256</v>
      </c>
      <c r="GS3" s="7">
        <v>1623.2785475281587</v>
      </c>
      <c r="GT3" s="7">
        <v>1120.5549036977609</v>
      </c>
      <c r="GU3" s="7">
        <v>629.40964672128996</v>
      </c>
      <c r="GV3" s="7">
        <v>1151.473827064458</v>
      </c>
      <c r="GW3" s="7">
        <v>1108.8473570173337</v>
      </c>
      <c r="GX3" s="7">
        <v>1349.9651673130977</v>
      </c>
      <c r="GY3" s="7">
        <v>1181.6048785857786</v>
      </c>
      <c r="GZ3" s="7">
        <v>807.9666933656672</v>
      </c>
      <c r="HA3" s="7">
        <v>625.19438304511766</v>
      </c>
      <c r="HB3" s="7">
        <v>556.53753019109195</v>
      </c>
      <c r="HC3" s="7">
        <v>1280.681195306285</v>
      </c>
      <c r="HD3" s="7">
        <v>1173.1215933308936</v>
      </c>
      <c r="HE3" s="7">
        <v>1326.7516729529141</v>
      </c>
      <c r="HF3" s="7">
        <v>1321.3230867277757</v>
      </c>
      <c r="HG3" s="7">
        <v>883.18890315159183</v>
      </c>
      <c r="HH3" s="7">
        <v>630.37049910732628</v>
      </c>
      <c r="HI3" s="7">
        <v>550.6879463927454</v>
      </c>
      <c r="HJ3" s="7">
        <v>824.66024124370699</v>
      </c>
      <c r="HK3" s="7">
        <v>1124.0855889795571</v>
      </c>
      <c r="HL3" s="7">
        <v>1077.3386435937084</v>
      </c>
      <c r="HM3" s="7">
        <v>1297.3306728974003</v>
      </c>
      <c r="HN3" s="7">
        <v>1087.9509551639917</v>
      </c>
      <c r="HO3" s="7">
        <v>585.93931373875387</v>
      </c>
      <c r="HP3" s="7">
        <v>546.01760772259081</v>
      </c>
      <c r="HQ3" s="7">
        <v>1142.0160122044997</v>
      </c>
      <c r="HR3" s="7">
        <v>1281.8393572535601</v>
      </c>
      <c r="HS3" s="7">
        <v>1085.2922681548848</v>
      </c>
      <c r="HT3" s="7">
        <v>938.73637224822664</v>
      </c>
      <c r="HU3" s="7">
        <v>951.32220286488575</v>
      </c>
      <c r="HV3" s="7">
        <v>583.7389626266156</v>
      </c>
      <c r="HW3" s="7">
        <v>540.94489943729457</v>
      </c>
      <c r="HX3" s="7">
        <v>1038.3115351364704</v>
      </c>
      <c r="HY3" s="7">
        <v>1163.2677133343659</v>
      </c>
      <c r="HZ3" s="7">
        <v>1195.9196322719401</v>
      </c>
      <c r="IA3" s="7">
        <v>1230.7537673285585</v>
      </c>
      <c r="IB3" s="7">
        <v>1174.4865631030723</v>
      </c>
      <c r="IC3" s="7">
        <v>965.48310500144748</v>
      </c>
      <c r="ID3" s="7">
        <v>1165.9980346102707</v>
      </c>
      <c r="IE3" s="7">
        <v>1089.9002402569279</v>
      </c>
      <c r="IF3" s="7">
        <v>1307.8983734504616</v>
      </c>
      <c r="IG3" s="7">
        <v>1298.6844482714812</v>
      </c>
      <c r="IH3" s="7">
        <v>1673.7904362530912</v>
      </c>
      <c r="II3" s="7">
        <v>1767.5870162996143</v>
      </c>
      <c r="IJ3" s="7">
        <v>1401.4818163727271</v>
      </c>
      <c r="IK3" s="7">
        <v>1219.9115194927194</v>
      </c>
      <c r="IL3" s="7">
        <v>1048.8464618089395</v>
      </c>
      <c r="IM3" s="7">
        <v>1112.1036870309131</v>
      </c>
      <c r="IN3" s="7">
        <v>1119.096765594697</v>
      </c>
      <c r="IO3" s="7">
        <v>1075.3959770606866</v>
      </c>
      <c r="IP3" s="7">
        <v>1244.9296744012752</v>
      </c>
      <c r="IQ3" s="7">
        <v>800.04528072690459</v>
      </c>
      <c r="IR3" s="7">
        <v>1021.0833333333335</v>
      </c>
      <c r="IS3" s="7">
        <v>1570.0833333333335</v>
      </c>
      <c r="IT3" s="7">
        <v>1468.3764574272486</v>
      </c>
      <c r="IU3" s="7">
        <v>2144.166666666667</v>
      </c>
      <c r="IV3" s="7">
        <v>2456.666666666667</v>
      </c>
      <c r="IW3" s="7">
        <v>1533.5195620006784</v>
      </c>
      <c r="IX3" s="7">
        <v>1242.5024332941769</v>
      </c>
      <c r="IY3" s="7">
        <v>792.83333333333326</v>
      </c>
      <c r="IZ3" s="7">
        <v>1488.7490820673638</v>
      </c>
      <c r="JA3" s="7">
        <v>1850.1666666666665</v>
      </c>
      <c r="JB3" s="7">
        <v>1449.2759957470539</v>
      </c>
      <c r="JC3" s="7">
        <v>1391.6048693843654</v>
      </c>
      <c r="JD3" s="7">
        <v>1454.7820814559168</v>
      </c>
      <c r="JE3" s="7">
        <v>845.75</v>
      </c>
      <c r="JF3" s="7">
        <v>812.83333333333348</v>
      </c>
      <c r="JG3" s="7">
        <v>1607.5833333333335</v>
      </c>
      <c r="JH3" s="7">
        <v>1727.9166666666667</v>
      </c>
      <c r="JI3" s="7">
        <v>2022.25</v>
      </c>
      <c r="JJ3" s="7">
        <v>2003.166666666667</v>
      </c>
      <c r="JK3" s="7">
        <v>1947.3563472978105</v>
      </c>
      <c r="JL3" s="7">
        <v>861.33333333333326</v>
      </c>
      <c r="JM3" s="7">
        <v>772.08333333333326</v>
      </c>
      <c r="JN3" s="7">
        <v>1839.7499999999998</v>
      </c>
      <c r="JO3" s="7">
        <v>2059.916666666667</v>
      </c>
      <c r="JP3" s="7">
        <v>2015</v>
      </c>
      <c r="JQ3" s="7">
        <v>2074.75</v>
      </c>
      <c r="JR3" s="7">
        <v>1789.3333333333335</v>
      </c>
      <c r="JS3" s="7">
        <v>913.16666666666674</v>
      </c>
      <c r="JT3" s="7">
        <v>816.33333333333348</v>
      </c>
      <c r="JU3" s="7">
        <v>1716.3333333333335</v>
      </c>
      <c r="JV3" s="7">
        <v>1711.0833333333335</v>
      </c>
      <c r="JW3" s="7">
        <v>2011.666666666667</v>
      </c>
      <c r="JX3" s="7">
        <v>1958.8362816295282</v>
      </c>
      <c r="JY3" s="7">
        <v>1922.1666666666665</v>
      </c>
      <c r="JZ3" s="7">
        <v>1327.5</v>
      </c>
      <c r="KA3" s="7">
        <v>689.92806909315232</v>
      </c>
      <c r="KB3" s="7">
        <v>2053.416666666667</v>
      </c>
      <c r="KC3" s="7">
        <v>1988.5</v>
      </c>
      <c r="KD3" s="7">
        <v>2624.5</v>
      </c>
      <c r="KE3" s="7">
        <v>2686.8333333333335</v>
      </c>
      <c r="KF3" s="7">
        <v>2613.166666666667</v>
      </c>
      <c r="KG3" s="7">
        <v>2747</v>
      </c>
      <c r="KH3" s="7">
        <v>1844.583333333333</v>
      </c>
      <c r="KI3" s="7">
        <v>2561</v>
      </c>
      <c r="KJ3" s="7">
        <v>2707.3333333333335</v>
      </c>
      <c r="KK3" s="7">
        <v>3011.0833333333335</v>
      </c>
      <c r="KL3" s="7">
        <v>3002.583333333333</v>
      </c>
      <c r="KM3" s="7">
        <v>2854.4166666666674</v>
      </c>
      <c r="KN3" s="7">
        <v>1892.4999999999998</v>
      </c>
      <c r="KO3" s="7">
        <v>1438.5833333333335</v>
      </c>
      <c r="KP3" s="7">
        <v>3049.833333333333</v>
      </c>
      <c r="KQ3" s="7">
        <v>3047.5</v>
      </c>
      <c r="KR3" s="7">
        <v>2712.8333333333335</v>
      </c>
      <c r="KS3" s="7">
        <v>2493.25</v>
      </c>
      <c r="KT3" s="7">
        <v>2495.9166666666665</v>
      </c>
      <c r="KU3" s="7">
        <v>1248.9166666666667</v>
      </c>
      <c r="KV3" s="7">
        <v>1163.5833333333335</v>
      </c>
      <c r="KW3" s="7">
        <v>2305.416666666667</v>
      </c>
      <c r="KX3" s="7">
        <v>2774.75</v>
      </c>
      <c r="KY3" s="7">
        <v>2485.666666666667</v>
      </c>
      <c r="KZ3" s="7">
        <v>2383</v>
      </c>
      <c r="LA3" s="7">
        <v>2125.0833333333335</v>
      </c>
      <c r="LB3" s="7">
        <v>1286.8959986516561</v>
      </c>
      <c r="LC3" s="7">
        <v>1258.8333333333333</v>
      </c>
      <c r="LD3" s="7">
        <v>1936.2499999999998</v>
      </c>
      <c r="LE3" s="7">
        <v>1967.2499999999998</v>
      </c>
      <c r="LF3" s="7">
        <v>1980.0833333333328</v>
      </c>
      <c r="LG3" s="7">
        <v>1706.4221249060872</v>
      </c>
      <c r="LH3" s="7">
        <v>1739.7895332084177</v>
      </c>
      <c r="LI3" s="7">
        <v>1271.5</v>
      </c>
      <c r="LJ3" s="7">
        <v>1232.6666666666667</v>
      </c>
      <c r="LK3" s="7">
        <v>1579.2465838773805</v>
      </c>
      <c r="LL3" s="7">
        <v>2367.9166666666665</v>
      </c>
      <c r="LM3" s="7">
        <v>2293.3638581683817</v>
      </c>
      <c r="LN3" s="7">
        <v>1947.6224100995255</v>
      </c>
      <c r="LO3" s="7">
        <v>1696.4095984152707</v>
      </c>
      <c r="LP3" s="7">
        <v>1264</v>
      </c>
      <c r="LQ3" s="7">
        <v>1182.0833333333333</v>
      </c>
      <c r="LR3" s="7">
        <v>1627.2499999999998</v>
      </c>
      <c r="LS3" s="7">
        <v>2129.8333333333335</v>
      </c>
      <c r="LT3" s="7">
        <v>2071.5833333333335</v>
      </c>
      <c r="LU3" s="7">
        <v>2024.2658034558706</v>
      </c>
      <c r="LV3" s="7">
        <v>2097.75</v>
      </c>
      <c r="LW3" s="7">
        <v>1219</v>
      </c>
      <c r="LX3" s="7">
        <v>1176.0833333333335</v>
      </c>
      <c r="LY3" s="7">
        <v>2248.416666666667</v>
      </c>
      <c r="LZ3" s="7">
        <v>2282.333333333333</v>
      </c>
      <c r="MA3" s="7">
        <v>2297.1666666666665</v>
      </c>
      <c r="MB3" s="7">
        <v>1923.1271046700253</v>
      </c>
      <c r="MC3" s="7">
        <v>1851.3989800070017</v>
      </c>
      <c r="MD3" s="7">
        <v>1147.4671246295272</v>
      </c>
      <c r="ME3" s="7">
        <v>1051.8867959543472</v>
      </c>
      <c r="MF3" s="7">
        <v>2257.166666666667</v>
      </c>
      <c r="MG3" s="7">
        <v>2593.75</v>
      </c>
      <c r="MH3" s="7">
        <v>2777.1666666666665</v>
      </c>
      <c r="MI3" s="7">
        <v>2447.8186300459965</v>
      </c>
      <c r="MJ3" s="7">
        <v>1971.4130591612261</v>
      </c>
      <c r="MK3" s="7">
        <v>1233.8333333333335</v>
      </c>
      <c r="ML3" s="7">
        <v>1163</v>
      </c>
      <c r="MM3" s="7">
        <v>1744.3333333333335</v>
      </c>
      <c r="MN3" s="7">
        <v>1728.25</v>
      </c>
      <c r="MO3" s="7">
        <v>1726</v>
      </c>
      <c r="MP3" s="7">
        <v>2085</v>
      </c>
      <c r="MQ3" s="7">
        <v>1641.8862820764921</v>
      </c>
      <c r="MR3" s="7">
        <v>1605.4342749601519</v>
      </c>
      <c r="MS3" s="7">
        <v>1574.9571425722434</v>
      </c>
      <c r="MT3" s="7">
        <v>1567.7544689056656</v>
      </c>
      <c r="MU3" s="7">
        <v>1615.083333333333</v>
      </c>
      <c r="MV3" s="7">
        <v>1745.9371651684376</v>
      </c>
      <c r="MW3" s="7">
        <v>1685.0833333333335</v>
      </c>
      <c r="MX3" s="7">
        <v>1621.5525803884584</v>
      </c>
      <c r="MY3" s="7">
        <v>1020.5465778990779</v>
      </c>
      <c r="MZ3" s="7">
        <v>909.9000728168935</v>
      </c>
      <c r="NA3" s="7">
        <v>1710.583333333333</v>
      </c>
      <c r="NB3" s="7">
        <v>1585.8811143001856</v>
      </c>
      <c r="NC3" s="7">
        <v>1007.4555429186063</v>
      </c>
    </row>
    <row r="4" spans="1:367">
      <c r="A4" s="15">
        <f>SUM(C4:NC4)</f>
        <v>41627968</v>
      </c>
      <c r="B4" s="16" t="s">
        <v>423</v>
      </c>
      <c r="C4" s="7"/>
      <c r="D4" s="7">
        <v>110643</v>
      </c>
      <c r="E4" s="7">
        <v>87275</v>
      </c>
      <c r="F4" s="7">
        <v>63212</v>
      </c>
      <c r="G4" s="7">
        <v>52114</v>
      </c>
      <c r="H4" s="7">
        <v>77341</v>
      </c>
      <c r="I4" s="7">
        <v>84247</v>
      </c>
      <c r="J4" s="7">
        <v>48078</v>
      </c>
      <c r="K4" s="7">
        <v>59064</v>
      </c>
      <c r="L4" s="7">
        <v>55304</v>
      </c>
      <c r="M4" s="7">
        <v>62212</v>
      </c>
      <c r="N4" s="7">
        <v>64795</v>
      </c>
      <c r="O4" s="7">
        <v>76231</v>
      </c>
      <c r="P4" s="7">
        <v>71610</v>
      </c>
      <c r="Q4" s="7">
        <v>90966</v>
      </c>
      <c r="R4" s="7">
        <v>102665</v>
      </c>
      <c r="S4" s="7">
        <v>121547</v>
      </c>
      <c r="T4" s="7">
        <v>66659</v>
      </c>
      <c r="U4" s="7">
        <v>72913</v>
      </c>
      <c r="V4" s="7">
        <v>82607</v>
      </c>
      <c r="W4" s="7">
        <v>112240</v>
      </c>
      <c r="X4" s="7">
        <v>67455</v>
      </c>
      <c r="Y4" s="7">
        <v>77349</v>
      </c>
      <c r="Z4" s="7">
        <v>83403</v>
      </c>
      <c r="AA4" s="7">
        <v>65075</v>
      </c>
      <c r="AB4" s="7">
        <v>67819</v>
      </c>
      <c r="AC4" s="7">
        <v>61208</v>
      </c>
      <c r="AD4" s="7">
        <v>73830</v>
      </c>
      <c r="AE4" s="7">
        <v>70622</v>
      </c>
      <c r="AF4" s="7">
        <v>91810</v>
      </c>
      <c r="AG4" s="7">
        <v>79330</v>
      </c>
      <c r="AH4" s="7">
        <v>68062</v>
      </c>
      <c r="AI4" s="7">
        <v>66284</v>
      </c>
      <c r="AJ4" s="7">
        <v>63491</v>
      </c>
      <c r="AK4" s="7">
        <v>94199</v>
      </c>
      <c r="AL4" s="7">
        <v>101409</v>
      </c>
      <c r="AM4" s="7">
        <v>119888</v>
      </c>
      <c r="AN4" s="7">
        <v>121421</v>
      </c>
      <c r="AO4" s="7">
        <v>63936</v>
      </c>
      <c r="AP4" s="7">
        <v>72118</v>
      </c>
      <c r="AQ4" s="7">
        <v>116466</v>
      </c>
      <c r="AR4" s="7">
        <v>144028</v>
      </c>
      <c r="AS4" s="7">
        <v>125887</v>
      </c>
      <c r="AT4" s="7">
        <v>113816</v>
      </c>
      <c r="AU4" s="7">
        <v>81952</v>
      </c>
      <c r="AV4" s="7">
        <v>45981</v>
      </c>
      <c r="AW4" s="7">
        <v>59650</v>
      </c>
      <c r="AX4" s="7">
        <v>78510</v>
      </c>
      <c r="AY4" s="7">
        <v>116888</v>
      </c>
      <c r="AZ4" s="7">
        <v>106342</v>
      </c>
      <c r="BA4" s="7">
        <v>107226</v>
      </c>
      <c r="BB4" s="7">
        <v>76782</v>
      </c>
      <c r="BC4" s="7">
        <v>32401</v>
      </c>
      <c r="BD4" s="7">
        <v>38891</v>
      </c>
      <c r="BE4" s="7">
        <v>129906</v>
      </c>
      <c r="BF4" s="7">
        <v>117681</v>
      </c>
      <c r="BG4" s="7">
        <v>118930</v>
      </c>
      <c r="BH4" s="7">
        <v>87580</v>
      </c>
      <c r="BI4" s="7">
        <v>77909</v>
      </c>
      <c r="BJ4" s="7">
        <v>59479</v>
      </c>
      <c r="BK4" s="7">
        <v>22728</v>
      </c>
      <c r="BL4" s="7">
        <v>112127</v>
      </c>
      <c r="BM4" s="7">
        <v>103596</v>
      </c>
      <c r="BN4" s="7">
        <v>120229</v>
      </c>
      <c r="BO4" s="7">
        <v>131137</v>
      </c>
      <c r="BP4" s="7">
        <v>107751</v>
      </c>
      <c r="BQ4" s="7">
        <v>108742</v>
      </c>
      <c r="BR4" s="7">
        <v>58458</v>
      </c>
      <c r="BS4" s="7">
        <v>164473</v>
      </c>
      <c r="BT4" s="7">
        <v>159517</v>
      </c>
      <c r="BU4" s="7">
        <v>157760</v>
      </c>
      <c r="BV4" s="7">
        <v>149924</v>
      </c>
      <c r="BW4" s="7">
        <v>131110</v>
      </c>
      <c r="BX4" s="7">
        <v>110539</v>
      </c>
      <c r="BY4" s="7">
        <v>63610</v>
      </c>
      <c r="BZ4" s="7">
        <v>182683</v>
      </c>
      <c r="CA4" s="7">
        <v>192737</v>
      </c>
      <c r="CB4" s="7">
        <v>134139</v>
      </c>
      <c r="CC4" s="7">
        <v>215897</v>
      </c>
      <c r="CD4" s="7">
        <v>194964</v>
      </c>
      <c r="CE4" s="7">
        <v>176985</v>
      </c>
      <c r="CF4" s="7">
        <v>188732</v>
      </c>
      <c r="CG4" s="7">
        <v>214586</v>
      </c>
      <c r="CH4" s="7">
        <v>205580</v>
      </c>
      <c r="CI4" s="7">
        <v>166310</v>
      </c>
      <c r="CJ4" s="7">
        <v>109142</v>
      </c>
      <c r="CK4" s="7">
        <v>81560</v>
      </c>
      <c r="CL4" s="7">
        <v>31815</v>
      </c>
      <c r="CM4" s="7"/>
      <c r="CP4" s="7">
        <v>132281</v>
      </c>
      <c r="CQ4" s="7">
        <v>163506</v>
      </c>
      <c r="CR4" s="7">
        <v>110862</v>
      </c>
      <c r="CS4" s="7">
        <v>91593</v>
      </c>
      <c r="CT4" s="7">
        <v>62637</v>
      </c>
      <c r="CU4" s="7">
        <v>89857</v>
      </c>
      <c r="CV4" s="7">
        <v>109882</v>
      </c>
      <c r="CW4" s="7">
        <v>99143</v>
      </c>
      <c r="CX4" s="7">
        <v>103994</v>
      </c>
      <c r="CY4" s="7">
        <v>96270</v>
      </c>
      <c r="CZ4" s="7">
        <v>84679</v>
      </c>
      <c r="DA4" s="7">
        <v>58770</v>
      </c>
      <c r="DB4" s="7">
        <v>96571</v>
      </c>
      <c r="DC4" s="7">
        <v>137241</v>
      </c>
      <c r="DD4" s="7">
        <v>137967</v>
      </c>
      <c r="DE4" s="7">
        <v>131487</v>
      </c>
      <c r="DF4" s="7">
        <v>117102</v>
      </c>
      <c r="DG4" s="7">
        <v>75697</v>
      </c>
      <c r="DH4" s="7">
        <v>74201</v>
      </c>
      <c r="DI4" s="7">
        <v>108616</v>
      </c>
      <c r="DJ4" s="7">
        <v>121063</v>
      </c>
      <c r="DK4" s="7">
        <v>31484</v>
      </c>
      <c r="DL4" s="7"/>
      <c r="DM4" s="7">
        <v>114107</v>
      </c>
      <c r="DN4" s="7">
        <v>147341</v>
      </c>
      <c r="DO4" s="7">
        <v>124905</v>
      </c>
      <c r="DP4" s="7">
        <v>96588</v>
      </c>
      <c r="DQ4" s="7">
        <v>98359</v>
      </c>
      <c r="DR4" s="7">
        <v>92032</v>
      </c>
      <c r="DS4" s="7"/>
      <c r="DT4" s="7">
        <v>137529</v>
      </c>
      <c r="DU4" s="7">
        <v>115633</v>
      </c>
      <c r="DV4" s="7">
        <v>66199</v>
      </c>
      <c r="DW4" s="7">
        <v>145801</v>
      </c>
      <c r="DX4" s="7">
        <v>150525</v>
      </c>
      <c r="DY4" s="7">
        <v>162793</v>
      </c>
      <c r="DZ4" s="7">
        <v>156346</v>
      </c>
      <c r="EA4" s="7">
        <v>163479</v>
      </c>
      <c r="EB4" s="7">
        <v>111596</v>
      </c>
      <c r="EC4" s="7">
        <v>64708</v>
      </c>
      <c r="ED4" s="7">
        <v>171757</v>
      </c>
      <c r="EE4" s="7">
        <v>138098</v>
      </c>
      <c r="EF4" s="7">
        <v>155781</v>
      </c>
      <c r="EG4" s="7">
        <v>170499</v>
      </c>
      <c r="EH4" s="7">
        <v>144668</v>
      </c>
      <c r="EI4" s="7">
        <v>107764</v>
      </c>
      <c r="EJ4" s="7">
        <v>61443</v>
      </c>
      <c r="EK4" s="7">
        <v>149175</v>
      </c>
      <c r="EL4" s="7">
        <v>180707</v>
      </c>
      <c r="EM4" s="7">
        <v>171073</v>
      </c>
      <c r="EN4" s="7">
        <v>188432</v>
      </c>
      <c r="EO4" s="7">
        <v>164906</v>
      </c>
      <c r="EP4" s="7">
        <v>116073</v>
      </c>
      <c r="EQ4" s="7">
        <v>60044</v>
      </c>
      <c r="ER4" s="7">
        <v>169122</v>
      </c>
      <c r="ES4" s="7">
        <v>194141</v>
      </c>
      <c r="ET4" s="7">
        <v>198611</v>
      </c>
      <c r="EU4" s="7">
        <v>202956</v>
      </c>
      <c r="EV4" s="7">
        <v>194559</v>
      </c>
      <c r="EW4" s="7">
        <v>224996</v>
      </c>
      <c r="EX4" s="7">
        <v>175325</v>
      </c>
      <c r="EY4" s="7">
        <v>191577</v>
      </c>
      <c r="EZ4" s="7">
        <v>147703</v>
      </c>
      <c r="FA4" s="7">
        <v>79333</v>
      </c>
      <c r="FB4" s="7">
        <v>39704</v>
      </c>
      <c r="FC4" s="7"/>
      <c r="FD4" s="7"/>
      <c r="FE4" s="7"/>
      <c r="FG4" s="7">
        <v>103356</v>
      </c>
      <c r="FH4" s="7">
        <v>175987</v>
      </c>
      <c r="FI4" s="7">
        <v>179739</v>
      </c>
      <c r="FJ4" s="7">
        <v>178726</v>
      </c>
      <c r="FK4" s="7">
        <v>198924</v>
      </c>
      <c r="FL4" s="7">
        <v>187310</v>
      </c>
      <c r="FM4" s="7">
        <v>178551</v>
      </c>
      <c r="FN4" s="7">
        <v>178492</v>
      </c>
      <c r="FO4" s="7">
        <v>164118</v>
      </c>
      <c r="FP4" s="7">
        <v>169164</v>
      </c>
      <c r="FQ4" s="7">
        <v>120202</v>
      </c>
      <c r="FR4" s="7">
        <v>112206</v>
      </c>
      <c r="FS4" s="7">
        <v>53146</v>
      </c>
      <c r="FT4" s="7">
        <v>127975</v>
      </c>
      <c r="FU4" s="7">
        <v>121036</v>
      </c>
      <c r="FV4" s="7">
        <v>159463</v>
      </c>
      <c r="FW4" s="7">
        <v>125346</v>
      </c>
      <c r="FX4" s="7">
        <v>176854</v>
      </c>
      <c r="FY4" s="7">
        <v>109558</v>
      </c>
      <c r="FZ4" s="7">
        <v>64380</v>
      </c>
      <c r="GA4" s="7">
        <v>164559</v>
      </c>
      <c r="GB4" s="7">
        <v>170067</v>
      </c>
      <c r="GC4" s="7">
        <v>111654</v>
      </c>
      <c r="GD4" s="7">
        <v>108301</v>
      </c>
      <c r="GE4" s="7">
        <v>113625</v>
      </c>
      <c r="GF4" s="7">
        <v>71702</v>
      </c>
      <c r="GG4" s="7">
        <v>47044</v>
      </c>
      <c r="GH4" s="7">
        <v>82254</v>
      </c>
      <c r="GI4" s="7">
        <v>134372</v>
      </c>
      <c r="GJ4" s="7">
        <v>162133</v>
      </c>
      <c r="GK4" s="7">
        <v>138379</v>
      </c>
      <c r="GL4" s="7">
        <v>122077</v>
      </c>
      <c r="GM4" s="7">
        <v>107437</v>
      </c>
      <c r="GN4" s="7">
        <v>53101</v>
      </c>
      <c r="GO4" s="7">
        <v>89111</v>
      </c>
      <c r="GP4" s="7"/>
      <c r="GQ4" s="7">
        <v>159407</v>
      </c>
      <c r="GR4" s="7">
        <v>133737</v>
      </c>
      <c r="GS4" s="7">
        <v>138296</v>
      </c>
      <c r="GT4" s="7">
        <v>111576</v>
      </c>
      <c r="GU4" s="7">
        <v>78533</v>
      </c>
      <c r="GV4" s="7">
        <v>108319</v>
      </c>
      <c r="GW4" s="7">
        <v>99199</v>
      </c>
      <c r="GX4" s="7">
        <v>125917</v>
      </c>
      <c r="GY4" s="7">
        <v>107202</v>
      </c>
      <c r="GZ4" s="7">
        <v>70237</v>
      </c>
      <c r="HA4" s="7">
        <v>68691</v>
      </c>
      <c r="HB4" s="7">
        <v>53047</v>
      </c>
      <c r="HC4" s="7">
        <v>115829</v>
      </c>
      <c r="HD4" s="7">
        <v>91059</v>
      </c>
      <c r="HE4" s="7">
        <v>122340</v>
      </c>
      <c r="HF4" s="7">
        <v>109182</v>
      </c>
      <c r="HG4" s="7">
        <v>87679</v>
      </c>
      <c r="HH4" s="7">
        <v>61698</v>
      </c>
      <c r="HI4" s="7">
        <v>61682</v>
      </c>
      <c r="HJ4" s="7">
        <v>77230</v>
      </c>
      <c r="HK4" s="7">
        <v>104139</v>
      </c>
      <c r="HL4" s="7">
        <v>82983</v>
      </c>
      <c r="HM4" s="7">
        <v>90204</v>
      </c>
      <c r="HN4" s="7">
        <v>85671</v>
      </c>
      <c r="HO4" s="7">
        <v>57891</v>
      </c>
      <c r="HP4" s="7">
        <v>61316</v>
      </c>
      <c r="HQ4" s="7">
        <v>105471</v>
      </c>
      <c r="HR4" s="7">
        <v>101457</v>
      </c>
      <c r="HS4" s="7">
        <v>104894</v>
      </c>
      <c r="HT4" s="7">
        <v>76625</v>
      </c>
      <c r="HU4" s="7">
        <v>95494</v>
      </c>
      <c r="HV4" s="7">
        <v>55431</v>
      </c>
      <c r="HW4" s="7">
        <v>53520</v>
      </c>
      <c r="HX4" s="7">
        <v>95544</v>
      </c>
      <c r="HY4" s="7">
        <v>74754</v>
      </c>
      <c r="HZ4" s="7">
        <v>94031</v>
      </c>
      <c r="IA4" s="7">
        <v>110057</v>
      </c>
      <c r="IB4" s="7">
        <v>109663</v>
      </c>
      <c r="IC4" s="7">
        <v>97395</v>
      </c>
      <c r="ID4" s="7">
        <v>101139</v>
      </c>
      <c r="IE4" s="7">
        <v>100015</v>
      </c>
      <c r="IF4" s="7">
        <v>100925</v>
      </c>
      <c r="IG4" s="7">
        <v>108140</v>
      </c>
      <c r="IH4" s="7">
        <v>135149</v>
      </c>
      <c r="II4" s="7">
        <v>132242</v>
      </c>
      <c r="IJ4" s="7">
        <v>120066</v>
      </c>
      <c r="IK4" s="7">
        <v>87423</v>
      </c>
      <c r="IL4" s="7">
        <v>100667</v>
      </c>
      <c r="IM4" s="7">
        <v>105281</v>
      </c>
      <c r="IN4" s="7">
        <v>101162</v>
      </c>
      <c r="IO4" s="7">
        <v>99084</v>
      </c>
      <c r="IP4" s="7">
        <v>92940</v>
      </c>
      <c r="IQ4" s="7">
        <v>96635</v>
      </c>
      <c r="IR4" s="7">
        <v>94950</v>
      </c>
      <c r="IS4" s="7">
        <v>114541</v>
      </c>
      <c r="IT4" s="7">
        <v>112662</v>
      </c>
      <c r="IU4" s="7">
        <v>160569</v>
      </c>
      <c r="IV4" s="7">
        <v>161724</v>
      </c>
      <c r="IW4" s="7">
        <v>122683</v>
      </c>
      <c r="IX4" s="7">
        <v>94924</v>
      </c>
      <c r="IY4" s="7">
        <v>55861</v>
      </c>
      <c r="IZ4" s="7">
        <v>113870</v>
      </c>
      <c r="JA4" s="7">
        <v>133449</v>
      </c>
      <c r="JB4" s="7">
        <v>138100</v>
      </c>
      <c r="JC4" s="7">
        <v>123171</v>
      </c>
      <c r="JD4" s="7">
        <v>97939</v>
      </c>
      <c r="JE4" s="7">
        <v>79824</v>
      </c>
      <c r="JF4" s="7">
        <v>72897</v>
      </c>
      <c r="JG4" s="7">
        <v>122924</v>
      </c>
      <c r="JH4" s="7">
        <v>162105</v>
      </c>
      <c r="JI4" s="7">
        <v>155098</v>
      </c>
      <c r="JJ4" s="7">
        <v>175438</v>
      </c>
      <c r="JK4" s="7">
        <v>173772</v>
      </c>
      <c r="JL4" s="7">
        <v>81824</v>
      </c>
      <c r="JM4" s="7">
        <v>63789</v>
      </c>
      <c r="JN4" s="7">
        <v>137330</v>
      </c>
      <c r="JO4" s="7">
        <v>180857</v>
      </c>
      <c r="JP4" s="7">
        <v>153693</v>
      </c>
      <c r="JQ4" s="7">
        <v>160271</v>
      </c>
      <c r="JR4" s="7">
        <v>130407</v>
      </c>
      <c r="JS4" s="7">
        <v>80175</v>
      </c>
      <c r="JT4" s="7">
        <v>69509</v>
      </c>
      <c r="JU4" s="7">
        <v>140091</v>
      </c>
      <c r="JV4" s="7">
        <v>152437</v>
      </c>
      <c r="JW4" s="7">
        <v>165264</v>
      </c>
      <c r="JX4" s="7">
        <v>166804</v>
      </c>
      <c r="JY4" s="7">
        <v>169997</v>
      </c>
      <c r="JZ4" s="7">
        <v>97826</v>
      </c>
      <c r="KA4" s="7">
        <v>64206</v>
      </c>
      <c r="KB4" s="7">
        <v>170708</v>
      </c>
      <c r="KC4" s="7">
        <v>158008</v>
      </c>
      <c r="KD4" s="7">
        <v>192530</v>
      </c>
      <c r="KE4" s="7">
        <v>203784</v>
      </c>
      <c r="KF4" s="7">
        <v>204396</v>
      </c>
      <c r="KG4" s="7">
        <v>208851</v>
      </c>
      <c r="KH4" s="7">
        <v>148569</v>
      </c>
      <c r="KI4" s="7">
        <v>186515</v>
      </c>
      <c r="KJ4" s="7">
        <v>204510</v>
      </c>
      <c r="KK4" s="7">
        <v>193440</v>
      </c>
      <c r="KL4" s="7">
        <v>201113</v>
      </c>
      <c r="KM4" s="7">
        <v>186788</v>
      </c>
      <c r="KN4" s="7">
        <v>140491</v>
      </c>
      <c r="KO4" s="7">
        <v>110068</v>
      </c>
      <c r="KP4" s="7">
        <v>185052</v>
      </c>
      <c r="KQ4" s="7">
        <v>192934</v>
      </c>
      <c r="KR4" s="7">
        <v>199740</v>
      </c>
      <c r="KS4" s="7">
        <v>166702</v>
      </c>
      <c r="KT4" s="7">
        <v>147594</v>
      </c>
      <c r="KU4" s="7">
        <v>94938</v>
      </c>
      <c r="KV4" s="7">
        <v>81593</v>
      </c>
      <c r="KW4" s="7">
        <v>142687</v>
      </c>
      <c r="KX4" s="7">
        <v>180621</v>
      </c>
      <c r="KY4" s="7">
        <v>175107</v>
      </c>
      <c r="KZ4" s="7">
        <v>154797</v>
      </c>
      <c r="LA4" s="7">
        <v>74868</v>
      </c>
      <c r="LB4" s="7">
        <v>96851</v>
      </c>
      <c r="LC4" s="7">
        <v>86491</v>
      </c>
      <c r="LD4" s="7">
        <v>106192</v>
      </c>
      <c r="LE4" s="7">
        <v>107346</v>
      </c>
      <c r="LF4" s="7">
        <v>120419</v>
      </c>
      <c r="LG4" s="7">
        <v>120474</v>
      </c>
      <c r="LH4" s="7">
        <v>110058</v>
      </c>
      <c r="LI4" s="7">
        <v>95001</v>
      </c>
      <c r="LJ4" s="7">
        <v>95369</v>
      </c>
      <c r="LK4" s="7">
        <v>113534</v>
      </c>
      <c r="LL4" s="7">
        <v>163202</v>
      </c>
      <c r="LM4" s="7">
        <v>142964</v>
      </c>
      <c r="LN4" s="7">
        <v>116997</v>
      </c>
      <c r="LO4" s="7">
        <v>125370</v>
      </c>
      <c r="LP4" s="7">
        <v>78188</v>
      </c>
      <c r="LQ4" s="7">
        <v>72542</v>
      </c>
      <c r="LR4" s="7">
        <v>97062</v>
      </c>
      <c r="LS4" s="7">
        <v>135522</v>
      </c>
      <c r="LT4" s="7">
        <v>148071</v>
      </c>
      <c r="LU4" s="7">
        <v>149634</v>
      </c>
      <c r="LV4" s="7">
        <v>134967</v>
      </c>
      <c r="LW4" s="7">
        <v>80883</v>
      </c>
      <c r="LX4" s="7">
        <v>78956</v>
      </c>
      <c r="LY4" s="7">
        <v>159182</v>
      </c>
      <c r="LZ4" s="7">
        <v>153160</v>
      </c>
      <c r="MA4" s="7">
        <v>161397</v>
      </c>
      <c r="MB4" s="7">
        <v>145554</v>
      </c>
      <c r="MC4" s="7">
        <v>147452</v>
      </c>
      <c r="MD4" s="7">
        <v>92499</v>
      </c>
      <c r="ME4" s="7">
        <v>68256</v>
      </c>
      <c r="MF4" s="7">
        <v>151339</v>
      </c>
      <c r="MG4" s="7">
        <v>173646</v>
      </c>
      <c r="MH4" s="7">
        <v>185213</v>
      </c>
      <c r="MI4" s="7">
        <v>179442</v>
      </c>
      <c r="MJ4" s="7">
        <v>150271</v>
      </c>
      <c r="MK4" s="7">
        <v>104134</v>
      </c>
      <c r="ML4" s="7">
        <v>81869</v>
      </c>
      <c r="MM4" s="7">
        <v>114209</v>
      </c>
      <c r="MN4" s="7">
        <v>115080</v>
      </c>
      <c r="MO4" s="7">
        <v>123929</v>
      </c>
      <c r="MP4" s="7">
        <v>126490</v>
      </c>
      <c r="MQ4" s="7">
        <v>124670</v>
      </c>
      <c r="MR4" s="7">
        <v>117599</v>
      </c>
      <c r="MS4" s="7">
        <v>120249</v>
      </c>
      <c r="MT4" s="7">
        <v>121471</v>
      </c>
      <c r="MU4" s="7">
        <v>117141</v>
      </c>
      <c r="MV4" s="7">
        <v>125795</v>
      </c>
      <c r="MW4" s="7">
        <v>130381</v>
      </c>
      <c r="MX4" s="7">
        <v>118133</v>
      </c>
      <c r="MY4" s="7">
        <v>86641</v>
      </c>
      <c r="MZ4" s="7">
        <v>79096</v>
      </c>
      <c r="NA4" s="7">
        <v>118210</v>
      </c>
      <c r="NB4" s="7">
        <v>123259</v>
      </c>
      <c r="NC4" s="7">
        <v>85247</v>
      </c>
    </row>
    <row r="5" spans="1:367">
      <c r="A5" s="17">
        <f>A4/A3</f>
        <v>80.303201155673889</v>
      </c>
      <c r="B5" s="18" t="s">
        <v>424</v>
      </c>
      <c r="C5" s="7"/>
      <c r="D5" s="7">
        <f t="shared" ref="D5:N5" si="0">+D4/D3</f>
        <v>76.371180772065088</v>
      </c>
      <c r="E5" s="7">
        <f t="shared" si="0"/>
        <v>69.90569972196478</v>
      </c>
      <c r="F5" s="7">
        <f t="shared" si="0"/>
        <v>77.255483224837249</v>
      </c>
      <c r="G5" s="7">
        <f t="shared" si="0"/>
        <v>72.208403361344537</v>
      </c>
      <c r="H5" s="7">
        <f t="shared" si="0"/>
        <v>60.263593531134589</v>
      </c>
      <c r="I5" s="7">
        <f t="shared" si="0"/>
        <v>65.456899834962542</v>
      </c>
      <c r="J5" s="7">
        <f t="shared" si="0"/>
        <v>74.045864661654136</v>
      </c>
      <c r="K5" s="7">
        <f t="shared" si="0"/>
        <v>78.606701308009306</v>
      </c>
      <c r="L5" s="7">
        <f t="shared" si="0"/>
        <v>77.686347353058252</v>
      </c>
      <c r="M5" s="7">
        <f t="shared" si="0"/>
        <v>86.189680814552119</v>
      </c>
      <c r="N5" s="7">
        <f t="shared" si="0"/>
        <v>91.479701353243129</v>
      </c>
      <c r="O5" s="7">
        <f>+O4/O3</f>
        <v>75.532335852202735</v>
      </c>
      <c r="P5" s="7">
        <f t="shared" ref="P5:BY5" si="1">+P4/P3</f>
        <v>69.105808492170127</v>
      </c>
      <c r="Q5" s="7">
        <f t="shared" si="1"/>
        <v>66.512534095054832</v>
      </c>
      <c r="R5" s="7">
        <f t="shared" si="1"/>
        <v>83.558070618470595</v>
      </c>
      <c r="S5" s="7">
        <f t="shared" si="1"/>
        <v>95.080719370980333</v>
      </c>
      <c r="T5" s="7">
        <f t="shared" si="1"/>
        <v>93.764029510251447</v>
      </c>
      <c r="U5" s="7">
        <f t="shared" si="1"/>
        <v>107.73422760312401</v>
      </c>
      <c r="V5" s="7">
        <f t="shared" si="1"/>
        <v>63.362833009136033</v>
      </c>
      <c r="W5" s="7">
        <f t="shared" si="1"/>
        <v>79.496922167450208</v>
      </c>
      <c r="X5" s="7">
        <f t="shared" si="1"/>
        <v>63.637176345925432</v>
      </c>
      <c r="Y5" s="7">
        <f t="shared" si="1"/>
        <v>91.939025917323022</v>
      </c>
      <c r="Z5" s="7">
        <f t="shared" si="1"/>
        <v>84.089053311630224</v>
      </c>
      <c r="AA5" s="7">
        <f t="shared" si="1"/>
        <v>85.029991776047638</v>
      </c>
      <c r="AB5" s="7">
        <f t="shared" si="1"/>
        <v>95.579142857571611</v>
      </c>
      <c r="AC5" s="7">
        <f t="shared" si="1"/>
        <v>64.725382931281644</v>
      </c>
      <c r="AD5" s="7">
        <f t="shared" si="1"/>
        <v>75.316528667540197</v>
      </c>
      <c r="AE5" s="7">
        <f t="shared" si="1"/>
        <v>70.907850910295622</v>
      </c>
      <c r="AF5" s="7">
        <f t="shared" si="1"/>
        <v>86.673977241095756</v>
      </c>
      <c r="AG5" s="7">
        <f t="shared" si="1"/>
        <v>80.205825865560726</v>
      </c>
      <c r="AH5" s="7">
        <f t="shared" si="1"/>
        <v>104.42413953596051</v>
      </c>
      <c r="AI5" s="7">
        <f t="shared" si="1"/>
        <v>98.451408026202444</v>
      </c>
      <c r="AJ5" s="7">
        <f t="shared" si="1"/>
        <v>67.708949429354575</v>
      </c>
      <c r="AK5" s="7">
        <f t="shared" si="1"/>
        <v>81.227630452826702</v>
      </c>
      <c r="AL5" s="7">
        <f t="shared" si="1"/>
        <v>71.735202581368071</v>
      </c>
      <c r="AM5" s="7">
        <f t="shared" si="1"/>
        <v>88.857306751682259</v>
      </c>
      <c r="AN5" s="7">
        <f t="shared" si="1"/>
        <v>95.303276766276795</v>
      </c>
      <c r="AO5" s="7">
        <f t="shared" si="1"/>
        <v>111.50419588315286</v>
      </c>
      <c r="AP5" s="7">
        <f t="shared" si="1"/>
        <v>116.40129418847633</v>
      </c>
      <c r="AQ5" s="7">
        <f t="shared" si="1"/>
        <v>87.123160168104263</v>
      </c>
      <c r="AR5" s="7">
        <f t="shared" si="1"/>
        <v>68.778054530801242</v>
      </c>
      <c r="AS5" s="7">
        <f t="shared" si="1"/>
        <v>92.003387530040271</v>
      </c>
      <c r="AT5" s="7">
        <f t="shared" si="1"/>
        <v>86.421951461587</v>
      </c>
      <c r="AU5" s="7">
        <f t="shared" si="1"/>
        <v>89.401933099149346</v>
      </c>
      <c r="AV5" s="7">
        <f t="shared" si="1"/>
        <v>86.328937087339739</v>
      </c>
      <c r="AW5" s="7">
        <f t="shared" si="1"/>
        <v>90.841099981970103</v>
      </c>
      <c r="AX5" s="7">
        <f t="shared" si="1"/>
        <v>71.260109650138304</v>
      </c>
      <c r="AY5" s="7">
        <f t="shared" si="1"/>
        <v>89.562747741880813</v>
      </c>
      <c r="AZ5" s="7">
        <f t="shared" si="1"/>
        <v>93.141980513703231</v>
      </c>
      <c r="BA5" s="7">
        <f t="shared" si="1"/>
        <v>89.069368016617588</v>
      </c>
      <c r="BB5" s="7">
        <f t="shared" si="1"/>
        <v>87.711990518459487</v>
      </c>
      <c r="BC5" s="7">
        <f t="shared" si="1"/>
        <v>99.258341006484713</v>
      </c>
      <c r="BD5" s="7">
        <f t="shared" si="1"/>
        <v>89.204425804585767</v>
      </c>
      <c r="BE5" s="7">
        <f t="shared" si="1"/>
        <v>82.649869585194466</v>
      </c>
      <c r="BF5" s="7">
        <f t="shared" si="1"/>
        <v>88.807089850350224</v>
      </c>
      <c r="BG5" s="7">
        <f t="shared" si="1"/>
        <v>91.00624675991746</v>
      </c>
      <c r="BH5" s="7">
        <f t="shared" si="1"/>
        <v>90.425656565490286</v>
      </c>
      <c r="BI5" s="7">
        <f t="shared" si="1"/>
        <v>88.722990917762488</v>
      </c>
      <c r="BJ5" s="7">
        <f t="shared" si="1"/>
        <v>114.14434600591257</v>
      </c>
      <c r="BK5" s="7">
        <f t="shared" si="1"/>
        <v>80.897988953593611</v>
      </c>
      <c r="BL5" s="7">
        <f t="shared" si="1"/>
        <v>86.664847590052531</v>
      </c>
      <c r="BM5" s="7">
        <f t="shared" si="1"/>
        <v>83.426919589809629</v>
      </c>
      <c r="BN5" s="7">
        <f t="shared" si="1"/>
        <v>95.385654022221928</v>
      </c>
      <c r="BO5" s="7">
        <f t="shared" si="1"/>
        <v>108.13290850217892</v>
      </c>
      <c r="BP5" s="7">
        <f t="shared" si="1"/>
        <v>91.030977229507954</v>
      </c>
      <c r="BQ5" s="7">
        <f t="shared" si="1"/>
        <v>77.04904193732834</v>
      </c>
      <c r="BR5" s="7">
        <f t="shared" si="1"/>
        <v>97.647723532746426</v>
      </c>
      <c r="BS5" s="7">
        <f t="shared" si="1"/>
        <v>79.066748409839846</v>
      </c>
      <c r="BT5" s="7">
        <f t="shared" si="1"/>
        <v>86.656948580063101</v>
      </c>
      <c r="BU5" s="7">
        <f t="shared" si="1"/>
        <v>90.339963323458889</v>
      </c>
      <c r="BV5" s="7">
        <f t="shared" si="1"/>
        <v>79.855183858852314</v>
      </c>
      <c r="BW5" s="7">
        <f t="shared" si="1"/>
        <v>79.609533195950178</v>
      </c>
      <c r="BX5" s="7">
        <f t="shared" si="1"/>
        <v>95.858174097664545</v>
      </c>
      <c r="BY5" s="7">
        <f t="shared" si="1"/>
        <v>105.72220697227561</v>
      </c>
      <c r="BZ5" s="20">
        <f>+BZ4/BZ3</f>
        <v>89.229294733888779</v>
      </c>
      <c r="CA5" s="20">
        <f t="shared" ref="CA5:CL5" si="2">+CA4/CA3</f>
        <v>86.495399113169398</v>
      </c>
      <c r="CB5" s="20">
        <f t="shared" si="2"/>
        <v>64.407384292677023</v>
      </c>
      <c r="CC5" s="20">
        <f t="shared" si="2"/>
        <v>93.682970965486206</v>
      </c>
      <c r="CD5" s="20">
        <f t="shared" si="2"/>
        <v>82.403222880452631</v>
      </c>
      <c r="CE5" s="20">
        <f t="shared" si="2"/>
        <v>86.117358388812093</v>
      </c>
      <c r="CF5" s="20">
        <f t="shared" si="2"/>
        <v>88.068049413847447</v>
      </c>
      <c r="CG5" s="20">
        <f t="shared" si="2"/>
        <v>82.088008743456299</v>
      </c>
      <c r="CH5" s="20">
        <f t="shared" si="2"/>
        <v>77.644159867665067</v>
      </c>
      <c r="CI5" s="20">
        <f t="shared" si="2"/>
        <v>82.14317327730484</v>
      </c>
      <c r="CJ5" s="20">
        <f t="shared" si="2"/>
        <v>85.652271840232075</v>
      </c>
      <c r="CK5" s="20">
        <f t="shared" si="2"/>
        <v>67.646854660173659</v>
      </c>
      <c r="CL5" s="20">
        <f t="shared" si="2"/>
        <v>75.022025948978708</v>
      </c>
      <c r="CP5" s="7">
        <f>+CP4/CP3</f>
        <v>129.64241067983639</v>
      </c>
      <c r="CQ5" s="7">
        <f t="shared" ref="CQ5:FB5" si="3">+CQ4/CQ3</f>
        <v>103.40939597315436</v>
      </c>
      <c r="CR5" s="7">
        <f t="shared" si="3"/>
        <v>99.157260666905685</v>
      </c>
      <c r="CS5" s="7">
        <f t="shared" si="3"/>
        <v>108.06870884626396</v>
      </c>
      <c r="CT5" s="7">
        <f t="shared" si="3"/>
        <v>92.864076509264805</v>
      </c>
      <c r="CU5" s="7">
        <f t="shared" si="3"/>
        <v>79.856471098893152</v>
      </c>
      <c r="CV5" s="7">
        <f t="shared" si="3"/>
        <v>96.985540775014442</v>
      </c>
      <c r="CW5" s="7">
        <f t="shared" si="3"/>
        <v>99.325437767928491</v>
      </c>
      <c r="CX5" s="7">
        <f t="shared" si="3"/>
        <v>79.872047982006748</v>
      </c>
      <c r="CY5" s="7">
        <f t="shared" si="3"/>
        <v>79.865217391304341</v>
      </c>
      <c r="CZ5" s="7">
        <f t="shared" si="3"/>
        <v>112.08893956670468</v>
      </c>
      <c r="DA5" s="7">
        <f t="shared" si="3"/>
        <v>106.48946135831383</v>
      </c>
      <c r="DB5" s="7">
        <f t="shared" si="3"/>
        <v>100.18894875328907</v>
      </c>
      <c r="DC5" s="7">
        <f t="shared" si="3"/>
        <v>84.222615376838704</v>
      </c>
      <c r="DD5" s="7">
        <f t="shared" si="3"/>
        <v>83.793772521482026</v>
      </c>
      <c r="DE5" s="7">
        <f t="shared" si="3"/>
        <v>94.110665442420157</v>
      </c>
      <c r="DF5" s="7">
        <f t="shared" si="3"/>
        <v>81.50247770069376</v>
      </c>
      <c r="DG5" s="7">
        <f t="shared" si="3"/>
        <v>89.211923076923071</v>
      </c>
      <c r="DH5" s="7">
        <f t="shared" si="3"/>
        <v>87.547966231772833</v>
      </c>
      <c r="DI5" s="7">
        <f t="shared" si="3"/>
        <v>68.539198516534469</v>
      </c>
      <c r="DJ5" s="7">
        <f t="shared" si="3"/>
        <v>74.41854862993074</v>
      </c>
      <c r="DK5" s="7">
        <f t="shared" si="3"/>
        <v>91.962910128388017</v>
      </c>
      <c r="DL5" s="7"/>
      <c r="DM5" s="7">
        <f t="shared" si="3"/>
        <v>65.192907538061633</v>
      </c>
      <c r="DN5" s="7">
        <f t="shared" si="3"/>
        <v>81.930376295219062</v>
      </c>
      <c r="DO5" s="7">
        <f t="shared" si="3"/>
        <v>92.544974180377082</v>
      </c>
      <c r="DP5" s="7">
        <f t="shared" si="3"/>
        <v>82.601417565485349</v>
      </c>
      <c r="DQ5" s="7">
        <f t="shared" si="3"/>
        <v>79.235866543095455</v>
      </c>
      <c r="DR5" s="7">
        <f t="shared" si="3"/>
        <v>66.783265177728836</v>
      </c>
      <c r="DS5" s="7"/>
      <c r="DT5" s="7">
        <f t="shared" si="3"/>
        <v>81.692777212614445</v>
      </c>
      <c r="DU5" s="7">
        <f t="shared" si="3"/>
        <v>88.570363466915182</v>
      </c>
      <c r="DV5" s="7">
        <f t="shared" si="3"/>
        <v>111.89549749861034</v>
      </c>
      <c r="DW5" s="7">
        <f t="shared" si="3"/>
        <v>82.49217590432977</v>
      </c>
      <c r="DX5" s="7">
        <f t="shared" si="3"/>
        <v>84.324915671437694</v>
      </c>
      <c r="DY5" s="7">
        <f t="shared" si="3"/>
        <v>85.038247683235056</v>
      </c>
      <c r="DZ5" s="7">
        <f t="shared" si="3"/>
        <v>80.997562540089802</v>
      </c>
      <c r="EA5" s="7">
        <f t="shared" si="3"/>
        <v>85.548821548821536</v>
      </c>
      <c r="EB5" s="7">
        <f t="shared" si="3"/>
        <v>78.391914524978333</v>
      </c>
      <c r="EC5" s="7">
        <f t="shared" si="3"/>
        <v>116.07719714964368</v>
      </c>
      <c r="ED5" s="7">
        <f t="shared" si="3"/>
        <v>81.153628382010382</v>
      </c>
      <c r="EE5" s="7">
        <f t="shared" si="3"/>
        <v>77.125664041033161</v>
      </c>
      <c r="EF5" s="7">
        <f t="shared" si="3"/>
        <v>81.681788582591707</v>
      </c>
      <c r="EG5" s="7">
        <f t="shared" si="3"/>
        <v>89.955563300514058</v>
      </c>
      <c r="EH5" s="7">
        <f t="shared" si="3"/>
        <v>79.127514966017017</v>
      </c>
      <c r="EI5" s="7">
        <f t="shared" si="3"/>
        <v>92.013372335979938</v>
      </c>
      <c r="EJ5" s="7">
        <f t="shared" si="3"/>
        <v>102.07754047068427</v>
      </c>
      <c r="EK5" s="7">
        <f t="shared" si="3"/>
        <v>76.632892185787753</v>
      </c>
      <c r="EL5" s="7">
        <f t="shared" si="3"/>
        <v>86.713663366336618</v>
      </c>
      <c r="EM5" s="7">
        <f t="shared" si="3"/>
        <v>81.582439940527422</v>
      </c>
      <c r="EN5" s="7">
        <f t="shared" si="3"/>
        <v>92.456385600581783</v>
      </c>
      <c r="EO5" s="7">
        <f t="shared" si="3"/>
        <v>91.184790042401858</v>
      </c>
      <c r="EP5" s="7">
        <f t="shared" si="3"/>
        <v>89.915567951318451</v>
      </c>
      <c r="EQ5" s="7">
        <f t="shared" si="3"/>
        <v>93.803591899121116</v>
      </c>
      <c r="ER5" s="7">
        <f t="shared" si="3"/>
        <v>81.97209376494979</v>
      </c>
      <c r="ES5" s="7">
        <f t="shared" si="3"/>
        <v>94.302218299971912</v>
      </c>
      <c r="ET5" s="7">
        <f t="shared" si="3"/>
        <v>97.079087821445896</v>
      </c>
      <c r="EU5" s="7">
        <f t="shared" si="3"/>
        <v>97.434007134363853</v>
      </c>
      <c r="EV5" s="7">
        <f t="shared" si="3"/>
        <v>92.404192674596615</v>
      </c>
      <c r="EW5" s="7">
        <f t="shared" si="3"/>
        <v>89.209440110595438</v>
      </c>
      <c r="EX5" s="7">
        <f t="shared" si="3"/>
        <v>87.827560428607029</v>
      </c>
      <c r="EY5" s="7">
        <f t="shared" si="3"/>
        <v>94.133517196625576</v>
      </c>
      <c r="EZ5" s="7">
        <f t="shared" si="3"/>
        <v>90.532576755497018</v>
      </c>
      <c r="FA5" s="7">
        <f t="shared" si="3"/>
        <v>64.871303064851446</v>
      </c>
      <c r="FB5" s="7">
        <f t="shared" si="3"/>
        <v>65.453518094981831</v>
      </c>
      <c r="FG5" s="7">
        <f>+FG4/FG3</f>
        <v>63.473512712910399</v>
      </c>
      <c r="FH5" s="7">
        <f t="shared" ref="FH5:HB5" si="4">+FH4/FH3</f>
        <v>83.899222106118671</v>
      </c>
      <c r="FI5" s="7">
        <f t="shared" si="4"/>
        <v>87.971664318776405</v>
      </c>
      <c r="FJ5" s="7">
        <f t="shared" si="4"/>
        <v>84.920753529712513</v>
      </c>
      <c r="FK5" s="7">
        <f t="shared" si="4"/>
        <v>93.268888284014452</v>
      </c>
      <c r="FL5" s="7">
        <f t="shared" si="4"/>
        <v>90.375856679091044</v>
      </c>
      <c r="FM5" s="7">
        <f t="shared" si="4"/>
        <v>86.652839744362709</v>
      </c>
      <c r="FN5" s="7">
        <f t="shared" si="4"/>
        <v>85.806678102684813</v>
      </c>
      <c r="FO5" s="7">
        <f t="shared" si="4"/>
        <v>72.141715116279073</v>
      </c>
      <c r="FP5" s="7">
        <f t="shared" si="4"/>
        <v>95.739089702552889</v>
      </c>
      <c r="FQ5" s="7">
        <f t="shared" si="4"/>
        <v>86.228153250107638</v>
      </c>
      <c r="FR5" s="7">
        <f t="shared" si="4"/>
        <v>99.21360101284138</v>
      </c>
      <c r="FS5" s="7">
        <f t="shared" si="4"/>
        <v>86.946421267893655</v>
      </c>
      <c r="FT5" s="7">
        <f t="shared" si="4"/>
        <v>76.068965517241367</v>
      </c>
      <c r="FU5" s="7">
        <f t="shared" si="4"/>
        <v>71.002671588866761</v>
      </c>
      <c r="FV5" s="7">
        <f t="shared" si="4"/>
        <v>83.57484407484408</v>
      </c>
      <c r="FW5" s="7">
        <f t="shared" si="4"/>
        <v>93.033515116217515</v>
      </c>
      <c r="FX5" s="7">
        <f t="shared" si="4"/>
        <v>83.09437485411965</v>
      </c>
      <c r="FY5" s="7">
        <f t="shared" si="4"/>
        <v>94.140557614043601</v>
      </c>
      <c r="FZ5" s="7">
        <f t="shared" si="4"/>
        <v>99.402985074626869</v>
      </c>
      <c r="GA5" s="7">
        <f t="shared" si="4"/>
        <v>86.389661856558249</v>
      </c>
      <c r="GB5" s="7">
        <f t="shared" si="4"/>
        <v>87.275120666959197</v>
      </c>
      <c r="GC5" s="7">
        <f t="shared" si="4"/>
        <v>88.722451790633599</v>
      </c>
      <c r="GD5" s="7">
        <f t="shared" si="4"/>
        <v>87.138804929086263</v>
      </c>
      <c r="GE5" s="7">
        <f t="shared" si="4"/>
        <v>96.87515548281506</v>
      </c>
      <c r="GF5" s="7">
        <f t="shared" si="4"/>
        <v>58.010826511750722</v>
      </c>
      <c r="GG5" s="7">
        <f t="shared" si="4"/>
        <v>91.438731379144627</v>
      </c>
      <c r="GH5" s="7">
        <f t="shared" si="4"/>
        <v>69.525362819626821</v>
      </c>
      <c r="GI5" s="7">
        <f t="shared" si="4"/>
        <v>84.829141008245486</v>
      </c>
      <c r="GJ5" s="7">
        <f t="shared" si="4"/>
        <v>87.54654130288786</v>
      </c>
      <c r="GK5" s="7">
        <f t="shared" si="4"/>
        <v>84.872937126657902</v>
      </c>
      <c r="GL5" s="7">
        <f t="shared" si="4"/>
        <v>84.079895293916792</v>
      </c>
      <c r="GM5" s="7">
        <f t="shared" si="4"/>
        <v>87.916061339790147</v>
      </c>
      <c r="GN5" s="7">
        <f t="shared" si="4"/>
        <v>98.649302895664178</v>
      </c>
      <c r="GO5" s="7">
        <f t="shared" si="4"/>
        <v>77.950967741935486</v>
      </c>
      <c r="GP5" s="7"/>
      <c r="GQ5" s="7">
        <f t="shared" si="4"/>
        <v>88.674488954074604</v>
      </c>
      <c r="GR5" s="7">
        <f t="shared" si="4"/>
        <v>85.297996529421056</v>
      </c>
      <c r="GS5" s="7">
        <f t="shared" si="4"/>
        <v>85.195483061480559</v>
      </c>
      <c r="GT5" s="7">
        <f t="shared" si="4"/>
        <v>99.572095603531963</v>
      </c>
      <c r="GU5" s="7">
        <f t="shared" si="4"/>
        <v>124.77247593692402</v>
      </c>
      <c r="GV5" s="7">
        <f t="shared" si="4"/>
        <v>94.06987588779684</v>
      </c>
      <c r="GW5" s="7">
        <f t="shared" si="4"/>
        <v>89.461366681554267</v>
      </c>
      <c r="GX5" s="7">
        <f t="shared" si="4"/>
        <v>93.274258513365069</v>
      </c>
      <c r="GY5" s="7">
        <f t="shared" si="4"/>
        <v>90.725759467332523</v>
      </c>
      <c r="GZ5" s="7">
        <f t="shared" si="4"/>
        <v>86.930563569917283</v>
      </c>
      <c r="HA5" s="7">
        <f t="shared" si="4"/>
        <v>109.87142857142857</v>
      </c>
      <c r="HB5" s="7">
        <f t="shared" si="4"/>
        <v>95.316123571730841</v>
      </c>
      <c r="HC5" s="47">
        <f>+HC4/HC3</f>
        <v>90.443273801875876</v>
      </c>
      <c r="HD5" s="47">
        <f t="shared" ref="HD5:JM5" si="5">+HD4/HD3</f>
        <v>77.621109796003623</v>
      </c>
      <c r="HE5" s="47">
        <f t="shared" si="5"/>
        <v>92.210172026925946</v>
      </c>
      <c r="HF5" s="47">
        <f t="shared" si="5"/>
        <v>82.630812324929963</v>
      </c>
      <c r="HG5" s="47">
        <f t="shared" si="5"/>
        <v>99.27547740593684</v>
      </c>
      <c r="HH5" s="47">
        <f t="shared" si="5"/>
        <v>97.875773195876278</v>
      </c>
      <c r="HI5" s="47">
        <f t="shared" si="5"/>
        <v>112.00898876404494</v>
      </c>
      <c r="HJ5" s="47">
        <f t="shared" si="5"/>
        <v>93.650689262678625</v>
      </c>
      <c r="HK5" s="47">
        <f t="shared" si="5"/>
        <v>92.6433013828931</v>
      </c>
      <c r="HL5" s="47">
        <f t="shared" si="5"/>
        <v>77.025919838159055</v>
      </c>
      <c r="HM5" s="47">
        <f t="shared" si="5"/>
        <v>69.530461188081233</v>
      </c>
      <c r="HN5" s="47">
        <f t="shared" si="5"/>
        <v>78.745277618775035</v>
      </c>
      <c r="HO5" s="47">
        <f t="shared" si="5"/>
        <v>98.800334168755242</v>
      </c>
      <c r="HP5" s="47">
        <f t="shared" si="5"/>
        <v>112.29674489023465</v>
      </c>
      <c r="HQ5" s="47">
        <f t="shared" si="5"/>
        <v>92.35509736540665</v>
      </c>
      <c r="HR5" s="47">
        <f t="shared" si="5"/>
        <v>79.149543525781155</v>
      </c>
      <c r="HS5" s="47">
        <f t="shared" si="5"/>
        <v>96.650462808816684</v>
      </c>
      <c r="HT5" s="47">
        <f t="shared" si="5"/>
        <v>81.625685618729094</v>
      </c>
      <c r="HU5" s="47">
        <f t="shared" si="5"/>
        <v>100.38029146426094</v>
      </c>
      <c r="HV5" s="47">
        <f t="shared" si="5"/>
        <v>94.958540630182398</v>
      </c>
      <c r="HW5" s="47">
        <f t="shared" si="5"/>
        <v>98.937988056959114</v>
      </c>
      <c r="HX5" s="47">
        <f t="shared" si="5"/>
        <v>92.018625207165954</v>
      </c>
      <c r="HY5" s="47">
        <f t="shared" si="5"/>
        <v>64.262077545096403</v>
      </c>
      <c r="HZ5" s="47">
        <f t="shared" si="5"/>
        <v>78.626520932150981</v>
      </c>
      <c r="IA5" s="47">
        <f t="shared" si="5"/>
        <v>89.422436007558858</v>
      </c>
      <c r="IB5" s="47">
        <f t="shared" si="5"/>
        <v>93.371012870733068</v>
      </c>
      <c r="IC5" s="47">
        <f t="shared" si="5"/>
        <v>100.876959415933</v>
      </c>
      <c r="ID5" s="47">
        <f t="shared" si="5"/>
        <v>86.740283429212838</v>
      </c>
      <c r="IE5" s="47">
        <f t="shared" si="5"/>
        <v>91.765279340082486</v>
      </c>
      <c r="IF5" s="47">
        <f t="shared" si="5"/>
        <v>77.165781415984512</v>
      </c>
      <c r="IG5" s="47">
        <f t="shared" si="5"/>
        <v>83.268880399647372</v>
      </c>
      <c r="IH5" s="47">
        <f t="shared" si="5"/>
        <v>80.744277821625886</v>
      </c>
      <c r="II5" s="47">
        <f t="shared" si="5"/>
        <v>74.814987200372357</v>
      </c>
      <c r="IJ5" s="47">
        <f t="shared" si="5"/>
        <v>85.670751198721362</v>
      </c>
      <c r="IK5" s="47">
        <f t="shared" si="5"/>
        <v>71.663394109396918</v>
      </c>
      <c r="IL5" s="47">
        <f t="shared" si="5"/>
        <v>95.978776365780178</v>
      </c>
      <c r="IM5" s="47">
        <f t="shared" si="5"/>
        <v>94.668331044813371</v>
      </c>
      <c r="IN5" s="47">
        <f t="shared" si="5"/>
        <v>90.396115072535039</v>
      </c>
      <c r="IO5" s="47">
        <f t="shared" si="5"/>
        <v>92.137223974763387</v>
      </c>
      <c r="IP5" s="47">
        <f t="shared" si="5"/>
        <v>74.654819393471115</v>
      </c>
      <c r="IQ5" s="47">
        <f t="shared" si="5"/>
        <v>120.78691335095364</v>
      </c>
      <c r="IR5" s="47">
        <f t="shared" si="5"/>
        <v>92.989471966049123</v>
      </c>
      <c r="IS5" s="47">
        <f t="shared" si="5"/>
        <v>72.952178759089207</v>
      </c>
      <c r="IT5" s="47">
        <f t="shared" si="5"/>
        <v>76.725555922760961</v>
      </c>
      <c r="IU5" s="47">
        <f t="shared" si="5"/>
        <v>74.88643606684802</v>
      </c>
      <c r="IV5" s="47">
        <f t="shared" si="5"/>
        <v>65.830664857530522</v>
      </c>
      <c r="IW5" s="47">
        <f t="shared" si="5"/>
        <v>80.000935781962809</v>
      </c>
      <c r="IX5" s="47">
        <f t="shared" si="5"/>
        <v>76.397435897435898</v>
      </c>
      <c r="IY5" s="47">
        <f t="shared" si="5"/>
        <v>70.457431154088724</v>
      </c>
      <c r="IZ5" s="47">
        <f t="shared" si="5"/>
        <v>76.487032886612084</v>
      </c>
      <c r="JA5" s="47">
        <f t="shared" si="5"/>
        <v>72.128096567876767</v>
      </c>
      <c r="JB5" s="47">
        <f t="shared" si="5"/>
        <v>95.288958352486901</v>
      </c>
      <c r="JC5" s="47">
        <f t="shared" si="5"/>
        <v>88.510038093277032</v>
      </c>
      <c r="JD5" s="47">
        <f t="shared" si="5"/>
        <v>67.32211047168289</v>
      </c>
      <c r="JE5" s="47">
        <f t="shared" si="5"/>
        <v>94.382500738989066</v>
      </c>
      <c r="JF5" s="47">
        <f t="shared" si="5"/>
        <v>89.682591757227783</v>
      </c>
      <c r="JG5" s="47">
        <f t="shared" si="5"/>
        <v>76.465087346430977</v>
      </c>
      <c r="JH5" s="47">
        <f t="shared" si="5"/>
        <v>93.815288160115742</v>
      </c>
      <c r="JI5" s="47">
        <f t="shared" si="5"/>
        <v>76.69575967363086</v>
      </c>
      <c r="JJ5" s="47">
        <f t="shared" si="5"/>
        <v>87.58033114235792</v>
      </c>
      <c r="JK5" s="47">
        <f t="shared" si="5"/>
        <v>89.234823529411756</v>
      </c>
      <c r="JL5" s="47">
        <f t="shared" si="5"/>
        <v>94.996904024767815</v>
      </c>
      <c r="JM5" s="47">
        <f t="shared" si="5"/>
        <v>82.619320021586631</v>
      </c>
      <c r="JN5" s="47">
        <f>+JN4/JN3</f>
        <v>74.646011686370443</v>
      </c>
      <c r="JO5" s="47">
        <f t="shared" ref="JO5:JT5" si="6">+JO4/JO3</f>
        <v>87.798211901775943</v>
      </c>
      <c r="JP5" s="47">
        <f t="shared" si="6"/>
        <v>76.274441687344918</v>
      </c>
      <c r="JQ5" s="47">
        <f t="shared" si="6"/>
        <v>77.248343173876364</v>
      </c>
      <c r="JR5" s="47">
        <f t="shared" si="6"/>
        <v>72.880216095380021</v>
      </c>
      <c r="JS5" s="47">
        <f t="shared" si="6"/>
        <v>87.798868406643535</v>
      </c>
      <c r="JT5" s="47">
        <f t="shared" si="6"/>
        <v>85.147815434871362</v>
      </c>
      <c r="JU5" s="47">
        <f>+JU4/JU3</f>
        <v>81.622256748883274</v>
      </c>
      <c r="JV5" s="47">
        <f t="shared" ref="JV5:LQ5" si="7">+JV4/JV3</f>
        <v>89.088004675400569</v>
      </c>
      <c r="JW5" s="47">
        <f t="shared" si="7"/>
        <v>82.152775476387731</v>
      </c>
      <c r="JX5" s="47">
        <f t="shared" si="7"/>
        <v>85.154640826459527</v>
      </c>
      <c r="JY5" s="47">
        <f t="shared" si="7"/>
        <v>88.440301742824943</v>
      </c>
      <c r="JZ5" s="47">
        <f t="shared" si="7"/>
        <v>73.691902071563092</v>
      </c>
      <c r="KA5" s="47">
        <f t="shared" si="7"/>
        <v>93.061875398681707</v>
      </c>
      <c r="KB5" s="47">
        <f t="shared" si="7"/>
        <v>83.133639056856452</v>
      </c>
      <c r="KC5" s="47">
        <f t="shared" si="7"/>
        <v>79.460900176012075</v>
      </c>
      <c r="KD5" s="47">
        <f t="shared" si="7"/>
        <v>73.358734997142307</v>
      </c>
      <c r="KE5" s="47">
        <f t="shared" si="7"/>
        <v>75.845419018671294</v>
      </c>
      <c r="KF5" s="47">
        <f t="shared" si="7"/>
        <v>78.217743478538168</v>
      </c>
      <c r="KG5" s="47">
        <f t="shared" si="7"/>
        <v>76.028758645795406</v>
      </c>
      <c r="KH5" s="47">
        <f t="shared" si="7"/>
        <v>80.543392816805977</v>
      </c>
      <c r="KI5" s="47">
        <f t="shared" si="7"/>
        <v>72.828973057399452</v>
      </c>
      <c r="KJ5" s="47">
        <f t="shared" si="7"/>
        <v>75.539276040384138</v>
      </c>
      <c r="KK5" s="47">
        <f t="shared" si="7"/>
        <v>64.24265906512052</v>
      </c>
      <c r="KL5" s="47">
        <f t="shared" si="7"/>
        <v>66.97998945352613</v>
      </c>
      <c r="KM5" s="47">
        <f t="shared" si="7"/>
        <v>65.438238986366144</v>
      </c>
      <c r="KN5" s="47">
        <f t="shared" si="7"/>
        <v>74.235667107001333</v>
      </c>
      <c r="KO5" s="47">
        <f t="shared" si="7"/>
        <v>76.511382726061512</v>
      </c>
      <c r="KP5" s="47">
        <f t="shared" si="7"/>
        <v>60.676102519263353</v>
      </c>
      <c r="KQ5" s="47">
        <f t="shared" si="7"/>
        <v>63.308941755537326</v>
      </c>
      <c r="KR5" s="47">
        <f t="shared" si="7"/>
        <v>73.627818394052952</v>
      </c>
      <c r="KS5" s="47">
        <f t="shared" si="7"/>
        <v>66.861325579063475</v>
      </c>
      <c r="KT5" s="47">
        <f t="shared" si="7"/>
        <v>59.134185836866884</v>
      </c>
      <c r="KU5" s="47">
        <f t="shared" si="7"/>
        <v>76.016280776673113</v>
      </c>
      <c r="KV5" s="47">
        <f t="shared" si="7"/>
        <v>70.122180047267776</v>
      </c>
      <c r="KW5" s="47">
        <f t="shared" si="7"/>
        <v>61.892065787095603</v>
      </c>
      <c r="KX5" s="47">
        <f t="shared" si="7"/>
        <v>65.094513019190913</v>
      </c>
      <c r="KY5" s="47">
        <f t="shared" si="7"/>
        <v>70.446694381118405</v>
      </c>
      <c r="KZ5" s="47">
        <f t="shared" si="7"/>
        <v>64.95887536718422</v>
      </c>
      <c r="LA5" s="47">
        <f t="shared" si="7"/>
        <v>35.230618407121284</v>
      </c>
      <c r="LB5" s="47">
        <f t="shared" si="7"/>
        <v>75.259383898524462</v>
      </c>
      <c r="LC5" s="47">
        <f t="shared" si="7"/>
        <v>68.707268634979485</v>
      </c>
      <c r="LD5" s="47">
        <f t="shared" si="7"/>
        <v>54.844157520981284</v>
      </c>
      <c r="LE5" s="47">
        <f t="shared" si="7"/>
        <v>54.566526877621051</v>
      </c>
      <c r="LF5" s="47">
        <f t="shared" si="7"/>
        <v>60.815117208871698</v>
      </c>
      <c r="LG5" s="47">
        <f t="shared" si="7"/>
        <v>70.600350430073263</v>
      </c>
      <c r="LH5" s="47">
        <f t="shared" si="7"/>
        <v>63.259375860847662</v>
      </c>
      <c r="LI5" s="47">
        <f t="shared" si="7"/>
        <v>74.715690129767992</v>
      </c>
      <c r="LJ5" s="47">
        <f t="shared" si="7"/>
        <v>77.368036776636018</v>
      </c>
      <c r="LK5" s="47">
        <f t="shared" si="7"/>
        <v>71.891243051639407</v>
      </c>
      <c r="LL5" s="47">
        <f t="shared" si="7"/>
        <v>68.922188984691189</v>
      </c>
      <c r="LM5" s="47">
        <f t="shared" si="7"/>
        <v>62.338123752495015</v>
      </c>
      <c r="LN5" s="47">
        <f t="shared" si="7"/>
        <v>60.071705579738804</v>
      </c>
      <c r="LO5" s="47">
        <f t="shared" si="7"/>
        <v>73.903142329020341</v>
      </c>
      <c r="LP5" s="47">
        <f t="shared" si="7"/>
        <v>61.857594936708864</v>
      </c>
      <c r="LQ5" s="47">
        <f t="shared" si="7"/>
        <v>61.367923863235816</v>
      </c>
      <c r="LR5" s="20">
        <f>+LR4/LR3</f>
        <v>59.647872176985722</v>
      </c>
      <c r="LS5" s="20">
        <f t="shared" ref="LS5:NC5" si="8">+LS4/LS3</f>
        <v>63.63033101181626</v>
      </c>
      <c r="LT5" s="20">
        <f t="shared" si="8"/>
        <v>71.47721147270606</v>
      </c>
      <c r="LU5" s="20">
        <f t="shared" si="8"/>
        <v>73.920134275124141</v>
      </c>
      <c r="LV5" s="20">
        <f t="shared" si="8"/>
        <v>64.338934572756528</v>
      </c>
      <c r="LW5" s="20">
        <f t="shared" si="8"/>
        <v>66.351927809680063</v>
      </c>
      <c r="LX5" s="20">
        <f t="shared" si="8"/>
        <v>67.134698504924529</v>
      </c>
      <c r="LY5" s="20">
        <f t="shared" si="8"/>
        <v>70.797375931210837</v>
      </c>
      <c r="LZ5" s="20">
        <f t="shared" si="8"/>
        <v>67.106762085584933</v>
      </c>
      <c r="MA5" s="20">
        <f t="shared" si="8"/>
        <v>70.259159834578838</v>
      </c>
      <c r="MB5" s="20">
        <f t="shared" si="8"/>
        <v>75.686105014350829</v>
      </c>
      <c r="MC5" s="20">
        <f t="shared" si="8"/>
        <v>79.643556895252459</v>
      </c>
      <c r="MD5" s="20">
        <f t="shared" si="8"/>
        <v>80.611459809678081</v>
      </c>
      <c r="ME5" s="20">
        <f t="shared" si="8"/>
        <v>64.889111891620672</v>
      </c>
      <c r="MF5" s="20">
        <f t="shared" si="8"/>
        <v>67.048216790962115</v>
      </c>
      <c r="MG5" s="20">
        <f t="shared" si="8"/>
        <v>66.947855421686754</v>
      </c>
      <c r="MH5" s="20">
        <f t="shared" si="8"/>
        <v>66.691352097461447</v>
      </c>
      <c r="MI5" s="20">
        <f t="shared" si="8"/>
        <v>73.306901825740312</v>
      </c>
      <c r="MJ5" s="20">
        <f t="shared" si="8"/>
        <v>76.225020069581745</v>
      </c>
      <c r="MK5" s="20">
        <f t="shared" si="8"/>
        <v>84.398757260570022</v>
      </c>
      <c r="ML5" s="20">
        <f t="shared" si="8"/>
        <v>70.394668959587278</v>
      </c>
      <c r="MM5" s="20">
        <f t="shared" si="8"/>
        <v>65.474297725969805</v>
      </c>
      <c r="MN5" s="20">
        <f t="shared" si="8"/>
        <v>66.58758860118617</v>
      </c>
      <c r="MO5" s="20">
        <f t="shared" si="8"/>
        <v>71.801274623406727</v>
      </c>
      <c r="MP5" s="20">
        <f t="shared" si="8"/>
        <v>60.666666666666664</v>
      </c>
      <c r="MQ5" s="20">
        <f t="shared" si="8"/>
        <v>75.930959020091194</v>
      </c>
      <c r="MR5" s="20">
        <f t="shared" si="8"/>
        <v>73.250585112192709</v>
      </c>
      <c r="MS5" s="20">
        <f t="shared" si="8"/>
        <v>76.350649011062956</v>
      </c>
      <c r="MT5" s="20">
        <f t="shared" si="8"/>
        <v>77.480882631315353</v>
      </c>
      <c r="MU5" s="20">
        <f t="shared" si="8"/>
        <v>72.529384448686869</v>
      </c>
      <c r="MV5" s="20">
        <f t="shared" si="8"/>
        <v>72.050130159102295</v>
      </c>
      <c r="MW5" s="20">
        <f t="shared" si="8"/>
        <v>77.373621482617068</v>
      </c>
      <c r="MX5" s="20">
        <f t="shared" si="8"/>
        <v>72.851785029197217</v>
      </c>
      <c r="MY5" s="20">
        <f t="shared" si="8"/>
        <v>84.896664078146514</v>
      </c>
      <c r="MZ5" s="20">
        <f t="shared" si="8"/>
        <v>86.928226915217664</v>
      </c>
      <c r="NA5" s="20">
        <f t="shared" si="8"/>
        <v>69.105081112680878</v>
      </c>
      <c r="NB5" s="20">
        <f t="shared" si="8"/>
        <v>77.722723909472549</v>
      </c>
      <c r="NC5" s="20">
        <f t="shared" si="8"/>
        <v>84.616140731171924</v>
      </c>
    </row>
    <row r="6" spans="1:367">
      <c r="IL6" s="20"/>
      <c r="LR6" s="20"/>
      <c r="MM6" s="20"/>
      <c r="MT6" s="20"/>
    </row>
    <row r="7" spans="1:367">
      <c r="A7" s="10" t="s">
        <v>57</v>
      </c>
      <c r="B7" s="10" t="s">
        <v>56</v>
      </c>
      <c r="C7" s="11">
        <v>46023</v>
      </c>
      <c r="D7" s="11">
        <f>+C7+1</f>
        <v>46024</v>
      </c>
      <c r="E7" s="11">
        <f t="shared" ref="E7:BP7" si="9">+D7+1</f>
        <v>46025</v>
      </c>
      <c r="F7" s="11">
        <f t="shared" si="9"/>
        <v>46026</v>
      </c>
      <c r="G7" s="11">
        <f t="shared" si="9"/>
        <v>46027</v>
      </c>
      <c r="H7" s="11">
        <f t="shared" si="9"/>
        <v>46028</v>
      </c>
      <c r="I7" s="11">
        <f t="shared" si="9"/>
        <v>46029</v>
      </c>
      <c r="J7" s="11">
        <f t="shared" si="9"/>
        <v>46030</v>
      </c>
      <c r="K7" s="11">
        <f t="shared" si="9"/>
        <v>46031</v>
      </c>
      <c r="L7" s="11">
        <f t="shared" si="9"/>
        <v>46032</v>
      </c>
      <c r="M7" s="11">
        <f t="shared" si="9"/>
        <v>46033</v>
      </c>
      <c r="N7" s="11">
        <f t="shared" si="9"/>
        <v>46034</v>
      </c>
      <c r="O7" s="11">
        <f t="shared" si="9"/>
        <v>46035</v>
      </c>
      <c r="P7" s="11">
        <f t="shared" si="9"/>
        <v>46036</v>
      </c>
      <c r="Q7" s="11">
        <f t="shared" si="9"/>
        <v>46037</v>
      </c>
      <c r="R7" s="11">
        <f t="shared" si="9"/>
        <v>46038</v>
      </c>
      <c r="S7" s="11">
        <f t="shared" si="9"/>
        <v>46039</v>
      </c>
      <c r="T7" s="11">
        <f t="shared" si="9"/>
        <v>46040</v>
      </c>
      <c r="U7" s="11">
        <f t="shared" si="9"/>
        <v>46041</v>
      </c>
      <c r="V7" s="11">
        <f t="shared" si="9"/>
        <v>46042</v>
      </c>
      <c r="W7" s="11">
        <f t="shared" si="9"/>
        <v>46043</v>
      </c>
      <c r="X7" s="11">
        <f t="shared" si="9"/>
        <v>46044</v>
      </c>
      <c r="Y7" s="11">
        <f t="shared" si="9"/>
        <v>46045</v>
      </c>
      <c r="Z7" s="11">
        <f t="shared" si="9"/>
        <v>46046</v>
      </c>
      <c r="AA7" s="11">
        <f t="shared" si="9"/>
        <v>46047</v>
      </c>
      <c r="AB7" s="11">
        <f t="shared" si="9"/>
        <v>46048</v>
      </c>
      <c r="AC7" s="11">
        <f t="shared" si="9"/>
        <v>46049</v>
      </c>
      <c r="AD7" s="11">
        <f t="shared" si="9"/>
        <v>46050</v>
      </c>
      <c r="AE7" s="11">
        <f t="shared" si="9"/>
        <v>46051</v>
      </c>
      <c r="AF7" s="11">
        <f t="shared" si="9"/>
        <v>46052</v>
      </c>
      <c r="AG7" s="11">
        <f t="shared" si="9"/>
        <v>46053</v>
      </c>
      <c r="AH7" s="11">
        <f t="shared" si="9"/>
        <v>46054</v>
      </c>
      <c r="AI7" s="11">
        <f t="shared" si="9"/>
        <v>46055</v>
      </c>
      <c r="AJ7" s="11">
        <f t="shared" si="9"/>
        <v>46056</v>
      </c>
      <c r="AK7" s="11">
        <f t="shared" si="9"/>
        <v>46057</v>
      </c>
      <c r="AL7" s="11">
        <f t="shared" si="9"/>
        <v>46058</v>
      </c>
      <c r="AM7" s="11">
        <f t="shared" si="9"/>
        <v>46059</v>
      </c>
      <c r="AN7" s="11">
        <f t="shared" si="9"/>
        <v>46060</v>
      </c>
      <c r="AO7" s="11">
        <f t="shared" si="9"/>
        <v>46061</v>
      </c>
      <c r="AP7" s="11">
        <f t="shared" si="9"/>
        <v>46062</v>
      </c>
      <c r="AQ7" s="11">
        <f t="shared" si="9"/>
        <v>46063</v>
      </c>
      <c r="AR7" s="11">
        <f t="shared" si="9"/>
        <v>46064</v>
      </c>
      <c r="AS7" s="11">
        <f t="shared" si="9"/>
        <v>46065</v>
      </c>
      <c r="AT7" s="11">
        <f t="shared" si="9"/>
        <v>46066</v>
      </c>
      <c r="AU7" s="11">
        <f t="shared" si="9"/>
        <v>46067</v>
      </c>
      <c r="AV7" s="11">
        <f t="shared" si="9"/>
        <v>46068</v>
      </c>
      <c r="AW7" s="11">
        <f t="shared" si="9"/>
        <v>46069</v>
      </c>
      <c r="AX7" s="11">
        <f t="shared" si="9"/>
        <v>46070</v>
      </c>
      <c r="AY7" s="11">
        <f t="shared" si="9"/>
        <v>46071</v>
      </c>
      <c r="AZ7" s="11">
        <f t="shared" si="9"/>
        <v>46072</v>
      </c>
      <c r="BA7" s="11">
        <f t="shared" si="9"/>
        <v>46073</v>
      </c>
      <c r="BB7" s="11">
        <f t="shared" si="9"/>
        <v>46074</v>
      </c>
      <c r="BC7" s="11">
        <f t="shared" si="9"/>
        <v>46075</v>
      </c>
      <c r="BD7" s="11">
        <f t="shared" si="9"/>
        <v>46076</v>
      </c>
      <c r="BE7" s="11">
        <f t="shared" si="9"/>
        <v>46077</v>
      </c>
      <c r="BF7" s="11">
        <f t="shared" si="9"/>
        <v>46078</v>
      </c>
      <c r="BG7" s="11">
        <f t="shared" si="9"/>
        <v>46079</v>
      </c>
      <c r="BH7" s="11">
        <f t="shared" si="9"/>
        <v>46080</v>
      </c>
      <c r="BI7" s="11">
        <f t="shared" si="9"/>
        <v>46081</v>
      </c>
      <c r="BJ7" s="11">
        <f t="shared" si="9"/>
        <v>46082</v>
      </c>
      <c r="BK7" s="11">
        <f t="shared" si="9"/>
        <v>46083</v>
      </c>
      <c r="BL7" s="11">
        <f t="shared" si="9"/>
        <v>46084</v>
      </c>
      <c r="BM7" s="11">
        <f t="shared" si="9"/>
        <v>46085</v>
      </c>
      <c r="BN7" s="11">
        <f t="shared" si="9"/>
        <v>46086</v>
      </c>
      <c r="BO7" s="11">
        <f t="shared" si="9"/>
        <v>46087</v>
      </c>
      <c r="BP7" s="11">
        <f t="shared" si="9"/>
        <v>46088</v>
      </c>
      <c r="BQ7" s="11">
        <f t="shared" ref="BQ7:EB7" si="10">+BP7+1</f>
        <v>46089</v>
      </c>
      <c r="BR7" s="11">
        <f t="shared" si="10"/>
        <v>46090</v>
      </c>
      <c r="BS7" s="11">
        <f t="shared" si="10"/>
        <v>46091</v>
      </c>
      <c r="BT7" s="11">
        <f t="shared" si="10"/>
        <v>46092</v>
      </c>
      <c r="BU7" s="11">
        <f t="shared" si="10"/>
        <v>46093</v>
      </c>
      <c r="BV7" s="11">
        <f t="shared" si="10"/>
        <v>46094</v>
      </c>
      <c r="BW7" s="11">
        <f t="shared" si="10"/>
        <v>46095</v>
      </c>
      <c r="BX7" s="11">
        <f t="shared" si="10"/>
        <v>46096</v>
      </c>
      <c r="BY7" s="11">
        <f t="shared" si="10"/>
        <v>46097</v>
      </c>
      <c r="BZ7" s="11">
        <f t="shared" si="10"/>
        <v>46098</v>
      </c>
      <c r="CA7" s="11">
        <f t="shared" si="10"/>
        <v>46099</v>
      </c>
      <c r="CB7" s="11">
        <f t="shared" si="10"/>
        <v>46100</v>
      </c>
      <c r="CC7" s="11">
        <f t="shared" si="10"/>
        <v>46101</v>
      </c>
      <c r="CD7" s="11">
        <f t="shared" si="10"/>
        <v>46102</v>
      </c>
      <c r="CE7" s="11">
        <f t="shared" si="10"/>
        <v>46103</v>
      </c>
      <c r="CF7" s="11">
        <f t="shared" si="10"/>
        <v>46104</v>
      </c>
      <c r="CG7" s="11">
        <f t="shared" si="10"/>
        <v>46105</v>
      </c>
      <c r="CH7" s="11">
        <f t="shared" si="10"/>
        <v>46106</v>
      </c>
      <c r="CI7" s="11">
        <f t="shared" si="10"/>
        <v>46107</v>
      </c>
      <c r="CJ7" s="11">
        <f t="shared" si="10"/>
        <v>46108</v>
      </c>
      <c r="CK7" s="11">
        <f t="shared" si="10"/>
        <v>46109</v>
      </c>
      <c r="CL7" s="11">
        <f t="shared" si="10"/>
        <v>46110</v>
      </c>
      <c r="CM7" s="11">
        <f t="shared" si="10"/>
        <v>46111</v>
      </c>
      <c r="CN7" s="11">
        <f t="shared" si="10"/>
        <v>46112</v>
      </c>
      <c r="CO7" s="11">
        <f t="shared" si="10"/>
        <v>46113</v>
      </c>
      <c r="CP7" s="11">
        <f t="shared" si="10"/>
        <v>46114</v>
      </c>
      <c r="CQ7" s="11">
        <f t="shared" si="10"/>
        <v>46115</v>
      </c>
      <c r="CR7" s="11">
        <f t="shared" si="10"/>
        <v>46116</v>
      </c>
      <c r="CS7" s="11">
        <f t="shared" si="10"/>
        <v>46117</v>
      </c>
      <c r="CT7" s="11">
        <f t="shared" si="10"/>
        <v>46118</v>
      </c>
      <c r="CU7" s="11">
        <f t="shared" si="10"/>
        <v>46119</v>
      </c>
      <c r="CV7" s="11">
        <f t="shared" si="10"/>
        <v>46120</v>
      </c>
      <c r="CW7" s="11">
        <f t="shared" si="10"/>
        <v>46121</v>
      </c>
      <c r="CX7" s="11">
        <f t="shared" si="10"/>
        <v>46122</v>
      </c>
      <c r="CY7" s="11">
        <f t="shared" si="10"/>
        <v>46123</v>
      </c>
      <c r="CZ7" s="11">
        <f t="shared" si="10"/>
        <v>46124</v>
      </c>
      <c r="DA7" s="11">
        <f t="shared" si="10"/>
        <v>46125</v>
      </c>
      <c r="DB7" s="11">
        <f t="shared" si="10"/>
        <v>46126</v>
      </c>
      <c r="DC7" s="11">
        <f t="shared" si="10"/>
        <v>46127</v>
      </c>
      <c r="DD7" s="11">
        <f t="shared" si="10"/>
        <v>46128</v>
      </c>
      <c r="DE7" s="11">
        <f t="shared" si="10"/>
        <v>46129</v>
      </c>
      <c r="DF7" s="11">
        <f t="shared" si="10"/>
        <v>46130</v>
      </c>
      <c r="DG7" s="11">
        <f t="shared" si="10"/>
        <v>46131</v>
      </c>
      <c r="DH7" s="11">
        <f t="shared" si="10"/>
        <v>46132</v>
      </c>
      <c r="DI7" s="11">
        <f t="shared" si="10"/>
        <v>46133</v>
      </c>
      <c r="DJ7" s="11">
        <f t="shared" si="10"/>
        <v>46134</v>
      </c>
      <c r="DK7" s="11">
        <f t="shared" si="10"/>
        <v>46135</v>
      </c>
      <c r="DL7" s="11">
        <f t="shared" si="10"/>
        <v>46136</v>
      </c>
      <c r="DM7" s="11">
        <f t="shared" si="10"/>
        <v>46137</v>
      </c>
      <c r="DN7" s="11">
        <f t="shared" si="10"/>
        <v>46138</v>
      </c>
      <c r="DO7" s="11">
        <f t="shared" si="10"/>
        <v>46139</v>
      </c>
      <c r="DP7" s="11">
        <f t="shared" si="10"/>
        <v>46140</v>
      </c>
      <c r="DQ7" s="11">
        <f t="shared" si="10"/>
        <v>46141</v>
      </c>
      <c r="DR7" s="11">
        <f t="shared" si="10"/>
        <v>46142</v>
      </c>
      <c r="DS7" s="11">
        <f t="shared" si="10"/>
        <v>46143</v>
      </c>
      <c r="DT7" s="11">
        <f t="shared" si="10"/>
        <v>46144</v>
      </c>
      <c r="DU7" s="11">
        <f t="shared" si="10"/>
        <v>46145</v>
      </c>
      <c r="DV7" s="11">
        <f t="shared" si="10"/>
        <v>46146</v>
      </c>
      <c r="DW7" s="11">
        <f t="shared" si="10"/>
        <v>46147</v>
      </c>
      <c r="DX7" s="11">
        <f t="shared" si="10"/>
        <v>46148</v>
      </c>
      <c r="DY7" s="11">
        <f t="shared" si="10"/>
        <v>46149</v>
      </c>
      <c r="DZ7" s="11">
        <f t="shared" si="10"/>
        <v>46150</v>
      </c>
      <c r="EA7" s="11">
        <f t="shared" si="10"/>
        <v>46151</v>
      </c>
      <c r="EB7" s="11">
        <f t="shared" si="10"/>
        <v>46152</v>
      </c>
      <c r="EC7" s="11">
        <f t="shared" ref="EC7:GN7" si="11">+EB7+1</f>
        <v>46153</v>
      </c>
      <c r="ED7" s="11">
        <f t="shared" si="11"/>
        <v>46154</v>
      </c>
      <c r="EE7" s="11">
        <f t="shared" si="11"/>
        <v>46155</v>
      </c>
      <c r="EF7" s="11">
        <f t="shared" si="11"/>
        <v>46156</v>
      </c>
      <c r="EG7" s="11">
        <f t="shared" si="11"/>
        <v>46157</v>
      </c>
      <c r="EH7" s="11">
        <f t="shared" si="11"/>
        <v>46158</v>
      </c>
      <c r="EI7" s="11">
        <f t="shared" si="11"/>
        <v>46159</v>
      </c>
      <c r="EJ7" s="11">
        <f t="shared" si="11"/>
        <v>46160</v>
      </c>
      <c r="EK7" s="11">
        <f t="shared" si="11"/>
        <v>46161</v>
      </c>
      <c r="EL7" s="11">
        <f t="shared" si="11"/>
        <v>46162</v>
      </c>
      <c r="EM7" s="11">
        <f t="shared" si="11"/>
        <v>46163</v>
      </c>
      <c r="EN7" s="11">
        <f t="shared" si="11"/>
        <v>46164</v>
      </c>
      <c r="EO7" s="11">
        <f t="shared" si="11"/>
        <v>46165</v>
      </c>
      <c r="EP7" s="11">
        <f t="shared" si="11"/>
        <v>46166</v>
      </c>
      <c r="EQ7" s="11">
        <f t="shared" si="11"/>
        <v>46167</v>
      </c>
      <c r="ER7" s="11">
        <f t="shared" si="11"/>
        <v>46168</v>
      </c>
      <c r="ES7" s="11">
        <f t="shared" si="11"/>
        <v>46169</v>
      </c>
      <c r="ET7" s="11">
        <f t="shared" si="11"/>
        <v>46170</v>
      </c>
      <c r="EU7" s="11">
        <f t="shared" si="11"/>
        <v>46171</v>
      </c>
      <c r="EV7" s="11">
        <f t="shared" si="11"/>
        <v>46172</v>
      </c>
      <c r="EW7" s="11">
        <f t="shared" si="11"/>
        <v>46173</v>
      </c>
      <c r="EX7" s="11">
        <f t="shared" si="11"/>
        <v>46174</v>
      </c>
      <c r="EY7" s="11">
        <f t="shared" si="11"/>
        <v>46175</v>
      </c>
      <c r="EZ7" s="11">
        <f t="shared" si="11"/>
        <v>46176</v>
      </c>
      <c r="FA7" s="11">
        <f t="shared" si="11"/>
        <v>46177</v>
      </c>
      <c r="FB7" s="11">
        <f t="shared" si="11"/>
        <v>46178</v>
      </c>
      <c r="FC7" s="11">
        <f t="shared" si="11"/>
        <v>46179</v>
      </c>
      <c r="FD7" s="11">
        <f t="shared" si="11"/>
        <v>46180</v>
      </c>
      <c r="FE7" s="11">
        <f t="shared" si="11"/>
        <v>46181</v>
      </c>
      <c r="FF7" s="11">
        <f t="shared" si="11"/>
        <v>46182</v>
      </c>
      <c r="FG7" s="11">
        <f t="shared" si="11"/>
        <v>46183</v>
      </c>
      <c r="FH7" s="11">
        <f t="shared" si="11"/>
        <v>46184</v>
      </c>
      <c r="FI7" s="11">
        <f t="shared" si="11"/>
        <v>46185</v>
      </c>
      <c r="FJ7" s="11">
        <f t="shared" si="11"/>
        <v>46186</v>
      </c>
      <c r="FK7" s="11">
        <f t="shared" si="11"/>
        <v>46187</v>
      </c>
      <c r="FL7" s="11">
        <f t="shared" si="11"/>
        <v>46188</v>
      </c>
      <c r="FM7" s="11">
        <f t="shared" si="11"/>
        <v>46189</v>
      </c>
      <c r="FN7" s="11">
        <f t="shared" si="11"/>
        <v>46190</v>
      </c>
      <c r="FO7" s="11">
        <f t="shared" si="11"/>
        <v>46191</v>
      </c>
      <c r="FP7" s="11">
        <f t="shared" si="11"/>
        <v>46192</v>
      </c>
      <c r="FQ7" s="11">
        <f t="shared" si="11"/>
        <v>46193</v>
      </c>
      <c r="FR7" s="11">
        <f t="shared" si="11"/>
        <v>46194</v>
      </c>
      <c r="FS7" s="11">
        <f t="shared" si="11"/>
        <v>46195</v>
      </c>
      <c r="FT7" s="11">
        <f t="shared" si="11"/>
        <v>46196</v>
      </c>
      <c r="FU7" s="11">
        <f t="shared" si="11"/>
        <v>46197</v>
      </c>
      <c r="FV7" s="11">
        <f t="shared" si="11"/>
        <v>46198</v>
      </c>
      <c r="FW7" s="11">
        <f t="shared" si="11"/>
        <v>46199</v>
      </c>
      <c r="FX7" s="11">
        <f t="shared" si="11"/>
        <v>46200</v>
      </c>
      <c r="FY7" s="11">
        <f t="shared" si="11"/>
        <v>46201</v>
      </c>
      <c r="FZ7" s="11">
        <f t="shared" si="11"/>
        <v>46202</v>
      </c>
      <c r="GA7" s="11">
        <f t="shared" si="11"/>
        <v>46203</v>
      </c>
      <c r="GB7" s="11">
        <f t="shared" si="11"/>
        <v>46204</v>
      </c>
      <c r="GC7" s="11">
        <f t="shared" si="11"/>
        <v>46205</v>
      </c>
      <c r="GD7" s="11">
        <f t="shared" si="11"/>
        <v>46206</v>
      </c>
      <c r="GE7" s="11">
        <f t="shared" si="11"/>
        <v>46207</v>
      </c>
      <c r="GF7" s="11">
        <f t="shared" si="11"/>
        <v>46208</v>
      </c>
      <c r="GG7" s="11">
        <f t="shared" si="11"/>
        <v>46209</v>
      </c>
      <c r="GH7" s="11">
        <f t="shared" si="11"/>
        <v>46210</v>
      </c>
      <c r="GI7" s="11">
        <f t="shared" si="11"/>
        <v>46211</v>
      </c>
      <c r="GJ7" s="11">
        <f t="shared" si="11"/>
        <v>46212</v>
      </c>
      <c r="GK7" s="11">
        <f t="shared" si="11"/>
        <v>46213</v>
      </c>
      <c r="GL7" s="11">
        <f t="shared" si="11"/>
        <v>46214</v>
      </c>
      <c r="GM7" s="11">
        <f t="shared" si="11"/>
        <v>46215</v>
      </c>
      <c r="GN7" s="11">
        <f t="shared" si="11"/>
        <v>46216</v>
      </c>
      <c r="GO7" s="11">
        <f t="shared" ref="GO7:IZ7" si="12">+GN7+1</f>
        <v>46217</v>
      </c>
      <c r="GP7" s="11">
        <f t="shared" si="12"/>
        <v>46218</v>
      </c>
      <c r="GQ7" s="11">
        <f t="shared" si="12"/>
        <v>46219</v>
      </c>
      <c r="GR7" s="11">
        <f t="shared" si="12"/>
        <v>46220</v>
      </c>
      <c r="GS7" s="11">
        <f t="shared" si="12"/>
        <v>46221</v>
      </c>
      <c r="GT7" s="11">
        <f t="shared" si="12"/>
        <v>46222</v>
      </c>
      <c r="GU7" s="11">
        <f t="shared" si="12"/>
        <v>46223</v>
      </c>
      <c r="GV7" s="11">
        <f t="shared" si="12"/>
        <v>46224</v>
      </c>
      <c r="GW7" s="11">
        <f t="shared" si="12"/>
        <v>46225</v>
      </c>
      <c r="GX7" s="11">
        <f t="shared" si="12"/>
        <v>46226</v>
      </c>
      <c r="GY7" s="11">
        <f t="shared" si="12"/>
        <v>46227</v>
      </c>
      <c r="GZ7" s="11">
        <f t="shared" si="12"/>
        <v>46228</v>
      </c>
      <c r="HA7" s="11">
        <f t="shared" si="12"/>
        <v>46229</v>
      </c>
      <c r="HB7" s="11">
        <f t="shared" si="12"/>
        <v>46230</v>
      </c>
      <c r="HC7" s="11">
        <f t="shared" si="12"/>
        <v>46231</v>
      </c>
      <c r="HD7" s="11">
        <f t="shared" si="12"/>
        <v>46232</v>
      </c>
      <c r="HE7" s="11">
        <f t="shared" si="12"/>
        <v>46233</v>
      </c>
      <c r="HF7" s="11">
        <f t="shared" si="12"/>
        <v>46234</v>
      </c>
      <c r="HG7" s="11">
        <f t="shared" si="12"/>
        <v>46235</v>
      </c>
      <c r="HH7" s="11">
        <f t="shared" si="12"/>
        <v>46236</v>
      </c>
      <c r="HI7" s="11">
        <f t="shared" si="12"/>
        <v>46237</v>
      </c>
      <c r="HJ7" s="11">
        <f t="shared" si="12"/>
        <v>46238</v>
      </c>
      <c r="HK7" s="11">
        <f t="shared" si="12"/>
        <v>46239</v>
      </c>
      <c r="HL7" s="11">
        <f t="shared" si="12"/>
        <v>46240</v>
      </c>
      <c r="HM7" s="11">
        <f t="shared" si="12"/>
        <v>46241</v>
      </c>
      <c r="HN7" s="11">
        <f t="shared" si="12"/>
        <v>46242</v>
      </c>
      <c r="HO7" s="11">
        <f t="shared" si="12"/>
        <v>46243</v>
      </c>
      <c r="HP7" s="11">
        <f t="shared" si="12"/>
        <v>46244</v>
      </c>
      <c r="HQ7" s="11">
        <f t="shared" si="12"/>
        <v>46245</v>
      </c>
      <c r="HR7" s="11">
        <f t="shared" si="12"/>
        <v>46246</v>
      </c>
      <c r="HS7" s="11">
        <f t="shared" si="12"/>
        <v>46247</v>
      </c>
      <c r="HT7" s="11">
        <f t="shared" si="12"/>
        <v>46248</v>
      </c>
      <c r="HU7" s="11">
        <f t="shared" si="12"/>
        <v>46249</v>
      </c>
      <c r="HV7" s="11">
        <f t="shared" si="12"/>
        <v>46250</v>
      </c>
      <c r="HW7" s="11">
        <f t="shared" si="12"/>
        <v>46251</v>
      </c>
      <c r="HX7" s="11">
        <f t="shared" si="12"/>
        <v>46252</v>
      </c>
      <c r="HY7" s="11">
        <f t="shared" si="12"/>
        <v>46253</v>
      </c>
      <c r="HZ7" s="11">
        <f t="shared" si="12"/>
        <v>46254</v>
      </c>
      <c r="IA7" s="11">
        <f t="shared" si="12"/>
        <v>46255</v>
      </c>
      <c r="IB7" s="11">
        <f t="shared" si="12"/>
        <v>46256</v>
      </c>
      <c r="IC7" s="11">
        <f t="shared" si="12"/>
        <v>46257</v>
      </c>
      <c r="ID7" s="11">
        <f t="shared" si="12"/>
        <v>46258</v>
      </c>
      <c r="IE7" s="11">
        <f t="shared" si="12"/>
        <v>46259</v>
      </c>
      <c r="IF7" s="11">
        <f t="shared" si="12"/>
        <v>46260</v>
      </c>
      <c r="IG7" s="11">
        <f t="shared" si="12"/>
        <v>46261</v>
      </c>
      <c r="IH7" s="11">
        <f t="shared" si="12"/>
        <v>46262</v>
      </c>
      <c r="II7" s="11">
        <f t="shared" si="12"/>
        <v>46263</v>
      </c>
      <c r="IJ7" s="11">
        <f t="shared" si="12"/>
        <v>46264</v>
      </c>
      <c r="IK7" s="11">
        <f t="shared" si="12"/>
        <v>46265</v>
      </c>
      <c r="IL7" s="11">
        <f t="shared" si="12"/>
        <v>46266</v>
      </c>
      <c r="IM7" s="11">
        <f t="shared" si="12"/>
        <v>46267</v>
      </c>
      <c r="IN7" s="11">
        <f t="shared" si="12"/>
        <v>46268</v>
      </c>
      <c r="IO7" s="11">
        <f t="shared" si="12"/>
        <v>46269</v>
      </c>
      <c r="IP7" s="11">
        <f t="shared" si="12"/>
        <v>46270</v>
      </c>
      <c r="IQ7" s="11">
        <f t="shared" si="12"/>
        <v>46271</v>
      </c>
      <c r="IR7" s="11">
        <f t="shared" si="12"/>
        <v>46272</v>
      </c>
      <c r="IS7" s="11">
        <f t="shared" si="12"/>
        <v>46273</v>
      </c>
      <c r="IT7" s="11">
        <f t="shared" si="12"/>
        <v>46274</v>
      </c>
      <c r="IU7" s="11">
        <f t="shared" si="12"/>
        <v>46275</v>
      </c>
      <c r="IV7" s="11">
        <f t="shared" si="12"/>
        <v>46276</v>
      </c>
      <c r="IW7" s="11">
        <f t="shared" si="12"/>
        <v>46277</v>
      </c>
      <c r="IX7" s="11">
        <f t="shared" si="12"/>
        <v>46278</v>
      </c>
      <c r="IY7" s="11">
        <f t="shared" si="12"/>
        <v>46279</v>
      </c>
      <c r="IZ7" s="11">
        <f t="shared" si="12"/>
        <v>46280</v>
      </c>
      <c r="JA7" s="11">
        <f t="shared" ref="JA7:LL7" si="13">+IZ7+1</f>
        <v>46281</v>
      </c>
      <c r="JB7" s="11">
        <f t="shared" si="13"/>
        <v>46282</v>
      </c>
      <c r="JC7" s="11">
        <f t="shared" si="13"/>
        <v>46283</v>
      </c>
      <c r="JD7" s="11">
        <f t="shared" si="13"/>
        <v>46284</v>
      </c>
      <c r="JE7" s="11">
        <f t="shared" si="13"/>
        <v>46285</v>
      </c>
      <c r="JF7" s="11">
        <f t="shared" si="13"/>
        <v>46286</v>
      </c>
      <c r="JG7" s="11">
        <f t="shared" si="13"/>
        <v>46287</v>
      </c>
      <c r="JH7" s="11">
        <f t="shared" si="13"/>
        <v>46288</v>
      </c>
      <c r="JI7" s="11">
        <f t="shared" si="13"/>
        <v>46289</v>
      </c>
      <c r="JJ7" s="11">
        <f t="shared" si="13"/>
        <v>46290</v>
      </c>
      <c r="JK7" s="11">
        <f t="shared" si="13"/>
        <v>46291</v>
      </c>
      <c r="JL7" s="11">
        <f t="shared" si="13"/>
        <v>46292</v>
      </c>
      <c r="JM7" s="11">
        <f t="shared" si="13"/>
        <v>46293</v>
      </c>
      <c r="JN7" s="11">
        <f t="shared" si="13"/>
        <v>46294</v>
      </c>
      <c r="JO7" s="11">
        <f t="shared" si="13"/>
        <v>46295</v>
      </c>
      <c r="JP7" s="11">
        <f t="shared" si="13"/>
        <v>46296</v>
      </c>
      <c r="JQ7" s="11">
        <f t="shared" si="13"/>
        <v>46297</v>
      </c>
      <c r="JR7" s="11">
        <f t="shared" si="13"/>
        <v>46298</v>
      </c>
      <c r="JS7" s="11">
        <f t="shared" si="13"/>
        <v>46299</v>
      </c>
      <c r="JT7" s="11">
        <f t="shared" si="13"/>
        <v>46300</v>
      </c>
      <c r="JU7" s="11">
        <f t="shared" si="13"/>
        <v>46301</v>
      </c>
      <c r="JV7" s="11">
        <f t="shared" si="13"/>
        <v>46302</v>
      </c>
      <c r="JW7" s="11">
        <f t="shared" si="13"/>
        <v>46303</v>
      </c>
      <c r="JX7" s="11">
        <f t="shared" si="13"/>
        <v>46304</v>
      </c>
      <c r="JY7" s="11">
        <f t="shared" si="13"/>
        <v>46305</v>
      </c>
      <c r="JZ7" s="11">
        <f t="shared" si="13"/>
        <v>46306</v>
      </c>
      <c r="KA7" s="11">
        <f t="shared" si="13"/>
        <v>46307</v>
      </c>
      <c r="KB7" s="11">
        <f t="shared" si="13"/>
        <v>46308</v>
      </c>
      <c r="KC7" s="11">
        <f t="shared" si="13"/>
        <v>46309</v>
      </c>
      <c r="KD7" s="11">
        <f t="shared" si="13"/>
        <v>46310</v>
      </c>
      <c r="KE7" s="11">
        <f t="shared" si="13"/>
        <v>46311</v>
      </c>
      <c r="KF7" s="11">
        <f t="shared" si="13"/>
        <v>46312</v>
      </c>
      <c r="KG7" s="11">
        <f t="shared" si="13"/>
        <v>46313</v>
      </c>
      <c r="KH7" s="11">
        <f t="shared" si="13"/>
        <v>46314</v>
      </c>
      <c r="KI7" s="11">
        <f t="shared" si="13"/>
        <v>46315</v>
      </c>
      <c r="KJ7" s="11">
        <f t="shared" si="13"/>
        <v>46316</v>
      </c>
      <c r="KK7" s="11">
        <f t="shared" si="13"/>
        <v>46317</v>
      </c>
      <c r="KL7" s="11">
        <f t="shared" si="13"/>
        <v>46318</v>
      </c>
      <c r="KM7" s="11">
        <f t="shared" si="13"/>
        <v>46319</v>
      </c>
      <c r="KN7" s="11">
        <f t="shared" si="13"/>
        <v>46320</v>
      </c>
      <c r="KO7" s="11">
        <f t="shared" si="13"/>
        <v>46321</v>
      </c>
      <c r="KP7" s="11">
        <f t="shared" si="13"/>
        <v>46322</v>
      </c>
      <c r="KQ7" s="11">
        <f t="shared" si="13"/>
        <v>46323</v>
      </c>
      <c r="KR7" s="11">
        <f t="shared" si="13"/>
        <v>46324</v>
      </c>
      <c r="KS7" s="11">
        <f t="shared" si="13"/>
        <v>46325</v>
      </c>
      <c r="KT7" s="11">
        <f t="shared" si="13"/>
        <v>46326</v>
      </c>
      <c r="KU7" s="11">
        <f t="shared" si="13"/>
        <v>46327</v>
      </c>
      <c r="KV7" s="11">
        <f t="shared" si="13"/>
        <v>46328</v>
      </c>
      <c r="KW7" s="11">
        <f t="shared" si="13"/>
        <v>46329</v>
      </c>
      <c r="KX7" s="11">
        <f t="shared" si="13"/>
        <v>46330</v>
      </c>
      <c r="KY7" s="11">
        <f t="shared" si="13"/>
        <v>46331</v>
      </c>
      <c r="KZ7" s="11">
        <f t="shared" si="13"/>
        <v>46332</v>
      </c>
      <c r="LA7" s="11">
        <f t="shared" si="13"/>
        <v>46333</v>
      </c>
      <c r="LB7" s="11">
        <f t="shared" si="13"/>
        <v>46334</v>
      </c>
      <c r="LC7" s="11">
        <f t="shared" si="13"/>
        <v>46335</v>
      </c>
      <c r="LD7" s="11">
        <f t="shared" si="13"/>
        <v>46336</v>
      </c>
      <c r="LE7" s="11">
        <f t="shared" si="13"/>
        <v>46337</v>
      </c>
      <c r="LF7" s="11">
        <f t="shared" si="13"/>
        <v>46338</v>
      </c>
      <c r="LG7" s="11">
        <f t="shared" si="13"/>
        <v>46339</v>
      </c>
      <c r="LH7" s="11">
        <f t="shared" si="13"/>
        <v>46340</v>
      </c>
      <c r="LI7" s="11">
        <f t="shared" si="13"/>
        <v>46341</v>
      </c>
      <c r="LJ7" s="11">
        <f t="shared" si="13"/>
        <v>46342</v>
      </c>
      <c r="LK7" s="11">
        <f t="shared" si="13"/>
        <v>46343</v>
      </c>
      <c r="LL7" s="11">
        <f t="shared" si="13"/>
        <v>46344</v>
      </c>
      <c r="LM7" s="11">
        <f t="shared" ref="LM7:NC7" si="14">+LL7+1</f>
        <v>46345</v>
      </c>
      <c r="LN7" s="11">
        <f t="shared" si="14"/>
        <v>46346</v>
      </c>
      <c r="LO7" s="11">
        <f t="shared" si="14"/>
        <v>46347</v>
      </c>
      <c r="LP7" s="11">
        <f t="shared" si="14"/>
        <v>46348</v>
      </c>
      <c r="LQ7" s="11">
        <f t="shared" si="14"/>
        <v>46349</v>
      </c>
      <c r="LR7" s="11">
        <f t="shared" si="14"/>
        <v>46350</v>
      </c>
      <c r="LS7" s="11">
        <f t="shared" si="14"/>
        <v>46351</v>
      </c>
      <c r="LT7" s="11">
        <f t="shared" si="14"/>
        <v>46352</v>
      </c>
      <c r="LU7" s="11">
        <f t="shared" si="14"/>
        <v>46353</v>
      </c>
      <c r="LV7" s="11">
        <f t="shared" si="14"/>
        <v>46354</v>
      </c>
      <c r="LW7" s="11">
        <f t="shared" si="14"/>
        <v>46355</v>
      </c>
      <c r="LX7" s="11">
        <f t="shared" si="14"/>
        <v>46356</v>
      </c>
      <c r="LY7" s="11">
        <f t="shared" si="14"/>
        <v>46357</v>
      </c>
      <c r="LZ7" s="11">
        <f t="shared" si="14"/>
        <v>46358</v>
      </c>
      <c r="MA7" s="11">
        <f t="shared" si="14"/>
        <v>46359</v>
      </c>
      <c r="MB7" s="11">
        <f t="shared" si="14"/>
        <v>46360</v>
      </c>
      <c r="MC7" s="11">
        <f t="shared" si="14"/>
        <v>46361</v>
      </c>
      <c r="MD7" s="11">
        <f t="shared" si="14"/>
        <v>46362</v>
      </c>
      <c r="ME7" s="11">
        <f t="shared" si="14"/>
        <v>46363</v>
      </c>
      <c r="MF7" s="11">
        <f t="shared" si="14"/>
        <v>46364</v>
      </c>
      <c r="MG7" s="11">
        <f t="shared" si="14"/>
        <v>46365</v>
      </c>
      <c r="MH7" s="11">
        <f t="shared" si="14"/>
        <v>46366</v>
      </c>
      <c r="MI7" s="11">
        <f t="shared" si="14"/>
        <v>46367</v>
      </c>
      <c r="MJ7" s="11">
        <f t="shared" si="14"/>
        <v>46368</v>
      </c>
      <c r="MK7" s="11">
        <f t="shared" si="14"/>
        <v>46369</v>
      </c>
      <c r="ML7" s="11">
        <f t="shared" si="14"/>
        <v>46370</v>
      </c>
      <c r="MM7" s="11">
        <f t="shared" si="14"/>
        <v>46371</v>
      </c>
      <c r="MN7" s="11">
        <f t="shared" si="14"/>
        <v>46372</v>
      </c>
      <c r="MO7" s="11">
        <f t="shared" si="14"/>
        <v>46373</v>
      </c>
      <c r="MP7" s="11">
        <f t="shared" si="14"/>
        <v>46374</v>
      </c>
      <c r="MQ7" s="11">
        <f t="shared" si="14"/>
        <v>46375</v>
      </c>
      <c r="MR7" s="11">
        <f t="shared" si="14"/>
        <v>46376</v>
      </c>
      <c r="MS7" s="11">
        <f t="shared" si="14"/>
        <v>46377</v>
      </c>
      <c r="MT7" s="11">
        <f t="shared" si="14"/>
        <v>46378</v>
      </c>
      <c r="MU7" s="11">
        <f t="shared" si="14"/>
        <v>46379</v>
      </c>
      <c r="MV7" s="11">
        <f t="shared" si="14"/>
        <v>46380</v>
      </c>
      <c r="MW7" s="11">
        <f t="shared" si="14"/>
        <v>46381</v>
      </c>
      <c r="MX7" s="11">
        <f t="shared" si="14"/>
        <v>46382</v>
      </c>
      <c r="MY7" s="11">
        <f t="shared" si="14"/>
        <v>46383</v>
      </c>
      <c r="MZ7" s="11">
        <f t="shared" si="14"/>
        <v>46384</v>
      </c>
      <c r="NA7" s="11">
        <f t="shared" si="14"/>
        <v>46385</v>
      </c>
      <c r="NB7" s="11">
        <f t="shared" si="14"/>
        <v>46386</v>
      </c>
      <c r="NC7" s="11">
        <f t="shared" si="14"/>
        <v>46387</v>
      </c>
    </row>
    <row r="8" spans="1:367">
      <c r="A8" s="12"/>
      <c r="B8" s="12" t="s">
        <v>10</v>
      </c>
      <c r="C8" s="8" t="s">
        <v>54</v>
      </c>
      <c r="D8" s="8" t="s">
        <v>54</v>
      </c>
      <c r="E8" s="8" t="s">
        <v>54</v>
      </c>
      <c r="F8" s="8" t="s">
        <v>54</v>
      </c>
      <c r="G8" s="8" t="s">
        <v>425</v>
      </c>
      <c r="H8" s="8" t="s">
        <v>425</v>
      </c>
      <c r="I8" s="8" t="s">
        <v>425</v>
      </c>
      <c r="J8" s="8" t="s">
        <v>425</v>
      </c>
      <c r="K8" s="8" t="s">
        <v>425</v>
      </c>
      <c r="L8" s="8" t="s">
        <v>425</v>
      </c>
      <c r="M8" s="8" t="s">
        <v>425</v>
      </c>
      <c r="N8" s="8" t="s">
        <v>2</v>
      </c>
      <c r="O8" s="8" t="s">
        <v>2</v>
      </c>
      <c r="P8" s="8" t="s">
        <v>2</v>
      </c>
      <c r="Q8" s="8" t="s">
        <v>2</v>
      </c>
      <c r="R8" s="8" t="s">
        <v>2</v>
      </c>
      <c r="S8" s="8" t="s">
        <v>2</v>
      </c>
      <c r="T8" s="8" t="s">
        <v>2</v>
      </c>
      <c r="U8" s="8" t="s">
        <v>3</v>
      </c>
      <c r="V8" s="8" t="s">
        <v>3</v>
      </c>
      <c r="W8" s="8" t="s">
        <v>3</v>
      </c>
      <c r="X8" s="8" t="s">
        <v>3</v>
      </c>
      <c r="Y8" s="8" t="s">
        <v>3</v>
      </c>
      <c r="Z8" s="8" t="s">
        <v>3</v>
      </c>
      <c r="AA8" s="8" t="s">
        <v>3</v>
      </c>
      <c r="AB8" s="8" t="s">
        <v>4</v>
      </c>
      <c r="AC8" s="8" t="s">
        <v>4</v>
      </c>
      <c r="AD8" s="8" t="s">
        <v>4</v>
      </c>
      <c r="AE8" s="8" t="s">
        <v>4</v>
      </c>
      <c r="AF8" s="8" t="s">
        <v>4</v>
      </c>
      <c r="AG8" s="8" t="s">
        <v>4</v>
      </c>
      <c r="AH8" s="8" t="s">
        <v>4</v>
      </c>
      <c r="AI8" s="8" t="s">
        <v>5</v>
      </c>
      <c r="AJ8" s="8" t="s">
        <v>5</v>
      </c>
      <c r="AK8" s="8" t="s">
        <v>5</v>
      </c>
      <c r="AL8" s="8" t="s">
        <v>5</v>
      </c>
      <c r="AM8" s="8" t="s">
        <v>5</v>
      </c>
      <c r="AN8" s="8" t="s">
        <v>5</v>
      </c>
      <c r="AO8" s="8" t="s">
        <v>5</v>
      </c>
      <c r="AP8" s="8" t="s">
        <v>6</v>
      </c>
      <c r="AQ8" s="8" t="s">
        <v>6</v>
      </c>
      <c r="AR8" s="8" t="s">
        <v>6</v>
      </c>
      <c r="AS8" s="8" t="s">
        <v>6</v>
      </c>
      <c r="AT8" s="8" t="s">
        <v>6</v>
      </c>
      <c r="AU8" s="8" t="s">
        <v>6</v>
      </c>
      <c r="AV8" s="8" t="s">
        <v>6</v>
      </c>
      <c r="AW8" s="8" t="s">
        <v>7</v>
      </c>
      <c r="AX8" s="8" t="s">
        <v>7</v>
      </c>
      <c r="AY8" s="8" t="s">
        <v>7</v>
      </c>
      <c r="AZ8" s="8" t="s">
        <v>7</v>
      </c>
      <c r="BA8" s="8" t="s">
        <v>7</v>
      </c>
      <c r="BB8" s="8" t="s">
        <v>7</v>
      </c>
      <c r="BC8" s="8" t="s">
        <v>7</v>
      </c>
      <c r="BD8" s="8" t="s">
        <v>8</v>
      </c>
      <c r="BE8" s="8" t="s">
        <v>8</v>
      </c>
      <c r="BF8" s="8" t="s">
        <v>8</v>
      </c>
      <c r="BG8" s="8" t="s">
        <v>8</v>
      </c>
      <c r="BH8" s="8" t="s">
        <v>8</v>
      </c>
      <c r="BI8" s="8" t="s">
        <v>8</v>
      </c>
      <c r="BJ8" s="8" t="s">
        <v>8</v>
      </c>
      <c r="BK8" s="8" t="s">
        <v>11</v>
      </c>
      <c r="BL8" s="8" t="s">
        <v>11</v>
      </c>
      <c r="BM8" s="8" t="s">
        <v>11</v>
      </c>
      <c r="BN8" s="8" t="s">
        <v>11</v>
      </c>
      <c r="BO8" s="8" t="s">
        <v>11</v>
      </c>
      <c r="BP8" s="8" t="s">
        <v>11</v>
      </c>
      <c r="BQ8" s="8" t="s">
        <v>11</v>
      </c>
      <c r="BR8" s="8" t="s">
        <v>12</v>
      </c>
      <c r="BS8" s="8" t="s">
        <v>12</v>
      </c>
      <c r="BT8" s="8" t="s">
        <v>12</v>
      </c>
      <c r="BU8" s="8" t="s">
        <v>12</v>
      </c>
      <c r="BV8" s="8" t="s">
        <v>12</v>
      </c>
      <c r="BW8" s="8" t="s">
        <v>12</v>
      </c>
      <c r="BX8" s="8" t="s">
        <v>12</v>
      </c>
      <c r="BY8" s="8" t="s">
        <v>13</v>
      </c>
      <c r="BZ8" s="8" t="s">
        <v>13</v>
      </c>
      <c r="CA8" s="8" t="s">
        <v>13</v>
      </c>
      <c r="CB8" s="8" t="s">
        <v>13</v>
      </c>
      <c r="CC8" s="8" t="s">
        <v>13</v>
      </c>
      <c r="CD8" s="8" t="s">
        <v>13</v>
      </c>
      <c r="CE8" s="8" t="s">
        <v>13</v>
      </c>
      <c r="CF8" s="8" t="s">
        <v>14</v>
      </c>
      <c r="CG8" s="8" t="s">
        <v>14</v>
      </c>
      <c r="CH8" s="8" t="s">
        <v>14</v>
      </c>
      <c r="CI8" s="8" t="s">
        <v>14</v>
      </c>
      <c r="CJ8" s="8" t="s">
        <v>14</v>
      </c>
      <c r="CK8" s="8" t="s">
        <v>14</v>
      </c>
      <c r="CL8" s="8" t="s">
        <v>14</v>
      </c>
      <c r="CM8" s="8" t="s">
        <v>15</v>
      </c>
      <c r="CN8" s="8" t="s">
        <v>15</v>
      </c>
      <c r="CO8" s="8" t="s">
        <v>15</v>
      </c>
      <c r="CP8" s="8" t="s">
        <v>15</v>
      </c>
      <c r="CQ8" s="8" t="s">
        <v>15</v>
      </c>
      <c r="CR8" s="8" t="s">
        <v>15</v>
      </c>
      <c r="CS8" s="8" t="s">
        <v>15</v>
      </c>
      <c r="CT8" s="8" t="s">
        <v>16</v>
      </c>
      <c r="CU8" s="8" t="s">
        <v>16</v>
      </c>
      <c r="CV8" s="8" t="s">
        <v>16</v>
      </c>
      <c r="CW8" s="8" t="s">
        <v>16</v>
      </c>
      <c r="CX8" s="8" t="s">
        <v>16</v>
      </c>
      <c r="CY8" s="8" t="s">
        <v>16</v>
      </c>
      <c r="CZ8" s="8" t="s">
        <v>16</v>
      </c>
      <c r="DA8" s="8" t="s">
        <v>17</v>
      </c>
      <c r="DB8" s="8" t="s">
        <v>17</v>
      </c>
      <c r="DC8" s="8" t="s">
        <v>17</v>
      </c>
      <c r="DD8" s="8" t="s">
        <v>17</v>
      </c>
      <c r="DE8" s="8" t="s">
        <v>17</v>
      </c>
      <c r="DF8" s="8" t="s">
        <v>17</v>
      </c>
      <c r="DG8" s="8" t="s">
        <v>17</v>
      </c>
      <c r="DH8" s="8" t="s">
        <v>18</v>
      </c>
      <c r="DI8" s="8" t="s">
        <v>18</v>
      </c>
      <c r="DJ8" s="8" t="s">
        <v>18</v>
      </c>
      <c r="DK8" s="8" t="s">
        <v>18</v>
      </c>
      <c r="DL8" s="8" t="s">
        <v>18</v>
      </c>
      <c r="DM8" s="8" t="s">
        <v>18</v>
      </c>
      <c r="DN8" s="8" t="s">
        <v>18</v>
      </c>
      <c r="DO8" s="8" t="s">
        <v>19</v>
      </c>
      <c r="DP8" s="8" t="s">
        <v>19</v>
      </c>
      <c r="DQ8" s="8" t="s">
        <v>19</v>
      </c>
      <c r="DR8" s="8" t="s">
        <v>19</v>
      </c>
      <c r="DS8" s="8" t="s">
        <v>19</v>
      </c>
      <c r="DT8" s="8" t="s">
        <v>19</v>
      </c>
      <c r="DU8" s="8" t="s">
        <v>19</v>
      </c>
      <c r="DV8" s="8" t="s">
        <v>20</v>
      </c>
      <c r="DW8" s="8" t="s">
        <v>20</v>
      </c>
      <c r="DX8" s="8" t="s">
        <v>20</v>
      </c>
      <c r="DY8" s="8" t="s">
        <v>20</v>
      </c>
      <c r="DZ8" s="8" t="s">
        <v>20</v>
      </c>
      <c r="EA8" s="8" t="s">
        <v>20</v>
      </c>
      <c r="EB8" s="8" t="s">
        <v>20</v>
      </c>
      <c r="EC8" s="8" t="s">
        <v>21</v>
      </c>
      <c r="ED8" s="8" t="s">
        <v>21</v>
      </c>
      <c r="EE8" s="8" t="s">
        <v>21</v>
      </c>
      <c r="EF8" s="8" t="s">
        <v>21</v>
      </c>
      <c r="EG8" s="8" t="s">
        <v>21</v>
      </c>
      <c r="EH8" s="8" t="s">
        <v>21</v>
      </c>
      <c r="EI8" s="8" t="s">
        <v>21</v>
      </c>
      <c r="EJ8" s="8" t="s">
        <v>22</v>
      </c>
      <c r="EK8" s="8" t="s">
        <v>22</v>
      </c>
      <c r="EL8" s="8" t="s">
        <v>22</v>
      </c>
      <c r="EM8" s="8" t="s">
        <v>22</v>
      </c>
      <c r="EN8" s="8" t="s">
        <v>22</v>
      </c>
      <c r="EO8" s="8" t="s">
        <v>22</v>
      </c>
      <c r="EP8" s="8" t="s">
        <v>22</v>
      </c>
      <c r="EQ8" s="8" t="s">
        <v>23</v>
      </c>
      <c r="ER8" s="8" t="s">
        <v>23</v>
      </c>
      <c r="ES8" s="8" t="s">
        <v>23</v>
      </c>
      <c r="ET8" s="8" t="s">
        <v>23</v>
      </c>
      <c r="EU8" s="8" t="s">
        <v>23</v>
      </c>
      <c r="EV8" s="8" t="s">
        <v>23</v>
      </c>
      <c r="EW8" s="8" t="s">
        <v>23</v>
      </c>
      <c r="EX8" s="8" t="s">
        <v>24</v>
      </c>
      <c r="EY8" s="8" t="s">
        <v>24</v>
      </c>
      <c r="EZ8" s="8" t="s">
        <v>24</v>
      </c>
      <c r="FA8" s="8" t="s">
        <v>24</v>
      </c>
      <c r="FB8" s="8" t="s">
        <v>24</v>
      </c>
      <c r="FC8" s="8" t="s">
        <v>24</v>
      </c>
      <c r="FD8" s="8" t="s">
        <v>24</v>
      </c>
      <c r="FE8" s="8" t="s">
        <v>25</v>
      </c>
      <c r="FF8" s="8" t="s">
        <v>25</v>
      </c>
      <c r="FG8" s="8" t="s">
        <v>25</v>
      </c>
      <c r="FH8" s="8" t="s">
        <v>25</v>
      </c>
      <c r="FI8" s="8" t="s">
        <v>25</v>
      </c>
      <c r="FJ8" s="8" t="s">
        <v>25</v>
      </c>
      <c r="FK8" s="8" t="s">
        <v>25</v>
      </c>
      <c r="FL8" s="8" t="s">
        <v>26</v>
      </c>
      <c r="FM8" s="8" t="s">
        <v>26</v>
      </c>
      <c r="FN8" s="8" t="s">
        <v>26</v>
      </c>
      <c r="FO8" s="8" t="s">
        <v>26</v>
      </c>
      <c r="FP8" s="8" t="s">
        <v>26</v>
      </c>
      <c r="FQ8" s="8" t="s">
        <v>26</v>
      </c>
      <c r="FR8" s="8" t="s">
        <v>26</v>
      </c>
      <c r="FS8" s="8" t="s">
        <v>27</v>
      </c>
      <c r="FT8" s="8" t="s">
        <v>27</v>
      </c>
      <c r="FU8" s="8" t="s">
        <v>27</v>
      </c>
      <c r="FV8" s="8" t="s">
        <v>27</v>
      </c>
      <c r="FW8" s="8" t="s">
        <v>27</v>
      </c>
      <c r="FX8" s="8" t="s">
        <v>27</v>
      </c>
      <c r="FY8" s="8" t="s">
        <v>27</v>
      </c>
      <c r="FZ8" s="8" t="s">
        <v>28</v>
      </c>
      <c r="GA8" s="8" t="s">
        <v>28</v>
      </c>
      <c r="GB8" s="8" t="s">
        <v>28</v>
      </c>
      <c r="GC8" s="8" t="s">
        <v>28</v>
      </c>
      <c r="GD8" s="8" t="s">
        <v>28</v>
      </c>
      <c r="GE8" s="8" t="s">
        <v>28</v>
      </c>
      <c r="GF8" s="8" t="s">
        <v>28</v>
      </c>
      <c r="GG8" s="8" t="s">
        <v>29</v>
      </c>
      <c r="GH8" s="8" t="s">
        <v>29</v>
      </c>
      <c r="GI8" s="8" t="s">
        <v>29</v>
      </c>
      <c r="GJ8" s="8" t="s">
        <v>29</v>
      </c>
      <c r="GK8" s="8" t="s">
        <v>29</v>
      </c>
      <c r="GL8" s="8" t="s">
        <v>29</v>
      </c>
      <c r="GM8" s="8" t="s">
        <v>29</v>
      </c>
      <c r="GN8" s="8" t="s">
        <v>30</v>
      </c>
      <c r="GO8" s="8" t="s">
        <v>30</v>
      </c>
      <c r="GP8" s="8" t="s">
        <v>30</v>
      </c>
      <c r="GQ8" s="8" t="s">
        <v>30</v>
      </c>
      <c r="GR8" s="8" t="s">
        <v>30</v>
      </c>
      <c r="GS8" s="8" t="s">
        <v>30</v>
      </c>
      <c r="GT8" s="8" t="s">
        <v>30</v>
      </c>
      <c r="GU8" s="8" t="s">
        <v>31</v>
      </c>
      <c r="GV8" s="8" t="s">
        <v>31</v>
      </c>
      <c r="GW8" s="8" t="s">
        <v>31</v>
      </c>
      <c r="GX8" s="8" t="s">
        <v>31</v>
      </c>
      <c r="GY8" s="8" t="s">
        <v>31</v>
      </c>
      <c r="GZ8" s="8" t="s">
        <v>31</v>
      </c>
      <c r="HA8" s="8" t="s">
        <v>31</v>
      </c>
      <c r="HB8" s="8" t="s">
        <v>32</v>
      </c>
      <c r="HC8" s="8" t="s">
        <v>32</v>
      </c>
      <c r="HD8" s="8" t="s">
        <v>32</v>
      </c>
      <c r="HE8" s="8" t="s">
        <v>32</v>
      </c>
      <c r="HF8" s="8" t="s">
        <v>32</v>
      </c>
      <c r="HG8" s="8" t="s">
        <v>32</v>
      </c>
      <c r="HH8" s="8" t="s">
        <v>32</v>
      </c>
      <c r="HI8" s="8" t="s">
        <v>33</v>
      </c>
      <c r="HJ8" s="8" t="s">
        <v>33</v>
      </c>
      <c r="HK8" s="8" t="s">
        <v>33</v>
      </c>
      <c r="HL8" s="8" t="s">
        <v>33</v>
      </c>
      <c r="HM8" s="8" t="s">
        <v>33</v>
      </c>
      <c r="HN8" s="8" t="s">
        <v>33</v>
      </c>
      <c r="HO8" s="8" t="s">
        <v>33</v>
      </c>
      <c r="HP8" s="8" t="s">
        <v>34</v>
      </c>
      <c r="HQ8" s="8" t="s">
        <v>34</v>
      </c>
      <c r="HR8" s="8" t="s">
        <v>34</v>
      </c>
      <c r="HS8" s="8" t="s">
        <v>34</v>
      </c>
      <c r="HT8" s="8" t="s">
        <v>34</v>
      </c>
      <c r="HU8" s="8" t="s">
        <v>34</v>
      </c>
      <c r="HV8" s="8" t="s">
        <v>34</v>
      </c>
      <c r="HW8" s="8" t="s">
        <v>35</v>
      </c>
      <c r="HX8" s="8" t="s">
        <v>35</v>
      </c>
      <c r="HY8" s="8" t="s">
        <v>35</v>
      </c>
      <c r="HZ8" s="8" t="s">
        <v>35</v>
      </c>
      <c r="IA8" s="8" t="s">
        <v>35</v>
      </c>
      <c r="IB8" s="8" t="s">
        <v>35</v>
      </c>
      <c r="IC8" s="8" t="s">
        <v>35</v>
      </c>
      <c r="ID8" s="8" t="s">
        <v>36</v>
      </c>
      <c r="IE8" s="8" t="s">
        <v>36</v>
      </c>
      <c r="IF8" s="8" t="s">
        <v>36</v>
      </c>
      <c r="IG8" s="8" t="s">
        <v>36</v>
      </c>
      <c r="IH8" s="8" t="s">
        <v>36</v>
      </c>
      <c r="II8" s="8" t="s">
        <v>36</v>
      </c>
      <c r="IJ8" s="8" t="s">
        <v>36</v>
      </c>
      <c r="IK8" s="8" t="s">
        <v>37</v>
      </c>
      <c r="IL8" s="8" t="s">
        <v>37</v>
      </c>
      <c r="IM8" s="8" t="s">
        <v>37</v>
      </c>
      <c r="IN8" s="8" t="s">
        <v>37</v>
      </c>
      <c r="IO8" s="8" t="s">
        <v>37</v>
      </c>
      <c r="IP8" s="8" t="s">
        <v>37</v>
      </c>
      <c r="IQ8" s="8" t="s">
        <v>37</v>
      </c>
      <c r="IR8" s="8" t="s">
        <v>38</v>
      </c>
      <c r="IS8" s="8" t="s">
        <v>38</v>
      </c>
      <c r="IT8" s="8" t="s">
        <v>38</v>
      </c>
      <c r="IU8" s="8" t="s">
        <v>38</v>
      </c>
      <c r="IV8" s="8" t="s">
        <v>38</v>
      </c>
      <c r="IW8" s="8" t="s">
        <v>38</v>
      </c>
      <c r="IX8" s="8" t="s">
        <v>38</v>
      </c>
      <c r="IY8" s="8" t="s">
        <v>39</v>
      </c>
      <c r="IZ8" s="8" t="s">
        <v>39</v>
      </c>
      <c r="JA8" s="8" t="s">
        <v>39</v>
      </c>
      <c r="JB8" s="8" t="s">
        <v>39</v>
      </c>
      <c r="JC8" s="8" t="s">
        <v>39</v>
      </c>
      <c r="JD8" s="8" t="s">
        <v>39</v>
      </c>
      <c r="JE8" s="8" t="s">
        <v>39</v>
      </c>
      <c r="JF8" s="8" t="s">
        <v>40</v>
      </c>
      <c r="JG8" s="8" t="s">
        <v>40</v>
      </c>
      <c r="JH8" s="8" t="s">
        <v>40</v>
      </c>
      <c r="JI8" s="8" t="s">
        <v>40</v>
      </c>
      <c r="JJ8" s="8" t="s">
        <v>40</v>
      </c>
      <c r="JK8" s="8" t="s">
        <v>40</v>
      </c>
      <c r="JL8" s="8" t="s">
        <v>40</v>
      </c>
      <c r="JM8" s="8" t="s">
        <v>41</v>
      </c>
      <c r="JN8" s="8" t="s">
        <v>41</v>
      </c>
      <c r="JO8" s="8" t="s">
        <v>41</v>
      </c>
      <c r="JP8" s="8" t="s">
        <v>41</v>
      </c>
      <c r="JQ8" s="8" t="s">
        <v>41</v>
      </c>
      <c r="JR8" s="8" t="s">
        <v>41</v>
      </c>
      <c r="JS8" s="8" t="s">
        <v>41</v>
      </c>
      <c r="JT8" s="8" t="s">
        <v>42</v>
      </c>
      <c r="JU8" s="8" t="s">
        <v>42</v>
      </c>
      <c r="JV8" s="8" t="s">
        <v>42</v>
      </c>
      <c r="JW8" s="8" t="s">
        <v>42</v>
      </c>
      <c r="JX8" s="8" t="s">
        <v>42</v>
      </c>
      <c r="JY8" s="8" t="s">
        <v>42</v>
      </c>
      <c r="JZ8" s="8" t="s">
        <v>42</v>
      </c>
      <c r="KB8" s="20"/>
      <c r="KI8" s="20"/>
      <c r="KU8" s="36"/>
      <c r="LE8" s="20"/>
      <c r="LF8" s="20"/>
      <c r="LK8" s="20"/>
      <c r="LR8" s="20"/>
      <c r="LY8" s="20"/>
      <c r="LZ8" s="1"/>
      <c r="MA8" s="1"/>
      <c r="MB8" s="1"/>
      <c r="MC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34"/>
      <c r="MQ8" s="1"/>
      <c r="MR8" s="1"/>
      <c r="MS8" s="1"/>
      <c r="MT8" s="20"/>
    </row>
    <row r="9" spans="1:367">
      <c r="A9" s="13">
        <f>+SUM(C9:NC9)</f>
        <v>470663.68611606461</v>
      </c>
      <c r="B9" s="14" t="s">
        <v>427</v>
      </c>
      <c r="C9" s="7"/>
      <c r="D9" s="7">
        <v>1374.1797642714848</v>
      </c>
      <c r="E9" s="7">
        <v>1456.9333314893699</v>
      </c>
      <c r="F9" s="7"/>
      <c r="G9" s="7">
        <v>1675.333333333333</v>
      </c>
      <c r="H9" s="7">
        <v>1987.7168536086056</v>
      </c>
      <c r="I9" s="7">
        <v>2046.3929661718544</v>
      </c>
      <c r="J9" s="7">
        <v>1827.1569131987103</v>
      </c>
      <c r="K9" s="7">
        <v>1592.2494567370859</v>
      </c>
      <c r="L9" s="7">
        <v>1584.5936245384355</v>
      </c>
      <c r="N9" s="7">
        <v>1873.2353795143804</v>
      </c>
      <c r="O9" s="7">
        <v>1863.3803141767883</v>
      </c>
      <c r="P9" s="7">
        <v>1739.4579955546537</v>
      </c>
      <c r="Q9" s="7">
        <v>1475.4351565927122</v>
      </c>
      <c r="R9" s="7">
        <v>1331.1970870840066</v>
      </c>
      <c r="S9" s="7">
        <v>1359.486875064784</v>
      </c>
      <c r="U9" s="7">
        <v>1571.3333333333333</v>
      </c>
      <c r="V9" s="7">
        <v>1526.9166666666665</v>
      </c>
      <c r="W9" s="7">
        <v>1457.2018726673614</v>
      </c>
      <c r="X9" s="7">
        <v>1523.3757522441738</v>
      </c>
      <c r="Y9" s="7">
        <v>1451.6653002553892</v>
      </c>
      <c r="Z9" s="7">
        <v>1812.416666666667</v>
      </c>
      <c r="AB9" s="7">
        <v>1464.4898671565857</v>
      </c>
      <c r="AC9" s="7">
        <v>1685.5</v>
      </c>
      <c r="AD9" s="7">
        <v>1610.0292491565635</v>
      </c>
      <c r="AE9" s="7">
        <v>1635.8129995410579</v>
      </c>
      <c r="AF9" s="7">
        <v>1535.1666666666665</v>
      </c>
      <c r="AG9" s="7">
        <v>1950.4166666666665</v>
      </c>
      <c r="AI9" s="7">
        <v>1566.6666666666665</v>
      </c>
      <c r="AJ9" s="7">
        <v>1598.2714286466155</v>
      </c>
      <c r="AK9" s="7">
        <v>1391.8936036011382</v>
      </c>
      <c r="AL9" s="7">
        <v>1316.1123749512797</v>
      </c>
      <c r="AM9" s="7">
        <v>1590.75</v>
      </c>
      <c r="AN9" s="7">
        <v>1440</v>
      </c>
      <c r="AP9" s="7">
        <v>1544.0833333333333</v>
      </c>
      <c r="AQ9" s="7">
        <v>1458.4801216272815</v>
      </c>
      <c r="AR9" s="7">
        <v>1320.9578527830761</v>
      </c>
      <c r="AS9" s="7">
        <v>1482.5119869389125</v>
      </c>
      <c r="AT9" s="7">
        <v>1613.5</v>
      </c>
      <c r="AU9" s="7">
        <v>1528.9166666666667</v>
      </c>
      <c r="AW9" s="7">
        <v>1643.25</v>
      </c>
      <c r="AX9" s="7">
        <v>1687.75</v>
      </c>
      <c r="AY9" s="7">
        <v>1463.0243107848351</v>
      </c>
      <c r="AZ9" s="7">
        <v>1561.9450711710049</v>
      </c>
      <c r="BA9" s="7">
        <v>1731.6666666666665</v>
      </c>
      <c r="BB9" s="7">
        <v>1629.083333333333</v>
      </c>
      <c r="BD9" s="7">
        <v>1589.2297957506355</v>
      </c>
      <c r="BE9" s="7">
        <v>1790.8333333333335</v>
      </c>
      <c r="BF9" s="7">
        <v>1747.6539062225811</v>
      </c>
      <c r="BG9" s="7">
        <v>1608.8423510907874</v>
      </c>
      <c r="BH9" s="7">
        <v>1754.1308668395629</v>
      </c>
      <c r="BI9" s="7">
        <v>1625.431407945601</v>
      </c>
      <c r="BK9" s="7">
        <v>2646.3333333333335</v>
      </c>
      <c r="BL9" s="7">
        <v>2666.916666666667</v>
      </c>
      <c r="BM9" s="7">
        <v>2264.9166666666665</v>
      </c>
      <c r="BN9" s="7">
        <v>2020.5</v>
      </c>
      <c r="BO9" s="7">
        <v>1907.0476578117</v>
      </c>
      <c r="BP9" s="7">
        <v>2305.166666666667</v>
      </c>
      <c r="BR9" s="7">
        <v>2718.9833419548363</v>
      </c>
      <c r="BS9" s="7">
        <v>2712.3410914097035</v>
      </c>
      <c r="BT9" s="7">
        <v>2750.6666666666665</v>
      </c>
      <c r="BU9" s="7">
        <v>2685.6445701417151</v>
      </c>
      <c r="BV9" s="7">
        <v>2746.5</v>
      </c>
      <c r="BW9" s="7">
        <v>2638.5</v>
      </c>
      <c r="BX9" s="7">
        <v>1604.916666666667</v>
      </c>
      <c r="BY9" s="3">
        <v>2402.5833333333335</v>
      </c>
      <c r="BZ9" s="3">
        <v>2037.25</v>
      </c>
      <c r="CA9" s="3">
        <v>1658.9166666666672</v>
      </c>
      <c r="CB9" s="3">
        <v>547.5</v>
      </c>
      <c r="CC9" s="3"/>
      <c r="CD9" s="3"/>
      <c r="CE9" s="3"/>
      <c r="CF9" s="7">
        <v>1967.4999999999998</v>
      </c>
      <c r="CG9" s="7">
        <v>2263.916666666667</v>
      </c>
      <c r="CH9" s="7">
        <v>2349.6666666666665</v>
      </c>
      <c r="CI9" s="7">
        <v>1798.2867064728571</v>
      </c>
      <c r="CJ9" s="7">
        <v>1668.1611056075296</v>
      </c>
      <c r="CK9" s="7">
        <v>1566.7618411887624</v>
      </c>
      <c r="CM9" s="7">
        <v>1681.75</v>
      </c>
      <c r="CN9" s="7">
        <v>1603.0833333333333</v>
      </c>
      <c r="CO9" s="7">
        <v>1488.4098755537948</v>
      </c>
      <c r="CP9" s="7">
        <v>1957.8829230935446</v>
      </c>
      <c r="CQ9" s="7">
        <v>1873.75</v>
      </c>
      <c r="CR9" s="7">
        <v>1467.4999999999998</v>
      </c>
      <c r="CT9" s="7">
        <v>2024.75</v>
      </c>
      <c r="CU9" s="7">
        <v>1829.75</v>
      </c>
      <c r="CV9" s="7">
        <v>2172.8333333333335</v>
      </c>
      <c r="CW9" s="7">
        <v>2145.6666666666665</v>
      </c>
      <c r="CX9" s="7">
        <v>1965.5</v>
      </c>
      <c r="CY9" s="7">
        <v>1638.7136113006457</v>
      </c>
      <c r="DA9" s="7">
        <v>1569.75</v>
      </c>
      <c r="DB9" s="7">
        <v>1627</v>
      </c>
      <c r="DC9" s="7">
        <v>1732.3333333333335</v>
      </c>
      <c r="DD9" s="7">
        <v>1733.5</v>
      </c>
      <c r="DE9" s="7">
        <v>1856.8228375181097</v>
      </c>
      <c r="DF9" s="7">
        <v>1671.6809899565249</v>
      </c>
      <c r="DG9" s="7">
        <v>1258.8706166645147</v>
      </c>
      <c r="DH9" s="7">
        <v>1575.0833333333335</v>
      </c>
      <c r="DI9" s="7">
        <v>1647.9533741760733</v>
      </c>
      <c r="DJ9" s="7">
        <v>1760.8700525639781</v>
      </c>
      <c r="DK9" s="46">
        <v>1586.9529022675581</v>
      </c>
      <c r="DL9" s="46">
        <v>1501.0000840786288</v>
      </c>
      <c r="DM9" s="7">
        <v>1531.4166666666667</v>
      </c>
      <c r="DO9" s="7">
        <v>1564.3333333333333</v>
      </c>
      <c r="DP9" s="7">
        <v>1628.3607574151661</v>
      </c>
      <c r="DQ9" s="7">
        <v>1681.9206048036895</v>
      </c>
      <c r="DR9" s="7">
        <v>1803.3333333333337</v>
      </c>
      <c r="DS9" s="7"/>
      <c r="DT9" s="7">
        <v>1727.9166666666667</v>
      </c>
      <c r="DU9" s="7">
        <v>1656.5</v>
      </c>
      <c r="DV9" s="7">
        <v>1604.7038956419431</v>
      </c>
      <c r="DW9" s="7">
        <v>1998.7174722304405</v>
      </c>
      <c r="DX9" s="7">
        <v>2143.0010027218714</v>
      </c>
      <c r="DY9" s="7">
        <v>2174.151681216083</v>
      </c>
      <c r="DZ9" s="7">
        <v>2132.6749742107859</v>
      </c>
      <c r="EA9" s="7">
        <v>1582.6524489913379</v>
      </c>
      <c r="EC9" s="7">
        <v>2269.366332722263</v>
      </c>
      <c r="ED9" s="7">
        <v>2326.582258628222</v>
      </c>
      <c r="EE9" s="7">
        <v>2254.958336721359</v>
      </c>
      <c r="EF9" s="7">
        <v>2370.7465102058918</v>
      </c>
      <c r="EG9" s="7">
        <v>2280.1907805985115</v>
      </c>
      <c r="EH9" s="7">
        <v>2316.2983197241288</v>
      </c>
      <c r="EI9" s="7">
        <v>2383.666666666667</v>
      </c>
      <c r="EJ9" s="7">
        <v>2416.833333333333</v>
      </c>
      <c r="EK9" s="7">
        <v>2300.7666652600187</v>
      </c>
      <c r="EL9" s="7">
        <v>2484.0092239634582</v>
      </c>
      <c r="EM9" s="7">
        <v>2413.5</v>
      </c>
      <c r="EN9" s="7">
        <v>2368.01848621626</v>
      </c>
      <c r="EO9" s="7">
        <v>2671.9066653907971</v>
      </c>
      <c r="EP9" s="7"/>
      <c r="EQ9" s="7">
        <v>1976.5833333333333</v>
      </c>
      <c r="ER9" s="7">
        <v>583.58333333333337</v>
      </c>
      <c r="ES9" s="7"/>
      <c r="ET9" s="7"/>
      <c r="EU9" s="7"/>
      <c r="EV9" s="7">
        <v>1767.7810238226928</v>
      </c>
      <c r="EW9" s="7"/>
      <c r="EX9" s="7">
        <v>1839.8461144715679</v>
      </c>
      <c r="EY9" s="7">
        <v>2187.8404925559207</v>
      </c>
      <c r="EZ9" s="7">
        <v>2055.2872727465019</v>
      </c>
      <c r="FA9" s="7">
        <v>1975.2719874873494</v>
      </c>
      <c r="FB9" s="7">
        <v>2014.5891703881209</v>
      </c>
      <c r="FC9" s="7">
        <v>1794.9099519322542</v>
      </c>
      <c r="FE9" s="7">
        <v>1791.5281467789293</v>
      </c>
      <c r="FF9" s="7">
        <v>1689.7771439132341</v>
      </c>
      <c r="FG9" s="7">
        <v>1985.4759809305508</v>
      </c>
      <c r="FH9" s="7">
        <v>2047.2197398434128</v>
      </c>
      <c r="FI9" s="7">
        <v>2066.9087354439089</v>
      </c>
      <c r="FJ9" s="7">
        <v>1899.2962186176258</v>
      </c>
      <c r="FK9" s="7">
        <v>1497.8046896414241</v>
      </c>
      <c r="FL9" s="7">
        <v>1794.0628185033609</v>
      </c>
      <c r="FM9" s="7">
        <v>1733.9736843987482</v>
      </c>
      <c r="FN9" s="7">
        <v>1665.4653899392206</v>
      </c>
      <c r="FO9" s="7">
        <v>1768.1134674655066</v>
      </c>
      <c r="FP9" s="7">
        <v>1738.7004787209003</v>
      </c>
      <c r="FQ9" s="7">
        <v>1455.585425219941</v>
      </c>
      <c r="FR9" s="7"/>
      <c r="FS9" s="7">
        <v>1584.1265077748353</v>
      </c>
      <c r="FT9" s="7">
        <v>1786.3064316380448</v>
      </c>
      <c r="FU9" s="7">
        <v>1787.3798718138707</v>
      </c>
      <c r="FV9" s="7">
        <v>1733.2554611472085</v>
      </c>
      <c r="FW9" s="7">
        <v>1630.6618371681418</v>
      </c>
      <c r="FX9" s="7">
        <v>1515.6763493355031</v>
      </c>
      <c r="FY9" s="7">
        <v>1361.4967364060165</v>
      </c>
      <c r="FZ9" s="7">
        <v>1850.8333333333333</v>
      </c>
      <c r="GA9" s="7">
        <v>1645.2801925089595</v>
      </c>
      <c r="GB9" s="7">
        <v>1775.7937120106628</v>
      </c>
      <c r="GC9" s="7">
        <v>1837.5</v>
      </c>
      <c r="GD9" s="7">
        <v>1615.9867416051591</v>
      </c>
      <c r="GE9" s="7">
        <v>1534.1508254269236</v>
      </c>
      <c r="GG9" s="7">
        <v>1552.2561924838856</v>
      </c>
      <c r="GH9" s="7">
        <v>1802.0122691935389</v>
      </c>
      <c r="GI9" s="7">
        <v>1680.9217164620518</v>
      </c>
      <c r="GJ9" s="7">
        <v>1755.6192336039094</v>
      </c>
      <c r="GK9" s="7">
        <v>1586.1983652346598</v>
      </c>
      <c r="GL9" s="7">
        <v>1615.5268798617112</v>
      </c>
      <c r="GM9" s="7">
        <v>1459.4999999999998</v>
      </c>
      <c r="GN9" s="7">
        <v>1550.2325656260557</v>
      </c>
      <c r="GO9" s="7">
        <v>1524.2224253117977</v>
      </c>
      <c r="GP9" s="7">
        <v>1709.1666666666665</v>
      </c>
      <c r="GQ9" s="7">
        <v>1655.9166666666667</v>
      </c>
      <c r="GR9" s="7">
        <v>1527.1252194756555</v>
      </c>
      <c r="GS9" s="7">
        <v>1521.3333333333333</v>
      </c>
      <c r="GU9" s="7">
        <v>1628.746854148975</v>
      </c>
      <c r="GV9" s="7">
        <v>1680.0833333333333</v>
      </c>
      <c r="GW9" s="7">
        <v>1722.6666666666665</v>
      </c>
      <c r="GX9" s="7">
        <v>1600.2007169654735</v>
      </c>
      <c r="GY9" s="7">
        <v>1792.4166666666667</v>
      </c>
      <c r="GZ9" s="7">
        <v>1671.5</v>
      </c>
      <c r="HA9" s="7">
        <v>1390.3333333333333</v>
      </c>
      <c r="HB9" s="2">
        <v>1765.6666666666665</v>
      </c>
      <c r="HC9" s="2">
        <v>1812.75</v>
      </c>
      <c r="HD9" s="2">
        <v>1833.25</v>
      </c>
      <c r="HE9" s="2">
        <v>1874.7499999999998</v>
      </c>
      <c r="HF9" s="2">
        <v>1930.0833333333333</v>
      </c>
      <c r="HG9" s="2">
        <v>1810.5833333333333</v>
      </c>
      <c r="HI9" s="7">
        <v>1863.5833333333333</v>
      </c>
      <c r="HJ9" s="7">
        <v>1843.5833333333333</v>
      </c>
      <c r="HK9" s="7">
        <v>1943.4166666666667</v>
      </c>
      <c r="HL9" s="7">
        <v>1859.9596101637262</v>
      </c>
      <c r="HM9" s="7">
        <v>1688.2988088881586</v>
      </c>
      <c r="HN9" s="7">
        <v>1835.4166666666667</v>
      </c>
      <c r="HO9" s="7">
        <v>1418.2500000000002</v>
      </c>
      <c r="HP9" s="7">
        <v>1921.1666666666667</v>
      </c>
      <c r="HQ9" s="7">
        <v>2012.9409644643229</v>
      </c>
      <c r="HR9" s="7">
        <v>2061.1855667731375</v>
      </c>
      <c r="HS9" s="7">
        <v>2150.8333333333335</v>
      </c>
      <c r="HT9" s="7">
        <v>2045.4447271573983</v>
      </c>
      <c r="HU9" s="7">
        <v>1891.5</v>
      </c>
      <c r="HV9" s="20"/>
      <c r="HW9" s="7">
        <v>2074.9003621375887</v>
      </c>
      <c r="HX9" s="7">
        <v>2114.1992248124607</v>
      </c>
      <c r="HY9" s="7">
        <v>2166.1665763851192</v>
      </c>
      <c r="HZ9" s="7">
        <v>2283.698234951039</v>
      </c>
      <c r="IA9" s="7">
        <v>2202.6962537732661</v>
      </c>
      <c r="IB9" s="7">
        <v>2059.5</v>
      </c>
      <c r="IC9" s="7">
        <v>1632.2732968266384</v>
      </c>
      <c r="ID9" s="7">
        <v>2109.75</v>
      </c>
      <c r="IE9" s="7">
        <v>2120.9658721018013</v>
      </c>
      <c r="IF9" s="7">
        <v>2057.4166666666665</v>
      </c>
      <c r="IG9" s="7">
        <v>2097.9643568983256</v>
      </c>
      <c r="IH9" s="7">
        <v>1748.4071729905759</v>
      </c>
      <c r="II9" s="7">
        <v>1758.0650104298691</v>
      </c>
      <c r="IK9" s="7">
        <v>1888.1943244642648</v>
      </c>
      <c r="IL9" s="7">
        <v>1916.3246508642073</v>
      </c>
      <c r="IM9" s="7">
        <v>1976.410186117392</v>
      </c>
      <c r="IN9" s="7">
        <v>2437.1666666666665</v>
      </c>
      <c r="IO9" s="7">
        <v>2246.1346859353125</v>
      </c>
      <c r="IP9" s="7">
        <v>2221.975077448697</v>
      </c>
      <c r="IQ9" s="7">
        <v>1534.2053581304003</v>
      </c>
      <c r="IR9" s="7">
        <v>2447.0743372744246</v>
      </c>
      <c r="IS9" s="7">
        <v>2501.3572131931542</v>
      </c>
      <c r="IT9" s="7">
        <v>2397.9649076371652</v>
      </c>
      <c r="IU9" s="7">
        <v>2437.5987016303893</v>
      </c>
      <c r="IV9" s="7">
        <v>2663.7223558826304</v>
      </c>
      <c r="IW9" s="7">
        <v>2560.166666666667</v>
      </c>
      <c r="IY9" s="7">
        <v>2266.4282627614839</v>
      </c>
      <c r="IZ9" s="7">
        <v>2843.7351991020887</v>
      </c>
      <c r="JA9" s="7">
        <v>2213.344499883739</v>
      </c>
      <c r="JB9" s="7">
        <v>2722.6335685212916</v>
      </c>
      <c r="JC9" s="7">
        <v>2368.7788760221097</v>
      </c>
      <c r="JD9" s="7">
        <v>2114.069368099601</v>
      </c>
      <c r="JF9" s="7">
        <v>1844.5306951497867</v>
      </c>
      <c r="JG9" s="7">
        <v>2732.083333333333</v>
      </c>
      <c r="JH9" s="7">
        <v>2627.1557290498613</v>
      </c>
      <c r="JI9" s="7">
        <v>2465.1464001166742</v>
      </c>
      <c r="JJ9" s="7">
        <v>2259.8004537928236</v>
      </c>
      <c r="JK9" s="7">
        <v>1972.1496731714831</v>
      </c>
      <c r="JM9" s="7">
        <v>2349.4331906764937</v>
      </c>
      <c r="JN9" s="7">
        <v>2625.020555095794</v>
      </c>
      <c r="JO9" s="7">
        <v>3022.8936490731844</v>
      </c>
      <c r="JP9" s="7">
        <v>2907.6312016736638</v>
      </c>
      <c r="JQ9" s="7">
        <v>2948.75</v>
      </c>
      <c r="JR9" s="7">
        <v>2077.5718848143329</v>
      </c>
      <c r="JT9" s="47">
        <v>2524.4717880545845</v>
      </c>
      <c r="JU9" s="47">
        <v>3024.916666666667</v>
      </c>
      <c r="JV9" s="47">
        <v>3134.5</v>
      </c>
      <c r="JW9" s="7">
        <v>2873.1967823925324</v>
      </c>
      <c r="JX9" s="7">
        <v>2266.1895904155695</v>
      </c>
      <c r="JY9" s="7">
        <v>2365.2927037083359</v>
      </c>
      <c r="KU9" s="36"/>
      <c r="LE9" s="20"/>
      <c r="LF9" s="20"/>
      <c r="LY9" s="20"/>
      <c r="LZ9" s="62"/>
      <c r="MA9" s="62"/>
      <c r="MB9" s="62"/>
      <c r="MC9" s="62"/>
      <c r="MF9"/>
      <c r="MG9"/>
      <c r="MH9"/>
      <c r="MI9"/>
      <c r="MJ9"/>
      <c r="MK9"/>
      <c r="ML9"/>
      <c r="MM9" s="62"/>
      <c r="MN9" s="62"/>
      <c r="MO9" s="62"/>
      <c r="MP9" s="34"/>
      <c r="MQ9" s="62"/>
      <c r="MR9" s="62"/>
      <c r="MS9" s="62"/>
    </row>
    <row r="10" spans="1:367">
      <c r="A10" s="15">
        <f>+SUM(C10:NC10)</f>
        <v>35971972</v>
      </c>
      <c r="B10" s="16" t="s">
        <v>423</v>
      </c>
      <c r="C10" s="7"/>
      <c r="D10" s="7">
        <v>113003</v>
      </c>
      <c r="E10" s="7">
        <v>120172</v>
      </c>
      <c r="F10" s="7"/>
      <c r="G10" s="7">
        <v>123336</v>
      </c>
      <c r="H10" s="7">
        <v>139393</v>
      </c>
      <c r="I10" s="7">
        <v>155915</v>
      </c>
      <c r="J10" s="7">
        <v>135984</v>
      </c>
      <c r="K10" s="7">
        <v>110356</v>
      </c>
      <c r="L10" s="7">
        <v>119359</v>
      </c>
      <c r="M10" s="7"/>
      <c r="N10" s="7">
        <v>138180</v>
      </c>
      <c r="O10" s="7">
        <v>123507</v>
      </c>
      <c r="P10" s="7">
        <v>131335</v>
      </c>
      <c r="Q10" s="7">
        <v>120512</v>
      </c>
      <c r="R10" s="7">
        <v>104974</v>
      </c>
      <c r="S10" s="7">
        <v>101156</v>
      </c>
      <c r="U10" s="7">
        <v>128127</v>
      </c>
      <c r="V10" s="7">
        <v>131650</v>
      </c>
      <c r="W10" s="7">
        <v>126899</v>
      </c>
      <c r="X10" s="7">
        <v>122939</v>
      </c>
      <c r="Y10" s="7">
        <v>129787</v>
      </c>
      <c r="Z10" s="7">
        <v>133307</v>
      </c>
      <c r="AB10" s="7">
        <v>116110</v>
      </c>
      <c r="AC10" s="7">
        <v>134566</v>
      </c>
      <c r="AD10" s="7">
        <v>131774</v>
      </c>
      <c r="AE10" s="7">
        <v>116367</v>
      </c>
      <c r="AF10" s="7">
        <v>93184</v>
      </c>
      <c r="AG10" s="7">
        <v>90627</v>
      </c>
      <c r="AI10" s="7">
        <v>108296</v>
      </c>
      <c r="AJ10" s="7">
        <v>118616</v>
      </c>
      <c r="AK10" s="7">
        <v>84131</v>
      </c>
      <c r="AL10" s="7">
        <v>113258</v>
      </c>
      <c r="AM10" s="7">
        <v>100923</v>
      </c>
      <c r="AN10" s="7">
        <v>70609</v>
      </c>
      <c r="AP10" s="7">
        <v>119206</v>
      </c>
      <c r="AQ10" s="7">
        <v>116567</v>
      </c>
      <c r="AR10" s="7">
        <v>98349</v>
      </c>
      <c r="AS10" s="7">
        <v>90550</v>
      </c>
      <c r="AT10" s="7">
        <v>94323</v>
      </c>
      <c r="AU10" s="7">
        <v>92516</v>
      </c>
      <c r="AW10" s="7">
        <v>114643</v>
      </c>
      <c r="AX10" s="7">
        <v>116529</v>
      </c>
      <c r="AY10" s="7">
        <v>105170</v>
      </c>
      <c r="AZ10" s="7">
        <v>104362</v>
      </c>
      <c r="BA10" s="7">
        <v>130610</v>
      </c>
      <c r="BB10" s="7">
        <v>127682</v>
      </c>
      <c r="BD10" s="7">
        <v>130075</v>
      </c>
      <c r="BE10" s="7">
        <v>146586</v>
      </c>
      <c r="BF10" s="7">
        <v>146370</v>
      </c>
      <c r="BG10" s="7">
        <v>133104</v>
      </c>
      <c r="BH10" s="7">
        <v>141170</v>
      </c>
      <c r="BI10" s="7">
        <v>126661</v>
      </c>
      <c r="BK10" s="7">
        <v>160540</v>
      </c>
      <c r="BL10" s="7">
        <v>185709</v>
      </c>
      <c r="BM10" s="7">
        <v>175340</v>
      </c>
      <c r="BN10" s="7">
        <v>160369</v>
      </c>
      <c r="BO10" s="7">
        <v>142182</v>
      </c>
      <c r="BP10" s="7">
        <v>176977</v>
      </c>
      <c r="BR10" s="7">
        <v>183617</v>
      </c>
      <c r="BS10" s="7">
        <v>207745</v>
      </c>
      <c r="BT10" s="7">
        <v>217026</v>
      </c>
      <c r="BU10" s="7">
        <v>224859</v>
      </c>
      <c r="BV10" s="7">
        <v>223438</v>
      </c>
      <c r="BW10" s="7">
        <v>215921</v>
      </c>
      <c r="BX10" s="7">
        <v>147216</v>
      </c>
      <c r="BY10" s="7">
        <v>183347</v>
      </c>
      <c r="BZ10" s="7">
        <v>165753</v>
      </c>
      <c r="CA10" s="7">
        <v>116776</v>
      </c>
      <c r="CB10" s="7">
        <v>21646</v>
      </c>
      <c r="CF10" s="7">
        <v>132810</v>
      </c>
      <c r="CG10" s="7">
        <v>183380</v>
      </c>
      <c r="CH10" s="7">
        <v>187063</v>
      </c>
      <c r="CI10" s="7">
        <v>126924</v>
      </c>
      <c r="CJ10" s="7">
        <v>125308</v>
      </c>
      <c r="CK10" s="7">
        <v>118139</v>
      </c>
      <c r="CM10" s="7">
        <v>128584</v>
      </c>
      <c r="CN10" s="7">
        <v>140045</v>
      </c>
      <c r="CO10" s="7">
        <v>130652</v>
      </c>
      <c r="CP10" s="7">
        <v>144512</v>
      </c>
      <c r="CQ10" s="7">
        <v>144743</v>
      </c>
      <c r="CR10" s="7">
        <v>116034</v>
      </c>
      <c r="CT10" s="7">
        <v>136236</v>
      </c>
      <c r="CU10" s="7">
        <v>134645</v>
      </c>
      <c r="CV10" s="7">
        <v>164366</v>
      </c>
      <c r="CW10" s="7">
        <v>168696</v>
      </c>
      <c r="CX10" s="7">
        <v>147107</v>
      </c>
      <c r="CY10" s="7">
        <v>138797</v>
      </c>
      <c r="DA10" s="7">
        <v>127767</v>
      </c>
      <c r="DB10" s="7">
        <v>134267</v>
      </c>
      <c r="DC10" s="7">
        <v>151523</v>
      </c>
      <c r="DD10" s="7">
        <v>150196</v>
      </c>
      <c r="DE10" s="7">
        <v>151652</v>
      </c>
      <c r="DF10" s="7">
        <v>144459</v>
      </c>
      <c r="DG10" s="7">
        <v>102283</v>
      </c>
      <c r="DH10" s="7">
        <v>139282</v>
      </c>
      <c r="DI10" s="7">
        <v>137278</v>
      </c>
      <c r="DJ10" s="7">
        <v>146114</v>
      </c>
      <c r="DK10" s="7">
        <v>138679</v>
      </c>
      <c r="DL10" s="19">
        <v>123870</v>
      </c>
      <c r="DM10" s="7">
        <v>104715</v>
      </c>
      <c r="DO10" s="7">
        <v>130303</v>
      </c>
      <c r="DP10" s="7">
        <v>144503</v>
      </c>
      <c r="DQ10" s="7">
        <v>153978</v>
      </c>
      <c r="DR10" s="7">
        <v>156185</v>
      </c>
      <c r="DS10" s="7"/>
      <c r="DT10" s="7">
        <v>150720</v>
      </c>
      <c r="DU10" s="7">
        <v>154051</v>
      </c>
      <c r="DV10" s="7">
        <v>136489</v>
      </c>
      <c r="DW10" s="7">
        <v>155342</v>
      </c>
      <c r="DX10" s="7">
        <v>174842</v>
      </c>
      <c r="DY10" s="7">
        <v>182457</v>
      </c>
      <c r="DZ10" s="7">
        <v>146673</v>
      </c>
      <c r="EA10" s="7">
        <v>156262</v>
      </c>
      <c r="EC10" s="7">
        <v>173082</v>
      </c>
      <c r="ED10" s="7">
        <v>185545</v>
      </c>
      <c r="EE10" s="7">
        <v>196237</v>
      </c>
      <c r="EF10" s="7">
        <v>203195</v>
      </c>
      <c r="EG10" s="7">
        <v>177249</v>
      </c>
      <c r="EH10" s="7">
        <v>205983</v>
      </c>
      <c r="EI10" s="7">
        <v>224159</v>
      </c>
      <c r="EJ10" s="7">
        <v>207525</v>
      </c>
      <c r="EK10" s="7">
        <v>203824</v>
      </c>
      <c r="EL10" s="7">
        <v>199699</v>
      </c>
      <c r="EM10" s="7">
        <v>211412</v>
      </c>
      <c r="EN10" s="7">
        <v>207334</v>
      </c>
      <c r="EO10" s="7">
        <v>220518</v>
      </c>
      <c r="EP10" s="7"/>
      <c r="EQ10" s="7">
        <v>157122</v>
      </c>
      <c r="ER10" s="7">
        <v>48083</v>
      </c>
      <c r="ES10" s="7"/>
      <c r="ET10" s="7"/>
      <c r="EU10" s="7"/>
      <c r="EV10" s="7">
        <v>140792</v>
      </c>
      <c r="EW10" s="7"/>
      <c r="EX10" s="7">
        <v>155634</v>
      </c>
      <c r="EY10" s="7">
        <v>180859</v>
      </c>
      <c r="EZ10" s="7">
        <v>172712</v>
      </c>
      <c r="FA10" s="7">
        <v>164322</v>
      </c>
      <c r="FB10" s="7">
        <v>162285</v>
      </c>
      <c r="FC10" s="7">
        <v>165753</v>
      </c>
      <c r="FE10" s="7">
        <v>162502</v>
      </c>
      <c r="FF10" s="7">
        <v>150367</v>
      </c>
      <c r="FG10" s="7">
        <v>175099</v>
      </c>
      <c r="FH10" s="7">
        <v>186510</v>
      </c>
      <c r="FI10" s="7">
        <v>169859</v>
      </c>
      <c r="FJ10" s="7">
        <v>186268</v>
      </c>
      <c r="FK10" s="7">
        <v>156345</v>
      </c>
      <c r="FL10" s="7">
        <v>152772</v>
      </c>
      <c r="FM10" s="7">
        <v>158729</v>
      </c>
      <c r="FN10" s="7">
        <v>161234</v>
      </c>
      <c r="FO10" s="7">
        <v>167373</v>
      </c>
      <c r="FP10" s="7">
        <v>162521</v>
      </c>
      <c r="FQ10" s="7">
        <v>149326</v>
      </c>
      <c r="FS10" s="7">
        <v>140825</v>
      </c>
      <c r="FT10" s="7">
        <v>168316</v>
      </c>
      <c r="FU10" s="7">
        <v>155411</v>
      </c>
      <c r="FV10" s="7">
        <v>163660</v>
      </c>
      <c r="FW10" s="7">
        <v>149611</v>
      </c>
      <c r="FX10" s="7">
        <v>158620</v>
      </c>
      <c r="FY10" s="7">
        <v>144415</v>
      </c>
      <c r="FZ10" s="7">
        <v>157394</v>
      </c>
      <c r="GA10" s="7">
        <v>154601</v>
      </c>
      <c r="GB10" s="7">
        <v>160310</v>
      </c>
      <c r="GC10" s="7">
        <v>150825</v>
      </c>
      <c r="GD10" s="7">
        <v>119403</v>
      </c>
      <c r="GE10" s="7">
        <v>129207</v>
      </c>
      <c r="GG10" s="7">
        <v>124874</v>
      </c>
      <c r="GH10" s="7">
        <v>157042</v>
      </c>
      <c r="GI10" s="7">
        <v>101884</v>
      </c>
      <c r="GJ10" s="7">
        <v>119682</v>
      </c>
      <c r="GK10" s="7">
        <v>136897</v>
      </c>
      <c r="GL10" s="7">
        <v>139376</v>
      </c>
      <c r="GM10" s="7">
        <v>125132</v>
      </c>
      <c r="GN10" s="7">
        <v>122991</v>
      </c>
      <c r="GO10" s="7">
        <v>116526</v>
      </c>
      <c r="GP10" s="7">
        <v>137733</v>
      </c>
      <c r="GQ10" s="7">
        <v>139145</v>
      </c>
      <c r="GR10" s="7">
        <v>122538</v>
      </c>
      <c r="GS10" s="7">
        <v>129604</v>
      </c>
      <c r="GU10" s="7">
        <v>113603</v>
      </c>
      <c r="GV10" s="7">
        <v>127640</v>
      </c>
      <c r="GW10" s="7">
        <v>143939</v>
      </c>
      <c r="GX10" s="7">
        <v>132463</v>
      </c>
      <c r="GY10" s="7">
        <v>137233</v>
      </c>
      <c r="GZ10" s="7">
        <v>141765</v>
      </c>
      <c r="HA10" s="7">
        <v>117426</v>
      </c>
      <c r="HB10" s="7">
        <v>135230</v>
      </c>
      <c r="HC10" s="7">
        <v>123906</v>
      </c>
      <c r="HD10" s="7">
        <v>143739</v>
      </c>
      <c r="HE10" s="7">
        <v>132228</v>
      </c>
      <c r="HF10" s="7">
        <v>135113</v>
      </c>
      <c r="HG10" s="7">
        <v>128705</v>
      </c>
      <c r="HI10" s="7">
        <v>133177</v>
      </c>
      <c r="HJ10" s="7">
        <v>121636</v>
      </c>
      <c r="HK10" s="7">
        <v>147041</v>
      </c>
      <c r="HL10" s="7">
        <v>147125</v>
      </c>
      <c r="HM10" s="7">
        <v>124338</v>
      </c>
      <c r="HN10" s="7">
        <v>147369</v>
      </c>
      <c r="HO10" s="7">
        <v>120187</v>
      </c>
      <c r="HP10" s="7">
        <v>128815</v>
      </c>
      <c r="HQ10" s="7">
        <v>135823</v>
      </c>
      <c r="HR10" s="7">
        <v>139700</v>
      </c>
      <c r="HS10" s="7">
        <v>170366</v>
      </c>
      <c r="HT10" s="7">
        <v>150495</v>
      </c>
      <c r="HU10" s="7">
        <v>152560</v>
      </c>
      <c r="HW10" s="7">
        <v>161134</v>
      </c>
      <c r="HX10" s="7">
        <v>162830</v>
      </c>
      <c r="HY10" s="7">
        <v>156686</v>
      </c>
      <c r="HZ10" s="7">
        <v>137432</v>
      </c>
      <c r="IA10" s="7">
        <v>170077</v>
      </c>
      <c r="IB10" s="7">
        <v>173281</v>
      </c>
      <c r="IC10" s="7">
        <v>137938</v>
      </c>
      <c r="ID10" s="47">
        <v>131016</v>
      </c>
      <c r="IE10" s="7">
        <v>144370</v>
      </c>
      <c r="IF10" s="7">
        <v>143393</v>
      </c>
      <c r="IG10" s="7">
        <v>126956</v>
      </c>
      <c r="IH10" s="7">
        <v>139658</v>
      </c>
      <c r="II10" s="7">
        <v>135259</v>
      </c>
      <c r="IK10" s="7">
        <v>117074</v>
      </c>
      <c r="IL10" s="7">
        <v>140331</v>
      </c>
      <c r="IM10" s="7">
        <v>162264</v>
      </c>
      <c r="IN10" s="7">
        <v>122468</v>
      </c>
      <c r="IO10" s="7">
        <v>126421</v>
      </c>
      <c r="IP10" s="7">
        <v>136455</v>
      </c>
      <c r="IQ10" s="7">
        <v>109569</v>
      </c>
      <c r="IR10" s="7">
        <v>154411</v>
      </c>
      <c r="IS10" s="7">
        <v>160734</v>
      </c>
      <c r="IT10" s="7">
        <v>143808</v>
      </c>
      <c r="IU10" s="7">
        <v>165843</v>
      </c>
      <c r="IV10" s="7">
        <v>173468</v>
      </c>
      <c r="IW10" s="7">
        <v>180638</v>
      </c>
      <c r="IY10" s="7">
        <v>151755</v>
      </c>
      <c r="IZ10" s="7">
        <v>174306</v>
      </c>
      <c r="JA10" s="7">
        <v>167256</v>
      </c>
      <c r="JB10" s="7">
        <v>158802</v>
      </c>
      <c r="JC10" s="7">
        <v>165204</v>
      </c>
      <c r="JD10" s="7">
        <v>154978</v>
      </c>
      <c r="JF10" s="7">
        <v>149993</v>
      </c>
      <c r="JG10" s="7">
        <v>161496</v>
      </c>
      <c r="JH10" s="7">
        <v>167565</v>
      </c>
      <c r="JI10" s="7">
        <v>157557</v>
      </c>
      <c r="JJ10" s="7">
        <v>136662</v>
      </c>
      <c r="JK10" s="7">
        <v>141428</v>
      </c>
      <c r="JM10" s="7">
        <v>151455</v>
      </c>
      <c r="JN10" s="7">
        <v>168029</v>
      </c>
      <c r="JO10" s="7">
        <v>180552</v>
      </c>
      <c r="JP10" s="7">
        <v>178984</v>
      </c>
      <c r="JQ10" s="7">
        <v>169036</v>
      </c>
      <c r="JR10" s="7">
        <v>167590</v>
      </c>
      <c r="JT10" s="103">
        <v>159720</v>
      </c>
      <c r="JU10" s="103">
        <v>201650</v>
      </c>
      <c r="JV10" s="103">
        <v>185079</v>
      </c>
      <c r="JW10" s="7">
        <v>175491</v>
      </c>
      <c r="JX10" s="7">
        <v>153206</v>
      </c>
      <c r="JY10" s="7">
        <v>127574</v>
      </c>
      <c r="KB10" s="20"/>
      <c r="LE10" s="20"/>
      <c r="LY10" s="2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V10" s="7"/>
    </row>
    <row r="11" spans="1:367">
      <c r="A11" s="17">
        <f>+A10/A9</f>
        <v>76.428186539824523</v>
      </c>
      <c r="B11" s="18" t="s">
        <v>424</v>
      </c>
      <c r="C11" s="7"/>
      <c r="D11" s="7">
        <f t="shared" ref="D11:AI11" si="15">+IFERROR(D10/D9,"")</f>
        <v>82.233054901596532</v>
      </c>
      <c r="E11" s="7">
        <f t="shared" si="15"/>
        <v>82.482840774294417</v>
      </c>
      <c r="F11" s="7" t="str">
        <f t="shared" si="15"/>
        <v/>
      </c>
      <c r="G11" s="7">
        <f t="shared" si="15"/>
        <v>73.618782331874272</v>
      </c>
      <c r="H11" s="7">
        <f t="shared" si="15"/>
        <v>70.127191278243998</v>
      </c>
      <c r="I11" s="7">
        <f t="shared" si="15"/>
        <v>76.190156327436469</v>
      </c>
      <c r="J11" s="7">
        <f t="shared" si="15"/>
        <v>74.423821521677496</v>
      </c>
      <c r="K11" s="7">
        <f t="shared" si="15"/>
        <v>69.308235297593896</v>
      </c>
      <c r="L11" s="7">
        <f t="shared" si="15"/>
        <v>75.324675141721087</v>
      </c>
      <c r="M11" s="7" t="str">
        <f t="shared" si="15"/>
        <v/>
      </c>
      <c r="N11" s="7">
        <f t="shared" si="15"/>
        <v>73.765422920755398</v>
      </c>
      <c r="O11" s="7">
        <f t="shared" si="15"/>
        <v>66.281155307022459</v>
      </c>
      <c r="P11" s="7">
        <f t="shared" si="15"/>
        <v>75.503404126825004</v>
      </c>
      <c r="Q11" s="7">
        <f t="shared" si="15"/>
        <v>81.678953806620484</v>
      </c>
      <c r="R11" s="7">
        <f t="shared" si="15"/>
        <v>78.856843226682557</v>
      </c>
      <c r="S11" s="7">
        <f t="shared" si="15"/>
        <v>74.407485541322032</v>
      </c>
      <c r="T11" s="7" t="str">
        <f t="shared" si="15"/>
        <v/>
      </c>
      <c r="U11" s="7">
        <f t="shared" si="15"/>
        <v>81.540305473058979</v>
      </c>
      <c r="V11" s="7">
        <f t="shared" si="15"/>
        <v>86.219505539485894</v>
      </c>
      <c r="W11" s="7">
        <f t="shared" si="15"/>
        <v>87.08402204268063</v>
      </c>
      <c r="X11" s="7">
        <f t="shared" si="15"/>
        <v>80.701691502501191</v>
      </c>
      <c r="Y11" s="7">
        <f t="shared" si="15"/>
        <v>89.405595061869136</v>
      </c>
      <c r="Z11" s="7">
        <f t="shared" si="15"/>
        <v>73.552071359602735</v>
      </c>
      <c r="AA11" s="7" t="str">
        <f t="shared" si="15"/>
        <v/>
      </c>
      <c r="AB11" s="7">
        <f t="shared" si="15"/>
        <v>79.283580312806166</v>
      </c>
      <c r="AC11" s="7">
        <f t="shared" si="15"/>
        <v>79.837436962325725</v>
      </c>
      <c r="AD11" s="7">
        <f t="shared" si="15"/>
        <v>81.845718063216339</v>
      </c>
      <c r="AE11" s="7">
        <f t="shared" si="15"/>
        <v>71.137104322222527</v>
      </c>
      <c r="AF11" s="7">
        <f t="shared" si="15"/>
        <v>60.69959830637282</v>
      </c>
      <c r="AG11" s="7">
        <f t="shared" si="15"/>
        <v>46.465456099124125</v>
      </c>
      <c r="AH11" s="7" t="str">
        <f t="shared" si="15"/>
        <v/>
      </c>
      <c r="AI11" s="7">
        <f t="shared" si="15"/>
        <v>69.125106382978728</v>
      </c>
      <c r="AJ11" s="7">
        <f t="shared" ref="AJ11:BD11" si="16">+IFERROR(AJ10/AJ9,"")</f>
        <v>74.215178895140284</v>
      </c>
      <c r="AK11" s="7">
        <f t="shared" si="16"/>
        <v>60.443556736186153</v>
      </c>
      <c r="AL11" s="7">
        <f t="shared" si="16"/>
        <v>86.054961685314012</v>
      </c>
      <c r="AM11" s="7">
        <f t="shared" si="16"/>
        <v>63.44365865157944</v>
      </c>
      <c r="AN11" s="7">
        <f t="shared" si="16"/>
        <v>49.03402777777778</v>
      </c>
      <c r="AO11" s="7" t="str">
        <f t="shared" si="16"/>
        <v/>
      </c>
      <c r="AP11" s="7">
        <f t="shared" si="16"/>
        <v>77.20179178584921</v>
      </c>
      <c r="AQ11" s="7">
        <f t="shared" si="16"/>
        <v>79.923612445222616</v>
      </c>
      <c r="AR11" s="7">
        <f t="shared" si="16"/>
        <v>74.452791807696372</v>
      </c>
      <c r="AS11" s="7">
        <f t="shared" si="16"/>
        <v>61.078764150141843</v>
      </c>
      <c r="AT11" s="7">
        <f t="shared" si="16"/>
        <v>58.458630306786489</v>
      </c>
      <c r="AU11" s="7">
        <f t="shared" si="16"/>
        <v>60.510819207499864</v>
      </c>
      <c r="AV11" s="7" t="str">
        <f t="shared" si="16"/>
        <v/>
      </c>
      <c r="AW11" s="7">
        <f t="shared" si="16"/>
        <v>69.766012475277648</v>
      </c>
      <c r="AX11" s="7">
        <f t="shared" si="16"/>
        <v>69.04399348244705</v>
      </c>
      <c r="AY11" s="7">
        <f t="shared" si="16"/>
        <v>71.88533999382544</v>
      </c>
      <c r="AZ11" s="7">
        <f t="shared" si="16"/>
        <v>66.815409790152756</v>
      </c>
      <c r="BA11" s="7">
        <f t="shared" si="16"/>
        <v>75.424446583253129</v>
      </c>
      <c r="BB11" s="7">
        <f t="shared" si="16"/>
        <v>78.37659215305132</v>
      </c>
      <c r="BC11" s="7" t="str">
        <f t="shared" si="16"/>
        <v/>
      </c>
      <c r="BD11" s="7">
        <f t="shared" si="16"/>
        <v>81.847823611035508</v>
      </c>
      <c r="BE11" s="7">
        <f t="shared" ref="BE11" si="17">+IFERROR(BE10/BE9,"")</f>
        <v>81.853513261982314</v>
      </c>
      <c r="BF11" s="7">
        <f t="shared" ref="BF11" si="18">+IFERROR(BF10/BF9,"")</f>
        <v>83.752280402226461</v>
      </c>
      <c r="BG11" s="7">
        <f t="shared" ref="BG11" si="19">+IFERROR(BG10/BG9,"")</f>
        <v>82.732779821314452</v>
      </c>
      <c r="BH11" s="7">
        <f t="shared" ref="BH11" si="20">+IFERROR(BH10/BH9,"")</f>
        <v>80.478602063680441</v>
      </c>
      <c r="BI11" s="7">
        <f t="shared" ref="BI11:DT11" si="21">+IFERROR(BI10/BI9,"")</f>
        <v>77.924543220244587</v>
      </c>
      <c r="BJ11" s="7" t="str">
        <f t="shared" si="21"/>
        <v/>
      </c>
      <c r="BK11" s="7">
        <f t="shared" si="21"/>
        <v>60.665071167653352</v>
      </c>
      <c r="BL11" s="7">
        <f t="shared" si="21"/>
        <v>69.634346779989372</v>
      </c>
      <c r="BM11" s="7">
        <f t="shared" si="21"/>
        <v>77.415651789984921</v>
      </c>
      <c r="BN11" s="7">
        <f t="shared" si="21"/>
        <v>79.370947785201679</v>
      </c>
      <c r="BO11" s="7">
        <f t="shared" si="21"/>
        <v>74.556081185276241</v>
      </c>
      <c r="BP11" s="7">
        <f t="shared" si="21"/>
        <v>76.774058274889725</v>
      </c>
      <c r="BQ11" s="7" t="str">
        <f t="shared" si="21"/>
        <v/>
      </c>
      <c r="BR11" s="7">
        <f t="shared" si="21"/>
        <v>67.531491336017893</v>
      </c>
      <c r="BS11" s="7">
        <f t="shared" si="21"/>
        <v>76.592505514130337</v>
      </c>
      <c r="BT11" s="7">
        <f t="shared" si="21"/>
        <v>78.89941832283084</v>
      </c>
      <c r="BU11" s="7">
        <f t="shared" si="21"/>
        <v>83.726269104974946</v>
      </c>
      <c r="BV11" s="7">
        <f t="shared" si="21"/>
        <v>81.353722920080102</v>
      </c>
      <c r="BW11" s="7">
        <f t="shared" si="21"/>
        <v>81.834754595414054</v>
      </c>
      <c r="BX11" s="7">
        <f t="shared" si="21"/>
        <v>91.728127109403374</v>
      </c>
      <c r="BY11" s="7">
        <f t="shared" si="21"/>
        <v>76.312441469251837</v>
      </c>
      <c r="BZ11" s="7">
        <f t="shared" si="21"/>
        <v>81.361148607191069</v>
      </c>
      <c r="CA11" s="7">
        <f t="shared" si="21"/>
        <v>70.392927111066442</v>
      </c>
      <c r="CB11" s="7">
        <f t="shared" si="21"/>
        <v>39.536073059360731</v>
      </c>
      <c r="CC11" s="7" t="str">
        <f t="shared" si="21"/>
        <v/>
      </c>
      <c r="CD11" s="7" t="str">
        <f t="shared" si="21"/>
        <v/>
      </c>
      <c r="CE11" s="7" t="str">
        <f t="shared" si="21"/>
        <v/>
      </c>
      <c r="CF11" s="7">
        <f t="shared" si="21"/>
        <v>67.501905972045748</v>
      </c>
      <c r="CG11" s="7">
        <f t="shared" si="21"/>
        <v>81.001214709021966</v>
      </c>
      <c r="CH11" s="7">
        <f t="shared" si="21"/>
        <v>79.612569158745927</v>
      </c>
      <c r="CI11" s="7">
        <f t="shared" si="21"/>
        <v>70.580513965399632</v>
      </c>
      <c r="CJ11" s="7">
        <f t="shared" si="21"/>
        <v>75.117444939086937</v>
      </c>
      <c r="CK11" s="7">
        <f t="shared" si="21"/>
        <v>75.403291613461434</v>
      </c>
      <c r="CL11" s="7" t="str">
        <f t="shared" si="21"/>
        <v/>
      </c>
      <c r="CM11" s="7">
        <f t="shared" si="21"/>
        <v>76.458451018284521</v>
      </c>
      <c r="CN11" s="7">
        <f t="shared" si="21"/>
        <v>87.35977543275979</v>
      </c>
      <c r="CO11" s="7">
        <f t="shared" si="21"/>
        <v>87.779584203167232</v>
      </c>
      <c r="CP11" s="7">
        <f t="shared" si="21"/>
        <v>73.810337837598809</v>
      </c>
      <c r="CQ11" s="7">
        <f t="shared" si="21"/>
        <v>77.247765176784526</v>
      </c>
      <c r="CR11" s="7">
        <f t="shared" si="21"/>
        <v>79.069165247018745</v>
      </c>
      <c r="CS11" s="7" t="str">
        <f t="shared" si="21"/>
        <v/>
      </c>
      <c r="CT11" s="7">
        <f t="shared" si="21"/>
        <v>67.285343869613527</v>
      </c>
      <c r="CU11" s="7">
        <f t="shared" si="21"/>
        <v>73.586555540374363</v>
      </c>
      <c r="CV11" s="7">
        <f t="shared" si="21"/>
        <v>75.645930812303433</v>
      </c>
      <c r="CW11" s="7">
        <f t="shared" si="21"/>
        <v>78.621718191704218</v>
      </c>
      <c r="CX11" s="7">
        <f t="shared" si="21"/>
        <v>74.844568812007125</v>
      </c>
      <c r="CY11" s="7">
        <f t="shared" si="21"/>
        <v>84.6987533653528</v>
      </c>
      <c r="CZ11" s="7" t="str">
        <f t="shared" si="21"/>
        <v/>
      </c>
      <c r="DA11" s="7">
        <f t="shared" si="21"/>
        <v>81.393215480172003</v>
      </c>
      <c r="DB11" s="7">
        <f t="shared" si="21"/>
        <v>82.524277811923781</v>
      </c>
      <c r="DC11" s="7">
        <f t="shared" si="21"/>
        <v>87.46757744852799</v>
      </c>
      <c r="DD11" s="7">
        <f t="shared" si="21"/>
        <v>86.643207383905391</v>
      </c>
      <c r="DE11" s="7">
        <f t="shared" si="21"/>
        <v>81.672842952913612</v>
      </c>
      <c r="DF11" s="7">
        <f t="shared" si="21"/>
        <v>86.41541111486643</v>
      </c>
      <c r="DG11" s="7">
        <f t="shared" si="21"/>
        <v>81.249811256225485</v>
      </c>
      <c r="DH11" s="7">
        <f t="shared" si="21"/>
        <v>88.428337125019837</v>
      </c>
      <c r="DI11" s="7">
        <f t="shared" si="21"/>
        <v>83.302114095694506</v>
      </c>
      <c r="DJ11" s="7">
        <f t="shared" si="21"/>
        <v>82.978298022188213</v>
      </c>
      <c r="DK11" s="7">
        <f t="shared" si="21"/>
        <v>87.386966432239404</v>
      </c>
      <c r="DL11" s="7">
        <f t="shared" si="21"/>
        <v>82.524978721794099</v>
      </c>
      <c r="DM11" s="7">
        <f t="shared" si="21"/>
        <v>68.377863633890186</v>
      </c>
      <c r="DN11" s="7" t="str">
        <f t="shared" si="21"/>
        <v/>
      </c>
      <c r="DO11" s="7">
        <f t="shared" si="21"/>
        <v>83.296185808651188</v>
      </c>
      <c r="DP11" s="7">
        <f t="shared" si="21"/>
        <v>88.741391821172215</v>
      </c>
      <c r="DQ11" s="7">
        <f t="shared" si="21"/>
        <v>91.548911143740952</v>
      </c>
      <c r="DR11" s="7">
        <f t="shared" si="21"/>
        <v>86.609057301293888</v>
      </c>
      <c r="DS11" s="7" t="str">
        <f t="shared" si="21"/>
        <v/>
      </c>
      <c r="DT11" s="7">
        <f t="shared" si="21"/>
        <v>87.226428743670112</v>
      </c>
      <c r="DU11" s="7">
        <f t="shared" ref="DU11:FK11" si="22">+IFERROR(DU10/DU9,"")</f>
        <v>92.997887111379413</v>
      </c>
      <c r="DV11" s="7">
        <f t="shared" si="22"/>
        <v>85.055567180136478</v>
      </c>
      <c r="DW11" s="7">
        <f t="shared" si="22"/>
        <v>77.720839567509401</v>
      </c>
      <c r="DX11" s="7">
        <f t="shared" si="22"/>
        <v>81.587455991821486</v>
      </c>
      <c r="DY11" s="7">
        <f t="shared" si="22"/>
        <v>83.921007709059694</v>
      </c>
      <c r="DZ11" s="7">
        <f t="shared" si="22"/>
        <v>68.774192867470376</v>
      </c>
      <c r="EA11" s="7">
        <f t="shared" si="22"/>
        <v>98.734248381310437</v>
      </c>
      <c r="EB11" s="7" t="str">
        <f t="shared" si="22"/>
        <v/>
      </c>
      <c r="EC11" s="7">
        <f t="shared" si="22"/>
        <v>76.268867438592906</v>
      </c>
      <c r="ED11" s="7">
        <f t="shared" si="22"/>
        <v>79.750027883991223</v>
      </c>
      <c r="EE11" s="7">
        <f t="shared" si="22"/>
        <v>87.024667730811672</v>
      </c>
      <c r="EF11" s="7">
        <f t="shared" si="22"/>
        <v>85.709289932626817</v>
      </c>
      <c r="EG11" s="7">
        <f t="shared" si="22"/>
        <v>77.734285002886963</v>
      </c>
      <c r="EH11" s="7">
        <f t="shared" si="22"/>
        <v>88.927664561157471</v>
      </c>
      <c r="EI11" s="7">
        <f t="shared" si="22"/>
        <v>94.039574884631506</v>
      </c>
      <c r="EJ11" s="7">
        <f t="shared" si="22"/>
        <v>85.866491966071322</v>
      </c>
      <c r="EK11" s="7">
        <f t="shared" si="22"/>
        <v>88.589600622088739</v>
      </c>
      <c r="EL11" s="7">
        <f t="shared" si="22"/>
        <v>80.3938238527804</v>
      </c>
      <c r="EM11" s="7">
        <f t="shared" si="22"/>
        <v>87.595608038118911</v>
      </c>
      <c r="EN11" s="7">
        <f t="shared" si="22"/>
        <v>87.555904316983927</v>
      </c>
      <c r="EO11" s="7">
        <f t="shared" si="22"/>
        <v>82.532074513069375</v>
      </c>
      <c r="EP11" s="7" t="str">
        <f t="shared" si="22"/>
        <v/>
      </c>
      <c r="EQ11" s="7">
        <f t="shared" si="22"/>
        <v>79.4917155023399</v>
      </c>
      <c r="ER11" s="7">
        <f t="shared" si="22"/>
        <v>82.39268884763672</v>
      </c>
      <c r="ES11" s="7"/>
      <c r="ET11" s="7"/>
      <c r="EU11" s="7"/>
      <c r="EV11" s="7">
        <f t="shared" si="22"/>
        <v>79.643348414017908</v>
      </c>
      <c r="EW11" s="7" t="str">
        <f t="shared" si="22"/>
        <v/>
      </c>
      <c r="EX11" s="7">
        <f t="shared" si="22"/>
        <v>84.590770269230077</v>
      </c>
      <c r="EY11" s="7">
        <f t="shared" si="22"/>
        <v>82.66553280066293</v>
      </c>
      <c r="EZ11" s="7">
        <f t="shared" si="22"/>
        <v>84.033021704651119</v>
      </c>
      <c r="FA11" s="7">
        <f t="shared" si="22"/>
        <v>83.189556193234068</v>
      </c>
      <c r="FB11" s="7">
        <f t="shared" si="22"/>
        <v>80.554885524741977</v>
      </c>
      <c r="FC11" s="7">
        <f t="shared" si="22"/>
        <v>92.346136819601327</v>
      </c>
      <c r="FD11" s="7" t="str">
        <f t="shared" si="22"/>
        <v/>
      </c>
      <c r="FE11" s="7">
        <f t="shared" si="22"/>
        <v>90.705803474073122</v>
      </c>
      <c r="FF11" s="7">
        <f t="shared" si="22"/>
        <v>88.986290613314736</v>
      </c>
      <c r="FG11" s="7">
        <f t="shared" si="22"/>
        <v>88.189936157240638</v>
      </c>
      <c r="FH11" s="7">
        <f t="shared" si="22"/>
        <v>91.10404534017718</v>
      </c>
      <c r="FI11" s="7">
        <f t="shared" si="22"/>
        <v>82.180212936939128</v>
      </c>
      <c r="FJ11" s="7">
        <f t="shared" si="22"/>
        <v>98.072116489323804</v>
      </c>
      <c r="FK11" s="7">
        <f t="shared" si="22"/>
        <v>104.38276838179024</v>
      </c>
      <c r="FL11" s="20">
        <f>+FL10/FL9</f>
        <v>85.154208885196738</v>
      </c>
      <c r="FM11" s="20">
        <f t="shared" ref="FM11:HX11" si="23">+FM10/FM9</f>
        <v>91.540604928522285</v>
      </c>
      <c r="FN11" s="20">
        <f t="shared" si="23"/>
        <v>96.810177487917699</v>
      </c>
      <c r="FO11" s="20">
        <f t="shared" si="23"/>
        <v>94.661911172431701</v>
      </c>
      <c r="FP11" s="20">
        <f t="shared" si="23"/>
        <v>93.472683759517267</v>
      </c>
      <c r="FQ11" s="20">
        <f t="shared" si="23"/>
        <v>102.58827645064983</v>
      </c>
      <c r="FR11" s="20"/>
      <c r="FS11" s="20">
        <f t="shared" si="23"/>
        <v>88.897571821970033</v>
      </c>
      <c r="FT11" s="20">
        <f t="shared" si="23"/>
        <v>94.225714591227245</v>
      </c>
      <c r="FU11" s="20">
        <f t="shared" si="23"/>
        <v>86.949060158255918</v>
      </c>
      <c r="FV11" s="20">
        <f t="shared" si="23"/>
        <v>94.423472862838452</v>
      </c>
      <c r="FW11" s="20">
        <f t="shared" si="23"/>
        <v>91.748636406318994</v>
      </c>
      <c r="FX11" s="20">
        <f t="shared" si="23"/>
        <v>104.65294920616896</v>
      </c>
      <c r="FY11" s="20">
        <f t="shared" si="23"/>
        <v>106.07076472413483</v>
      </c>
      <c r="FZ11" s="20">
        <f t="shared" si="23"/>
        <v>85.039531742458351</v>
      </c>
      <c r="GA11" s="20">
        <f t="shared" si="23"/>
        <v>93.966365549105774</v>
      </c>
      <c r="GB11" s="20">
        <f t="shared" si="23"/>
        <v>90.275125379561771</v>
      </c>
      <c r="GC11" s="20">
        <f t="shared" si="23"/>
        <v>82.08163265306122</v>
      </c>
      <c r="GD11" s="20">
        <f t="shared" si="23"/>
        <v>73.888601265006074</v>
      </c>
      <c r="GE11" s="20">
        <f t="shared" si="23"/>
        <v>84.220532856698924</v>
      </c>
      <c r="GF11" s="20"/>
      <c r="GG11" s="20">
        <f t="shared" si="23"/>
        <v>80.446771998492991</v>
      </c>
      <c r="GH11" s="20">
        <f t="shared" si="23"/>
        <v>87.148130278980602</v>
      </c>
      <c r="GI11" s="20">
        <f t="shared" si="23"/>
        <v>60.6119838908632</v>
      </c>
      <c r="GJ11" s="20">
        <f t="shared" si="23"/>
        <v>68.170818426452612</v>
      </c>
      <c r="GK11" s="20">
        <f t="shared" si="23"/>
        <v>86.305094621471042</v>
      </c>
      <c r="GL11" s="20">
        <f t="shared" si="23"/>
        <v>86.272783039011117</v>
      </c>
      <c r="GM11" s="20">
        <f t="shared" si="23"/>
        <v>85.736211031175074</v>
      </c>
      <c r="GN11" s="20">
        <f t="shared" si="23"/>
        <v>79.337128329729381</v>
      </c>
      <c r="GO11" s="20">
        <f t="shared" si="23"/>
        <v>76.449472245603019</v>
      </c>
      <c r="GP11" s="20">
        <f t="shared" si="23"/>
        <v>80.584885421745497</v>
      </c>
      <c r="GQ11" s="20">
        <f t="shared" si="23"/>
        <v>84.028986965930244</v>
      </c>
      <c r="GR11" s="20">
        <f t="shared" si="23"/>
        <v>80.240964157525937</v>
      </c>
      <c r="GS11" s="20">
        <f t="shared" si="23"/>
        <v>85.191060473269062</v>
      </c>
      <c r="GT11" s="20"/>
      <c r="GU11" s="20">
        <f t="shared" si="23"/>
        <v>69.748714915773633</v>
      </c>
      <c r="GV11" s="20">
        <f t="shared" si="23"/>
        <v>75.97242200287684</v>
      </c>
      <c r="GW11" s="20">
        <f t="shared" si="23"/>
        <v>83.555921052631589</v>
      </c>
      <c r="GX11" s="20">
        <f t="shared" si="23"/>
        <v>82.77899053263458</v>
      </c>
      <c r="GY11" s="20">
        <f t="shared" si="23"/>
        <v>76.563113115440046</v>
      </c>
      <c r="GZ11" s="20">
        <f t="shared" si="23"/>
        <v>84.813042177684721</v>
      </c>
      <c r="HA11" s="20">
        <f t="shared" si="23"/>
        <v>84.458882761927597</v>
      </c>
      <c r="HB11" s="20">
        <f t="shared" si="23"/>
        <v>76.588635076458374</v>
      </c>
      <c r="HC11" s="20">
        <f t="shared" si="23"/>
        <v>68.352503103020268</v>
      </c>
      <c r="HD11" s="20">
        <f t="shared" si="23"/>
        <v>78.406654847947635</v>
      </c>
      <c r="HE11" s="20">
        <f t="shared" si="23"/>
        <v>70.531004133884522</v>
      </c>
      <c r="HF11" s="20">
        <f t="shared" si="23"/>
        <v>70.003713138465528</v>
      </c>
      <c r="HG11" s="20">
        <f t="shared" si="23"/>
        <v>71.084825332535559</v>
      </c>
      <c r="HH11" s="20"/>
      <c r="HI11" s="20">
        <f t="shared" si="23"/>
        <v>71.462862764387609</v>
      </c>
      <c r="HJ11" s="20">
        <f t="shared" si="23"/>
        <v>65.978031912489271</v>
      </c>
      <c r="HK11" s="20">
        <f t="shared" si="23"/>
        <v>75.661077998370558</v>
      </c>
      <c r="HL11" s="20">
        <f t="shared" si="23"/>
        <v>79.101180045005961</v>
      </c>
      <c r="HM11" s="20">
        <f t="shared" si="23"/>
        <v>73.646915667661744</v>
      </c>
      <c r="HN11" s="20">
        <f t="shared" si="23"/>
        <v>80.291850170261057</v>
      </c>
      <c r="HO11" s="20">
        <f t="shared" si="23"/>
        <v>84.743169398907085</v>
      </c>
      <c r="HP11" s="20">
        <f t="shared" si="23"/>
        <v>67.050403400711375</v>
      </c>
      <c r="HQ11" s="20">
        <f t="shared" si="23"/>
        <v>67.474904827198827</v>
      </c>
      <c r="HR11" s="20">
        <f t="shared" si="23"/>
        <v>67.776527379194462</v>
      </c>
      <c r="HS11" s="20">
        <f t="shared" si="23"/>
        <v>79.209298721425796</v>
      </c>
      <c r="HT11" s="20">
        <f t="shared" si="23"/>
        <v>73.575686500776953</v>
      </c>
      <c r="HU11" s="20">
        <f t="shared" si="23"/>
        <v>80.655564366904571</v>
      </c>
      <c r="HV11" s="20"/>
      <c r="HW11" s="20">
        <f t="shared" si="23"/>
        <v>77.658668792171639</v>
      </c>
      <c r="HX11" s="20">
        <f t="shared" si="23"/>
        <v>77.017339751623354</v>
      </c>
      <c r="HY11" s="20">
        <f t="shared" ref="HY11:JZ11" si="24">+HY10/HY9</f>
        <v>72.333310701098668</v>
      </c>
      <c r="HZ11" s="20">
        <f t="shared" si="24"/>
        <v>60.179579725841691</v>
      </c>
      <c r="IA11" s="20">
        <f t="shared" si="24"/>
        <v>77.21309722511873</v>
      </c>
      <c r="IB11" s="20">
        <f t="shared" si="24"/>
        <v>84.137411993202235</v>
      </c>
      <c r="IC11" s="20">
        <f t="shared" si="24"/>
        <v>84.506681735325969</v>
      </c>
      <c r="ID11" s="20">
        <f t="shared" si="24"/>
        <v>62.10024884464984</v>
      </c>
      <c r="IE11" s="20">
        <f t="shared" si="24"/>
        <v>68.068044799294427</v>
      </c>
      <c r="IF11" s="20">
        <f t="shared" si="24"/>
        <v>69.695653934950798</v>
      </c>
      <c r="IG11" s="20">
        <f t="shared" si="24"/>
        <v>60.513897475214691</v>
      </c>
      <c r="IH11" s="20">
        <f t="shared" si="24"/>
        <v>79.877274674594787</v>
      </c>
      <c r="II11" s="20">
        <f t="shared" si="24"/>
        <v>76.936290295048565</v>
      </c>
      <c r="IJ11" s="20"/>
      <c r="IK11" s="20">
        <f t="shared" si="24"/>
        <v>62.003152156077618</v>
      </c>
      <c r="IL11" s="20">
        <f t="shared" si="24"/>
        <v>73.229241160528176</v>
      </c>
      <c r="IM11" s="20">
        <f t="shared" si="24"/>
        <v>82.10036617892743</v>
      </c>
      <c r="IN11" s="20">
        <f t="shared" si="24"/>
        <v>50.250153867195515</v>
      </c>
      <c r="IO11" s="20">
        <f t="shared" si="24"/>
        <v>56.283802031825644</v>
      </c>
      <c r="IP11" s="20">
        <f t="shared" si="24"/>
        <v>61.411579897952571</v>
      </c>
      <c r="IQ11" s="20">
        <f t="shared" si="24"/>
        <v>71.417427542765196</v>
      </c>
      <c r="IR11" s="20">
        <f t="shared" si="24"/>
        <v>63.100248998559024</v>
      </c>
      <c r="IS11" s="20">
        <f t="shared" si="24"/>
        <v>64.258714889750593</v>
      </c>
      <c r="IT11" s="20">
        <f t="shared" si="24"/>
        <v>59.97085259337728</v>
      </c>
      <c r="IU11" s="20">
        <f t="shared" si="24"/>
        <v>68.035398890340645</v>
      </c>
      <c r="IV11" s="20">
        <f t="shared" si="24"/>
        <v>65.122402722231527</v>
      </c>
      <c r="IW11" s="20">
        <f t="shared" si="24"/>
        <v>70.557125187162285</v>
      </c>
      <c r="IX11" s="20"/>
      <c r="IY11" s="20">
        <f t="shared" si="24"/>
        <v>66.957777792224135</v>
      </c>
      <c r="IZ11" s="20">
        <f t="shared" si="24"/>
        <v>61.294736603829087</v>
      </c>
      <c r="JA11" s="20">
        <f t="shared" si="24"/>
        <v>75.567088633868565</v>
      </c>
      <c r="JB11" s="20">
        <f t="shared" si="24"/>
        <v>58.326615023059475</v>
      </c>
      <c r="JC11" s="20">
        <f t="shared" si="24"/>
        <v>69.742263270021667</v>
      </c>
      <c r="JD11" s="20">
        <f t="shared" si="24"/>
        <v>73.307906702850659</v>
      </c>
      <c r="JE11" s="20"/>
      <c r="JF11" s="20">
        <f t="shared" si="24"/>
        <v>81.317703410633513</v>
      </c>
      <c r="JG11" s="20">
        <f t="shared" si="24"/>
        <v>59.110934878755536</v>
      </c>
      <c r="JH11" s="20">
        <f t="shared" si="24"/>
        <v>63.781906092259575</v>
      </c>
      <c r="JI11" s="20">
        <f t="shared" si="24"/>
        <v>63.913851117541299</v>
      </c>
      <c r="JJ11" s="20">
        <f t="shared" si="24"/>
        <v>60.475251153537933</v>
      </c>
      <c r="JK11" s="20">
        <f t="shared" si="24"/>
        <v>71.712609810473808</v>
      </c>
      <c r="JL11" s="20"/>
      <c r="JM11" s="20">
        <f t="shared" si="24"/>
        <v>64.464484711050744</v>
      </c>
      <c r="JN11" s="20">
        <f t="shared" si="24"/>
        <v>64.010546383652283</v>
      </c>
      <c r="JO11" s="20">
        <f t="shared" si="24"/>
        <v>59.728201174181905</v>
      </c>
      <c r="JP11" s="20">
        <f t="shared" si="24"/>
        <v>61.556637546389958</v>
      </c>
      <c r="JQ11" s="20">
        <f t="shared" si="24"/>
        <v>57.324629080118697</v>
      </c>
      <c r="JR11" s="20">
        <f t="shared" si="24"/>
        <v>80.666282223479882</v>
      </c>
      <c r="JS11" s="20"/>
      <c r="JT11" s="20">
        <f t="shared" si="24"/>
        <v>63.268680900206803</v>
      </c>
      <c r="JU11" s="20">
        <f t="shared" si="24"/>
        <v>66.662993470894506</v>
      </c>
      <c r="JV11" s="20">
        <f t="shared" si="24"/>
        <v>59.045780826288087</v>
      </c>
      <c r="JW11" s="20">
        <f t="shared" si="24"/>
        <v>61.078656733656558</v>
      </c>
      <c r="JX11" s="20">
        <f t="shared" si="24"/>
        <v>67.605111526395007</v>
      </c>
      <c r="JY11" s="20">
        <f t="shared" si="24"/>
        <v>53.935819359687649</v>
      </c>
      <c r="JZ11" s="20"/>
      <c r="LY11" s="83"/>
      <c r="LZ11" s="34"/>
      <c r="MA11" s="34"/>
      <c r="MB11" s="34"/>
      <c r="MC11" s="34"/>
      <c r="MD11" s="34"/>
      <c r="ME11" s="34"/>
      <c r="MF11" s="34"/>
      <c r="MG11" s="34"/>
      <c r="MH11" s="34"/>
      <c r="MI11" s="34"/>
      <c r="MJ11" s="34"/>
      <c r="MK11" s="34"/>
      <c r="ML11" s="34"/>
      <c r="MM11" s="34"/>
      <c r="MN11" s="34"/>
      <c r="MO11" s="34"/>
      <c r="MP11" s="34"/>
      <c r="MQ11" s="34"/>
      <c r="MR11" s="34"/>
      <c r="MS11" s="34"/>
      <c r="MV11" s="7"/>
    </row>
    <row r="12" spans="1:367">
      <c r="F12" s="7"/>
      <c r="N12" s="20"/>
      <c r="U12" s="20"/>
      <c r="AE12" s="7"/>
      <c r="AP12" s="20"/>
      <c r="AQ12" s="7"/>
      <c r="AW12" s="20"/>
      <c r="BD12" s="20"/>
      <c r="BK12" s="20"/>
      <c r="BY12" s="20"/>
      <c r="CF12" s="20"/>
      <c r="CM12" s="20"/>
      <c r="CT12" s="20"/>
      <c r="DA12" s="20"/>
      <c r="DH12" s="20"/>
      <c r="DO12" s="20"/>
      <c r="EC12" s="20"/>
      <c r="EJ12" s="20"/>
      <c r="EQ12" s="20"/>
      <c r="EX12" s="20"/>
      <c r="FS12" s="20"/>
      <c r="FZ12" s="20"/>
      <c r="GG12" s="20"/>
      <c r="GN12" s="20"/>
      <c r="GU12" s="20"/>
      <c r="HB12" s="20"/>
      <c r="HI12" s="20"/>
      <c r="HP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K12" s="20"/>
      <c r="IR12" s="20"/>
      <c r="IY12" s="20"/>
      <c r="JF12" s="20"/>
      <c r="JM12" s="20"/>
      <c r="JT12" s="20"/>
      <c r="JX12" s="68"/>
      <c r="JY12" s="25"/>
      <c r="MS12" s="23"/>
    </row>
    <row r="13" spans="1:367">
      <c r="F13" s="7"/>
      <c r="G13" s="20"/>
      <c r="N13" s="20"/>
      <c r="U13" s="20"/>
      <c r="AE13" s="7"/>
      <c r="AI13" s="20"/>
      <c r="AP13" s="20"/>
      <c r="AQ13" s="7"/>
      <c r="AW13" s="20"/>
      <c r="BD13" s="20"/>
      <c r="BE13" s="20"/>
      <c r="BF13" s="20"/>
      <c r="BG13" s="20"/>
      <c r="BH13" s="20"/>
      <c r="BI13" s="20"/>
      <c r="BK13" s="20"/>
      <c r="BY13" s="20"/>
      <c r="CF13" s="20"/>
      <c r="CM13" s="20"/>
      <c r="CT13" s="20"/>
      <c r="DA13" s="20"/>
      <c r="DH13" s="20"/>
      <c r="DO13" s="20"/>
      <c r="EC13" s="20"/>
      <c r="EJ13" s="20"/>
      <c r="EQ13" s="20"/>
      <c r="EX13" s="20"/>
      <c r="FL13" s="20"/>
      <c r="FS13" s="20"/>
      <c r="FZ13" s="20"/>
      <c r="GG13" s="20"/>
      <c r="GN13" s="20"/>
      <c r="GU13" s="20"/>
      <c r="HB13" s="20"/>
      <c r="HI13" s="20"/>
      <c r="HP13" s="20"/>
      <c r="HW13" s="20"/>
      <c r="ID13" s="20"/>
      <c r="IE13" s="20"/>
      <c r="IK13" s="20"/>
      <c r="IR13" s="20"/>
      <c r="IY13" s="20"/>
      <c r="JF13" s="20"/>
      <c r="JM13" s="20"/>
      <c r="JT13" s="20"/>
      <c r="JX13" s="68"/>
      <c r="JY13" s="25"/>
      <c r="MS13" s="23"/>
    </row>
    <row r="14" spans="1:367">
      <c r="F14" s="7"/>
      <c r="G14" s="20"/>
      <c r="N14" s="20"/>
      <c r="U14" s="20"/>
      <c r="AB14" s="20"/>
      <c r="AE14" s="7"/>
      <c r="AI14" s="20"/>
      <c r="AP14" s="20"/>
      <c r="AQ14" s="7"/>
      <c r="AW14" s="20"/>
      <c r="BD14" s="20"/>
      <c r="BY14" s="20"/>
      <c r="CF14" s="20"/>
      <c r="CI14" s="20"/>
      <c r="CM14" s="20"/>
      <c r="CT14" s="20"/>
      <c r="DA14" s="20"/>
      <c r="DH14" s="20"/>
      <c r="DO14" s="20"/>
      <c r="DV14" s="20"/>
      <c r="EC14" s="20"/>
      <c r="EJ14" s="20"/>
      <c r="EQ14" s="20"/>
      <c r="EX14" s="20"/>
      <c r="FS14" s="20"/>
      <c r="FZ14" s="20"/>
      <c r="GG14" s="20"/>
      <c r="GN14" s="20"/>
      <c r="GU14" s="20"/>
      <c r="HB14" s="20"/>
      <c r="HI14" s="20"/>
      <c r="HP14" s="20"/>
      <c r="HW14" s="20"/>
      <c r="HX14" s="20"/>
      <c r="HY14" s="20"/>
      <c r="HZ14" s="20"/>
      <c r="IA14" s="20"/>
      <c r="IB14" s="20"/>
      <c r="IC14" s="20"/>
      <c r="ID14" s="20"/>
      <c r="IK14" s="20"/>
      <c r="IR14" s="20"/>
      <c r="IY14" s="20"/>
      <c r="JF14" s="20"/>
      <c r="JM14" s="20"/>
      <c r="JX14" s="68"/>
      <c r="JY14" s="25"/>
      <c r="MS14" s="23"/>
    </row>
    <row r="15" spans="1:367">
      <c r="F15" s="7"/>
      <c r="G15" s="20"/>
      <c r="AB15" s="20"/>
      <c r="AI15" s="20"/>
      <c r="BK15" s="20"/>
      <c r="CI15" s="20"/>
      <c r="DV15" s="20"/>
      <c r="DW15" s="20"/>
      <c r="HW15" s="7"/>
      <c r="HX15" s="7"/>
      <c r="HY15" s="7"/>
      <c r="HZ15" s="7"/>
      <c r="IA15" s="7"/>
      <c r="IB15" s="7"/>
      <c r="IC15" s="7"/>
      <c r="ID15" s="20"/>
      <c r="IE15" s="20"/>
      <c r="JT15" s="20"/>
      <c r="JX15" s="68"/>
      <c r="JY15" s="25"/>
      <c r="MD15" s="20"/>
      <c r="MS15" s="23"/>
    </row>
    <row r="16" spans="1:367">
      <c r="F16" s="7"/>
      <c r="N16" s="7"/>
      <c r="O16" s="7"/>
      <c r="P16" s="7"/>
      <c r="Q16" s="7"/>
      <c r="R16" s="7"/>
      <c r="S16" s="7"/>
      <c r="AB16" s="20"/>
      <c r="CI16" s="20"/>
      <c r="JX16" s="68"/>
      <c r="JY16" s="25"/>
      <c r="MS16" s="23"/>
    </row>
    <row r="17" spans="6:237">
      <c r="F17" s="7"/>
      <c r="N17" s="7"/>
      <c r="O17" s="7"/>
      <c r="P17" s="7"/>
      <c r="Q17" s="7"/>
      <c r="R17" s="7"/>
      <c r="S17" s="7"/>
      <c r="HW17" s="230"/>
      <c r="HX17" s="230"/>
      <c r="HY17" s="230"/>
      <c r="HZ17" s="230"/>
      <c r="IA17" s="230"/>
      <c r="IB17" s="230"/>
      <c r="IC17" s="230"/>
    </row>
    <row r="18" spans="6:237">
      <c r="F18" s="47"/>
      <c r="N18" s="20"/>
      <c r="O18" s="20"/>
      <c r="P18" s="20"/>
      <c r="Q18" s="20"/>
      <c r="R18" s="20"/>
      <c r="S18" s="20"/>
      <c r="U18" s="20"/>
      <c r="HW18" s="7"/>
      <c r="HX18" s="7"/>
      <c r="HY18" s="7"/>
      <c r="HZ18" s="7"/>
      <c r="IA18" s="7"/>
      <c r="IB18" s="7"/>
      <c r="IC18" s="7"/>
    </row>
    <row r="19" spans="6:237">
      <c r="N19" s="7"/>
      <c r="O19" s="7"/>
      <c r="P19" s="7"/>
      <c r="Q19" s="7"/>
      <c r="R19" s="7"/>
      <c r="S19" s="7"/>
      <c r="U19" s="20"/>
      <c r="HW19" s="20"/>
      <c r="HX19" s="20"/>
      <c r="HY19" s="20"/>
      <c r="HZ19" s="20"/>
      <c r="IA19" s="20"/>
      <c r="IB19" s="20"/>
      <c r="IC19" s="20"/>
    </row>
    <row r="20" spans="6:237">
      <c r="N20" s="20"/>
      <c r="O20" s="20"/>
      <c r="P20" s="20"/>
      <c r="Q20" s="20"/>
      <c r="R20" s="20"/>
      <c r="S20" s="20"/>
    </row>
    <row r="21" spans="6:237">
      <c r="HY21" s="20"/>
    </row>
    <row r="22" spans="6:237">
      <c r="HY22" s="20"/>
    </row>
    <row r="23" spans="6:237">
      <c r="HY23" s="20"/>
    </row>
    <row r="24" spans="6:237">
      <c r="HZ24" s="31"/>
      <c r="IA24" s="31"/>
    </row>
    <row r="25" spans="6:237">
      <c r="AH25" s="7"/>
    </row>
    <row r="39" spans="21:23">
      <c r="U39" s="20"/>
      <c r="V39" s="20"/>
      <c r="W39" s="20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23C6F-C6D4-4241-ABB8-3658B01A432B}">
  <dimension ref="A1:L70"/>
  <sheetViews>
    <sheetView topLeftCell="A58" zoomScale="120" zoomScaleNormal="120" workbookViewId="0">
      <selection activeCell="B74" sqref="B74"/>
    </sheetView>
  </sheetViews>
  <sheetFormatPr defaultRowHeight="14.4"/>
  <cols>
    <col min="2" max="2" width="10.5546875" bestFit="1" customWidth="1"/>
    <col min="3" max="3" width="38.109375" style="2" bestFit="1" customWidth="1"/>
    <col min="4" max="4" width="9.33203125" style="2" bestFit="1" customWidth="1"/>
    <col min="6" max="6" width="17.6640625" bestFit="1" customWidth="1"/>
    <col min="7" max="7" width="11.33203125" bestFit="1" customWidth="1"/>
    <col min="8" max="8" width="14.77734375" bestFit="1" customWidth="1"/>
    <col min="9" max="9" width="11.44140625" bestFit="1" customWidth="1"/>
    <col min="10" max="10" width="31.77734375" bestFit="1" customWidth="1"/>
    <col min="11" max="11" width="14" bestFit="1" customWidth="1"/>
  </cols>
  <sheetData>
    <row r="1" spans="1:12">
      <c r="A1" s="79" t="s">
        <v>59</v>
      </c>
      <c r="B1" s="79" t="s">
        <v>56</v>
      </c>
      <c r="C1" s="137" t="s">
        <v>1821</v>
      </c>
      <c r="D1" s="137" t="s">
        <v>453</v>
      </c>
      <c r="E1" s="79" t="s">
        <v>1410</v>
      </c>
      <c r="J1" s="114" t="s">
        <v>1881</v>
      </c>
      <c r="K1" t="s">
        <v>1880</v>
      </c>
    </row>
    <row r="2" spans="1:12">
      <c r="A2" s="62" t="s">
        <v>1822</v>
      </c>
      <c r="B2" s="62"/>
      <c r="C2" s="101">
        <v>11</v>
      </c>
      <c r="D2" s="2">
        <v>82.5</v>
      </c>
      <c r="E2" t="s">
        <v>450</v>
      </c>
      <c r="F2" s="111" t="s">
        <v>1877</v>
      </c>
      <c r="G2" s="111" t="s">
        <v>1878</v>
      </c>
      <c r="H2" s="49" t="s">
        <v>1421</v>
      </c>
      <c r="I2" t="s">
        <v>1411</v>
      </c>
      <c r="J2" t="s">
        <v>1424</v>
      </c>
      <c r="K2" t="s">
        <v>1879</v>
      </c>
    </row>
    <row r="3" spans="1:12">
      <c r="A3" s="62" t="s">
        <v>1823</v>
      </c>
      <c r="B3" s="62"/>
      <c r="C3" s="101">
        <v>13</v>
      </c>
      <c r="D3" s="2">
        <v>97.5</v>
      </c>
      <c r="E3" t="s">
        <v>450</v>
      </c>
      <c r="F3" s="2">
        <v>73590</v>
      </c>
      <c r="G3" s="2">
        <v>394213</v>
      </c>
      <c r="H3" s="48" t="s">
        <v>450</v>
      </c>
      <c r="I3" s="50">
        <v>810</v>
      </c>
      <c r="J3" s="2">
        <f>+I3/7.5/30</f>
        <v>3.6</v>
      </c>
      <c r="K3" s="113">
        <f>+J3*68502</f>
        <v>246607.2</v>
      </c>
      <c r="L3" t="s">
        <v>1882</v>
      </c>
    </row>
    <row r="4" spans="1:12">
      <c r="A4" s="62" t="s">
        <v>1824</v>
      </c>
      <c r="B4" s="62"/>
      <c r="C4" s="101">
        <v>23</v>
      </c>
      <c r="D4" s="2">
        <v>172.5</v>
      </c>
      <c r="E4" t="s">
        <v>450</v>
      </c>
      <c r="H4" s="48" t="s">
        <v>451</v>
      </c>
      <c r="I4" s="50">
        <v>3375</v>
      </c>
      <c r="J4" s="2">
        <f t="shared" ref="J4:J5" si="0">+I4/7.5/30</f>
        <v>15</v>
      </c>
      <c r="K4" s="113">
        <f t="shared" ref="K4:K6" si="1">+J4*68502</f>
        <v>1027530</v>
      </c>
      <c r="L4" t="s">
        <v>1883</v>
      </c>
    </row>
    <row r="5" spans="1:12">
      <c r="A5" s="62" t="s">
        <v>1825</v>
      </c>
      <c r="B5" s="62"/>
      <c r="C5" s="101">
        <v>9</v>
      </c>
      <c r="D5" s="2">
        <v>67.5</v>
      </c>
      <c r="E5" t="s">
        <v>450</v>
      </c>
      <c r="H5" s="48" t="s">
        <v>452</v>
      </c>
      <c r="I5" s="50">
        <v>5100</v>
      </c>
      <c r="J5" s="2">
        <f t="shared" si="0"/>
        <v>22.666666666666668</v>
      </c>
      <c r="K5" s="113">
        <f t="shared" si="1"/>
        <v>1552712</v>
      </c>
      <c r="L5" t="s">
        <v>1884</v>
      </c>
    </row>
    <row r="6" spans="1:12">
      <c r="A6" s="62" t="s">
        <v>1826</v>
      </c>
      <c r="B6" s="62"/>
      <c r="C6" s="101">
        <v>52</v>
      </c>
      <c r="D6" s="2">
        <v>390</v>
      </c>
      <c r="E6" t="s">
        <v>450</v>
      </c>
      <c r="H6" s="48" t="s">
        <v>1422</v>
      </c>
      <c r="I6" s="50">
        <v>9285</v>
      </c>
      <c r="J6" s="2">
        <f>+I6/7.5/30</f>
        <v>41.266666666666666</v>
      </c>
      <c r="K6" s="113">
        <f t="shared" si="1"/>
        <v>2826849.1999999997</v>
      </c>
    </row>
    <row r="7" spans="1:12">
      <c r="A7" s="62" t="s">
        <v>1827</v>
      </c>
      <c r="B7" s="62"/>
      <c r="C7" s="101">
        <v>33</v>
      </c>
      <c r="D7" s="2">
        <v>247.5</v>
      </c>
      <c r="E7" t="s">
        <v>451</v>
      </c>
    </row>
    <row r="8" spans="1:12">
      <c r="A8" s="62" t="s">
        <v>1828</v>
      </c>
      <c r="B8" s="62"/>
      <c r="C8" s="101">
        <v>148</v>
      </c>
      <c r="D8" s="2">
        <v>1110</v>
      </c>
      <c r="E8" t="s">
        <v>451</v>
      </c>
    </row>
    <row r="9" spans="1:12">
      <c r="A9" s="62" t="s">
        <v>1829</v>
      </c>
      <c r="B9" s="62"/>
      <c r="C9" s="101">
        <v>163</v>
      </c>
      <c r="D9" s="2">
        <v>1222.5</v>
      </c>
      <c r="E9" t="s">
        <v>451</v>
      </c>
    </row>
    <row r="10" spans="1:12">
      <c r="A10" s="62" t="s">
        <v>1830</v>
      </c>
      <c r="B10" s="62"/>
      <c r="C10" s="101">
        <v>106</v>
      </c>
      <c r="D10" s="2">
        <v>795</v>
      </c>
      <c r="E10" t="s">
        <v>451</v>
      </c>
    </row>
    <row r="11" spans="1:12">
      <c r="A11" s="62" t="s">
        <v>1833</v>
      </c>
      <c r="B11" s="1">
        <v>45993</v>
      </c>
      <c r="C11" s="101">
        <v>8</v>
      </c>
      <c r="D11" s="7">
        <v>60</v>
      </c>
      <c r="E11" t="s">
        <v>452</v>
      </c>
    </row>
    <row r="12" spans="1:12">
      <c r="A12" s="62" t="s">
        <v>1833</v>
      </c>
      <c r="B12" s="1">
        <v>45994</v>
      </c>
      <c r="C12" s="101">
        <v>4</v>
      </c>
      <c r="D12" s="7">
        <v>30</v>
      </c>
      <c r="E12" t="s">
        <v>452</v>
      </c>
    </row>
    <row r="13" spans="1:12">
      <c r="A13" s="62" t="s">
        <v>1833</v>
      </c>
      <c r="B13" s="1">
        <v>45995</v>
      </c>
      <c r="C13" s="101">
        <v>13</v>
      </c>
      <c r="D13" s="7">
        <v>97.5</v>
      </c>
      <c r="E13" t="s">
        <v>452</v>
      </c>
    </row>
    <row r="14" spans="1:12">
      <c r="A14" s="62" t="s">
        <v>1833</v>
      </c>
      <c r="B14" s="1">
        <v>45996</v>
      </c>
      <c r="C14" s="101">
        <v>7</v>
      </c>
      <c r="D14" s="7">
        <v>52.5</v>
      </c>
      <c r="E14" t="s">
        <v>452</v>
      </c>
    </row>
    <row r="15" spans="1:12">
      <c r="A15" s="62" t="s">
        <v>1836</v>
      </c>
      <c r="B15" s="1">
        <v>45999</v>
      </c>
      <c r="C15" s="2">
        <v>41.5</v>
      </c>
      <c r="D15" s="2">
        <f>+C15*7.5</f>
        <v>311.25</v>
      </c>
      <c r="E15" t="s">
        <v>452</v>
      </c>
    </row>
    <row r="16" spans="1:12">
      <c r="A16" s="62" t="s">
        <v>1836</v>
      </c>
      <c r="B16" s="1">
        <v>46000</v>
      </c>
      <c r="C16" s="2">
        <v>41.5</v>
      </c>
      <c r="D16" s="2">
        <f t="shared" ref="D16:D20" si="2">+C16*7.5</f>
        <v>311.25</v>
      </c>
      <c r="E16" t="s">
        <v>452</v>
      </c>
    </row>
    <row r="17" spans="1:5">
      <c r="A17" s="62" t="s">
        <v>1836</v>
      </c>
      <c r="B17" s="1">
        <v>46001</v>
      </c>
      <c r="C17" s="2">
        <v>41.5</v>
      </c>
      <c r="D17" s="2">
        <f t="shared" si="2"/>
        <v>311.25</v>
      </c>
      <c r="E17" t="s">
        <v>452</v>
      </c>
    </row>
    <row r="18" spans="1:5">
      <c r="A18" s="62" t="s">
        <v>1836</v>
      </c>
      <c r="B18" s="1">
        <v>46002</v>
      </c>
      <c r="C18" s="2">
        <v>41.5</v>
      </c>
      <c r="D18" s="2">
        <f t="shared" si="2"/>
        <v>311.25</v>
      </c>
      <c r="E18" t="s">
        <v>452</v>
      </c>
    </row>
    <row r="19" spans="1:5">
      <c r="A19" s="62" t="s">
        <v>1836</v>
      </c>
      <c r="B19" s="1">
        <v>46003</v>
      </c>
      <c r="C19" s="2">
        <v>41.5</v>
      </c>
      <c r="D19" s="2">
        <f t="shared" si="2"/>
        <v>311.25</v>
      </c>
      <c r="E19" t="s">
        <v>452</v>
      </c>
    </row>
    <row r="20" spans="1:5">
      <c r="A20" s="62" t="s">
        <v>1836</v>
      </c>
      <c r="B20" s="1">
        <v>46004</v>
      </c>
      <c r="C20" s="2">
        <v>41.5</v>
      </c>
      <c r="D20" s="2">
        <f t="shared" si="2"/>
        <v>311.25</v>
      </c>
      <c r="E20" t="s">
        <v>452</v>
      </c>
    </row>
    <row r="21" spans="1:5">
      <c r="A21" s="62" t="s">
        <v>1836</v>
      </c>
      <c r="B21" s="1">
        <v>46005</v>
      </c>
      <c r="E21" t="s">
        <v>452</v>
      </c>
    </row>
    <row r="22" spans="1:5">
      <c r="A22" s="62" t="s">
        <v>1837</v>
      </c>
      <c r="B22" s="1">
        <v>46006</v>
      </c>
      <c r="C22" s="101">
        <v>116</v>
      </c>
      <c r="D22" s="2">
        <v>870</v>
      </c>
      <c r="E22" t="s">
        <v>452</v>
      </c>
    </row>
    <row r="23" spans="1:5">
      <c r="A23" s="62" t="s">
        <v>1837</v>
      </c>
      <c r="B23" s="1">
        <v>46007</v>
      </c>
      <c r="C23" s="101">
        <v>115</v>
      </c>
      <c r="D23" s="2">
        <v>862.5</v>
      </c>
      <c r="E23" t="s">
        <v>452</v>
      </c>
    </row>
    <row r="24" spans="1:5">
      <c r="A24" s="62" t="s">
        <v>1837</v>
      </c>
      <c r="B24" s="1">
        <v>46008</v>
      </c>
      <c r="C24" s="101">
        <v>79</v>
      </c>
      <c r="D24" s="2">
        <v>592.5</v>
      </c>
      <c r="E24" t="s">
        <v>452</v>
      </c>
    </row>
    <row r="25" spans="1:5">
      <c r="A25" s="62" t="s">
        <v>1837</v>
      </c>
      <c r="B25" s="1">
        <v>46009</v>
      </c>
      <c r="C25" s="101">
        <v>30</v>
      </c>
      <c r="D25" s="2">
        <v>225</v>
      </c>
      <c r="E25" t="s">
        <v>452</v>
      </c>
    </row>
    <row r="26" spans="1:5">
      <c r="A26" s="62" t="s">
        <v>1837</v>
      </c>
      <c r="B26" s="1">
        <v>46010</v>
      </c>
      <c r="C26" s="101">
        <v>19</v>
      </c>
      <c r="D26" s="2">
        <v>142.5</v>
      </c>
      <c r="E26" t="s">
        <v>452</v>
      </c>
    </row>
    <row r="27" spans="1:5">
      <c r="A27" s="62" t="s">
        <v>1837</v>
      </c>
      <c r="B27" s="1">
        <v>46011</v>
      </c>
      <c r="C27" s="101">
        <v>12</v>
      </c>
      <c r="D27" s="2">
        <v>90</v>
      </c>
      <c r="E27" t="s">
        <v>452</v>
      </c>
    </row>
    <row r="28" spans="1:5">
      <c r="A28" s="62" t="s">
        <v>1837</v>
      </c>
      <c r="B28" s="1">
        <v>46012</v>
      </c>
      <c r="C28" s="101">
        <v>28</v>
      </c>
      <c r="D28" s="2">
        <v>210</v>
      </c>
      <c r="E28" t="s">
        <v>452</v>
      </c>
    </row>
    <row r="29" spans="1:5">
      <c r="A29" s="62" t="s">
        <v>2229</v>
      </c>
      <c r="B29" s="115">
        <v>46013</v>
      </c>
      <c r="C29" s="50">
        <v>30</v>
      </c>
      <c r="D29" s="2">
        <f>+C29*7.5</f>
        <v>225</v>
      </c>
    </row>
    <row r="30" spans="1:5">
      <c r="A30" s="62" t="s">
        <v>2229</v>
      </c>
      <c r="B30" s="115">
        <v>46014</v>
      </c>
      <c r="C30" s="50">
        <v>10</v>
      </c>
      <c r="D30" s="2">
        <f t="shared" ref="D30:D35" si="3">+C30*7.5</f>
        <v>75</v>
      </c>
    </row>
    <row r="31" spans="1:5">
      <c r="A31" s="62" t="s">
        <v>2229</v>
      </c>
      <c r="B31" s="115">
        <v>46015</v>
      </c>
      <c r="C31" s="50">
        <v>11</v>
      </c>
      <c r="D31" s="2">
        <f t="shared" si="3"/>
        <v>82.5</v>
      </c>
    </row>
    <row r="32" spans="1:5">
      <c r="A32" s="62" t="s">
        <v>2229</v>
      </c>
      <c r="B32" s="115">
        <v>46016</v>
      </c>
      <c r="C32" s="50">
        <v>13</v>
      </c>
      <c r="D32" s="2">
        <f t="shared" si="3"/>
        <v>97.5</v>
      </c>
    </row>
    <row r="33" spans="1:4">
      <c r="A33" s="62" t="s">
        <v>2229</v>
      </c>
      <c r="B33" s="115">
        <v>46017</v>
      </c>
      <c r="C33" s="50">
        <v>3</v>
      </c>
      <c r="D33" s="2">
        <f t="shared" si="3"/>
        <v>22.5</v>
      </c>
    </row>
    <row r="34" spans="1:4">
      <c r="A34" s="62" t="s">
        <v>2229</v>
      </c>
      <c r="B34" s="115">
        <v>46018</v>
      </c>
      <c r="C34" s="50">
        <v>0</v>
      </c>
      <c r="D34" s="2">
        <f t="shared" si="3"/>
        <v>0</v>
      </c>
    </row>
    <row r="35" spans="1:4">
      <c r="A35" s="62" t="s">
        <v>2229</v>
      </c>
      <c r="B35" s="115">
        <v>46019</v>
      </c>
      <c r="C35" s="50">
        <v>0</v>
      </c>
      <c r="D35" s="2">
        <f t="shared" si="3"/>
        <v>0</v>
      </c>
    </row>
    <row r="36" spans="1:4">
      <c r="A36" t="s">
        <v>54</v>
      </c>
      <c r="B36" s="1">
        <v>46020</v>
      </c>
      <c r="C36" s="2">
        <f>+D36/7.5</f>
        <v>30</v>
      </c>
      <c r="D36" s="2">
        <v>225</v>
      </c>
    </row>
    <row r="37" spans="1:4">
      <c r="A37" t="s">
        <v>54</v>
      </c>
      <c r="B37" s="1">
        <v>46021</v>
      </c>
      <c r="C37" s="2">
        <f t="shared" ref="C37:C42" si="4">+D37/7.5</f>
        <v>27</v>
      </c>
      <c r="D37" s="2">
        <v>202.5</v>
      </c>
    </row>
    <row r="38" spans="1:4">
      <c r="A38" t="s">
        <v>54</v>
      </c>
      <c r="B38" s="1">
        <v>46022</v>
      </c>
      <c r="C38" s="2">
        <f t="shared" si="4"/>
        <v>20</v>
      </c>
      <c r="D38" s="2">
        <v>150</v>
      </c>
    </row>
    <row r="39" spans="1:4">
      <c r="A39" t="s">
        <v>54</v>
      </c>
      <c r="B39" s="1">
        <v>46023</v>
      </c>
      <c r="C39" s="2">
        <f t="shared" si="4"/>
        <v>0</v>
      </c>
      <c r="D39" s="2">
        <v>0</v>
      </c>
    </row>
    <row r="40" spans="1:4">
      <c r="A40" t="s">
        <v>54</v>
      </c>
      <c r="B40" s="1">
        <v>46024</v>
      </c>
      <c r="C40" s="2">
        <f t="shared" si="4"/>
        <v>19</v>
      </c>
      <c r="D40" s="2">
        <v>142.5</v>
      </c>
    </row>
    <row r="41" spans="1:4">
      <c r="A41" t="s">
        <v>54</v>
      </c>
      <c r="B41" s="1">
        <v>46025</v>
      </c>
      <c r="C41" s="2">
        <f t="shared" si="4"/>
        <v>27</v>
      </c>
      <c r="D41" s="2">
        <v>202.5</v>
      </c>
    </row>
    <row r="42" spans="1:4">
      <c r="A42" t="s">
        <v>54</v>
      </c>
      <c r="B42" s="1">
        <v>46026</v>
      </c>
      <c r="C42" s="2">
        <f t="shared" si="4"/>
        <v>0</v>
      </c>
      <c r="D42" s="2">
        <v>0</v>
      </c>
    </row>
    <row r="43" spans="1:4">
      <c r="A43" t="s">
        <v>425</v>
      </c>
      <c r="B43" s="115">
        <v>46027</v>
      </c>
      <c r="C43" s="2">
        <v>16</v>
      </c>
      <c r="D43" s="2">
        <f>+C43*7.5</f>
        <v>120</v>
      </c>
    </row>
    <row r="44" spans="1:4">
      <c r="A44" t="s">
        <v>425</v>
      </c>
      <c r="B44" s="115">
        <v>46028</v>
      </c>
      <c r="C44" s="2">
        <v>5</v>
      </c>
      <c r="D44" s="2">
        <f t="shared" ref="D44:D48" si="5">+C44*7.5</f>
        <v>37.5</v>
      </c>
    </row>
    <row r="45" spans="1:4">
      <c r="A45" t="s">
        <v>425</v>
      </c>
      <c r="B45" s="115">
        <v>46029</v>
      </c>
      <c r="C45" s="2">
        <v>4</v>
      </c>
      <c r="D45" s="2">
        <f t="shared" si="5"/>
        <v>30</v>
      </c>
    </row>
    <row r="46" spans="1:4">
      <c r="A46" t="s">
        <v>425</v>
      </c>
      <c r="B46" s="115">
        <v>46030</v>
      </c>
      <c r="C46" s="2">
        <v>1</v>
      </c>
      <c r="D46" s="2">
        <f t="shared" si="5"/>
        <v>7.5</v>
      </c>
    </row>
    <row r="47" spans="1:4">
      <c r="A47" t="s">
        <v>425</v>
      </c>
      <c r="B47" s="115">
        <v>46031</v>
      </c>
      <c r="C47" s="2">
        <v>8</v>
      </c>
      <c r="D47" s="2">
        <f t="shared" si="5"/>
        <v>60</v>
      </c>
    </row>
    <row r="48" spans="1:4">
      <c r="A48" t="s">
        <v>425</v>
      </c>
      <c r="B48" s="115">
        <v>46032</v>
      </c>
      <c r="C48" s="2">
        <v>10</v>
      </c>
      <c r="D48" s="2">
        <f t="shared" si="5"/>
        <v>75</v>
      </c>
    </row>
    <row r="49" spans="1:4">
      <c r="A49" t="s">
        <v>425</v>
      </c>
      <c r="B49" s="115">
        <v>46033</v>
      </c>
    </row>
    <row r="50" spans="1:4">
      <c r="A50" t="s">
        <v>2</v>
      </c>
      <c r="B50" s="115">
        <v>46034</v>
      </c>
      <c r="D50" s="2">
        <v>135</v>
      </c>
    </row>
    <row r="51" spans="1:4">
      <c r="A51" t="s">
        <v>2</v>
      </c>
      <c r="B51" s="115">
        <v>46035</v>
      </c>
      <c r="D51" s="2">
        <v>166.5</v>
      </c>
    </row>
    <row r="52" spans="1:4">
      <c r="A52" t="s">
        <v>2</v>
      </c>
      <c r="B52" s="115">
        <v>46036</v>
      </c>
      <c r="D52" s="2">
        <v>289.5</v>
      </c>
    </row>
    <row r="53" spans="1:4">
      <c r="A53" t="s">
        <v>2</v>
      </c>
      <c r="B53" s="115">
        <v>46037</v>
      </c>
      <c r="D53" s="2">
        <v>210</v>
      </c>
    </row>
    <row r="54" spans="1:4">
      <c r="A54" t="s">
        <v>2</v>
      </c>
      <c r="B54" s="115">
        <v>46038</v>
      </c>
      <c r="D54" s="2">
        <v>379</v>
      </c>
    </row>
    <row r="55" spans="1:4">
      <c r="A55" t="s">
        <v>2</v>
      </c>
      <c r="B55" s="115">
        <v>46039</v>
      </c>
      <c r="D55" s="2">
        <v>351</v>
      </c>
    </row>
    <row r="56" spans="1:4">
      <c r="A56" t="s">
        <v>2</v>
      </c>
      <c r="B56" s="115">
        <v>46040</v>
      </c>
    </row>
    <row r="57" spans="1:4">
      <c r="A57" t="s">
        <v>3</v>
      </c>
      <c r="B57" s="115">
        <v>46041</v>
      </c>
      <c r="D57" s="2">
        <v>228</v>
      </c>
    </row>
    <row r="58" spans="1:4">
      <c r="A58" t="s">
        <v>3</v>
      </c>
      <c r="B58" s="115">
        <v>46042</v>
      </c>
      <c r="D58">
        <v>324</v>
      </c>
    </row>
    <row r="59" spans="1:4">
      <c r="A59" t="s">
        <v>3</v>
      </c>
      <c r="B59" s="115">
        <v>46043</v>
      </c>
      <c r="D59">
        <v>210</v>
      </c>
    </row>
    <row r="60" spans="1:4">
      <c r="A60" t="s">
        <v>3</v>
      </c>
      <c r="B60" s="115">
        <v>46044</v>
      </c>
      <c r="D60">
        <v>174</v>
      </c>
    </row>
    <row r="61" spans="1:4">
      <c r="A61" t="s">
        <v>3</v>
      </c>
      <c r="B61" s="115">
        <v>46045</v>
      </c>
      <c r="D61">
        <v>210</v>
      </c>
    </row>
    <row r="62" spans="1:4">
      <c r="A62" t="s">
        <v>3</v>
      </c>
      <c r="B62" s="115">
        <v>46046</v>
      </c>
      <c r="D62">
        <v>246</v>
      </c>
    </row>
    <row r="63" spans="1:4">
      <c r="A63" t="s">
        <v>3</v>
      </c>
      <c r="B63" s="115">
        <v>46047</v>
      </c>
    </row>
    <row r="64" spans="1:4">
      <c r="A64" t="s">
        <v>4</v>
      </c>
      <c r="B64" s="115">
        <v>46048</v>
      </c>
      <c r="D64" s="2">
        <v>292.5</v>
      </c>
    </row>
    <row r="65" spans="1:4">
      <c r="A65" t="s">
        <v>4</v>
      </c>
      <c r="B65" s="115">
        <v>46049</v>
      </c>
      <c r="D65" s="2">
        <v>204.75</v>
      </c>
    </row>
    <row r="66" spans="1:4">
      <c r="A66" t="s">
        <v>4</v>
      </c>
      <c r="B66" s="115">
        <v>46050</v>
      </c>
      <c r="D66" s="2">
        <v>92.625</v>
      </c>
    </row>
    <row r="67" spans="1:4">
      <c r="A67" t="s">
        <v>4</v>
      </c>
      <c r="B67" s="115">
        <v>46051</v>
      </c>
      <c r="D67" s="2">
        <v>180.375</v>
      </c>
    </row>
    <row r="68" spans="1:4">
      <c r="A68" t="s">
        <v>4</v>
      </c>
      <c r="B68" s="115">
        <v>46052</v>
      </c>
      <c r="D68" s="2">
        <v>355.875</v>
      </c>
    </row>
    <row r="69" spans="1:4">
      <c r="A69" t="s">
        <v>4</v>
      </c>
      <c r="B69" s="115">
        <v>46053</v>
      </c>
      <c r="D69" s="2">
        <v>87.75</v>
      </c>
    </row>
    <row r="70" spans="1:4">
      <c r="A70" t="s">
        <v>4</v>
      </c>
      <c r="B70" s="115">
        <v>46054</v>
      </c>
    </row>
  </sheetData>
  <phoneticPr fontId="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0E8D6-A38E-48A7-9D64-45FF7DE6A652}">
  <dimension ref="A1:NC17"/>
  <sheetViews>
    <sheetView showGridLines="0" topLeftCell="JO1" workbookViewId="0">
      <selection activeCell="JW14" sqref="JW14"/>
    </sheetView>
  </sheetViews>
  <sheetFormatPr defaultColWidth="8.88671875" defaultRowHeight="14.4"/>
  <cols>
    <col min="1" max="1" width="10.44140625" style="8" bestFit="1" customWidth="1"/>
    <col min="2" max="2" width="22.44140625" style="8" bestFit="1" customWidth="1"/>
    <col min="3" max="3" width="11.44140625" style="8" customWidth="1"/>
    <col min="4" max="4" width="11.33203125" style="8" customWidth="1"/>
    <col min="5" max="5" width="12.33203125" style="8" customWidth="1"/>
    <col min="6" max="6" width="12" style="8" customWidth="1"/>
    <col min="7" max="7" width="11.44140625" style="8" customWidth="1"/>
    <col min="8" max="8" width="11.109375" style="8" customWidth="1"/>
    <col min="9" max="9" width="11" style="8" customWidth="1"/>
    <col min="10" max="10" width="11.44140625" style="8" customWidth="1"/>
    <col min="11" max="11" width="11.33203125" style="8" customWidth="1"/>
    <col min="12" max="12" width="12.33203125" style="8" customWidth="1"/>
    <col min="13" max="13" width="12" style="8" customWidth="1"/>
    <col min="14" max="14" width="11.44140625" style="8" customWidth="1"/>
    <col min="15" max="15" width="11.109375" style="8" customWidth="1"/>
    <col min="16" max="16" width="11" style="8" customWidth="1"/>
    <col min="17" max="17" width="11.44140625" style="8" customWidth="1"/>
    <col min="18" max="18" width="11.33203125" style="8" customWidth="1"/>
    <col min="19" max="19" width="12.33203125" style="8" customWidth="1"/>
    <col min="20" max="20" width="12" style="8" customWidth="1"/>
    <col min="21" max="21" width="11.44140625" style="8" customWidth="1"/>
    <col min="22" max="22" width="11.109375" style="8" customWidth="1"/>
    <col min="23" max="23" width="11" style="8" customWidth="1"/>
    <col min="24" max="24" width="11.44140625" style="8" customWidth="1"/>
    <col min="25" max="25" width="11.33203125" style="8" customWidth="1"/>
    <col min="26" max="26" width="12.33203125" style="8" customWidth="1"/>
    <col min="27" max="27" width="12" style="8" customWidth="1"/>
    <col min="28" max="28" width="11.44140625" style="8" customWidth="1"/>
    <col min="29" max="29" width="11.109375" style="8" customWidth="1"/>
    <col min="30" max="30" width="11" style="8" customWidth="1"/>
    <col min="31" max="31" width="11.44140625" style="8" customWidth="1"/>
    <col min="32" max="32" width="11.33203125" style="8" customWidth="1"/>
    <col min="33" max="33" width="12.33203125" style="8" customWidth="1"/>
    <col min="34" max="34" width="12" style="8" customWidth="1"/>
    <col min="35" max="35" width="11.44140625" style="8" customWidth="1"/>
    <col min="36" max="36" width="11.109375" style="8" customWidth="1"/>
    <col min="37" max="37" width="11" style="8" customWidth="1"/>
    <col min="38" max="38" width="11.44140625" style="8" customWidth="1"/>
    <col min="39" max="39" width="11.33203125" style="8" customWidth="1"/>
    <col min="40" max="40" width="12.33203125" style="8" customWidth="1"/>
    <col min="41" max="41" width="12" style="8" customWidth="1"/>
    <col min="42" max="42" width="11.44140625" style="8" customWidth="1"/>
    <col min="43" max="43" width="11.109375" style="8" customWidth="1"/>
    <col min="44" max="44" width="11" style="8" customWidth="1"/>
    <col min="45" max="45" width="11.44140625" style="8" customWidth="1"/>
    <col min="46" max="46" width="11.33203125" style="8" customWidth="1"/>
    <col min="47" max="47" width="12.33203125" style="8" customWidth="1"/>
    <col min="48" max="48" width="12" style="8" customWidth="1"/>
    <col min="49" max="49" width="11.44140625" style="8" customWidth="1"/>
    <col min="50" max="50" width="11.109375" style="8" customWidth="1"/>
    <col min="51" max="51" width="11" style="8" customWidth="1"/>
    <col min="52" max="52" width="11.44140625" style="8" customWidth="1"/>
    <col min="53" max="53" width="11.33203125" style="8" customWidth="1"/>
    <col min="54" max="54" width="12.33203125" style="8" customWidth="1"/>
    <col min="55" max="55" width="12" style="8" customWidth="1"/>
    <col min="56" max="56" width="11.44140625" style="8" customWidth="1"/>
    <col min="57" max="57" width="11.109375" style="8" customWidth="1"/>
    <col min="58" max="58" width="11" style="8" customWidth="1"/>
    <col min="59" max="59" width="11.44140625" style="8" customWidth="1"/>
    <col min="60" max="60" width="11.33203125" style="8" customWidth="1"/>
    <col min="61" max="61" width="12.33203125" style="8" customWidth="1"/>
    <col min="62" max="62" width="12" style="8" customWidth="1"/>
    <col min="63" max="63" width="11.44140625" style="8" customWidth="1"/>
    <col min="64" max="64" width="12.109375" style="8" customWidth="1"/>
    <col min="65" max="65" width="12" style="8" customWidth="1"/>
    <col min="66" max="66" width="12.44140625" style="8" customWidth="1"/>
    <col min="67" max="67" width="12.33203125" style="8" customWidth="1"/>
    <col min="68" max="68" width="13.44140625" style="8" customWidth="1"/>
    <col min="69" max="69" width="13.109375" style="8" customWidth="1"/>
    <col min="70" max="70" width="12.44140625" style="8" customWidth="1"/>
    <col min="71" max="71" width="12.109375" style="8" customWidth="1"/>
    <col min="72" max="72" width="12" style="8" customWidth="1"/>
    <col min="73" max="73" width="12.44140625" style="8" customWidth="1"/>
    <col min="74" max="74" width="12.33203125" style="8" customWidth="1"/>
    <col min="75" max="75" width="13.44140625" style="8" customWidth="1"/>
    <col min="76" max="76" width="13.109375" style="8" customWidth="1"/>
    <col min="77" max="77" width="12.44140625" style="8" customWidth="1"/>
    <col min="78" max="78" width="12.109375" style="8" customWidth="1"/>
    <col min="79" max="79" width="12" style="8" customWidth="1"/>
    <col min="80" max="80" width="12.44140625" style="8" customWidth="1"/>
    <col min="81" max="81" width="12.33203125" style="8" customWidth="1"/>
    <col min="82" max="82" width="13.44140625" style="8" customWidth="1"/>
    <col min="83" max="83" width="13.109375" style="8" customWidth="1"/>
    <col min="84" max="84" width="12.44140625" style="8" customWidth="1"/>
    <col min="85" max="85" width="12.109375" style="8" customWidth="1"/>
    <col min="86" max="86" width="12" style="8" customWidth="1"/>
    <col min="87" max="87" width="12.44140625" style="8" customWidth="1"/>
    <col min="88" max="88" width="12.33203125" style="8" customWidth="1"/>
    <col min="89" max="89" width="13.44140625" style="8" customWidth="1"/>
    <col min="90" max="90" width="13.109375" style="8" customWidth="1"/>
    <col min="91" max="91" width="12.44140625" style="8" customWidth="1"/>
    <col min="92" max="92" width="12.109375" style="8" customWidth="1"/>
    <col min="93" max="93" width="12" style="8" customWidth="1"/>
    <col min="94" max="94" width="12.44140625" style="8" customWidth="1"/>
    <col min="95" max="95" width="12.33203125" style="8" customWidth="1"/>
    <col min="96" max="96" width="13.44140625" style="8" customWidth="1"/>
    <col min="97" max="97" width="13.109375" style="8" customWidth="1"/>
    <col min="98" max="98" width="12.44140625" style="8" customWidth="1"/>
    <col min="99" max="99" width="12.109375" style="8" customWidth="1"/>
    <col min="100" max="100" width="12" style="8" customWidth="1"/>
    <col min="101" max="101" width="12.44140625" style="8" customWidth="1"/>
    <col min="102" max="102" width="12.33203125" style="8" customWidth="1"/>
    <col min="103" max="103" width="13.44140625" style="8" customWidth="1"/>
    <col min="104" max="104" width="13.109375" style="8" customWidth="1"/>
    <col min="105" max="105" width="12.44140625" style="8" customWidth="1"/>
    <col min="106" max="106" width="12.109375" style="8" customWidth="1"/>
    <col min="107" max="107" width="12" style="8" customWidth="1"/>
    <col min="108" max="108" width="12.44140625" style="8" customWidth="1"/>
    <col min="109" max="109" width="12.33203125" style="8" customWidth="1"/>
    <col min="110" max="110" width="13.44140625" style="8" customWidth="1"/>
    <col min="111" max="111" width="13.109375" style="8" customWidth="1"/>
    <col min="112" max="112" width="12.44140625" style="8" customWidth="1"/>
    <col min="113" max="113" width="12.109375" style="8" customWidth="1"/>
    <col min="114" max="114" width="12" style="8" customWidth="1"/>
    <col min="115" max="115" width="12.44140625" style="8" customWidth="1"/>
    <col min="116" max="116" width="12.33203125" style="8" customWidth="1"/>
    <col min="117" max="117" width="13.44140625" style="8" customWidth="1"/>
    <col min="118" max="118" width="13.109375" style="8" customWidth="1"/>
    <col min="119" max="119" width="12.44140625" style="8" customWidth="1"/>
    <col min="120" max="120" width="12.109375" style="8" customWidth="1"/>
    <col min="121" max="121" width="12" style="8" customWidth="1"/>
    <col min="122" max="122" width="12.44140625" style="8" customWidth="1"/>
    <col min="123" max="123" width="12.33203125" style="8" customWidth="1"/>
    <col min="124" max="124" width="13.44140625" style="8" customWidth="1"/>
    <col min="125" max="125" width="13.109375" style="8" customWidth="1"/>
    <col min="126" max="126" width="12.44140625" style="8" customWidth="1"/>
    <col min="127" max="127" width="12.109375" style="8" customWidth="1"/>
    <col min="128" max="128" width="12" style="8" customWidth="1"/>
    <col min="129" max="129" width="12.44140625" style="8" customWidth="1"/>
    <col min="130" max="130" width="12.33203125" style="8" customWidth="1"/>
    <col min="131" max="131" width="13.44140625" style="8" customWidth="1"/>
    <col min="132" max="132" width="13.109375" style="8" customWidth="1"/>
    <col min="133" max="133" width="12.44140625" style="8" customWidth="1"/>
    <col min="134" max="134" width="12.109375" style="8" customWidth="1"/>
    <col min="135" max="135" width="12" style="8" customWidth="1"/>
    <col min="136" max="136" width="12.44140625" style="8" customWidth="1"/>
    <col min="137" max="137" width="12.33203125" style="8" customWidth="1"/>
    <col min="138" max="138" width="13.44140625" style="8" customWidth="1"/>
    <col min="139" max="139" width="13.109375" style="8" customWidth="1"/>
    <col min="140" max="140" width="12.44140625" style="8" customWidth="1"/>
    <col min="141" max="141" width="12.109375" style="8" customWidth="1"/>
    <col min="142" max="142" width="12" style="8" customWidth="1"/>
    <col min="143" max="143" width="12.44140625" style="8" customWidth="1"/>
    <col min="144" max="144" width="12.33203125" style="8" customWidth="1"/>
    <col min="145" max="145" width="13.44140625" style="8" customWidth="1"/>
    <col min="146" max="146" width="13.109375" style="8" customWidth="1"/>
    <col min="147" max="147" width="12.44140625" style="8" customWidth="1"/>
    <col min="148" max="148" width="12.109375" style="8" customWidth="1"/>
    <col min="149" max="149" width="12" style="8" customWidth="1"/>
    <col min="150" max="150" width="12.44140625" style="8" customWidth="1"/>
    <col min="151" max="151" width="12.33203125" style="8" customWidth="1"/>
    <col min="152" max="152" width="13.44140625" style="8" customWidth="1"/>
    <col min="153" max="153" width="13.109375" style="8" customWidth="1"/>
    <col min="154" max="154" width="12.44140625" style="8" customWidth="1"/>
    <col min="155" max="155" width="12.109375" style="8" customWidth="1"/>
    <col min="156" max="156" width="12" style="8" customWidth="1"/>
    <col min="157" max="157" width="12.44140625" style="8" customWidth="1"/>
    <col min="158" max="158" width="12.33203125" style="8" customWidth="1"/>
    <col min="159" max="159" width="13.44140625" style="8" customWidth="1"/>
    <col min="160" max="160" width="13.109375" style="8" customWidth="1"/>
    <col min="161" max="161" width="12.44140625" style="8" customWidth="1"/>
    <col min="162" max="162" width="12.109375" style="8" customWidth="1"/>
    <col min="163" max="163" width="12" style="8" customWidth="1"/>
    <col min="164" max="164" width="12.44140625" style="8" customWidth="1"/>
    <col min="165" max="165" width="12.33203125" style="8" customWidth="1"/>
    <col min="166" max="166" width="13.44140625" style="8" customWidth="1"/>
    <col min="167" max="167" width="13.109375" style="8" customWidth="1"/>
    <col min="168" max="168" width="12.44140625" style="8" customWidth="1"/>
    <col min="169" max="169" width="12.109375" style="8" customWidth="1"/>
    <col min="170" max="170" width="12" style="8" customWidth="1"/>
    <col min="171" max="171" width="12.44140625" style="8" customWidth="1"/>
    <col min="172" max="172" width="12.33203125" style="8" customWidth="1"/>
    <col min="173" max="173" width="13.44140625" style="8" customWidth="1"/>
    <col min="174" max="174" width="13.109375" style="8" customWidth="1"/>
    <col min="175" max="175" width="12.44140625" style="8" customWidth="1"/>
    <col min="176" max="176" width="12.109375" style="8" customWidth="1"/>
    <col min="177" max="177" width="12" style="8" customWidth="1"/>
    <col min="178" max="178" width="12.44140625" style="8" customWidth="1"/>
    <col min="179" max="179" width="12.33203125" style="8" customWidth="1"/>
    <col min="180" max="180" width="13.44140625" style="8" customWidth="1"/>
    <col min="181" max="181" width="13.109375" style="8" customWidth="1"/>
    <col min="182" max="182" width="12.44140625" style="8" customWidth="1"/>
    <col min="183" max="183" width="12.109375" style="8" customWidth="1"/>
    <col min="184" max="184" width="12" style="8" customWidth="1"/>
    <col min="185" max="185" width="12.44140625" style="8" customWidth="1"/>
    <col min="186" max="186" width="12.33203125" style="8" customWidth="1"/>
    <col min="187" max="187" width="13.44140625" style="8" customWidth="1"/>
    <col min="188" max="188" width="13.109375" style="8" customWidth="1"/>
    <col min="189" max="189" width="12.44140625" style="8" customWidth="1"/>
    <col min="190" max="190" width="12.109375" style="8" customWidth="1"/>
    <col min="191" max="191" width="12" style="8" customWidth="1"/>
    <col min="192" max="192" width="12.44140625" style="8" customWidth="1"/>
    <col min="193" max="193" width="12.33203125" style="8" customWidth="1"/>
    <col min="194" max="194" width="13.44140625" style="8" customWidth="1"/>
    <col min="195" max="195" width="13.109375" style="8" customWidth="1"/>
    <col min="196" max="196" width="12.44140625" style="8" customWidth="1"/>
    <col min="197" max="197" width="12.109375" style="8" customWidth="1"/>
    <col min="198" max="198" width="12" style="8" customWidth="1"/>
    <col min="199" max="199" width="12.44140625" style="8" customWidth="1"/>
    <col min="200" max="200" width="12.33203125" style="8" customWidth="1"/>
    <col min="201" max="201" width="13.44140625" style="8" customWidth="1"/>
    <col min="202" max="202" width="13.109375" style="8" customWidth="1"/>
    <col min="203" max="203" width="12.44140625" style="8" customWidth="1"/>
    <col min="204" max="204" width="12.109375" style="8" customWidth="1"/>
    <col min="205" max="205" width="12" style="8" customWidth="1"/>
    <col min="206" max="206" width="12.44140625" style="8" customWidth="1"/>
    <col min="207" max="207" width="12.33203125" style="8" customWidth="1"/>
    <col min="208" max="208" width="13.44140625" style="8" customWidth="1"/>
    <col min="209" max="209" width="13.109375" style="8" customWidth="1"/>
    <col min="210" max="210" width="12.44140625" style="8" customWidth="1"/>
    <col min="211" max="211" width="12.109375" style="8" customWidth="1"/>
    <col min="212" max="212" width="12" style="8" customWidth="1"/>
    <col min="213" max="213" width="12.44140625" style="8" customWidth="1"/>
    <col min="214" max="214" width="12.33203125" style="8" customWidth="1"/>
    <col min="215" max="215" width="13.44140625" style="8" customWidth="1"/>
    <col min="216" max="216" width="13.109375" style="8" customWidth="1"/>
    <col min="217" max="217" width="12.44140625" style="8" customWidth="1"/>
    <col min="218" max="218" width="12.109375" style="8" customWidth="1"/>
    <col min="219" max="219" width="12" style="8" customWidth="1"/>
    <col min="220" max="220" width="12.44140625" style="8" customWidth="1"/>
    <col min="221" max="221" width="12.33203125" style="8" customWidth="1"/>
    <col min="222" max="222" width="13.44140625" style="8" customWidth="1"/>
    <col min="223" max="223" width="13.109375" style="8" customWidth="1"/>
    <col min="224" max="224" width="12.44140625" style="8" customWidth="1"/>
    <col min="225" max="225" width="12.109375" style="8" customWidth="1"/>
    <col min="226" max="226" width="12" style="8" customWidth="1"/>
    <col min="227" max="227" width="12.44140625" style="8" customWidth="1"/>
    <col min="228" max="228" width="12.33203125" style="8" customWidth="1"/>
    <col min="229" max="229" width="13.44140625" style="8" customWidth="1"/>
    <col min="230" max="230" width="13.109375" style="8" customWidth="1"/>
    <col min="231" max="231" width="12.44140625" style="8" customWidth="1"/>
    <col min="232" max="232" width="12.109375" style="8" customWidth="1"/>
    <col min="233" max="233" width="12" style="8" customWidth="1"/>
    <col min="234" max="234" width="12.44140625" style="8" customWidth="1"/>
    <col min="235" max="235" width="12.33203125" style="8" customWidth="1"/>
    <col min="236" max="236" width="13.44140625" style="8" customWidth="1"/>
    <col min="237" max="237" width="13.109375" style="8" customWidth="1"/>
    <col min="238" max="238" width="12.44140625" style="8" customWidth="1"/>
    <col min="239" max="239" width="12.109375" style="8" customWidth="1"/>
    <col min="240" max="240" width="12" style="8" customWidth="1"/>
    <col min="241" max="241" width="12.44140625" style="8" customWidth="1"/>
    <col min="242" max="242" width="12.33203125" style="8" customWidth="1"/>
    <col min="243" max="243" width="13.44140625" style="8" customWidth="1"/>
    <col min="244" max="244" width="13.109375" style="8" customWidth="1"/>
    <col min="245" max="245" width="12.44140625" style="8" customWidth="1"/>
    <col min="246" max="246" width="12.109375" style="8" customWidth="1"/>
    <col min="247" max="247" width="12" style="8" customWidth="1"/>
    <col min="248" max="248" width="12.44140625" style="8" customWidth="1"/>
    <col min="249" max="249" width="12.33203125" style="8" customWidth="1"/>
    <col min="250" max="250" width="13.44140625" style="8" customWidth="1"/>
    <col min="251" max="251" width="13.109375" style="8" customWidth="1"/>
    <col min="252" max="252" width="12.44140625" style="8" customWidth="1"/>
    <col min="253" max="253" width="12.109375" style="8" customWidth="1"/>
    <col min="254" max="254" width="12" style="8" customWidth="1"/>
    <col min="255" max="255" width="12.44140625" style="8" customWidth="1"/>
    <col min="256" max="256" width="12.33203125" style="8" customWidth="1"/>
    <col min="257" max="257" width="13.44140625" style="8" customWidth="1"/>
    <col min="258" max="258" width="13.109375" style="8" customWidth="1"/>
    <col min="259" max="259" width="12.44140625" style="8" customWidth="1"/>
    <col min="260" max="260" width="12.109375" style="8" customWidth="1"/>
    <col min="261" max="261" width="12" style="8" customWidth="1"/>
    <col min="262" max="262" width="12.44140625" style="8" customWidth="1"/>
    <col min="263" max="263" width="12.33203125" style="8" customWidth="1"/>
    <col min="264" max="264" width="13.44140625" style="8" customWidth="1"/>
    <col min="265" max="265" width="13.109375" style="8" customWidth="1"/>
    <col min="266" max="266" width="12.44140625" style="8" customWidth="1"/>
    <col min="267" max="267" width="12.109375" style="8" customWidth="1"/>
    <col min="268" max="268" width="12" style="8" customWidth="1"/>
    <col min="269" max="269" width="12.44140625" style="8" customWidth="1"/>
    <col min="270" max="270" width="12.33203125" style="8" customWidth="1"/>
    <col min="271" max="271" width="13.44140625" style="8" customWidth="1"/>
    <col min="272" max="272" width="13.109375" style="8" customWidth="1"/>
    <col min="273" max="273" width="12.44140625" style="8" customWidth="1"/>
    <col min="274" max="274" width="12.109375" style="8" customWidth="1"/>
    <col min="275" max="275" width="12" style="8" customWidth="1"/>
    <col min="276" max="276" width="12.44140625" style="8" customWidth="1"/>
    <col min="277" max="277" width="12.33203125" style="8" customWidth="1"/>
    <col min="278" max="278" width="13.44140625" style="8" customWidth="1"/>
    <col min="279" max="279" width="13.109375" style="8" customWidth="1"/>
    <col min="280" max="280" width="12.44140625" style="8" customWidth="1"/>
    <col min="281" max="281" width="12.109375" style="8" customWidth="1"/>
    <col min="282" max="282" width="12" style="8" customWidth="1"/>
    <col min="283" max="283" width="12.44140625" style="8" customWidth="1"/>
    <col min="284" max="284" width="12.33203125" style="8" customWidth="1"/>
    <col min="285" max="285" width="13.44140625" style="8" customWidth="1"/>
    <col min="286" max="286" width="13.109375" style="8" customWidth="1"/>
    <col min="287" max="287" width="12.44140625" style="8" customWidth="1"/>
    <col min="288" max="288" width="12.109375" style="8" customWidth="1"/>
    <col min="289" max="289" width="12" style="8" customWidth="1"/>
    <col min="290" max="290" width="12.44140625" style="8" customWidth="1"/>
    <col min="291" max="291" width="12.33203125" style="8" customWidth="1"/>
    <col min="292" max="292" width="13.44140625" style="8" customWidth="1"/>
    <col min="293" max="293" width="13.109375" style="8" customWidth="1"/>
    <col min="294" max="294" width="12.44140625" style="8" customWidth="1"/>
    <col min="295" max="295" width="12.109375" style="8" customWidth="1"/>
    <col min="296" max="296" width="12" style="8" customWidth="1"/>
    <col min="297" max="297" width="12.44140625" style="8" customWidth="1"/>
    <col min="298" max="298" width="12.33203125" style="8" customWidth="1"/>
    <col min="299" max="299" width="13.44140625" style="8" customWidth="1"/>
    <col min="300" max="300" width="13.109375" style="8" customWidth="1"/>
    <col min="301" max="301" width="12.44140625" style="8" customWidth="1"/>
    <col min="302" max="302" width="12.109375" style="8" customWidth="1"/>
    <col min="303" max="303" width="12" style="8" customWidth="1"/>
    <col min="304" max="304" width="12.44140625" style="8" customWidth="1"/>
    <col min="305" max="305" width="12.33203125" style="8" customWidth="1"/>
    <col min="306" max="306" width="13.44140625" style="8" customWidth="1"/>
    <col min="307" max="307" width="13.109375" style="8" customWidth="1"/>
    <col min="308" max="308" width="12.44140625" style="8" customWidth="1"/>
    <col min="309" max="309" width="12.109375" style="8" customWidth="1"/>
    <col min="310" max="310" width="12" style="8" customWidth="1"/>
    <col min="311" max="311" width="12.44140625" style="8" customWidth="1"/>
    <col min="312" max="312" width="12.33203125" style="8" customWidth="1"/>
    <col min="313" max="313" width="13.44140625" style="8" customWidth="1"/>
    <col min="314" max="314" width="13.109375" style="8" customWidth="1"/>
    <col min="315" max="315" width="12.44140625" style="8" customWidth="1"/>
    <col min="316" max="316" width="12.109375" style="8" customWidth="1"/>
    <col min="317" max="317" width="12" style="8" customWidth="1"/>
    <col min="318" max="318" width="12.44140625" style="8" customWidth="1"/>
    <col min="319" max="319" width="12.33203125" style="8" customWidth="1"/>
    <col min="320" max="320" width="13.44140625" style="8" customWidth="1"/>
    <col min="321" max="321" width="13.109375" style="8" customWidth="1"/>
    <col min="322" max="322" width="12.44140625" style="8" customWidth="1"/>
    <col min="323" max="323" width="12.109375" style="8" customWidth="1"/>
    <col min="324" max="324" width="12" style="8" customWidth="1"/>
    <col min="325" max="325" width="12.44140625" style="8" customWidth="1"/>
    <col min="326" max="326" width="12.33203125" style="8" customWidth="1"/>
    <col min="327" max="327" width="13.44140625" style="8" customWidth="1"/>
    <col min="328" max="328" width="13.109375" style="8" customWidth="1"/>
    <col min="329" max="329" width="12.44140625" style="8" customWidth="1"/>
    <col min="330" max="330" width="12.109375" style="8" customWidth="1"/>
    <col min="331" max="331" width="12" style="8" customWidth="1"/>
    <col min="332" max="332" width="12.44140625" style="8" customWidth="1"/>
    <col min="333" max="333" width="12.33203125" style="8" customWidth="1"/>
    <col min="334" max="334" width="13.44140625" style="8" customWidth="1"/>
    <col min="335" max="335" width="13.109375" style="8" customWidth="1"/>
    <col min="336" max="336" width="12.44140625" style="8" customWidth="1"/>
    <col min="337" max="337" width="12.109375" style="8" customWidth="1"/>
    <col min="338" max="338" width="12" style="8" customWidth="1"/>
    <col min="339" max="339" width="12.44140625" style="8" customWidth="1"/>
    <col min="340" max="340" width="12.33203125" style="8" customWidth="1"/>
    <col min="341" max="341" width="13.44140625" style="8" customWidth="1"/>
    <col min="342" max="342" width="13.109375" style="8" customWidth="1"/>
    <col min="343" max="343" width="12.44140625" style="8" customWidth="1"/>
    <col min="344" max="344" width="12.109375" style="8" customWidth="1"/>
    <col min="345" max="345" width="12" style="8" customWidth="1"/>
    <col min="346" max="346" width="12.44140625" style="8" customWidth="1"/>
    <col min="347" max="347" width="12.33203125" style="8" customWidth="1"/>
    <col min="348" max="348" width="13.44140625" style="8" customWidth="1"/>
    <col min="349" max="349" width="13.109375" style="8" customWidth="1"/>
    <col min="350" max="350" width="12.44140625" style="8" customWidth="1"/>
    <col min="351" max="351" width="12.109375" style="8" bestFit="1" customWidth="1"/>
    <col min="352" max="352" width="12" style="8" bestFit="1" customWidth="1"/>
    <col min="353" max="353" width="12.44140625" style="8" bestFit="1" customWidth="1"/>
    <col min="354" max="354" width="12.33203125" style="8" bestFit="1" customWidth="1"/>
    <col min="355" max="355" width="13.44140625" style="8" bestFit="1" customWidth="1"/>
    <col min="356" max="356" width="13.109375" style="8" bestFit="1" customWidth="1"/>
    <col min="357" max="357" width="12.44140625" style="8" bestFit="1" customWidth="1"/>
    <col min="358" max="358" width="12.109375" style="8" bestFit="1" customWidth="1"/>
    <col min="359" max="359" width="12" style="8" bestFit="1" customWidth="1"/>
    <col min="360" max="360" width="12.44140625" style="8" bestFit="1" customWidth="1"/>
    <col min="361" max="361" width="12.33203125" style="8" bestFit="1" customWidth="1"/>
    <col min="362" max="362" width="13.44140625" style="8" bestFit="1" customWidth="1"/>
    <col min="363" max="363" width="13.109375" style="8" bestFit="1" customWidth="1"/>
    <col min="364" max="364" width="12.44140625" style="8" bestFit="1" customWidth="1"/>
    <col min="365" max="365" width="11.109375" style="8" bestFit="1" customWidth="1"/>
    <col min="366" max="366" width="11" style="8" bestFit="1" customWidth="1"/>
    <col min="367" max="367" width="11.44140625" style="8" bestFit="1" customWidth="1"/>
    <col min="368" max="16384" width="8.88671875" style="8"/>
  </cols>
  <sheetData>
    <row r="1" spans="1:367">
      <c r="A1" s="10" t="s">
        <v>57</v>
      </c>
      <c r="B1" s="10" t="s">
        <v>56</v>
      </c>
      <c r="C1" s="11">
        <v>45658</v>
      </c>
      <c r="D1" s="11">
        <v>45659</v>
      </c>
      <c r="E1" s="11">
        <v>45660</v>
      </c>
      <c r="F1" s="11">
        <v>45661</v>
      </c>
      <c r="G1" s="11">
        <v>45662</v>
      </c>
      <c r="H1" s="11">
        <v>45663</v>
      </c>
      <c r="I1" s="11">
        <v>45664</v>
      </c>
      <c r="J1" s="11">
        <v>45665</v>
      </c>
      <c r="K1" s="11">
        <v>45666</v>
      </c>
      <c r="L1" s="11">
        <v>45667</v>
      </c>
      <c r="M1" s="11">
        <v>45668</v>
      </c>
      <c r="N1" s="11">
        <v>45669</v>
      </c>
      <c r="O1" s="11">
        <v>45670</v>
      </c>
      <c r="P1" s="11">
        <v>45671</v>
      </c>
      <c r="Q1" s="11">
        <v>45672</v>
      </c>
      <c r="R1" s="11">
        <v>45673</v>
      </c>
      <c r="S1" s="11">
        <v>45674</v>
      </c>
      <c r="T1" s="11">
        <v>45675</v>
      </c>
      <c r="U1" s="11">
        <v>45676</v>
      </c>
      <c r="V1" s="11">
        <v>45677</v>
      </c>
      <c r="W1" s="11">
        <v>45678</v>
      </c>
      <c r="X1" s="11">
        <v>45679</v>
      </c>
      <c r="Y1" s="11">
        <v>45680</v>
      </c>
      <c r="Z1" s="11">
        <v>45681</v>
      </c>
      <c r="AA1" s="11">
        <v>45682</v>
      </c>
      <c r="AB1" s="11">
        <v>45683</v>
      </c>
      <c r="AC1" s="11">
        <v>45684</v>
      </c>
      <c r="AD1" s="11">
        <v>45685</v>
      </c>
      <c r="AE1" s="11">
        <v>45686</v>
      </c>
      <c r="AF1" s="11">
        <v>45687</v>
      </c>
      <c r="AG1" s="11">
        <v>45688</v>
      </c>
      <c r="AH1" s="11">
        <v>45689</v>
      </c>
      <c r="AI1" s="11">
        <v>45690</v>
      </c>
      <c r="AJ1" s="11">
        <v>45691</v>
      </c>
      <c r="AK1" s="11">
        <v>45692</v>
      </c>
      <c r="AL1" s="11">
        <v>45693</v>
      </c>
      <c r="AM1" s="11">
        <v>45694</v>
      </c>
      <c r="AN1" s="11">
        <v>45695</v>
      </c>
      <c r="AO1" s="11">
        <v>45696</v>
      </c>
      <c r="AP1" s="11">
        <v>45697</v>
      </c>
      <c r="AQ1" s="11">
        <v>45698</v>
      </c>
      <c r="AR1" s="11">
        <v>45699</v>
      </c>
      <c r="AS1" s="11">
        <v>45700</v>
      </c>
      <c r="AT1" s="11">
        <v>45701</v>
      </c>
      <c r="AU1" s="11">
        <v>45702</v>
      </c>
      <c r="AV1" s="11">
        <v>45703</v>
      </c>
      <c r="AW1" s="11">
        <v>45704</v>
      </c>
      <c r="AX1" s="11">
        <v>45705</v>
      </c>
      <c r="AY1" s="11">
        <v>45706</v>
      </c>
      <c r="AZ1" s="11">
        <v>45707</v>
      </c>
      <c r="BA1" s="11">
        <v>45708</v>
      </c>
      <c r="BB1" s="11">
        <v>45709</v>
      </c>
      <c r="BC1" s="11">
        <v>45710</v>
      </c>
      <c r="BD1" s="11">
        <v>45711</v>
      </c>
      <c r="BE1" s="11">
        <v>45712</v>
      </c>
      <c r="BF1" s="11">
        <v>45713</v>
      </c>
      <c r="BG1" s="11">
        <v>45714</v>
      </c>
      <c r="BH1" s="11">
        <v>45715</v>
      </c>
      <c r="BI1" s="11">
        <v>45716</v>
      </c>
      <c r="BJ1" s="11">
        <v>45717</v>
      </c>
      <c r="BK1" s="11">
        <v>45718</v>
      </c>
      <c r="BL1" s="11">
        <v>45719</v>
      </c>
      <c r="BM1" s="11">
        <v>45720</v>
      </c>
      <c r="BN1" s="11">
        <v>45721</v>
      </c>
      <c r="BO1" s="11">
        <v>45722</v>
      </c>
      <c r="BP1" s="11">
        <v>45723</v>
      </c>
      <c r="BQ1" s="11">
        <v>45724</v>
      </c>
      <c r="BR1" s="11">
        <v>45725</v>
      </c>
      <c r="BS1" s="11">
        <v>45726</v>
      </c>
      <c r="BT1" s="11">
        <v>45727</v>
      </c>
      <c r="BU1" s="11">
        <v>45728</v>
      </c>
      <c r="BV1" s="11">
        <v>45729</v>
      </c>
      <c r="BW1" s="11">
        <v>45730</v>
      </c>
      <c r="BX1" s="11">
        <v>45731</v>
      </c>
      <c r="BY1" s="11">
        <v>45732</v>
      </c>
      <c r="BZ1" s="11">
        <v>45733</v>
      </c>
      <c r="CA1" s="11">
        <v>45734</v>
      </c>
      <c r="CB1" s="11">
        <v>45735</v>
      </c>
      <c r="CC1" s="11">
        <v>45736</v>
      </c>
      <c r="CD1" s="11">
        <v>45737</v>
      </c>
      <c r="CE1" s="11">
        <v>45738</v>
      </c>
      <c r="CF1" s="11">
        <v>45739</v>
      </c>
      <c r="CG1" s="11">
        <v>45740</v>
      </c>
      <c r="CH1" s="11">
        <v>45741</v>
      </c>
      <c r="CI1" s="11">
        <v>45742</v>
      </c>
      <c r="CJ1" s="11">
        <v>45743</v>
      </c>
      <c r="CK1" s="11">
        <v>45744</v>
      </c>
      <c r="CL1" s="11">
        <v>45745</v>
      </c>
      <c r="CM1" s="11">
        <v>45746</v>
      </c>
      <c r="CN1" s="11">
        <v>45747</v>
      </c>
      <c r="CO1" s="11">
        <v>45748</v>
      </c>
      <c r="CP1" s="11">
        <v>45749</v>
      </c>
      <c r="CQ1" s="11">
        <v>45750</v>
      </c>
      <c r="CR1" s="11">
        <v>45751</v>
      </c>
      <c r="CS1" s="11">
        <v>45752</v>
      </c>
      <c r="CT1" s="11">
        <v>45753</v>
      </c>
      <c r="CU1" s="11">
        <v>45754</v>
      </c>
      <c r="CV1" s="11">
        <v>45755</v>
      </c>
      <c r="CW1" s="11">
        <v>45756</v>
      </c>
      <c r="CX1" s="11">
        <v>45757</v>
      </c>
      <c r="CY1" s="11">
        <v>45758</v>
      </c>
      <c r="CZ1" s="11">
        <v>45759</v>
      </c>
      <c r="DA1" s="11">
        <v>45760</v>
      </c>
      <c r="DB1" s="11">
        <v>45761</v>
      </c>
      <c r="DC1" s="11">
        <v>45762</v>
      </c>
      <c r="DD1" s="11">
        <v>45763</v>
      </c>
      <c r="DE1" s="11">
        <v>45764</v>
      </c>
      <c r="DF1" s="11">
        <v>45765</v>
      </c>
      <c r="DG1" s="11">
        <v>45766</v>
      </c>
      <c r="DH1" s="11">
        <v>45767</v>
      </c>
      <c r="DI1" s="11">
        <v>45768</v>
      </c>
      <c r="DJ1" s="11">
        <v>45769</v>
      </c>
      <c r="DK1" s="11">
        <v>45770</v>
      </c>
      <c r="DL1" s="11">
        <v>45771</v>
      </c>
      <c r="DM1" s="11">
        <v>45772</v>
      </c>
      <c r="DN1" s="11">
        <v>45773</v>
      </c>
      <c r="DO1" s="11">
        <v>45774</v>
      </c>
      <c r="DP1" s="11">
        <v>45775</v>
      </c>
      <c r="DQ1" s="11">
        <v>45776</v>
      </c>
      <c r="DR1" s="11">
        <v>45777</v>
      </c>
      <c r="DS1" s="11">
        <v>45778</v>
      </c>
      <c r="DT1" s="11">
        <v>45779</v>
      </c>
      <c r="DU1" s="11">
        <v>45780</v>
      </c>
      <c r="DV1" s="11">
        <v>45781</v>
      </c>
      <c r="DW1" s="11">
        <v>45782</v>
      </c>
      <c r="DX1" s="11">
        <v>45783</v>
      </c>
      <c r="DY1" s="11">
        <v>45784</v>
      </c>
      <c r="DZ1" s="11">
        <v>45785</v>
      </c>
      <c r="EA1" s="11">
        <v>45786</v>
      </c>
      <c r="EB1" s="11">
        <v>45787</v>
      </c>
      <c r="EC1" s="11">
        <v>45788</v>
      </c>
      <c r="ED1" s="11">
        <v>45789</v>
      </c>
      <c r="EE1" s="11">
        <v>45790</v>
      </c>
      <c r="EF1" s="11">
        <v>45791</v>
      </c>
      <c r="EG1" s="11">
        <v>45792</v>
      </c>
      <c r="EH1" s="11">
        <v>45793</v>
      </c>
      <c r="EI1" s="11">
        <v>45794</v>
      </c>
      <c r="EJ1" s="11">
        <v>45795</v>
      </c>
      <c r="EK1" s="11">
        <v>45796</v>
      </c>
      <c r="EL1" s="11">
        <v>45797</v>
      </c>
      <c r="EM1" s="11">
        <v>45798</v>
      </c>
      <c r="EN1" s="11">
        <v>45799</v>
      </c>
      <c r="EO1" s="11">
        <v>45800</v>
      </c>
      <c r="EP1" s="11">
        <v>45801</v>
      </c>
      <c r="EQ1" s="11">
        <v>45802</v>
      </c>
      <c r="ER1" s="11">
        <v>45803</v>
      </c>
      <c r="ES1" s="11">
        <v>45804</v>
      </c>
      <c r="ET1" s="11">
        <v>45805</v>
      </c>
      <c r="EU1" s="11">
        <v>45806</v>
      </c>
      <c r="EV1" s="11">
        <v>45807</v>
      </c>
      <c r="EW1" s="11">
        <v>45808</v>
      </c>
      <c r="EX1" s="11">
        <v>45809</v>
      </c>
      <c r="EY1" s="11">
        <v>45810</v>
      </c>
      <c r="EZ1" s="11">
        <v>45811</v>
      </c>
      <c r="FA1" s="11">
        <v>45812</v>
      </c>
      <c r="FB1" s="11">
        <v>45813</v>
      </c>
      <c r="FC1" s="11">
        <v>45814</v>
      </c>
      <c r="FD1" s="11">
        <v>45815</v>
      </c>
      <c r="FE1" s="11">
        <v>45816</v>
      </c>
      <c r="FF1" s="11">
        <v>45817</v>
      </c>
      <c r="FG1" s="11">
        <v>45818</v>
      </c>
      <c r="FH1" s="11">
        <v>45819</v>
      </c>
      <c r="FI1" s="11">
        <v>45820</v>
      </c>
      <c r="FJ1" s="11">
        <v>45821</v>
      </c>
      <c r="FK1" s="11">
        <v>45822</v>
      </c>
      <c r="FL1" s="11">
        <v>45823</v>
      </c>
      <c r="FM1" s="11">
        <v>45824</v>
      </c>
      <c r="FN1" s="11">
        <v>45825</v>
      </c>
      <c r="FO1" s="11">
        <v>45826</v>
      </c>
      <c r="FP1" s="11">
        <v>45827</v>
      </c>
      <c r="FQ1" s="11">
        <v>45828</v>
      </c>
      <c r="FR1" s="11">
        <v>45829</v>
      </c>
      <c r="FS1" s="11">
        <v>45830</v>
      </c>
      <c r="FT1" s="11">
        <v>45831</v>
      </c>
      <c r="FU1" s="11">
        <v>45832</v>
      </c>
      <c r="FV1" s="11">
        <v>45833</v>
      </c>
      <c r="FW1" s="11">
        <v>45834</v>
      </c>
      <c r="FX1" s="11">
        <v>45835</v>
      </c>
      <c r="FY1" s="11">
        <v>45836</v>
      </c>
      <c r="FZ1" s="11">
        <v>45837</v>
      </c>
      <c r="GA1" s="11">
        <v>45838</v>
      </c>
      <c r="GB1" s="11">
        <v>45839</v>
      </c>
      <c r="GC1" s="11">
        <v>45840</v>
      </c>
      <c r="GD1" s="11">
        <v>45841</v>
      </c>
      <c r="GE1" s="11">
        <v>45842</v>
      </c>
      <c r="GF1" s="11">
        <v>45843</v>
      </c>
      <c r="GG1" s="11">
        <v>45844</v>
      </c>
      <c r="GH1" s="11">
        <v>45845</v>
      </c>
      <c r="GI1" s="11">
        <v>45846</v>
      </c>
      <c r="GJ1" s="11">
        <v>45847</v>
      </c>
      <c r="GK1" s="11">
        <v>45848</v>
      </c>
      <c r="GL1" s="11">
        <v>45849</v>
      </c>
      <c r="GM1" s="11">
        <v>45850</v>
      </c>
      <c r="GN1" s="11">
        <v>45851</v>
      </c>
      <c r="GO1" s="11">
        <v>45852</v>
      </c>
      <c r="GP1" s="11">
        <v>45853</v>
      </c>
      <c r="GQ1" s="11">
        <v>45854</v>
      </c>
      <c r="GR1" s="11">
        <v>45855</v>
      </c>
      <c r="GS1" s="11">
        <v>45856</v>
      </c>
      <c r="GT1" s="11">
        <v>45857</v>
      </c>
      <c r="GU1" s="11">
        <v>45858</v>
      </c>
      <c r="GV1" s="11">
        <v>45859</v>
      </c>
      <c r="GW1" s="11">
        <v>45860</v>
      </c>
      <c r="GX1" s="11">
        <v>45861</v>
      </c>
      <c r="GY1" s="11">
        <v>45862</v>
      </c>
      <c r="GZ1" s="11">
        <v>45863</v>
      </c>
      <c r="HA1" s="11">
        <v>45864</v>
      </c>
      <c r="HB1" s="11">
        <v>45865</v>
      </c>
      <c r="HC1" s="11">
        <v>45866</v>
      </c>
      <c r="HD1" s="11">
        <v>45867</v>
      </c>
      <c r="HE1" s="11">
        <v>45868</v>
      </c>
      <c r="HF1" s="11">
        <v>45869</v>
      </c>
      <c r="HG1" s="11">
        <v>45870</v>
      </c>
      <c r="HH1" s="11">
        <v>45871</v>
      </c>
      <c r="HI1" s="11">
        <v>45872</v>
      </c>
      <c r="HJ1" s="11">
        <v>45873</v>
      </c>
      <c r="HK1" s="11">
        <v>45874</v>
      </c>
      <c r="HL1" s="11">
        <v>45875</v>
      </c>
      <c r="HM1" s="11">
        <v>45876</v>
      </c>
      <c r="HN1" s="11">
        <v>45877</v>
      </c>
      <c r="HO1" s="11">
        <v>45878</v>
      </c>
      <c r="HP1" s="11">
        <v>45879</v>
      </c>
      <c r="HQ1" s="11">
        <v>45880</v>
      </c>
      <c r="HR1" s="11">
        <v>45881</v>
      </c>
      <c r="HS1" s="11">
        <v>45882</v>
      </c>
      <c r="HT1" s="11">
        <v>45883</v>
      </c>
      <c r="HU1" s="11">
        <v>45884</v>
      </c>
      <c r="HV1" s="11">
        <v>45885</v>
      </c>
      <c r="HW1" s="11">
        <v>45886</v>
      </c>
      <c r="HX1" s="11">
        <v>45887</v>
      </c>
      <c r="HY1" s="11">
        <v>45888</v>
      </c>
      <c r="HZ1" s="11">
        <v>45889</v>
      </c>
      <c r="IA1" s="11">
        <v>45890</v>
      </c>
      <c r="IB1" s="11">
        <v>45891</v>
      </c>
      <c r="IC1" s="11">
        <v>45892</v>
      </c>
      <c r="ID1" s="11">
        <v>45893</v>
      </c>
      <c r="IE1" s="11">
        <v>45894</v>
      </c>
      <c r="IF1" s="11">
        <v>45895</v>
      </c>
      <c r="IG1" s="11">
        <v>45896</v>
      </c>
      <c r="IH1" s="11">
        <v>45897</v>
      </c>
      <c r="II1" s="11">
        <v>45898</v>
      </c>
      <c r="IJ1" s="11">
        <v>45899</v>
      </c>
      <c r="IK1" s="11">
        <v>45900</v>
      </c>
      <c r="IL1" s="11">
        <v>45901</v>
      </c>
      <c r="IM1" s="11">
        <v>45902</v>
      </c>
      <c r="IN1" s="11">
        <v>45903</v>
      </c>
      <c r="IO1" s="11">
        <v>45904</v>
      </c>
      <c r="IP1" s="11">
        <v>45905</v>
      </c>
      <c r="IQ1" s="11">
        <v>45906</v>
      </c>
      <c r="IR1" s="11">
        <v>45907</v>
      </c>
      <c r="IS1" s="11">
        <v>45908</v>
      </c>
      <c r="IT1" s="11">
        <v>45909</v>
      </c>
      <c r="IU1" s="11">
        <v>45910</v>
      </c>
      <c r="IV1" s="11">
        <v>45911</v>
      </c>
      <c r="IW1" s="11">
        <v>45912</v>
      </c>
      <c r="IX1" s="11">
        <v>45913</v>
      </c>
      <c r="IY1" s="11">
        <v>45914</v>
      </c>
      <c r="IZ1" s="11">
        <v>45915</v>
      </c>
      <c r="JA1" s="11">
        <v>45916</v>
      </c>
      <c r="JB1" s="11">
        <v>45917</v>
      </c>
      <c r="JC1" s="11">
        <v>45918</v>
      </c>
      <c r="JD1" s="11">
        <v>45919</v>
      </c>
      <c r="JE1" s="11">
        <v>45920</v>
      </c>
      <c r="JF1" s="11">
        <v>45921</v>
      </c>
      <c r="JG1" s="11">
        <v>45922</v>
      </c>
      <c r="JH1" s="11">
        <v>45923</v>
      </c>
      <c r="JI1" s="11">
        <v>45924</v>
      </c>
      <c r="JJ1" s="11">
        <v>45925</v>
      </c>
      <c r="JK1" s="11">
        <v>45926</v>
      </c>
      <c r="JL1" s="11">
        <v>45927</v>
      </c>
      <c r="JM1" s="11">
        <v>45928</v>
      </c>
      <c r="JN1" s="11">
        <v>45929</v>
      </c>
      <c r="JO1" s="11">
        <v>45930</v>
      </c>
      <c r="JP1" s="11">
        <v>45931</v>
      </c>
      <c r="JQ1" s="11">
        <v>45932</v>
      </c>
      <c r="JR1" s="11">
        <v>45933</v>
      </c>
      <c r="JS1" s="11">
        <v>45934</v>
      </c>
      <c r="JT1" s="11">
        <v>45935</v>
      </c>
      <c r="JU1" s="11">
        <v>45936</v>
      </c>
      <c r="JV1" s="11">
        <v>45937</v>
      </c>
      <c r="JW1" s="11">
        <v>45938</v>
      </c>
      <c r="JX1" s="11">
        <v>45939</v>
      </c>
      <c r="JY1" s="11">
        <v>45940</v>
      </c>
      <c r="JZ1" s="11">
        <v>45941</v>
      </c>
      <c r="KA1" s="11">
        <v>45942</v>
      </c>
      <c r="KB1" s="11">
        <v>45943</v>
      </c>
      <c r="KC1" s="11">
        <v>45944</v>
      </c>
      <c r="KD1" s="11">
        <v>45945</v>
      </c>
      <c r="KE1" s="11">
        <v>45946</v>
      </c>
      <c r="KF1" s="11">
        <v>45947</v>
      </c>
      <c r="KG1" s="11">
        <v>45948</v>
      </c>
      <c r="KH1" s="11">
        <v>45949</v>
      </c>
      <c r="KI1" s="11">
        <v>45950</v>
      </c>
      <c r="KJ1" s="11">
        <v>45951</v>
      </c>
      <c r="KK1" s="11">
        <v>45952</v>
      </c>
      <c r="KL1" s="11">
        <v>45953</v>
      </c>
      <c r="KM1" s="11">
        <v>45954</v>
      </c>
      <c r="KN1" s="11">
        <v>45955</v>
      </c>
      <c r="KO1" s="11">
        <v>45956</v>
      </c>
      <c r="KP1" s="11">
        <v>45957</v>
      </c>
      <c r="KQ1" s="11">
        <v>45958</v>
      </c>
      <c r="KR1" s="11">
        <v>45959</v>
      </c>
      <c r="KS1" s="11">
        <v>45960</v>
      </c>
      <c r="KT1" s="11">
        <v>45961</v>
      </c>
      <c r="KU1" s="11">
        <v>45962</v>
      </c>
      <c r="KV1" s="11">
        <v>45963</v>
      </c>
      <c r="KW1" s="11">
        <v>45964</v>
      </c>
      <c r="KX1" s="11">
        <v>45965</v>
      </c>
      <c r="KY1" s="11">
        <v>45966</v>
      </c>
      <c r="KZ1" s="11">
        <v>45967</v>
      </c>
      <c r="LA1" s="11">
        <v>45968</v>
      </c>
      <c r="LB1" s="11">
        <v>45969</v>
      </c>
      <c r="LC1" s="11">
        <v>45970</v>
      </c>
      <c r="LD1" s="11">
        <v>45971</v>
      </c>
      <c r="LE1" s="11">
        <v>45972</v>
      </c>
      <c r="LF1" s="11">
        <v>45973</v>
      </c>
      <c r="LG1" s="11">
        <v>45974</v>
      </c>
      <c r="LH1" s="11">
        <v>45975</v>
      </c>
      <c r="LI1" s="11">
        <v>45976</v>
      </c>
      <c r="LJ1" s="11">
        <v>45977</v>
      </c>
      <c r="LK1" s="11">
        <v>45978</v>
      </c>
      <c r="LL1" s="11">
        <v>45979</v>
      </c>
      <c r="LM1" s="11">
        <v>45980</v>
      </c>
      <c r="LN1" s="11">
        <v>45981</v>
      </c>
      <c r="LO1" s="11">
        <v>45982</v>
      </c>
      <c r="LP1" s="11">
        <v>45983</v>
      </c>
      <c r="LQ1" s="11">
        <v>45984</v>
      </c>
      <c r="LR1" s="11">
        <v>45985</v>
      </c>
      <c r="LS1" s="11">
        <v>45986</v>
      </c>
      <c r="LT1" s="11">
        <v>45987</v>
      </c>
      <c r="LU1" s="11">
        <v>45988</v>
      </c>
      <c r="LV1" s="11">
        <v>45989</v>
      </c>
      <c r="LW1" s="11">
        <v>45990</v>
      </c>
      <c r="LX1" s="11">
        <v>45991</v>
      </c>
      <c r="LY1" s="11">
        <v>45992</v>
      </c>
      <c r="LZ1" s="11">
        <v>45993</v>
      </c>
      <c r="MA1" s="11">
        <v>45994</v>
      </c>
      <c r="MB1" s="11">
        <v>45995</v>
      </c>
      <c r="MC1" s="11">
        <v>45996</v>
      </c>
      <c r="MD1" s="11">
        <v>45997</v>
      </c>
      <c r="ME1" s="11">
        <v>45998</v>
      </c>
      <c r="MF1" s="11">
        <v>45999</v>
      </c>
      <c r="MG1" s="11">
        <v>46000</v>
      </c>
      <c r="MH1" s="11">
        <v>46001</v>
      </c>
      <c r="MI1" s="11">
        <v>46002</v>
      </c>
      <c r="MJ1" s="11">
        <v>46003</v>
      </c>
      <c r="MK1" s="11">
        <v>46004</v>
      </c>
      <c r="ML1" s="11">
        <v>46005</v>
      </c>
      <c r="MM1" s="11">
        <v>46006</v>
      </c>
      <c r="MN1" s="11">
        <v>46007</v>
      </c>
      <c r="MO1" s="11">
        <v>46008</v>
      </c>
      <c r="MP1" s="11">
        <v>46009</v>
      </c>
      <c r="MQ1" s="11">
        <v>46010</v>
      </c>
      <c r="MR1" s="11">
        <v>46011</v>
      </c>
      <c r="MS1" s="11">
        <v>46012</v>
      </c>
      <c r="MT1" s="11">
        <v>46013</v>
      </c>
      <c r="MU1" s="11">
        <v>46014</v>
      </c>
      <c r="MV1" s="11">
        <v>46015</v>
      </c>
      <c r="MW1" s="11">
        <v>46016</v>
      </c>
      <c r="MX1" s="11">
        <v>46017</v>
      </c>
      <c r="MY1" s="11">
        <v>46018</v>
      </c>
      <c r="MZ1" s="11">
        <v>46019</v>
      </c>
      <c r="NA1" s="11">
        <v>46020</v>
      </c>
      <c r="NB1" s="11">
        <v>46021</v>
      </c>
      <c r="NC1" s="11">
        <v>46022</v>
      </c>
    </row>
    <row r="2" spans="1:367">
      <c r="B2" s="12" t="s">
        <v>10</v>
      </c>
      <c r="C2" s="8" t="s">
        <v>54</v>
      </c>
      <c r="D2" s="8" t="s">
        <v>54</v>
      </c>
      <c r="E2" s="8" t="s">
        <v>54</v>
      </c>
      <c r="F2" s="8" t="s">
        <v>54</v>
      </c>
      <c r="G2" s="8" t="s">
        <v>54</v>
      </c>
      <c r="H2" s="8" t="s">
        <v>425</v>
      </c>
      <c r="I2" s="8" t="s">
        <v>425</v>
      </c>
      <c r="J2" s="8" t="s">
        <v>425</v>
      </c>
      <c r="K2" s="8" t="s">
        <v>425</v>
      </c>
      <c r="L2" s="8" t="s">
        <v>425</v>
      </c>
      <c r="M2" s="8" t="s">
        <v>425</v>
      </c>
      <c r="N2" s="8" t="s">
        <v>425</v>
      </c>
      <c r="O2" s="8" t="s">
        <v>2</v>
      </c>
      <c r="P2" s="8" t="s">
        <v>2</v>
      </c>
      <c r="Q2" s="8" t="s">
        <v>2</v>
      </c>
      <c r="R2" s="8" t="s">
        <v>2</v>
      </c>
      <c r="S2" s="8" t="s">
        <v>2</v>
      </c>
      <c r="T2" s="8" t="s">
        <v>2</v>
      </c>
      <c r="U2" s="8" t="s">
        <v>2</v>
      </c>
      <c r="V2" s="8" t="s">
        <v>3</v>
      </c>
      <c r="W2" s="8" t="s">
        <v>3</v>
      </c>
      <c r="X2" s="8" t="s">
        <v>3</v>
      </c>
      <c r="Y2" s="8" t="s">
        <v>3</v>
      </c>
      <c r="Z2" s="8" t="s">
        <v>3</v>
      </c>
      <c r="AA2" s="8" t="s">
        <v>3</v>
      </c>
      <c r="AB2" s="8" t="s">
        <v>3</v>
      </c>
      <c r="AC2" s="8" t="s">
        <v>4</v>
      </c>
      <c r="AD2" s="8" t="s">
        <v>4</v>
      </c>
      <c r="AE2" s="8" t="s">
        <v>4</v>
      </c>
      <c r="AF2" s="8" t="s">
        <v>4</v>
      </c>
      <c r="AG2" s="8" t="s">
        <v>4</v>
      </c>
      <c r="AH2" s="8" t="s">
        <v>4</v>
      </c>
      <c r="AI2" s="8" t="s">
        <v>4</v>
      </c>
      <c r="AJ2" s="8" t="s">
        <v>5</v>
      </c>
      <c r="AK2" s="8" t="s">
        <v>5</v>
      </c>
      <c r="AL2" s="8" t="s">
        <v>5</v>
      </c>
      <c r="AM2" s="8" t="s">
        <v>5</v>
      </c>
      <c r="AN2" s="8" t="s">
        <v>5</v>
      </c>
      <c r="AO2" s="8" t="s">
        <v>5</v>
      </c>
      <c r="AP2" s="8" t="s">
        <v>5</v>
      </c>
      <c r="AQ2" s="8" t="s">
        <v>6</v>
      </c>
      <c r="AR2" s="8" t="s">
        <v>6</v>
      </c>
      <c r="AS2" s="8" t="s">
        <v>6</v>
      </c>
      <c r="AT2" s="8" t="s">
        <v>6</v>
      </c>
      <c r="AU2" s="8" t="s">
        <v>6</v>
      </c>
      <c r="AV2" s="8" t="s">
        <v>6</v>
      </c>
      <c r="AW2" s="8" t="s">
        <v>6</v>
      </c>
      <c r="AX2" s="8" t="s">
        <v>7</v>
      </c>
      <c r="AY2" s="8" t="s">
        <v>7</v>
      </c>
      <c r="AZ2" s="8" t="s">
        <v>7</v>
      </c>
      <c r="BA2" s="8" t="s">
        <v>7</v>
      </c>
      <c r="BB2" s="8" t="s">
        <v>7</v>
      </c>
      <c r="BC2" s="8" t="s">
        <v>7</v>
      </c>
      <c r="BD2" s="8" t="s">
        <v>7</v>
      </c>
      <c r="BE2" s="8" t="s">
        <v>8</v>
      </c>
      <c r="BF2" s="8" t="s">
        <v>8</v>
      </c>
      <c r="BG2" s="8" t="s">
        <v>8</v>
      </c>
      <c r="BH2" s="8" t="s">
        <v>8</v>
      </c>
      <c r="BI2" s="8" t="s">
        <v>8</v>
      </c>
      <c r="BJ2" s="8" t="s">
        <v>8</v>
      </c>
      <c r="BK2" s="8" t="s">
        <v>8</v>
      </c>
      <c r="BL2" s="8" t="s">
        <v>11</v>
      </c>
      <c r="BM2" s="8" t="s">
        <v>11</v>
      </c>
      <c r="BN2" s="8" t="s">
        <v>11</v>
      </c>
      <c r="BO2" s="8" t="s">
        <v>11</v>
      </c>
      <c r="BP2" s="8" t="s">
        <v>11</v>
      </c>
      <c r="BQ2" s="8" t="s">
        <v>11</v>
      </c>
      <c r="BR2" s="8" t="s">
        <v>11</v>
      </c>
      <c r="BS2" s="8" t="s">
        <v>12</v>
      </c>
      <c r="BT2" s="8" t="s">
        <v>12</v>
      </c>
      <c r="BU2" s="8" t="s">
        <v>12</v>
      </c>
      <c r="BV2" s="8" t="s">
        <v>12</v>
      </c>
      <c r="BW2" s="8" t="s">
        <v>12</v>
      </c>
      <c r="BX2" s="8" t="s">
        <v>12</v>
      </c>
      <c r="BY2" s="8" t="s">
        <v>12</v>
      </c>
      <c r="BZ2" s="8" t="s">
        <v>13</v>
      </c>
      <c r="CA2" s="8" t="s">
        <v>13</v>
      </c>
      <c r="CB2" s="8" t="s">
        <v>13</v>
      </c>
      <c r="CC2" s="8" t="s">
        <v>13</v>
      </c>
      <c r="CD2" s="8" t="s">
        <v>13</v>
      </c>
      <c r="CE2" s="8" t="s">
        <v>13</v>
      </c>
      <c r="CF2" s="8" t="s">
        <v>13</v>
      </c>
      <c r="CG2" s="8" t="s">
        <v>14</v>
      </c>
      <c r="CH2" s="8" t="s">
        <v>14</v>
      </c>
      <c r="CI2" s="8" t="s">
        <v>14</v>
      </c>
      <c r="CJ2" s="8" t="s">
        <v>14</v>
      </c>
      <c r="CK2" s="8" t="s">
        <v>14</v>
      </c>
      <c r="CL2" s="8" t="s">
        <v>14</v>
      </c>
      <c r="CM2" s="8" t="s">
        <v>14</v>
      </c>
      <c r="CN2" s="8" t="s">
        <v>15</v>
      </c>
      <c r="CO2" s="8" t="s">
        <v>15</v>
      </c>
      <c r="CP2" s="8" t="s">
        <v>15</v>
      </c>
      <c r="CQ2" s="8" t="s">
        <v>15</v>
      </c>
      <c r="CR2" s="8" t="s">
        <v>15</v>
      </c>
      <c r="CS2" s="8" t="s">
        <v>15</v>
      </c>
      <c r="CT2" s="8" t="s">
        <v>15</v>
      </c>
      <c r="CU2" s="8" t="s">
        <v>16</v>
      </c>
      <c r="CV2" s="8" t="s">
        <v>16</v>
      </c>
      <c r="CW2" s="8" t="s">
        <v>16</v>
      </c>
      <c r="CX2" s="8" t="s">
        <v>16</v>
      </c>
      <c r="CY2" s="8" t="s">
        <v>16</v>
      </c>
      <c r="CZ2" s="8" t="s">
        <v>16</v>
      </c>
      <c r="DA2" s="8" t="s">
        <v>16</v>
      </c>
      <c r="DB2" s="8" t="s">
        <v>17</v>
      </c>
      <c r="DC2" s="8" t="s">
        <v>17</v>
      </c>
      <c r="DD2" s="8" t="s">
        <v>17</v>
      </c>
      <c r="DE2" s="8" t="s">
        <v>17</v>
      </c>
      <c r="DF2" s="8" t="s">
        <v>17</v>
      </c>
      <c r="DG2" s="8" t="s">
        <v>17</v>
      </c>
      <c r="DH2" s="8" t="s">
        <v>17</v>
      </c>
      <c r="DI2" s="8" t="s">
        <v>18</v>
      </c>
      <c r="DJ2" s="8" t="s">
        <v>18</v>
      </c>
      <c r="DK2" s="8" t="s">
        <v>18</v>
      </c>
      <c r="DL2" s="8" t="s">
        <v>18</v>
      </c>
      <c r="DM2" s="8" t="s">
        <v>18</v>
      </c>
      <c r="DN2" s="8" t="s">
        <v>18</v>
      </c>
      <c r="DO2" s="8" t="s">
        <v>18</v>
      </c>
      <c r="DP2" s="8" t="s">
        <v>19</v>
      </c>
      <c r="DQ2" s="8" t="s">
        <v>19</v>
      </c>
      <c r="DR2" s="8" t="s">
        <v>19</v>
      </c>
      <c r="DS2" s="8" t="s">
        <v>19</v>
      </c>
      <c r="DT2" s="8" t="s">
        <v>19</v>
      </c>
      <c r="DU2" s="8" t="s">
        <v>19</v>
      </c>
      <c r="DV2" s="8" t="s">
        <v>19</v>
      </c>
      <c r="DW2" s="8" t="s">
        <v>20</v>
      </c>
      <c r="DX2" s="8" t="s">
        <v>20</v>
      </c>
      <c r="DY2" s="8" t="s">
        <v>20</v>
      </c>
      <c r="DZ2" s="8" t="s">
        <v>20</v>
      </c>
      <c r="EA2" s="8" t="s">
        <v>20</v>
      </c>
      <c r="EB2" s="8" t="s">
        <v>20</v>
      </c>
      <c r="EC2" s="8" t="s">
        <v>20</v>
      </c>
      <c r="ED2" s="8" t="s">
        <v>21</v>
      </c>
      <c r="EE2" s="8" t="s">
        <v>21</v>
      </c>
      <c r="EF2" s="8" t="s">
        <v>21</v>
      </c>
      <c r="EG2" s="8" t="s">
        <v>21</v>
      </c>
      <c r="EH2" s="8" t="s">
        <v>21</v>
      </c>
      <c r="EI2" s="8" t="s">
        <v>21</v>
      </c>
      <c r="EJ2" s="8" t="s">
        <v>21</v>
      </c>
      <c r="EK2" s="8" t="s">
        <v>22</v>
      </c>
      <c r="EL2" s="8" t="s">
        <v>22</v>
      </c>
      <c r="EM2" s="8" t="s">
        <v>22</v>
      </c>
      <c r="EN2" s="8" t="s">
        <v>22</v>
      </c>
      <c r="EO2" s="8" t="s">
        <v>22</v>
      </c>
      <c r="EP2" s="8" t="s">
        <v>22</v>
      </c>
      <c r="EQ2" s="8" t="s">
        <v>22</v>
      </c>
      <c r="ER2" s="8" t="s">
        <v>23</v>
      </c>
      <c r="ES2" s="8" t="s">
        <v>23</v>
      </c>
      <c r="ET2" s="8" t="s">
        <v>23</v>
      </c>
      <c r="EU2" s="8" t="s">
        <v>23</v>
      </c>
      <c r="EV2" s="8" t="s">
        <v>23</v>
      </c>
      <c r="EW2" s="8" t="s">
        <v>23</v>
      </c>
      <c r="EX2" s="8" t="s">
        <v>23</v>
      </c>
      <c r="EY2" s="8" t="s">
        <v>24</v>
      </c>
      <c r="EZ2" s="8" t="s">
        <v>24</v>
      </c>
      <c r="FA2" s="8" t="s">
        <v>24</v>
      </c>
      <c r="FB2" s="8" t="s">
        <v>24</v>
      </c>
      <c r="FC2" s="8" t="s">
        <v>24</v>
      </c>
      <c r="FD2" s="8" t="s">
        <v>24</v>
      </c>
      <c r="FE2" s="8" t="s">
        <v>24</v>
      </c>
      <c r="FF2" s="8" t="s">
        <v>25</v>
      </c>
      <c r="FG2" s="8" t="s">
        <v>25</v>
      </c>
      <c r="FH2" s="8" t="s">
        <v>25</v>
      </c>
      <c r="FI2" s="8" t="s">
        <v>25</v>
      </c>
      <c r="FJ2" s="8" t="s">
        <v>25</v>
      </c>
      <c r="FK2" s="8" t="s">
        <v>25</v>
      </c>
      <c r="FL2" s="8" t="s">
        <v>25</v>
      </c>
      <c r="FM2" s="8" t="s">
        <v>26</v>
      </c>
      <c r="FN2" s="8" t="s">
        <v>26</v>
      </c>
      <c r="FO2" s="8" t="s">
        <v>26</v>
      </c>
      <c r="FP2" s="8" t="s">
        <v>26</v>
      </c>
      <c r="FQ2" s="8" t="s">
        <v>26</v>
      </c>
      <c r="FR2" s="8" t="s">
        <v>26</v>
      </c>
      <c r="FS2" s="8" t="s">
        <v>26</v>
      </c>
      <c r="FT2" s="8" t="s">
        <v>27</v>
      </c>
      <c r="FU2" s="8" t="s">
        <v>27</v>
      </c>
      <c r="FV2" s="8" t="s">
        <v>27</v>
      </c>
      <c r="FW2" s="8" t="s">
        <v>27</v>
      </c>
      <c r="FX2" s="8" t="s">
        <v>27</v>
      </c>
      <c r="FY2" s="8" t="s">
        <v>27</v>
      </c>
      <c r="FZ2" s="8" t="s">
        <v>27</v>
      </c>
      <c r="GA2" s="8" t="s">
        <v>28</v>
      </c>
      <c r="GB2" s="8" t="s">
        <v>28</v>
      </c>
      <c r="GC2" s="8" t="s">
        <v>28</v>
      </c>
      <c r="GD2" s="8" t="s">
        <v>28</v>
      </c>
      <c r="GE2" s="8" t="s">
        <v>28</v>
      </c>
      <c r="GF2" s="8" t="s">
        <v>28</v>
      </c>
      <c r="GG2" s="8" t="s">
        <v>28</v>
      </c>
      <c r="GH2" s="8" t="s">
        <v>29</v>
      </c>
      <c r="GI2" s="8" t="s">
        <v>29</v>
      </c>
      <c r="GJ2" s="8" t="s">
        <v>29</v>
      </c>
      <c r="GK2" s="8" t="s">
        <v>29</v>
      </c>
      <c r="GL2" s="8" t="s">
        <v>29</v>
      </c>
      <c r="GM2" s="8" t="s">
        <v>29</v>
      </c>
      <c r="GN2" s="8" t="s">
        <v>29</v>
      </c>
      <c r="GO2" s="8" t="s">
        <v>30</v>
      </c>
      <c r="GP2" s="8" t="s">
        <v>30</v>
      </c>
      <c r="GQ2" s="8" t="s">
        <v>30</v>
      </c>
      <c r="GR2" s="8" t="s">
        <v>30</v>
      </c>
      <c r="GS2" s="8" t="s">
        <v>30</v>
      </c>
      <c r="GT2" s="8" t="s">
        <v>30</v>
      </c>
      <c r="GU2" s="8" t="s">
        <v>30</v>
      </c>
      <c r="GV2" s="8" t="s">
        <v>31</v>
      </c>
      <c r="GW2" s="8" t="s">
        <v>31</v>
      </c>
      <c r="GX2" s="8" t="s">
        <v>31</v>
      </c>
      <c r="GY2" s="8" t="s">
        <v>31</v>
      </c>
      <c r="GZ2" s="8" t="s">
        <v>31</v>
      </c>
      <c r="HA2" s="8" t="s">
        <v>31</v>
      </c>
      <c r="HB2" s="8" t="s">
        <v>31</v>
      </c>
      <c r="HC2" s="8" t="s">
        <v>32</v>
      </c>
      <c r="HD2" s="8" t="s">
        <v>32</v>
      </c>
      <c r="HE2" s="8" t="s">
        <v>32</v>
      </c>
      <c r="HF2" s="8" t="s">
        <v>32</v>
      </c>
      <c r="HG2" s="8" t="s">
        <v>32</v>
      </c>
      <c r="HH2" s="8" t="s">
        <v>32</v>
      </c>
      <c r="HI2" s="8" t="s">
        <v>32</v>
      </c>
      <c r="HJ2" s="8" t="s">
        <v>33</v>
      </c>
      <c r="HK2" s="8" t="s">
        <v>33</v>
      </c>
      <c r="HL2" s="8" t="s">
        <v>33</v>
      </c>
      <c r="HM2" s="8" t="s">
        <v>33</v>
      </c>
      <c r="HN2" s="8" t="s">
        <v>33</v>
      </c>
      <c r="HO2" s="8" t="s">
        <v>33</v>
      </c>
      <c r="HP2" s="8" t="s">
        <v>33</v>
      </c>
      <c r="HQ2" s="8" t="s">
        <v>34</v>
      </c>
      <c r="HR2" s="8" t="s">
        <v>34</v>
      </c>
      <c r="HS2" s="8" t="s">
        <v>34</v>
      </c>
      <c r="HT2" s="8" t="s">
        <v>34</v>
      </c>
      <c r="HU2" s="8" t="s">
        <v>34</v>
      </c>
      <c r="HV2" s="8" t="s">
        <v>34</v>
      </c>
      <c r="HW2" s="8" t="s">
        <v>34</v>
      </c>
      <c r="HX2" s="8" t="s">
        <v>35</v>
      </c>
      <c r="HY2" s="8" t="s">
        <v>35</v>
      </c>
      <c r="HZ2" s="8" t="s">
        <v>35</v>
      </c>
      <c r="IA2" s="8" t="s">
        <v>35</v>
      </c>
      <c r="IB2" s="8" t="s">
        <v>35</v>
      </c>
      <c r="IC2" s="8" t="s">
        <v>35</v>
      </c>
      <c r="ID2" s="8" t="s">
        <v>35</v>
      </c>
      <c r="IE2" s="8" t="s">
        <v>36</v>
      </c>
      <c r="IF2" s="8" t="s">
        <v>36</v>
      </c>
      <c r="IG2" s="8" t="s">
        <v>36</v>
      </c>
      <c r="IH2" s="8" t="s">
        <v>36</v>
      </c>
      <c r="II2" s="8" t="s">
        <v>36</v>
      </c>
      <c r="IJ2" s="8" t="s">
        <v>36</v>
      </c>
      <c r="IK2" s="8" t="s">
        <v>36</v>
      </c>
      <c r="IL2" s="8" t="s">
        <v>37</v>
      </c>
      <c r="IM2" s="8" t="s">
        <v>37</v>
      </c>
      <c r="IN2" s="8" t="s">
        <v>37</v>
      </c>
      <c r="IO2" s="8" t="s">
        <v>37</v>
      </c>
      <c r="IP2" s="8" t="s">
        <v>37</v>
      </c>
      <c r="IQ2" s="8" t="s">
        <v>37</v>
      </c>
      <c r="IR2" s="8" t="s">
        <v>37</v>
      </c>
      <c r="IS2" s="8" t="s">
        <v>38</v>
      </c>
      <c r="IT2" s="8" t="s">
        <v>38</v>
      </c>
      <c r="IU2" s="8" t="s">
        <v>38</v>
      </c>
      <c r="IV2" s="8" t="s">
        <v>38</v>
      </c>
      <c r="IW2" s="8" t="s">
        <v>38</v>
      </c>
      <c r="IX2" s="8" t="s">
        <v>38</v>
      </c>
      <c r="IY2" s="8" t="s">
        <v>38</v>
      </c>
      <c r="IZ2" s="8" t="s">
        <v>39</v>
      </c>
      <c r="JA2" s="8" t="s">
        <v>39</v>
      </c>
      <c r="JB2" s="8" t="s">
        <v>39</v>
      </c>
      <c r="JC2" s="8" t="s">
        <v>39</v>
      </c>
      <c r="JD2" s="8" t="s">
        <v>39</v>
      </c>
      <c r="JE2" s="8" t="s">
        <v>39</v>
      </c>
      <c r="JF2" s="8" t="s">
        <v>39</v>
      </c>
      <c r="JG2" s="8" t="s">
        <v>40</v>
      </c>
      <c r="JH2" s="8" t="s">
        <v>40</v>
      </c>
      <c r="JI2" s="8" t="s">
        <v>40</v>
      </c>
      <c r="JJ2" s="8" t="s">
        <v>40</v>
      </c>
      <c r="JK2" s="8" t="s">
        <v>40</v>
      </c>
      <c r="JL2" s="8" t="s">
        <v>40</v>
      </c>
      <c r="JM2" s="8" t="s">
        <v>40</v>
      </c>
      <c r="JN2" s="8" t="s">
        <v>41</v>
      </c>
      <c r="JO2" s="8" t="s">
        <v>41</v>
      </c>
      <c r="JP2" s="8" t="s">
        <v>41</v>
      </c>
      <c r="JQ2" s="8" t="s">
        <v>41</v>
      </c>
      <c r="JR2" s="8" t="s">
        <v>41</v>
      </c>
      <c r="JS2" s="8" t="s">
        <v>41</v>
      </c>
      <c r="JT2" s="8" t="s">
        <v>41</v>
      </c>
      <c r="JU2" s="8" t="s">
        <v>42</v>
      </c>
      <c r="JV2" s="8" t="s">
        <v>42</v>
      </c>
      <c r="JW2" s="8" t="s">
        <v>42</v>
      </c>
      <c r="JX2" s="8" t="s">
        <v>42</v>
      </c>
      <c r="JY2" s="8" t="s">
        <v>42</v>
      </c>
      <c r="JZ2" s="8" t="s">
        <v>42</v>
      </c>
      <c r="KA2" s="8" t="s">
        <v>42</v>
      </c>
      <c r="KB2" s="8" t="s">
        <v>43</v>
      </c>
      <c r="KC2" s="8" t="s">
        <v>43</v>
      </c>
      <c r="KD2" s="8" t="s">
        <v>43</v>
      </c>
      <c r="KE2" s="8" t="s">
        <v>43</v>
      </c>
      <c r="KF2" s="8" t="s">
        <v>43</v>
      </c>
      <c r="KG2" s="8" t="s">
        <v>43</v>
      </c>
      <c r="KH2" s="8" t="s">
        <v>43</v>
      </c>
      <c r="KI2" s="8" t="s">
        <v>44</v>
      </c>
      <c r="KJ2" s="8" t="s">
        <v>44</v>
      </c>
      <c r="KK2" s="8" t="s">
        <v>44</v>
      </c>
      <c r="KL2" s="8" t="s">
        <v>44</v>
      </c>
      <c r="KM2" s="8" t="s">
        <v>44</v>
      </c>
      <c r="KN2" s="8" t="s">
        <v>44</v>
      </c>
      <c r="KO2" s="8" t="s">
        <v>44</v>
      </c>
      <c r="KP2" s="8" t="s">
        <v>45</v>
      </c>
      <c r="KQ2" s="8" t="s">
        <v>45</v>
      </c>
      <c r="KR2" s="8" t="s">
        <v>45</v>
      </c>
      <c r="KS2" s="8" t="s">
        <v>45</v>
      </c>
      <c r="KT2" s="8" t="s">
        <v>45</v>
      </c>
      <c r="KU2" s="8" t="s">
        <v>45</v>
      </c>
      <c r="KV2" s="8" t="s">
        <v>45</v>
      </c>
      <c r="KW2" s="8" t="s">
        <v>46</v>
      </c>
      <c r="KX2" s="8" t="s">
        <v>46</v>
      </c>
      <c r="KY2" s="8" t="s">
        <v>46</v>
      </c>
      <c r="KZ2" s="8" t="s">
        <v>46</v>
      </c>
      <c r="LA2" s="8" t="s">
        <v>46</v>
      </c>
      <c r="LB2" s="8" t="s">
        <v>46</v>
      </c>
      <c r="LC2" s="8" t="s">
        <v>46</v>
      </c>
      <c r="LD2" s="8" t="s">
        <v>47</v>
      </c>
      <c r="LE2" s="8" t="s">
        <v>47</v>
      </c>
      <c r="LF2" s="8" t="s">
        <v>47</v>
      </c>
      <c r="LG2" s="8" t="s">
        <v>47</v>
      </c>
      <c r="LH2" s="8" t="s">
        <v>47</v>
      </c>
      <c r="LI2" s="8" t="s">
        <v>47</v>
      </c>
      <c r="LJ2" s="8" t="s">
        <v>47</v>
      </c>
      <c r="LK2" s="8" t="s">
        <v>48</v>
      </c>
      <c r="LL2" s="8" t="s">
        <v>48</v>
      </c>
      <c r="LM2" s="8" t="s">
        <v>48</v>
      </c>
      <c r="LN2" s="8" t="s">
        <v>48</v>
      </c>
      <c r="LO2" s="8" t="s">
        <v>48</v>
      </c>
      <c r="LP2" s="8" t="s">
        <v>48</v>
      </c>
      <c r="LQ2" s="8" t="s">
        <v>48</v>
      </c>
      <c r="LR2" s="8" t="s">
        <v>49</v>
      </c>
      <c r="LS2" s="8" t="s">
        <v>49</v>
      </c>
      <c r="LT2" s="8" t="s">
        <v>49</v>
      </c>
      <c r="LU2" s="8" t="s">
        <v>49</v>
      </c>
      <c r="LV2" s="8" t="s">
        <v>49</v>
      </c>
      <c r="LW2" s="8" t="s">
        <v>49</v>
      </c>
      <c r="LX2" s="8" t="s">
        <v>49</v>
      </c>
      <c r="LY2" s="8" t="s">
        <v>50</v>
      </c>
      <c r="LZ2" s="8" t="s">
        <v>50</v>
      </c>
      <c r="MA2" s="8" t="s">
        <v>50</v>
      </c>
      <c r="MB2" s="8" t="s">
        <v>50</v>
      </c>
      <c r="MC2" s="8" t="s">
        <v>50</v>
      </c>
      <c r="MD2" s="8" t="s">
        <v>50</v>
      </c>
      <c r="ME2" s="8" t="s">
        <v>50</v>
      </c>
      <c r="MF2" s="8" t="s">
        <v>51</v>
      </c>
      <c r="MG2" s="8" t="s">
        <v>51</v>
      </c>
      <c r="MH2" s="8" t="s">
        <v>51</v>
      </c>
      <c r="MI2" s="8" t="s">
        <v>51</v>
      </c>
      <c r="MJ2" s="8" t="s">
        <v>51</v>
      </c>
      <c r="MK2" s="8" t="s">
        <v>51</v>
      </c>
      <c r="ML2" s="8" t="s">
        <v>51</v>
      </c>
      <c r="MM2" s="8" t="s">
        <v>52</v>
      </c>
      <c r="MN2" s="8" t="s">
        <v>52</v>
      </c>
      <c r="MO2" s="8" t="s">
        <v>52</v>
      </c>
      <c r="MP2" s="8" t="s">
        <v>52</v>
      </c>
      <c r="MQ2" s="8" t="s">
        <v>52</v>
      </c>
      <c r="MR2" s="8" t="s">
        <v>52</v>
      </c>
      <c r="MS2" s="8" t="s">
        <v>52</v>
      </c>
      <c r="MT2" s="8" t="s">
        <v>53</v>
      </c>
      <c r="MU2" s="8" t="s">
        <v>53</v>
      </c>
      <c r="MV2" s="8" t="s">
        <v>53</v>
      </c>
      <c r="MW2" s="8" t="s">
        <v>53</v>
      </c>
      <c r="MX2" s="8" t="s">
        <v>53</v>
      </c>
      <c r="MY2" s="8" t="s">
        <v>53</v>
      </c>
      <c r="MZ2" s="8" t="s">
        <v>53</v>
      </c>
      <c r="NA2" s="8" t="s">
        <v>54</v>
      </c>
      <c r="NB2" s="8" t="s">
        <v>54</v>
      </c>
      <c r="NC2" s="8" t="s">
        <v>54</v>
      </c>
    </row>
    <row r="3" spans="1:367">
      <c r="A3" s="13">
        <f>SUM(C3:NC3)</f>
        <v>39072.683333333334</v>
      </c>
      <c r="B3" s="14" t="s">
        <v>427</v>
      </c>
      <c r="C3" s="103"/>
      <c r="D3" s="2">
        <v>157.5</v>
      </c>
      <c r="E3" s="2">
        <v>165</v>
      </c>
      <c r="F3" s="2">
        <v>81.583333333333329</v>
      </c>
      <c r="G3" s="2">
        <v>81.833333333333329</v>
      </c>
      <c r="H3" s="2">
        <v>148.25</v>
      </c>
      <c r="I3" s="2">
        <v>120</v>
      </c>
      <c r="J3" s="2">
        <v>38.166666666666657</v>
      </c>
      <c r="K3" s="2">
        <v>60</v>
      </c>
      <c r="L3" s="2">
        <v>82.5</v>
      </c>
      <c r="M3" s="2">
        <v>67.5</v>
      </c>
      <c r="N3" s="2">
        <v>82.5</v>
      </c>
      <c r="O3" s="7">
        <v>194.58333333333334</v>
      </c>
      <c r="P3" s="7">
        <v>199.5</v>
      </c>
      <c r="Q3" s="7">
        <v>198.91666666666666</v>
      </c>
      <c r="R3" s="7">
        <v>103</v>
      </c>
      <c r="S3" s="7">
        <v>180</v>
      </c>
      <c r="T3" s="7">
        <v>103.16666666666667</v>
      </c>
      <c r="U3" s="7">
        <v>87.083333333333343</v>
      </c>
      <c r="V3" s="7">
        <v>164.25</v>
      </c>
      <c r="W3" s="7">
        <v>165</v>
      </c>
      <c r="X3" s="7">
        <v>172.25</v>
      </c>
      <c r="Y3" s="7">
        <v>177.91666666666666</v>
      </c>
      <c r="Z3" s="7">
        <v>157.5</v>
      </c>
      <c r="AA3" s="7">
        <v>97.5</v>
      </c>
      <c r="AB3" s="7">
        <v>82.5</v>
      </c>
      <c r="AC3" s="7">
        <v>67.5</v>
      </c>
      <c r="AD3" s="7">
        <v>82.5</v>
      </c>
      <c r="AE3" s="7">
        <v>127.5</v>
      </c>
      <c r="AF3" s="7">
        <v>102.5</v>
      </c>
      <c r="AG3" s="7">
        <v>75.5</v>
      </c>
      <c r="AH3" s="7">
        <v>82.5</v>
      </c>
      <c r="AI3" s="7">
        <v>90</v>
      </c>
      <c r="AJ3" s="7">
        <v>97.5</v>
      </c>
      <c r="AK3" s="7">
        <v>116.08333333333331</v>
      </c>
      <c r="AL3" s="7">
        <v>95.333333333333343</v>
      </c>
      <c r="AM3" s="7">
        <v>89.333333333333343</v>
      </c>
      <c r="AN3" s="7">
        <v>119.33333333333334</v>
      </c>
      <c r="AO3" s="7">
        <v>117</v>
      </c>
      <c r="AP3" s="7">
        <v>75</v>
      </c>
      <c r="AQ3" s="7">
        <v>134.5</v>
      </c>
      <c r="AR3" s="7">
        <v>66.5</v>
      </c>
      <c r="AS3" s="7">
        <v>135</v>
      </c>
      <c r="AT3" s="7">
        <v>97.5</v>
      </c>
      <c r="AU3" s="7">
        <v>134.66666666666669</v>
      </c>
      <c r="AV3" s="7">
        <v>60.166666666666671</v>
      </c>
      <c r="AW3" s="7">
        <v>80</v>
      </c>
      <c r="AX3" s="7">
        <v>101</v>
      </c>
      <c r="AY3" s="7">
        <v>101</v>
      </c>
      <c r="AZ3" s="7">
        <v>67.5</v>
      </c>
      <c r="BA3" s="7">
        <v>102.33333333333331</v>
      </c>
      <c r="BB3" s="7">
        <v>105</v>
      </c>
      <c r="BC3" s="7">
        <v>37.5</v>
      </c>
      <c r="BD3" s="7">
        <v>67.75</v>
      </c>
      <c r="BE3" s="7">
        <v>60</v>
      </c>
      <c r="BF3" s="7">
        <v>67.5</v>
      </c>
      <c r="BG3" s="7">
        <v>112.5</v>
      </c>
      <c r="BH3" s="7">
        <v>127.5</v>
      </c>
      <c r="BI3" s="7">
        <v>90</v>
      </c>
      <c r="BJ3" s="7">
        <v>79.833333333333329</v>
      </c>
      <c r="BK3" s="7">
        <v>37.5</v>
      </c>
      <c r="BL3" s="7">
        <v>97.5</v>
      </c>
      <c r="BM3" s="7">
        <v>97.5</v>
      </c>
      <c r="BN3" s="7">
        <v>96.25</v>
      </c>
      <c r="BO3" s="7">
        <v>100.33333333333334</v>
      </c>
      <c r="BP3" s="7">
        <v>120</v>
      </c>
      <c r="BQ3" s="7">
        <v>90</v>
      </c>
      <c r="BR3" s="7">
        <v>67.5</v>
      </c>
      <c r="BS3" s="7">
        <v>157.25</v>
      </c>
      <c r="BT3" s="7">
        <v>135</v>
      </c>
      <c r="BU3" s="7">
        <v>120</v>
      </c>
      <c r="BV3" s="7">
        <v>90</v>
      </c>
      <c r="BW3" s="7">
        <v>127.5</v>
      </c>
      <c r="BX3" s="7">
        <v>90</v>
      </c>
      <c r="BY3" s="7">
        <v>67.5</v>
      </c>
      <c r="BZ3" s="7">
        <v>135</v>
      </c>
      <c r="CA3" s="7">
        <v>163.83333333333331</v>
      </c>
      <c r="CB3" s="7">
        <v>164.5</v>
      </c>
      <c r="CC3" s="7">
        <v>165</v>
      </c>
      <c r="CD3" s="7">
        <v>142.5</v>
      </c>
      <c r="CE3" s="7">
        <v>127.5</v>
      </c>
      <c r="CF3" s="7">
        <v>157.25</v>
      </c>
      <c r="CG3" s="7">
        <v>165</v>
      </c>
      <c r="CH3" s="7">
        <v>165</v>
      </c>
      <c r="CI3" s="7">
        <v>165</v>
      </c>
      <c r="CJ3" s="7">
        <v>165</v>
      </c>
      <c r="CK3" s="7">
        <v>162.41666666666666</v>
      </c>
      <c r="CL3" s="7">
        <v>46</v>
      </c>
      <c r="CM3" s="47"/>
      <c r="CN3" s="47"/>
      <c r="CO3" s="47"/>
      <c r="CP3" s="7">
        <v>150</v>
      </c>
      <c r="CQ3" s="7">
        <v>148.16666666666666</v>
      </c>
      <c r="CR3" s="7">
        <v>165</v>
      </c>
      <c r="CS3" s="7">
        <v>75</v>
      </c>
      <c r="CT3" s="7">
        <v>90</v>
      </c>
      <c r="CU3" s="7">
        <v>165</v>
      </c>
      <c r="CV3" s="7">
        <v>164.66666666666666</v>
      </c>
      <c r="CW3" s="7">
        <v>157.5</v>
      </c>
      <c r="CX3" s="7">
        <v>112.5</v>
      </c>
      <c r="CY3" s="7">
        <v>105.5</v>
      </c>
      <c r="CZ3" s="7">
        <v>60</v>
      </c>
      <c r="DA3" s="7">
        <v>90</v>
      </c>
      <c r="DB3" s="7">
        <v>165</v>
      </c>
      <c r="DC3" s="7">
        <v>105</v>
      </c>
      <c r="DD3" s="7">
        <v>112.5</v>
      </c>
      <c r="DE3" s="7">
        <v>157.5</v>
      </c>
      <c r="DF3" s="7">
        <v>67.5</v>
      </c>
      <c r="DG3" s="7">
        <v>74.666666666666657</v>
      </c>
      <c r="DH3" s="7">
        <v>82.5</v>
      </c>
      <c r="DI3" s="7">
        <v>83.25</v>
      </c>
      <c r="DJ3" s="7">
        <v>75</v>
      </c>
      <c r="DK3" s="7">
        <v>37.600000000000009</v>
      </c>
      <c r="DL3" s="7"/>
      <c r="DM3" s="7">
        <v>127.5</v>
      </c>
      <c r="DN3" s="7">
        <v>135</v>
      </c>
      <c r="DO3" s="7">
        <v>112.5</v>
      </c>
      <c r="DP3" s="2">
        <v>97.5</v>
      </c>
      <c r="DQ3" s="2">
        <v>90</v>
      </c>
      <c r="DR3" s="2">
        <v>143.58333333333334</v>
      </c>
      <c r="DS3" s="2"/>
      <c r="DT3" s="2">
        <v>104.75</v>
      </c>
      <c r="DU3" s="2">
        <v>75</v>
      </c>
      <c r="DV3" s="2">
        <v>90</v>
      </c>
      <c r="DW3" s="2">
        <v>45</v>
      </c>
      <c r="DX3" s="2">
        <v>112.5</v>
      </c>
      <c r="DY3" s="2">
        <v>101.58333333333331</v>
      </c>
      <c r="DZ3" s="2">
        <v>157.5</v>
      </c>
      <c r="EA3" s="2">
        <v>96.583333333333314</v>
      </c>
      <c r="EB3" s="2">
        <v>67.5</v>
      </c>
      <c r="EC3" s="2">
        <v>67.166666666666657</v>
      </c>
      <c r="ED3" s="2">
        <v>150</v>
      </c>
      <c r="EE3" s="2">
        <v>162.08333333333334</v>
      </c>
      <c r="EF3" s="2">
        <v>105</v>
      </c>
      <c r="EG3" s="2">
        <v>112.5</v>
      </c>
      <c r="EH3" s="2">
        <v>97.166666666666657</v>
      </c>
      <c r="EI3" s="2">
        <v>75</v>
      </c>
      <c r="EJ3" s="2">
        <v>89.583333333333343</v>
      </c>
      <c r="EK3" s="2">
        <v>146.58333333333334</v>
      </c>
      <c r="EL3" s="2">
        <v>165</v>
      </c>
      <c r="EM3" s="2">
        <v>162.83333333333334</v>
      </c>
      <c r="EN3" s="2">
        <v>164.75</v>
      </c>
      <c r="EO3" s="2">
        <v>141.83333333333331</v>
      </c>
      <c r="EP3" s="2">
        <v>75</v>
      </c>
      <c r="EQ3" s="2">
        <v>82.5</v>
      </c>
      <c r="ER3" s="2">
        <v>165</v>
      </c>
      <c r="ES3" s="2">
        <v>165</v>
      </c>
      <c r="ET3" s="2">
        <v>165</v>
      </c>
      <c r="EU3" s="2">
        <v>164.41666666666669</v>
      </c>
      <c r="EV3" s="2">
        <v>165</v>
      </c>
      <c r="EW3" s="2">
        <v>120</v>
      </c>
      <c r="EX3" s="2">
        <v>150</v>
      </c>
      <c r="EY3" s="2">
        <v>164.33333333333331</v>
      </c>
      <c r="EZ3" s="2">
        <v>165</v>
      </c>
      <c r="FA3" s="2">
        <v>134.58333333333331</v>
      </c>
      <c r="FB3" s="2">
        <v>80.5</v>
      </c>
      <c r="FC3" s="2"/>
      <c r="FD3" s="2"/>
      <c r="FE3" s="2"/>
      <c r="FF3" s="2"/>
      <c r="FG3" s="2">
        <v>142.5</v>
      </c>
      <c r="FH3" s="2">
        <v>135</v>
      </c>
      <c r="FI3" s="2">
        <v>112.5</v>
      </c>
      <c r="FJ3" s="2">
        <v>82.5</v>
      </c>
      <c r="FK3" s="2">
        <v>81.916666666666686</v>
      </c>
      <c r="FL3" s="2">
        <v>67.5</v>
      </c>
      <c r="FM3" s="2">
        <v>134.5</v>
      </c>
      <c r="FN3" s="2">
        <v>126.5</v>
      </c>
      <c r="FO3" s="2">
        <v>135</v>
      </c>
      <c r="FP3" s="2">
        <v>135</v>
      </c>
      <c r="FQ3" s="2">
        <v>112.5</v>
      </c>
      <c r="FR3" s="2">
        <v>67.25</v>
      </c>
      <c r="FS3" s="2">
        <v>60</v>
      </c>
      <c r="FT3" s="2">
        <v>102.16666666666666</v>
      </c>
      <c r="FU3" s="2">
        <v>127.5</v>
      </c>
      <c r="FV3" s="2">
        <v>139.5</v>
      </c>
      <c r="FW3" s="2">
        <v>127.5</v>
      </c>
      <c r="FX3" s="2">
        <v>112.5</v>
      </c>
      <c r="FY3" s="2">
        <v>74.666666666666671</v>
      </c>
      <c r="FZ3" s="2">
        <v>60</v>
      </c>
      <c r="GA3" s="2">
        <v>133.83333333333334</v>
      </c>
      <c r="GB3" s="2">
        <v>119.5</v>
      </c>
      <c r="GC3" s="2">
        <v>105</v>
      </c>
      <c r="GD3" s="2">
        <v>126.41666666666669</v>
      </c>
      <c r="GE3" s="2">
        <v>111.16666666666669</v>
      </c>
      <c r="GF3" s="2">
        <v>67.5</v>
      </c>
      <c r="GG3" s="2">
        <v>60</v>
      </c>
      <c r="GH3" s="2">
        <v>97</v>
      </c>
      <c r="GI3" s="2">
        <v>81</v>
      </c>
      <c r="GJ3" s="2">
        <v>90</v>
      </c>
      <c r="GK3" s="2">
        <v>101.91666666666667</v>
      </c>
      <c r="GL3" s="2">
        <v>89.583333333333343</v>
      </c>
      <c r="GM3" s="2">
        <v>44.666666666666664</v>
      </c>
      <c r="GN3" s="2">
        <v>60</v>
      </c>
      <c r="GO3" s="2">
        <v>105</v>
      </c>
      <c r="GP3" s="2"/>
      <c r="GQ3" s="2">
        <v>112.5</v>
      </c>
      <c r="GR3" s="2">
        <v>120</v>
      </c>
      <c r="GS3" s="2">
        <v>120</v>
      </c>
      <c r="GT3" s="2">
        <v>112.5</v>
      </c>
      <c r="GU3" s="2">
        <v>120</v>
      </c>
      <c r="GV3" s="2">
        <v>112.5</v>
      </c>
      <c r="GW3" s="2">
        <v>90</v>
      </c>
      <c r="GX3" s="2">
        <v>52.5</v>
      </c>
      <c r="GY3" s="2">
        <v>52.5</v>
      </c>
      <c r="GZ3" s="2">
        <v>45</v>
      </c>
      <c r="HA3" s="2">
        <v>45</v>
      </c>
      <c r="HB3" s="2">
        <v>67.5</v>
      </c>
      <c r="HC3" s="2">
        <v>112.08333333333334</v>
      </c>
      <c r="HD3" s="2">
        <v>105.00000000000001</v>
      </c>
      <c r="HE3" s="2">
        <v>120</v>
      </c>
      <c r="HF3" s="2">
        <v>100.58333333333333</v>
      </c>
      <c r="HG3" s="2">
        <v>120</v>
      </c>
      <c r="HH3" s="2">
        <v>52.5</v>
      </c>
      <c r="HI3" s="2">
        <v>67.5</v>
      </c>
      <c r="HJ3" s="2">
        <v>90</v>
      </c>
      <c r="HK3" s="2">
        <v>112.5</v>
      </c>
      <c r="HL3" s="2">
        <v>120</v>
      </c>
      <c r="HM3" s="2">
        <v>120</v>
      </c>
      <c r="HN3" s="2">
        <v>105</v>
      </c>
      <c r="HO3" s="2">
        <v>52.5</v>
      </c>
      <c r="HP3" s="2">
        <v>60</v>
      </c>
      <c r="HQ3" s="2">
        <v>105</v>
      </c>
      <c r="HR3" s="2">
        <v>120</v>
      </c>
      <c r="HS3" s="2">
        <v>127.5</v>
      </c>
      <c r="HT3" s="2">
        <v>127.5</v>
      </c>
      <c r="HU3" s="2">
        <v>120</v>
      </c>
      <c r="HV3" s="2">
        <v>60</v>
      </c>
      <c r="HW3" s="2">
        <v>52.5</v>
      </c>
      <c r="HX3" s="2">
        <v>120</v>
      </c>
      <c r="HY3" s="2">
        <v>105</v>
      </c>
      <c r="HZ3" s="2">
        <v>94.583333333333329</v>
      </c>
      <c r="IA3" s="2">
        <v>97.583333333333343</v>
      </c>
      <c r="IB3" s="2">
        <v>97.5</v>
      </c>
      <c r="IC3" s="2">
        <v>120</v>
      </c>
      <c r="ID3" s="2">
        <v>105</v>
      </c>
      <c r="IE3" s="2">
        <v>112.5</v>
      </c>
      <c r="IF3" s="2">
        <v>119.75</v>
      </c>
      <c r="IG3" s="2">
        <v>105</v>
      </c>
      <c r="IH3" s="2">
        <v>112.5</v>
      </c>
      <c r="II3" s="2">
        <v>112.5</v>
      </c>
      <c r="IJ3" s="2">
        <v>60</v>
      </c>
      <c r="IK3" s="2">
        <v>45</v>
      </c>
      <c r="IL3" s="2">
        <v>109.5</v>
      </c>
      <c r="IM3" s="2">
        <v>112.5</v>
      </c>
      <c r="IN3" s="2">
        <v>114</v>
      </c>
      <c r="IO3" s="2">
        <v>112.5</v>
      </c>
      <c r="IP3" s="2">
        <v>123.41666666666669</v>
      </c>
      <c r="IQ3" s="2">
        <v>101.58333333333333</v>
      </c>
      <c r="IR3" s="2">
        <v>105</v>
      </c>
      <c r="IS3" s="2">
        <v>97.25</v>
      </c>
      <c r="IT3" s="2">
        <v>107.66666666666666</v>
      </c>
      <c r="IU3" s="2">
        <v>78</v>
      </c>
      <c r="IV3" s="2">
        <v>130.5</v>
      </c>
      <c r="IW3" s="2">
        <v>109.5</v>
      </c>
      <c r="IX3" s="2">
        <v>60</v>
      </c>
      <c r="IY3" s="2">
        <v>45</v>
      </c>
      <c r="IZ3" s="2">
        <v>121.5</v>
      </c>
      <c r="JA3" s="2">
        <v>135</v>
      </c>
      <c r="JB3" s="2">
        <v>132</v>
      </c>
      <c r="JC3" s="2">
        <v>121.5</v>
      </c>
      <c r="JD3" s="2">
        <v>117.5</v>
      </c>
      <c r="JE3" s="2">
        <v>60</v>
      </c>
      <c r="JF3" s="2">
        <v>30</v>
      </c>
      <c r="JG3" s="2">
        <v>121.5</v>
      </c>
      <c r="JH3" s="2">
        <v>124.5</v>
      </c>
      <c r="JI3" s="2">
        <v>120</v>
      </c>
      <c r="JJ3" s="2">
        <v>132</v>
      </c>
      <c r="JK3" s="2">
        <v>104.66666666666667</v>
      </c>
      <c r="JL3" s="2">
        <v>67.5</v>
      </c>
      <c r="JM3" s="2">
        <v>52.5</v>
      </c>
      <c r="JN3" s="2">
        <v>120</v>
      </c>
      <c r="JO3" s="2">
        <v>112.5</v>
      </c>
      <c r="JP3" s="2">
        <v>110.33333333333333</v>
      </c>
      <c r="JQ3" s="2">
        <v>104.58333333333334</v>
      </c>
      <c r="JR3" s="2">
        <v>105</v>
      </c>
      <c r="JS3" s="2">
        <v>67.5</v>
      </c>
      <c r="JT3" s="2">
        <v>52.5</v>
      </c>
      <c r="JU3" s="2">
        <v>120</v>
      </c>
      <c r="JV3" s="2">
        <v>127.5</v>
      </c>
      <c r="JW3" s="2">
        <v>112.5</v>
      </c>
      <c r="JX3" s="2">
        <v>116.16666666666667</v>
      </c>
      <c r="JY3" s="2">
        <v>120</v>
      </c>
      <c r="JZ3" s="2">
        <v>75</v>
      </c>
      <c r="KA3" s="2">
        <v>45</v>
      </c>
      <c r="KB3" s="2">
        <v>120</v>
      </c>
      <c r="KC3" s="2">
        <v>120</v>
      </c>
      <c r="KD3" s="2">
        <v>124.5</v>
      </c>
      <c r="KE3" s="2">
        <v>137.25</v>
      </c>
      <c r="KF3" s="2">
        <v>132.58333333333334</v>
      </c>
      <c r="KG3" s="2">
        <v>130.41666666666669</v>
      </c>
      <c r="KH3" s="2">
        <v>126.91666666666667</v>
      </c>
      <c r="KI3" s="2">
        <v>141.41666666666669</v>
      </c>
      <c r="KJ3" s="2">
        <v>157</v>
      </c>
      <c r="KK3" s="2">
        <v>111.5</v>
      </c>
      <c r="KL3" s="2">
        <v>156.5</v>
      </c>
      <c r="KM3" s="2">
        <v>143.75</v>
      </c>
      <c r="KN3" s="2">
        <v>75</v>
      </c>
      <c r="KO3" s="2">
        <v>60</v>
      </c>
      <c r="KP3" s="2">
        <v>135</v>
      </c>
      <c r="KQ3" s="2">
        <v>135</v>
      </c>
      <c r="KR3" s="2">
        <v>135</v>
      </c>
      <c r="KS3" s="2">
        <v>127.5</v>
      </c>
      <c r="KT3" s="2">
        <v>135</v>
      </c>
      <c r="KU3" s="2">
        <v>60</v>
      </c>
      <c r="KV3" s="2">
        <v>67.5</v>
      </c>
      <c r="KW3" s="2">
        <v>150</v>
      </c>
      <c r="KX3" s="2">
        <v>135</v>
      </c>
      <c r="KY3" s="2">
        <v>135</v>
      </c>
      <c r="KZ3" s="2">
        <v>142.5</v>
      </c>
      <c r="LA3" s="2">
        <v>141</v>
      </c>
      <c r="LB3" s="2">
        <v>74.166666666666657</v>
      </c>
      <c r="LC3" s="2">
        <v>67.5</v>
      </c>
      <c r="LD3" s="2">
        <v>141.91666666666669</v>
      </c>
      <c r="LE3" s="2">
        <v>140.5</v>
      </c>
      <c r="LF3" s="2">
        <v>141.83333333333331</v>
      </c>
      <c r="LG3" s="2">
        <v>142.5</v>
      </c>
      <c r="LH3" s="2">
        <v>140.25</v>
      </c>
      <c r="LI3" s="2">
        <v>74.75</v>
      </c>
      <c r="LJ3" s="2">
        <v>67.5</v>
      </c>
      <c r="LK3" s="2">
        <v>142.5</v>
      </c>
      <c r="LL3" s="2">
        <v>142.5</v>
      </c>
      <c r="LM3" s="2">
        <v>142.5</v>
      </c>
      <c r="LN3" s="2">
        <v>142.5</v>
      </c>
      <c r="LO3" s="2">
        <v>142.5</v>
      </c>
      <c r="LP3" s="2">
        <v>75</v>
      </c>
      <c r="LQ3" s="2">
        <v>60</v>
      </c>
      <c r="LR3" s="2">
        <v>142.5</v>
      </c>
      <c r="LS3" s="2">
        <v>142.5</v>
      </c>
      <c r="LT3" s="2">
        <v>142.5</v>
      </c>
      <c r="LU3" s="2">
        <v>140.83333333333334</v>
      </c>
      <c r="LV3" s="2">
        <v>127.5</v>
      </c>
      <c r="LW3" s="2">
        <v>75</v>
      </c>
      <c r="LX3" s="2">
        <v>60</v>
      </c>
      <c r="LY3" s="2">
        <v>135</v>
      </c>
      <c r="LZ3" s="2">
        <v>135</v>
      </c>
      <c r="MA3" s="2">
        <v>127.5</v>
      </c>
      <c r="MB3" s="2">
        <v>127.5</v>
      </c>
      <c r="MC3" s="2">
        <v>132.16666666666666</v>
      </c>
      <c r="MD3" s="2">
        <v>75</v>
      </c>
      <c r="ME3" s="2">
        <v>67.5</v>
      </c>
      <c r="MF3" s="2">
        <v>136.58333333333331</v>
      </c>
      <c r="MG3" s="2">
        <v>140</v>
      </c>
      <c r="MH3" s="2">
        <v>134.41666666666669</v>
      </c>
      <c r="MI3" s="2">
        <v>124.83333333333334</v>
      </c>
      <c r="MJ3" s="2">
        <v>119.08333333333333</v>
      </c>
      <c r="MK3" s="2">
        <v>52.5</v>
      </c>
      <c r="ML3" s="2">
        <v>60</v>
      </c>
      <c r="MM3" s="2">
        <v>111.41666666666666</v>
      </c>
      <c r="MN3" s="2">
        <v>112.5</v>
      </c>
      <c r="MO3" s="2">
        <v>120</v>
      </c>
      <c r="MP3" s="2">
        <v>120</v>
      </c>
      <c r="MQ3" s="2">
        <v>112.16666666666666</v>
      </c>
      <c r="MR3" s="2">
        <v>119.58333333333334</v>
      </c>
      <c r="MS3" s="2">
        <v>120</v>
      </c>
      <c r="MT3" s="3">
        <v>135</v>
      </c>
      <c r="MU3" s="3">
        <v>172.5</v>
      </c>
      <c r="MV3" s="3">
        <v>180</v>
      </c>
      <c r="MW3" s="3">
        <v>195</v>
      </c>
      <c r="MX3" s="3">
        <v>127.5</v>
      </c>
      <c r="MY3" s="3">
        <v>82.166666666666657</v>
      </c>
      <c r="MZ3" s="3">
        <v>67.5</v>
      </c>
      <c r="NA3" s="3">
        <v>142.5</v>
      </c>
      <c r="NB3" s="3">
        <v>129.5</v>
      </c>
      <c r="NC3" s="3">
        <v>95</v>
      </c>
    </row>
    <row r="4" spans="1:367">
      <c r="A4" s="15">
        <f>SUM(C4:NC4)</f>
        <v>3240565</v>
      </c>
      <c r="B4" s="16" t="s">
        <v>423</v>
      </c>
      <c r="C4" s="39"/>
      <c r="D4" s="7">
        <v>11493</v>
      </c>
      <c r="E4" s="7">
        <v>12343</v>
      </c>
      <c r="F4" s="7">
        <v>6772</v>
      </c>
      <c r="G4" s="7">
        <v>5725</v>
      </c>
      <c r="H4" s="7">
        <v>10763</v>
      </c>
      <c r="I4" s="7">
        <v>6612</v>
      </c>
      <c r="J4" s="7">
        <v>3309</v>
      </c>
      <c r="K4" s="7">
        <v>5821</v>
      </c>
      <c r="L4" s="7">
        <v>6987</v>
      </c>
      <c r="M4" s="7">
        <v>6919</v>
      </c>
      <c r="N4" s="7">
        <v>7052</v>
      </c>
      <c r="O4" s="7">
        <v>7497</v>
      </c>
      <c r="P4" s="7">
        <v>8548</v>
      </c>
      <c r="Q4" s="7">
        <v>8345</v>
      </c>
      <c r="R4" s="7">
        <v>5192</v>
      </c>
      <c r="S4" s="7">
        <v>12838</v>
      </c>
      <c r="T4" s="7">
        <v>6893</v>
      </c>
      <c r="U4" s="7">
        <v>5639</v>
      </c>
      <c r="V4" s="7">
        <v>9397</v>
      </c>
      <c r="W4" s="7">
        <v>6246</v>
      </c>
      <c r="X4" s="7">
        <v>4572</v>
      </c>
      <c r="Y4" s="7">
        <v>5634</v>
      </c>
      <c r="Z4" s="7">
        <v>5837</v>
      </c>
      <c r="AA4" s="7">
        <v>2842</v>
      </c>
      <c r="AB4" s="7">
        <v>4493</v>
      </c>
      <c r="AC4" s="7">
        <v>3328</v>
      </c>
      <c r="AD4" s="7">
        <v>5247</v>
      </c>
      <c r="AE4" s="7">
        <v>7124</v>
      </c>
      <c r="AF4" s="7">
        <v>3201</v>
      </c>
      <c r="AG4" s="7">
        <v>2943</v>
      </c>
      <c r="AH4" s="7">
        <v>4649</v>
      </c>
      <c r="AI4" s="7">
        <v>4481</v>
      </c>
      <c r="AJ4" s="7">
        <v>5036</v>
      </c>
      <c r="AK4" s="7">
        <v>5470</v>
      </c>
      <c r="AL4" s="7">
        <v>4411</v>
      </c>
      <c r="AM4" s="7">
        <v>8042</v>
      </c>
      <c r="AN4" s="7">
        <v>8134</v>
      </c>
      <c r="AO4" s="7">
        <v>7884</v>
      </c>
      <c r="AP4" s="7">
        <v>6092</v>
      </c>
      <c r="AQ4" s="7">
        <v>9041</v>
      </c>
      <c r="AR4" s="7">
        <v>3069</v>
      </c>
      <c r="AS4" s="7">
        <v>11453</v>
      </c>
      <c r="AT4" s="7">
        <v>8671</v>
      </c>
      <c r="AU4" s="7">
        <v>8094</v>
      </c>
      <c r="AV4" s="7">
        <v>3889</v>
      </c>
      <c r="AW4" s="7">
        <v>4796</v>
      </c>
      <c r="AX4" s="7">
        <v>7094</v>
      </c>
      <c r="AY4" s="7">
        <v>6803</v>
      </c>
      <c r="AZ4" s="7">
        <v>4588</v>
      </c>
      <c r="BA4" s="7">
        <v>8124</v>
      </c>
      <c r="BB4" s="7">
        <v>7285</v>
      </c>
      <c r="BC4" s="7">
        <v>3383</v>
      </c>
      <c r="BD4" s="7">
        <v>5032</v>
      </c>
      <c r="BE4" s="7">
        <v>7229</v>
      </c>
      <c r="BF4" s="7">
        <v>4520</v>
      </c>
      <c r="BG4" s="7">
        <v>9682</v>
      </c>
      <c r="BH4" s="7">
        <v>8226</v>
      </c>
      <c r="BI4" s="7">
        <v>6471</v>
      </c>
      <c r="BJ4" s="7">
        <v>5899</v>
      </c>
      <c r="BK4" s="7">
        <v>2434</v>
      </c>
      <c r="BL4" s="7">
        <v>7260</v>
      </c>
      <c r="BM4" s="7">
        <v>9055</v>
      </c>
      <c r="BN4" s="7">
        <v>7688</v>
      </c>
      <c r="BO4" s="7">
        <v>5625</v>
      </c>
      <c r="BP4" s="7">
        <v>6957</v>
      </c>
      <c r="BQ4" s="7">
        <v>7221</v>
      </c>
      <c r="BR4" s="7">
        <v>6717</v>
      </c>
      <c r="BS4" s="7">
        <v>13936</v>
      </c>
      <c r="BT4" s="7">
        <v>10911</v>
      </c>
      <c r="BU4" s="7">
        <v>8987</v>
      </c>
      <c r="BV4" s="7">
        <v>8869</v>
      </c>
      <c r="BW4" s="7">
        <v>11528</v>
      </c>
      <c r="BX4" s="7">
        <v>7903</v>
      </c>
      <c r="BY4" s="7">
        <v>4992</v>
      </c>
      <c r="BZ4" s="7">
        <v>8657</v>
      </c>
      <c r="CA4" s="7">
        <v>12489</v>
      </c>
      <c r="CB4" s="7">
        <v>11071</v>
      </c>
      <c r="CC4" s="7">
        <v>10261</v>
      </c>
      <c r="CD4" s="7">
        <v>8302</v>
      </c>
      <c r="CE4" s="7">
        <v>6775</v>
      </c>
      <c r="CF4" s="7">
        <v>10039</v>
      </c>
      <c r="CG4" s="7">
        <v>15442</v>
      </c>
      <c r="CH4" s="7">
        <v>15826</v>
      </c>
      <c r="CI4" s="7">
        <v>16575</v>
      </c>
      <c r="CJ4" s="7">
        <v>13220</v>
      </c>
      <c r="CK4" s="7">
        <v>9710</v>
      </c>
      <c r="CL4" s="7">
        <v>2314</v>
      </c>
      <c r="CP4" s="7">
        <v>12399</v>
      </c>
      <c r="CQ4" s="7">
        <v>12633</v>
      </c>
      <c r="CR4" s="7">
        <v>11528</v>
      </c>
      <c r="CS4" s="7">
        <v>7154</v>
      </c>
      <c r="CT4" s="7">
        <v>6708</v>
      </c>
      <c r="CU4" s="7">
        <v>11249</v>
      </c>
      <c r="CV4" s="7">
        <v>8734</v>
      </c>
      <c r="CW4" s="7">
        <v>7585</v>
      </c>
      <c r="CX4" s="7">
        <v>9673</v>
      </c>
      <c r="CY4" s="7">
        <v>7568</v>
      </c>
      <c r="CZ4" s="7">
        <v>3831</v>
      </c>
      <c r="DA4" s="7">
        <v>8018</v>
      </c>
      <c r="DB4" s="7">
        <v>13965</v>
      </c>
      <c r="DC4" s="7">
        <v>8384</v>
      </c>
      <c r="DD4" s="7">
        <v>9852</v>
      </c>
      <c r="DE4" s="7">
        <v>16099</v>
      </c>
      <c r="DF4" s="7">
        <v>6055</v>
      </c>
      <c r="DG4" s="7">
        <v>6067</v>
      </c>
      <c r="DH4" s="7">
        <v>8316</v>
      </c>
      <c r="DI4" s="7">
        <v>7240</v>
      </c>
      <c r="DJ4" s="7">
        <v>6302</v>
      </c>
      <c r="DK4" s="7">
        <v>1622</v>
      </c>
      <c r="DL4" s="7"/>
      <c r="DM4" s="7">
        <v>9608</v>
      </c>
      <c r="DN4" s="7">
        <v>9673</v>
      </c>
      <c r="DO4" s="7">
        <v>9801</v>
      </c>
      <c r="DP4" s="7">
        <v>7822</v>
      </c>
      <c r="DQ4" s="7">
        <v>4963</v>
      </c>
      <c r="DR4" s="7">
        <v>8414</v>
      </c>
      <c r="DS4" s="7"/>
      <c r="DT4" s="7">
        <v>8228</v>
      </c>
      <c r="DU4" s="7">
        <v>4795</v>
      </c>
      <c r="DV4" s="7">
        <v>8634</v>
      </c>
      <c r="DW4" s="7">
        <v>7720</v>
      </c>
      <c r="DX4" s="7">
        <v>12494</v>
      </c>
      <c r="DY4" s="7">
        <v>12797</v>
      </c>
      <c r="DZ4" s="7">
        <v>13289</v>
      </c>
      <c r="EA4" s="7">
        <v>9949</v>
      </c>
      <c r="EB4" s="7">
        <v>6347</v>
      </c>
      <c r="EC4" s="7">
        <v>8475</v>
      </c>
      <c r="ED4" s="7">
        <v>14306</v>
      </c>
      <c r="EE4" s="7">
        <v>14499</v>
      </c>
      <c r="EF4" s="7">
        <v>13077</v>
      </c>
      <c r="EG4" s="7">
        <v>14024</v>
      </c>
      <c r="EH4" s="7">
        <v>10082</v>
      </c>
      <c r="EI4" s="7">
        <v>8117</v>
      </c>
      <c r="EJ4" s="7">
        <v>7758</v>
      </c>
      <c r="EK4" s="7">
        <v>11387</v>
      </c>
      <c r="EL4" s="7">
        <v>12510</v>
      </c>
      <c r="EM4" s="7">
        <v>13516</v>
      </c>
      <c r="EN4" s="7">
        <v>15987</v>
      </c>
      <c r="EO4" s="7">
        <v>13239</v>
      </c>
      <c r="EP4" s="7">
        <v>6908</v>
      </c>
      <c r="EQ4" s="7">
        <v>7595</v>
      </c>
      <c r="ER4" s="7">
        <v>13272</v>
      </c>
      <c r="ES4" s="7">
        <v>17124</v>
      </c>
      <c r="ET4" s="7">
        <v>15225</v>
      </c>
      <c r="EU4" s="7">
        <v>16551</v>
      </c>
      <c r="EV4" s="7">
        <v>11927</v>
      </c>
      <c r="EW4" s="7">
        <v>12955</v>
      </c>
      <c r="EX4" s="7">
        <v>14524</v>
      </c>
      <c r="EY4" s="7">
        <v>18300</v>
      </c>
      <c r="EZ4" s="7">
        <v>16596</v>
      </c>
      <c r="FA4" s="7">
        <v>8941</v>
      </c>
      <c r="FB4" s="7">
        <v>3961</v>
      </c>
      <c r="FC4" s="60"/>
      <c r="FD4" s="60"/>
      <c r="FE4" s="60"/>
      <c r="FG4" s="7">
        <v>9873</v>
      </c>
      <c r="FH4" s="7">
        <v>10847</v>
      </c>
      <c r="FI4" s="7">
        <v>11553</v>
      </c>
      <c r="FJ4" s="7">
        <v>10390</v>
      </c>
      <c r="FK4" s="7">
        <v>10087</v>
      </c>
      <c r="FL4" s="7">
        <v>7253</v>
      </c>
      <c r="FM4" s="7">
        <v>13595</v>
      </c>
      <c r="FN4" s="7">
        <v>11268</v>
      </c>
      <c r="FO4" s="7">
        <v>13125</v>
      </c>
      <c r="FP4" s="7">
        <v>12755</v>
      </c>
      <c r="FQ4" s="7">
        <v>9407</v>
      </c>
      <c r="FR4" s="7">
        <v>6035</v>
      </c>
      <c r="FS4" s="7">
        <v>4856</v>
      </c>
      <c r="FT4" s="7">
        <v>8297</v>
      </c>
      <c r="FU4" s="7">
        <v>11651</v>
      </c>
      <c r="FV4" s="7">
        <v>12261</v>
      </c>
      <c r="FW4" s="7">
        <v>11485</v>
      </c>
      <c r="FX4" s="7">
        <v>8035</v>
      </c>
      <c r="FY4" s="7">
        <v>6939</v>
      </c>
      <c r="FZ4" s="7">
        <v>4978</v>
      </c>
      <c r="GA4" s="7">
        <v>10563</v>
      </c>
      <c r="GB4" s="7">
        <v>9610</v>
      </c>
      <c r="GC4" s="7">
        <v>9158</v>
      </c>
      <c r="GD4" s="7">
        <v>8523</v>
      </c>
      <c r="GE4" s="7">
        <v>4845</v>
      </c>
      <c r="GF4" s="7">
        <v>5052</v>
      </c>
      <c r="GG4" s="7">
        <v>3439</v>
      </c>
      <c r="GH4" s="7">
        <v>8583</v>
      </c>
      <c r="GI4" s="7">
        <v>6056</v>
      </c>
      <c r="GJ4" s="7">
        <v>6113</v>
      </c>
      <c r="GK4" s="7">
        <v>10197</v>
      </c>
      <c r="GL4" s="7">
        <v>8432</v>
      </c>
      <c r="GM4" s="7">
        <v>5804</v>
      </c>
      <c r="GN4" s="7">
        <v>3513</v>
      </c>
      <c r="GO4" s="7">
        <v>6221</v>
      </c>
      <c r="GP4" s="7"/>
      <c r="GQ4" s="7">
        <v>11226</v>
      </c>
      <c r="GR4" s="7">
        <v>9321</v>
      </c>
      <c r="GS4" s="7">
        <v>9285</v>
      </c>
      <c r="GT4" s="7">
        <v>10201</v>
      </c>
      <c r="GU4" s="7">
        <v>9771</v>
      </c>
      <c r="GV4" s="7">
        <v>13207</v>
      </c>
      <c r="GW4" s="7">
        <v>7983</v>
      </c>
      <c r="GX4" s="7">
        <v>3991</v>
      </c>
      <c r="GY4" s="7">
        <v>2929</v>
      </c>
      <c r="GZ4" s="7">
        <v>3085</v>
      </c>
      <c r="HA4" s="7">
        <v>3550</v>
      </c>
      <c r="HB4" s="7">
        <v>6077</v>
      </c>
      <c r="HC4" s="7">
        <v>5543</v>
      </c>
      <c r="HD4" s="7">
        <v>3926</v>
      </c>
      <c r="HE4" s="7">
        <v>7972</v>
      </c>
      <c r="HF4" s="7">
        <v>4989</v>
      </c>
      <c r="HG4" s="7">
        <v>7700</v>
      </c>
      <c r="HH4" s="7">
        <v>2996</v>
      </c>
      <c r="HI4" s="7">
        <v>3778</v>
      </c>
      <c r="HJ4" s="7">
        <v>5206</v>
      </c>
      <c r="HK4" s="7">
        <v>7516</v>
      </c>
      <c r="HL4" s="7">
        <v>6493</v>
      </c>
      <c r="HM4" s="7">
        <v>4222</v>
      </c>
      <c r="HN4" s="7">
        <v>4948</v>
      </c>
      <c r="HO4" s="7">
        <v>2365</v>
      </c>
      <c r="HP4" s="7">
        <v>5407</v>
      </c>
      <c r="HQ4" s="7">
        <v>8081</v>
      </c>
      <c r="HR4" s="7">
        <v>11414</v>
      </c>
      <c r="HS4" s="7">
        <v>10965</v>
      </c>
      <c r="HT4" s="7">
        <v>11089</v>
      </c>
      <c r="HU4" s="7">
        <v>5648</v>
      </c>
      <c r="HV4" s="7">
        <v>4177</v>
      </c>
      <c r="HW4" s="7">
        <v>2364</v>
      </c>
      <c r="HX4" s="7">
        <v>8262</v>
      </c>
      <c r="HY4" s="7">
        <v>5671</v>
      </c>
      <c r="HZ4" s="7">
        <v>4035</v>
      </c>
      <c r="IA4" s="7">
        <v>7139</v>
      </c>
      <c r="IB4" s="7">
        <v>7064</v>
      </c>
      <c r="IC4" s="7">
        <v>7120</v>
      </c>
      <c r="ID4" s="7">
        <v>6888</v>
      </c>
      <c r="IE4" s="7">
        <v>5501</v>
      </c>
      <c r="IF4" s="7">
        <v>6938</v>
      </c>
      <c r="IG4" s="7">
        <v>7489</v>
      </c>
      <c r="IH4" s="7">
        <v>5886</v>
      </c>
      <c r="II4" s="7">
        <v>7475</v>
      </c>
      <c r="IJ4" s="7">
        <v>6380</v>
      </c>
      <c r="IK4" s="7">
        <v>3782</v>
      </c>
      <c r="IL4" s="7">
        <v>13771</v>
      </c>
      <c r="IM4" s="7">
        <v>9645</v>
      </c>
      <c r="IN4" s="7">
        <v>5181</v>
      </c>
      <c r="IO4" s="7">
        <v>6152</v>
      </c>
      <c r="IP4" s="7">
        <v>6274</v>
      </c>
      <c r="IQ4" s="7">
        <v>6197</v>
      </c>
      <c r="IR4" s="7">
        <v>5324</v>
      </c>
      <c r="IS4" s="7">
        <v>7254</v>
      </c>
      <c r="IT4" s="7">
        <v>9522</v>
      </c>
      <c r="IU4" s="7">
        <v>6464</v>
      </c>
      <c r="IV4" s="7">
        <v>12700</v>
      </c>
      <c r="IW4" s="7">
        <v>9947</v>
      </c>
      <c r="IX4" s="7">
        <v>7426</v>
      </c>
      <c r="IY4" s="7">
        <v>4525</v>
      </c>
      <c r="IZ4" s="7">
        <v>9608</v>
      </c>
      <c r="JA4" s="7">
        <v>10781</v>
      </c>
      <c r="JB4" s="7">
        <v>12492</v>
      </c>
      <c r="JC4" s="7">
        <v>10507</v>
      </c>
      <c r="JD4" s="7">
        <v>8624</v>
      </c>
      <c r="JE4" s="7">
        <v>6903</v>
      </c>
      <c r="JF4" s="7">
        <v>3052</v>
      </c>
      <c r="JG4" s="7">
        <v>12143</v>
      </c>
      <c r="JH4" s="7">
        <v>13724</v>
      </c>
      <c r="JI4" s="7">
        <v>10142</v>
      </c>
      <c r="JJ4" s="7">
        <v>13191</v>
      </c>
      <c r="JK4" s="7">
        <v>8097</v>
      </c>
      <c r="JL4" s="7">
        <v>5010</v>
      </c>
      <c r="JM4" s="7">
        <v>6175</v>
      </c>
      <c r="JN4" s="7">
        <v>10263</v>
      </c>
      <c r="JO4" s="7">
        <v>9664</v>
      </c>
      <c r="JP4" s="7">
        <v>11176</v>
      </c>
      <c r="JQ4" s="7">
        <v>10464</v>
      </c>
      <c r="JR4" s="7">
        <v>9626</v>
      </c>
      <c r="JS4" s="7">
        <v>5299</v>
      </c>
      <c r="JT4" s="7">
        <v>4554</v>
      </c>
      <c r="JU4" s="7">
        <v>10248</v>
      </c>
      <c r="JV4" s="7">
        <v>13275</v>
      </c>
      <c r="JW4" s="7">
        <v>10462</v>
      </c>
      <c r="JX4" s="7">
        <v>11222</v>
      </c>
      <c r="JY4" s="7">
        <v>12738</v>
      </c>
      <c r="JZ4" s="7">
        <v>6852</v>
      </c>
      <c r="KA4" s="7">
        <v>4661</v>
      </c>
      <c r="KB4" s="7">
        <v>15716</v>
      </c>
      <c r="KC4" s="7">
        <v>14448</v>
      </c>
      <c r="KD4" s="7">
        <v>13445</v>
      </c>
      <c r="KE4" s="7">
        <v>13433</v>
      </c>
      <c r="KF4" s="7">
        <v>13211</v>
      </c>
      <c r="KG4" s="7">
        <v>15905</v>
      </c>
      <c r="KH4" s="7">
        <v>5914</v>
      </c>
      <c r="KI4" s="7">
        <v>17460</v>
      </c>
      <c r="KJ4" s="7">
        <v>17374</v>
      </c>
      <c r="KK4" s="7">
        <v>13674</v>
      </c>
      <c r="KL4" s="7">
        <v>17647</v>
      </c>
      <c r="KM4" s="7">
        <v>15530</v>
      </c>
      <c r="KN4" s="7">
        <v>7009</v>
      </c>
      <c r="KO4" s="7">
        <v>4404</v>
      </c>
      <c r="KP4" s="7">
        <v>15722</v>
      </c>
      <c r="KQ4" s="7">
        <v>12128</v>
      </c>
      <c r="KR4" s="7">
        <v>14688</v>
      </c>
      <c r="KS4" s="7">
        <v>11201</v>
      </c>
      <c r="KT4" s="7">
        <v>11370</v>
      </c>
      <c r="KU4" s="7">
        <v>6431</v>
      </c>
      <c r="KV4" s="7">
        <v>4210</v>
      </c>
      <c r="KW4" s="7">
        <v>17639</v>
      </c>
      <c r="KX4" s="7">
        <v>16306</v>
      </c>
      <c r="KY4" s="7">
        <v>14423</v>
      </c>
      <c r="KZ4" s="7">
        <v>16949</v>
      </c>
      <c r="LA4" s="7">
        <v>13414</v>
      </c>
      <c r="LB4" s="7">
        <v>4846</v>
      </c>
      <c r="LC4" s="7">
        <v>4329</v>
      </c>
      <c r="LD4" s="7">
        <v>10480</v>
      </c>
      <c r="LE4" s="7">
        <v>11011</v>
      </c>
      <c r="LF4" s="7">
        <v>12432</v>
      </c>
      <c r="LG4" s="7">
        <v>14011</v>
      </c>
      <c r="LH4" s="7">
        <v>9255</v>
      </c>
      <c r="LI4" s="7">
        <v>4687</v>
      </c>
      <c r="LJ4" s="7">
        <v>5985</v>
      </c>
      <c r="LK4" s="7">
        <v>13364</v>
      </c>
      <c r="LL4" s="7">
        <v>14607</v>
      </c>
      <c r="LM4" s="7">
        <v>15405</v>
      </c>
      <c r="LN4" s="7">
        <v>15936</v>
      </c>
      <c r="LO4" s="7">
        <v>11495</v>
      </c>
      <c r="LP4" s="7">
        <v>4806</v>
      </c>
      <c r="LQ4" s="7">
        <v>4401</v>
      </c>
      <c r="LR4" s="7">
        <v>16295</v>
      </c>
      <c r="LS4" s="7">
        <v>11033</v>
      </c>
      <c r="LT4" s="7">
        <v>14517</v>
      </c>
      <c r="LU4" s="7">
        <v>13918</v>
      </c>
      <c r="LV4" s="7">
        <v>10520</v>
      </c>
      <c r="LW4" s="7">
        <v>8734</v>
      </c>
      <c r="LX4" s="7">
        <v>4283</v>
      </c>
      <c r="LY4" s="7">
        <v>17246</v>
      </c>
      <c r="LZ4" s="7">
        <v>16750</v>
      </c>
      <c r="MA4" s="7">
        <v>17032</v>
      </c>
      <c r="MB4" s="7">
        <v>11321</v>
      </c>
      <c r="MC4" s="7">
        <v>15195</v>
      </c>
      <c r="MD4" s="7">
        <v>5475</v>
      </c>
      <c r="ME4" s="7">
        <v>5836</v>
      </c>
      <c r="MF4" s="7">
        <v>14390</v>
      </c>
      <c r="MG4" s="7">
        <v>17024</v>
      </c>
      <c r="MH4" s="7">
        <v>15188</v>
      </c>
      <c r="MI4" s="7">
        <v>14684</v>
      </c>
      <c r="MJ4" s="7">
        <v>14117</v>
      </c>
      <c r="MK4" s="7">
        <v>9928</v>
      </c>
      <c r="ML4" s="7">
        <v>4765</v>
      </c>
      <c r="MM4" s="7">
        <v>16429</v>
      </c>
      <c r="MN4" s="7">
        <v>18091</v>
      </c>
      <c r="MO4" s="7">
        <v>14669</v>
      </c>
      <c r="MP4" s="7">
        <v>11015</v>
      </c>
      <c r="MQ4" s="7">
        <v>11430</v>
      </c>
      <c r="MR4" s="7">
        <v>12663</v>
      </c>
      <c r="MS4" s="7">
        <v>13572</v>
      </c>
      <c r="MT4" s="7">
        <v>10456</v>
      </c>
      <c r="MU4" s="7">
        <v>13981</v>
      </c>
      <c r="MV4" s="7">
        <v>13125</v>
      </c>
      <c r="MW4" s="7">
        <v>13616</v>
      </c>
      <c r="MX4" s="7">
        <v>7754</v>
      </c>
      <c r="MY4" s="7">
        <v>4752</v>
      </c>
      <c r="MZ4" s="7">
        <v>4632</v>
      </c>
      <c r="NA4" s="7">
        <v>19403</v>
      </c>
      <c r="NB4" s="7">
        <v>16147</v>
      </c>
      <c r="NC4" s="7">
        <v>10393</v>
      </c>
    </row>
    <row r="5" spans="1:367">
      <c r="A5" s="17">
        <f>A4/A3</f>
        <v>82.936842917963574</v>
      </c>
      <c r="B5" s="18" t="s">
        <v>424</v>
      </c>
      <c r="C5" s="7"/>
      <c r="D5" s="7">
        <f>+D4/D3</f>
        <v>72.971428571428575</v>
      </c>
      <c r="E5" s="7">
        <f t="shared" ref="E5:N5" si="0">+E4/E3</f>
        <v>74.806060606060612</v>
      </c>
      <c r="F5" s="7">
        <f t="shared" si="0"/>
        <v>83.00715015321758</v>
      </c>
      <c r="G5" s="7">
        <f t="shared" si="0"/>
        <v>69.959266802443992</v>
      </c>
      <c r="H5" s="7">
        <f t="shared" si="0"/>
        <v>72.600337268128158</v>
      </c>
      <c r="I5" s="7">
        <f t="shared" si="0"/>
        <v>55.1</v>
      </c>
      <c r="J5" s="7">
        <f t="shared" si="0"/>
        <v>86.698689956331904</v>
      </c>
      <c r="K5" s="7">
        <f t="shared" si="0"/>
        <v>97.016666666666666</v>
      </c>
      <c r="L5" s="7">
        <f t="shared" si="0"/>
        <v>84.690909090909088</v>
      </c>
      <c r="M5" s="7">
        <f t="shared" si="0"/>
        <v>102.50370370370371</v>
      </c>
      <c r="N5" s="7">
        <f t="shared" si="0"/>
        <v>85.478787878787884</v>
      </c>
      <c r="O5" s="7">
        <f>+O4/O3</f>
        <v>38.528479657387578</v>
      </c>
      <c r="P5" s="7">
        <f t="shared" ref="P5:CA5" si="1">+P4/P3</f>
        <v>42.847117794486216</v>
      </c>
      <c r="Q5" s="7">
        <f t="shared" si="1"/>
        <v>41.952241307080016</v>
      </c>
      <c r="R5" s="7">
        <f t="shared" si="1"/>
        <v>50.407766990291265</v>
      </c>
      <c r="S5" s="7">
        <f t="shared" si="1"/>
        <v>71.322222222222223</v>
      </c>
      <c r="T5" s="7">
        <f t="shared" si="1"/>
        <v>66.81421647819063</v>
      </c>
      <c r="U5" s="7">
        <f t="shared" si="1"/>
        <v>64.75406698564592</v>
      </c>
      <c r="V5" s="7">
        <f t="shared" si="1"/>
        <v>57.211567732115675</v>
      </c>
      <c r="W5" s="7">
        <f t="shared" si="1"/>
        <v>37.854545454545452</v>
      </c>
      <c r="X5" s="7">
        <f t="shared" si="1"/>
        <v>26.542815674891148</v>
      </c>
      <c r="Y5" s="7">
        <f t="shared" si="1"/>
        <v>31.666510538641688</v>
      </c>
      <c r="Z5" s="7">
        <f t="shared" si="1"/>
        <v>37.060317460317464</v>
      </c>
      <c r="AA5" s="7">
        <f t="shared" si="1"/>
        <v>29.148717948717948</v>
      </c>
      <c r="AB5" s="7">
        <f t="shared" si="1"/>
        <v>54.460606060606061</v>
      </c>
      <c r="AC5" s="7">
        <f t="shared" si="1"/>
        <v>49.303703703703704</v>
      </c>
      <c r="AD5" s="7">
        <f t="shared" si="1"/>
        <v>63.6</v>
      </c>
      <c r="AE5" s="7">
        <f t="shared" si="1"/>
        <v>55.874509803921569</v>
      </c>
      <c r="AF5" s="7">
        <f t="shared" si="1"/>
        <v>31.229268292682928</v>
      </c>
      <c r="AG5" s="7">
        <f t="shared" si="1"/>
        <v>38.980132450331126</v>
      </c>
      <c r="AH5" s="7">
        <f t="shared" si="1"/>
        <v>56.351515151515152</v>
      </c>
      <c r="AI5" s="7">
        <f t="shared" si="1"/>
        <v>49.788888888888891</v>
      </c>
      <c r="AJ5" s="7">
        <f t="shared" si="1"/>
        <v>51.651282051282053</v>
      </c>
      <c r="AK5" s="7">
        <f t="shared" si="1"/>
        <v>47.121320890165116</v>
      </c>
      <c r="AL5" s="7">
        <f t="shared" si="1"/>
        <v>46.269230769230766</v>
      </c>
      <c r="AM5" s="7">
        <f t="shared" si="1"/>
        <v>90.022388059701484</v>
      </c>
      <c r="AN5" s="7">
        <f t="shared" si="1"/>
        <v>68.162011173184354</v>
      </c>
      <c r="AO5" s="7">
        <f t="shared" si="1"/>
        <v>67.384615384615387</v>
      </c>
      <c r="AP5" s="7">
        <f t="shared" si="1"/>
        <v>81.226666666666674</v>
      </c>
      <c r="AQ5" s="7">
        <f t="shared" si="1"/>
        <v>67.219330855018583</v>
      </c>
      <c r="AR5" s="7">
        <f t="shared" si="1"/>
        <v>46.150375939849624</v>
      </c>
      <c r="AS5" s="7">
        <f t="shared" si="1"/>
        <v>84.837037037037035</v>
      </c>
      <c r="AT5" s="7">
        <f t="shared" si="1"/>
        <v>88.933333333333337</v>
      </c>
      <c r="AU5" s="7">
        <f t="shared" si="1"/>
        <v>60.103960396039597</v>
      </c>
      <c r="AV5" s="7">
        <f t="shared" si="1"/>
        <v>64.637119113573405</v>
      </c>
      <c r="AW5" s="7">
        <f t="shared" si="1"/>
        <v>59.95</v>
      </c>
      <c r="AX5" s="7">
        <f t="shared" si="1"/>
        <v>70.237623762376231</v>
      </c>
      <c r="AY5" s="7">
        <f t="shared" si="1"/>
        <v>67.356435643564353</v>
      </c>
      <c r="AZ5" s="7">
        <f t="shared" si="1"/>
        <v>67.970370370370375</v>
      </c>
      <c r="BA5" s="7">
        <f t="shared" si="1"/>
        <v>79.387622149837142</v>
      </c>
      <c r="BB5" s="7">
        <f t="shared" si="1"/>
        <v>69.38095238095238</v>
      </c>
      <c r="BC5" s="7">
        <f t="shared" si="1"/>
        <v>90.213333333333338</v>
      </c>
      <c r="BD5" s="7">
        <f t="shared" si="1"/>
        <v>74.273062730627302</v>
      </c>
      <c r="BE5" s="7">
        <f t="shared" si="1"/>
        <v>120.48333333333333</v>
      </c>
      <c r="BF5" s="7">
        <f t="shared" si="1"/>
        <v>66.962962962962962</v>
      </c>
      <c r="BG5" s="7">
        <f t="shared" si="1"/>
        <v>86.062222222222218</v>
      </c>
      <c r="BH5" s="7">
        <f t="shared" si="1"/>
        <v>64.517647058823528</v>
      </c>
      <c r="BI5" s="7">
        <f t="shared" si="1"/>
        <v>71.900000000000006</v>
      </c>
      <c r="BJ5" s="7">
        <f t="shared" si="1"/>
        <v>73.891440501043846</v>
      </c>
      <c r="BK5" s="7">
        <f t="shared" si="1"/>
        <v>64.906666666666666</v>
      </c>
      <c r="BL5" s="7">
        <f t="shared" si="1"/>
        <v>74.461538461538467</v>
      </c>
      <c r="BM5" s="7">
        <f t="shared" si="1"/>
        <v>92.871794871794876</v>
      </c>
      <c r="BN5" s="7">
        <f t="shared" si="1"/>
        <v>79.875324675324677</v>
      </c>
      <c r="BO5" s="7">
        <f t="shared" si="1"/>
        <v>56.063122923588033</v>
      </c>
      <c r="BP5" s="7">
        <f t="shared" si="1"/>
        <v>57.975000000000001</v>
      </c>
      <c r="BQ5" s="7">
        <f t="shared" si="1"/>
        <v>80.233333333333334</v>
      </c>
      <c r="BR5" s="7">
        <f t="shared" si="1"/>
        <v>99.511111111111106</v>
      </c>
      <c r="BS5" s="7">
        <f t="shared" si="1"/>
        <v>88.623211446740854</v>
      </c>
      <c r="BT5" s="7">
        <f t="shared" si="1"/>
        <v>80.822222222222223</v>
      </c>
      <c r="BU5" s="7">
        <f t="shared" si="1"/>
        <v>74.891666666666666</v>
      </c>
      <c r="BV5" s="7">
        <f t="shared" si="1"/>
        <v>98.544444444444451</v>
      </c>
      <c r="BW5" s="7">
        <f t="shared" si="1"/>
        <v>90.41568627450981</v>
      </c>
      <c r="BX5" s="7">
        <f t="shared" si="1"/>
        <v>87.811111111111117</v>
      </c>
      <c r="BY5" s="7">
        <f t="shared" si="1"/>
        <v>73.955555555555549</v>
      </c>
      <c r="BZ5" s="7">
        <f t="shared" si="1"/>
        <v>64.125925925925927</v>
      </c>
      <c r="CA5" s="7">
        <f t="shared" si="1"/>
        <v>76.229908443540197</v>
      </c>
      <c r="CB5" s="7">
        <f t="shared" ref="CB5:CL5" si="2">+CB4/CB3</f>
        <v>67.300911854103347</v>
      </c>
      <c r="CC5" s="7">
        <f t="shared" si="2"/>
        <v>62.187878787878788</v>
      </c>
      <c r="CD5" s="7">
        <f t="shared" si="2"/>
        <v>58.259649122807019</v>
      </c>
      <c r="CE5" s="7">
        <f t="shared" si="2"/>
        <v>53.137254901960787</v>
      </c>
      <c r="CF5" s="7">
        <f t="shared" si="2"/>
        <v>63.841017488076311</v>
      </c>
      <c r="CG5" s="7">
        <f t="shared" si="2"/>
        <v>93.587878787878793</v>
      </c>
      <c r="CH5" s="7">
        <f t="shared" si="2"/>
        <v>95.915151515151521</v>
      </c>
      <c r="CI5" s="7">
        <f t="shared" si="2"/>
        <v>100.45454545454545</v>
      </c>
      <c r="CJ5" s="7">
        <f t="shared" si="2"/>
        <v>80.121212121212125</v>
      </c>
      <c r="CK5" s="7">
        <f t="shared" si="2"/>
        <v>59.784504874294512</v>
      </c>
      <c r="CL5" s="7">
        <f t="shared" si="2"/>
        <v>50.304347826086953</v>
      </c>
      <c r="CP5" s="7">
        <f>+CP4/CP3</f>
        <v>82.66</v>
      </c>
      <c r="CQ5" s="7">
        <f t="shared" ref="CQ5:FB5" si="3">+CQ4/CQ3</f>
        <v>85.262092238470203</v>
      </c>
      <c r="CR5" s="7">
        <f t="shared" si="3"/>
        <v>69.86666666666666</v>
      </c>
      <c r="CS5" s="7">
        <f t="shared" si="3"/>
        <v>95.38666666666667</v>
      </c>
      <c r="CT5" s="7">
        <f t="shared" si="3"/>
        <v>74.533333333333331</v>
      </c>
      <c r="CU5" s="7">
        <f t="shared" si="3"/>
        <v>68.175757575757572</v>
      </c>
      <c r="CV5" s="7">
        <f t="shared" si="3"/>
        <v>53.040485829959515</v>
      </c>
      <c r="CW5" s="7">
        <f t="shared" si="3"/>
        <v>48.158730158730158</v>
      </c>
      <c r="CX5" s="7">
        <f t="shared" si="3"/>
        <v>85.982222222222219</v>
      </c>
      <c r="CY5" s="7">
        <f t="shared" si="3"/>
        <v>71.73459715639811</v>
      </c>
      <c r="CZ5" s="7">
        <f t="shared" si="3"/>
        <v>63.85</v>
      </c>
      <c r="DA5" s="7">
        <f t="shared" si="3"/>
        <v>89.088888888888889</v>
      </c>
      <c r="DB5" s="7">
        <f t="shared" si="3"/>
        <v>84.63636363636364</v>
      </c>
      <c r="DC5" s="7">
        <f t="shared" si="3"/>
        <v>79.847619047619048</v>
      </c>
      <c r="DD5" s="7">
        <f t="shared" si="3"/>
        <v>87.573333333333338</v>
      </c>
      <c r="DE5" s="7">
        <f t="shared" si="3"/>
        <v>102.21587301587302</v>
      </c>
      <c r="DF5" s="7">
        <f t="shared" si="3"/>
        <v>89.703703703703709</v>
      </c>
      <c r="DG5" s="7">
        <f t="shared" si="3"/>
        <v>81.254464285714292</v>
      </c>
      <c r="DH5" s="7">
        <f t="shared" si="3"/>
        <v>100.8</v>
      </c>
      <c r="DI5" s="7">
        <f t="shared" si="3"/>
        <v>86.966966966966964</v>
      </c>
      <c r="DJ5" s="7">
        <f t="shared" si="3"/>
        <v>84.026666666666671</v>
      </c>
      <c r="DK5" s="7">
        <f t="shared" si="3"/>
        <v>43.138297872340416</v>
      </c>
      <c r="DL5" s="7"/>
      <c r="DM5" s="7">
        <f t="shared" si="3"/>
        <v>75.356862745098042</v>
      </c>
      <c r="DN5" s="7">
        <f t="shared" si="3"/>
        <v>71.651851851851845</v>
      </c>
      <c r="DO5" s="7">
        <f t="shared" si="3"/>
        <v>87.12</v>
      </c>
      <c r="DP5" s="7">
        <f t="shared" si="3"/>
        <v>80.225641025641025</v>
      </c>
      <c r="DQ5" s="7">
        <f t="shared" si="3"/>
        <v>55.144444444444446</v>
      </c>
      <c r="DR5" s="7">
        <f t="shared" si="3"/>
        <v>58.600116076610561</v>
      </c>
      <c r="DS5" s="7"/>
      <c r="DT5" s="7">
        <f t="shared" si="3"/>
        <v>78.548926014319804</v>
      </c>
      <c r="DU5" s="7">
        <f t="shared" si="3"/>
        <v>63.93333333333333</v>
      </c>
      <c r="DV5" s="7">
        <f t="shared" si="3"/>
        <v>95.933333333333337</v>
      </c>
      <c r="DW5" s="7">
        <f t="shared" si="3"/>
        <v>171.55555555555554</v>
      </c>
      <c r="DX5" s="7">
        <f t="shared" si="3"/>
        <v>111.05777777777777</v>
      </c>
      <c r="DY5" s="7">
        <f t="shared" si="3"/>
        <v>125.97538966365876</v>
      </c>
      <c r="DZ5" s="7">
        <f t="shared" si="3"/>
        <v>84.37460317460318</v>
      </c>
      <c r="EA5" s="7">
        <f t="shared" si="3"/>
        <v>103.00949094046594</v>
      </c>
      <c r="EB5" s="7">
        <f t="shared" si="3"/>
        <v>94.029629629629625</v>
      </c>
      <c r="EC5" s="7">
        <f t="shared" si="3"/>
        <v>126.17866004962781</v>
      </c>
      <c r="ED5" s="7">
        <f t="shared" si="3"/>
        <v>95.373333333333335</v>
      </c>
      <c r="EE5" s="7">
        <f t="shared" si="3"/>
        <v>89.453984575835477</v>
      </c>
      <c r="EF5" s="7">
        <f t="shared" si="3"/>
        <v>124.54285714285714</v>
      </c>
      <c r="EG5" s="7">
        <f t="shared" si="3"/>
        <v>124.65777777777778</v>
      </c>
      <c r="EH5" s="7">
        <f t="shared" si="3"/>
        <v>103.75986277873071</v>
      </c>
      <c r="EI5" s="7">
        <f t="shared" si="3"/>
        <v>108.22666666666667</v>
      </c>
      <c r="EJ5" s="7">
        <f t="shared" si="3"/>
        <v>86.600930232558127</v>
      </c>
      <c r="EK5" s="7">
        <f t="shared" si="3"/>
        <v>77.682774303581581</v>
      </c>
      <c r="EL5" s="7">
        <f t="shared" si="3"/>
        <v>75.818181818181813</v>
      </c>
      <c r="EM5" s="7">
        <f t="shared" si="3"/>
        <v>83.005117707267146</v>
      </c>
      <c r="EN5" s="7">
        <f t="shared" si="3"/>
        <v>97.037936267071316</v>
      </c>
      <c r="EO5" s="7">
        <f t="shared" si="3"/>
        <v>93.341950646298486</v>
      </c>
      <c r="EP5" s="7">
        <f t="shared" si="3"/>
        <v>92.106666666666669</v>
      </c>
      <c r="EQ5" s="7">
        <f t="shared" si="3"/>
        <v>92.060606060606062</v>
      </c>
      <c r="ER5" s="7">
        <f t="shared" si="3"/>
        <v>80.436363636363637</v>
      </c>
      <c r="ES5" s="7">
        <f t="shared" si="3"/>
        <v>103.78181818181818</v>
      </c>
      <c r="ET5" s="7">
        <f t="shared" si="3"/>
        <v>92.272727272727266</v>
      </c>
      <c r="EU5" s="7">
        <f t="shared" si="3"/>
        <v>100.66497719209325</v>
      </c>
      <c r="EV5" s="7">
        <f t="shared" si="3"/>
        <v>72.284848484848482</v>
      </c>
      <c r="EW5" s="7">
        <f t="shared" si="3"/>
        <v>107.95833333333333</v>
      </c>
      <c r="EX5" s="7">
        <f t="shared" si="3"/>
        <v>96.826666666666668</v>
      </c>
      <c r="EY5" s="7">
        <f t="shared" si="3"/>
        <v>111.35902636916838</v>
      </c>
      <c r="EZ5" s="7">
        <f t="shared" si="3"/>
        <v>100.58181818181818</v>
      </c>
      <c r="FA5" s="7">
        <f t="shared" si="3"/>
        <v>66.434674922600635</v>
      </c>
      <c r="FB5" s="7">
        <f t="shared" si="3"/>
        <v>49.204968944099377</v>
      </c>
      <c r="FG5" s="7">
        <f>+FG4/FG3</f>
        <v>69.284210526315789</v>
      </c>
      <c r="FH5" s="7">
        <f t="shared" ref="FH5:HS5" si="4">+FH4/FH3</f>
        <v>80.348148148148155</v>
      </c>
      <c r="FI5" s="7">
        <f t="shared" si="4"/>
        <v>102.69333333333333</v>
      </c>
      <c r="FJ5" s="7">
        <f t="shared" si="4"/>
        <v>125.93939393939394</v>
      </c>
      <c r="FK5" s="7">
        <f t="shared" si="4"/>
        <v>123.13733468972531</v>
      </c>
      <c r="FL5" s="7">
        <f t="shared" si="4"/>
        <v>107.45185185185186</v>
      </c>
      <c r="FM5" s="7">
        <f t="shared" si="4"/>
        <v>101.07806691449814</v>
      </c>
      <c r="FN5" s="7">
        <f t="shared" si="4"/>
        <v>89.07509881422925</v>
      </c>
      <c r="FO5" s="7">
        <f t="shared" si="4"/>
        <v>97.222222222222229</v>
      </c>
      <c r="FP5" s="7">
        <f t="shared" si="4"/>
        <v>94.481481481481481</v>
      </c>
      <c r="FQ5" s="7">
        <f t="shared" si="4"/>
        <v>83.617777777777775</v>
      </c>
      <c r="FR5" s="7">
        <f t="shared" si="4"/>
        <v>89.739776951672866</v>
      </c>
      <c r="FS5" s="7">
        <f t="shared" si="4"/>
        <v>80.933333333333337</v>
      </c>
      <c r="FT5" s="7">
        <f t="shared" si="4"/>
        <v>81.210440456769987</v>
      </c>
      <c r="FU5" s="7">
        <f t="shared" si="4"/>
        <v>91.38039215686274</v>
      </c>
      <c r="FV5" s="7">
        <f t="shared" si="4"/>
        <v>87.892473118279568</v>
      </c>
      <c r="FW5" s="7">
        <f t="shared" si="4"/>
        <v>90.078431372549019</v>
      </c>
      <c r="FX5" s="7">
        <f t="shared" si="4"/>
        <v>71.422222222222217</v>
      </c>
      <c r="FY5" s="7">
        <f t="shared" si="4"/>
        <v>92.933035714285708</v>
      </c>
      <c r="FZ5" s="7">
        <f t="shared" si="4"/>
        <v>82.966666666666669</v>
      </c>
      <c r="GA5" s="7">
        <f t="shared" si="4"/>
        <v>78.926525529265248</v>
      </c>
      <c r="GB5" s="7">
        <f t="shared" si="4"/>
        <v>80.418410041841</v>
      </c>
      <c r="GC5" s="7">
        <f t="shared" si="4"/>
        <v>87.219047619047615</v>
      </c>
      <c r="GD5" s="7">
        <f t="shared" si="4"/>
        <v>67.419907712590629</v>
      </c>
      <c r="GE5" s="7">
        <f t="shared" si="4"/>
        <v>43.583208395802089</v>
      </c>
      <c r="GF5" s="7">
        <f t="shared" si="4"/>
        <v>74.844444444444449</v>
      </c>
      <c r="GG5" s="7">
        <f t="shared" si="4"/>
        <v>57.31666666666667</v>
      </c>
      <c r="GH5" s="7">
        <f t="shared" si="4"/>
        <v>88.484536082474222</v>
      </c>
      <c r="GI5" s="7">
        <f t="shared" si="4"/>
        <v>74.76543209876543</v>
      </c>
      <c r="GJ5" s="7">
        <f t="shared" si="4"/>
        <v>67.922222222222217</v>
      </c>
      <c r="GK5" s="7">
        <f t="shared" si="4"/>
        <v>100.05233033524121</v>
      </c>
      <c r="GL5" s="7">
        <f t="shared" si="4"/>
        <v>94.124651162790684</v>
      </c>
      <c r="GM5" s="7">
        <f t="shared" si="4"/>
        <v>129.9402985074627</v>
      </c>
      <c r="GN5" s="7">
        <f t="shared" si="4"/>
        <v>58.55</v>
      </c>
      <c r="GO5" s="7">
        <f t="shared" si="4"/>
        <v>59.247619047619047</v>
      </c>
      <c r="GP5" s="7"/>
      <c r="GQ5" s="7">
        <f t="shared" si="4"/>
        <v>99.786666666666662</v>
      </c>
      <c r="GR5" s="7">
        <f t="shared" si="4"/>
        <v>77.674999999999997</v>
      </c>
      <c r="GS5" s="7">
        <f t="shared" si="4"/>
        <v>77.375</v>
      </c>
      <c r="GT5" s="7">
        <f t="shared" si="4"/>
        <v>90.675555555555562</v>
      </c>
      <c r="GU5" s="7">
        <f t="shared" si="4"/>
        <v>81.424999999999997</v>
      </c>
      <c r="GV5" s="7">
        <f t="shared" si="4"/>
        <v>117.39555555555556</v>
      </c>
      <c r="GW5" s="7">
        <f t="shared" si="4"/>
        <v>88.7</v>
      </c>
      <c r="GX5" s="7">
        <f t="shared" si="4"/>
        <v>76.019047619047626</v>
      </c>
      <c r="GY5" s="7">
        <f t="shared" si="4"/>
        <v>55.790476190476191</v>
      </c>
      <c r="GZ5" s="7">
        <f t="shared" si="4"/>
        <v>68.555555555555557</v>
      </c>
      <c r="HA5" s="7">
        <f t="shared" si="4"/>
        <v>78.888888888888886</v>
      </c>
      <c r="HB5" s="7">
        <f t="shared" si="4"/>
        <v>90.029629629629625</v>
      </c>
      <c r="HC5" s="7">
        <f t="shared" si="4"/>
        <v>49.454275092936797</v>
      </c>
      <c r="HD5" s="7">
        <f t="shared" si="4"/>
        <v>37.390476190476186</v>
      </c>
      <c r="HE5" s="7">
        <f t="shared" si="4"/>
        <v>66.433333333333337</v>
      </c>
      <c r="HF5" s="7">
        <f t="shared" si="4"/>
        <v>49.600662800331399</v>
      </c>
      <c r="HG5" s="7">
        <f t="shared" si="4"/>
        <v>64.166666666666671</v>
      </c>
      <c r="HH5" s="7">
        <f t="shared" si="4"/>
        <v>57.06666666666667</v>
      </c>
      <c r="HI5" s="7">
        <f t="shared" si="4"/>
        <v>55.970370370370368</v>
      </c>
      <c r="HJ5" s="7">
        <f t="shared" si="4"/>
        <v>57.844444444444441</v>
      </c>
      <c r="HK5" s="7">
        <f t="shared" si="4"/>
        <v>66.808888888888887</v>
      </c>
      <c r="HL5" s="7">
        <f t="shared" si="4"/>
        <v>54.108333333333334</v>
      </c>
      <c r="HM5" s="7">
        <f t="shared" si="4"/>
        <v>35.18333333333333</v>
      </c>
      <c r="HN5" s="7">
        <f t="shared" si="4"/>
        <v>47.123809523809527</v>
      </c>
      <c r="HO5" s="7">
        <f t="shared" si="4"/>
        <v>45.047619047619051</v>
      </c>
      <c r="HP5" s="7">
        <f t="shared" si="4"/>
        <v>90.11666666666666</v>
      </c>
      <c r="HQ5" s="7">
        <f t="shared" si="4"/>
        <v>76.961904761904762</v>
      </c>
      <c r="HR5" s="7">
        <f t="shared" si="4"/>
        <v>95.11666666666666</v>
      </c>
      <c r="HS5" s="7">
        <f t="shared" si="4"/>
        <v>86</v>
      </c>
      <c r="HT5" s="7">
        <f t="shared" ref="HT5:JM5" si="5">+HT4/HT3</f>
        <v>86.97254901960784</v>
      </c>
      <c r="HU5" s="7">
        <f t="shared" si="5"/>
        <v>47.06666666666667</v>
      </c>
      <c r="HV5" s="7">
        <f t="shared" si="5"/>
        <v>69.61666666666666</v>
      </c>
      <c r="HW5" s="7">
        <f t="shared" si="5"/>
        <v>45.028571428571432</v>
      </c>
      <c r="HX5" s="7">
        <f t="shared" si="5"/>
        <v>68.849999999999994</v>
      </c>
      <c r="HY5" s="7">
        <f t="shared" si="5"/>
        <v>54.009523809523813</v>
      </c>
      <c r="HZ5" s="7">
        <f t="shared" si="5"/>
        <v>42.66079295154185</v>
      </c>
      <c r="IA5" s="7">
        <f t="shared" si="5"/>
        <v>73.157984628522627</v>
      </c>
      <c r="IB5" s="7">
        <f t="shared" si="5"/>
        <v>72.45128205128205</v>
      </c>
      <c r="IC5" s="7">
        <f t="shared" si="5"/>
        <v>59.333333333333336</v>
      </c>
      <c r="ID5" s="7">
        <f t="shared" si="5"/>
        <v>65.599999999999994</v>
      </c>
      <c r="IE5" s="7">
        <f t="shared" si="5"/>
        <v>48.897777777777776</v>
      </c>
      <c r="IF5" s="7">
        <f t="shared" si="5"/>
        <v>57.937369519832984</v>
      </c>
      <c r="IG5" s="7">
        <f t="shared" si="5"/>
        <v>71.32380952380953</v>
      </c>
      <c r="IH5" s="7">
        <f t="shared" si="5"/>
        <v>52.32</v>
      </c>
      <c r="II5" s="7">
        <f t="shared" si="5"/>
        <v>66.444444444444443</v>
      </c>
      <c r="IJ5" s="7">
        <f t="shared" si="5"/>
        <v>106.33333333333333</v>
      </c>
      <c r="IK5" s="7">
        <f t="shared" si="5"/>
        <v>84.044444444444451</v>
      </c>
      <c r="IL5" s="7">
        <f t="shared" si="5"/>
        <v>125.76255707762557</v>
      </c>
      <c r="IM5" s="7">
        <f t="shared" si="5"/>
        <v>85.733333333333334</v>
      </c>
      <c r="IN5" s="7">
        <f t="shared" si="5"/>
        <v>45.44736842105263</v>
      </c>
      <c r="IO5" s="7">
        <f t="shared" si="5"/>
        <v>54.684444444444445</v>
      </c>
      <c r="IP5" s="7">
        <f t="shared" si="5"/>
        <v>50.835921674544217</v>
      </c>
      <c r="IQ5" s="7">
        <f t="shared" si="5"/>
        <v>61.004101722723547</v>
      </c>
      <c r="IR5" s="7">
        <f t="shared" si="5"/>
        <v>50.704761904761902</v>
      </c>
      <c r="IS5" s="7">
        <f t="shared" si="5"/>
        <v>74.591259640102834</v>
      </c>
      <c r="IT5" s="7">
        <f t="shared" si="5"/>
        <v>88.43962848297214</v>
      </c>
      <c r="IU5" s="7">
        <f t="shared" si="5"/>
        <v>82.871794871794876</v>
      </c>
      <c r="IV5" s="7">
        <f t="shared" si="5"/>
        <v>97.318007662835242</v>
      </c>
      <c r="IW5" s="7">
        <f t="shared" si="5"/>
        <v>90.840182648401822</v>
      </c>
      <c r="IX5" s="7">
        <f t="shared" si="5"/>
        <v>123.76666666666667</v>
      </c>
      <c r="IY5" s="7">
        <f t="shared" si="5"/>
        <v>100.55555555555556</v>
      </c>
      <c r="IZ5" s="7">
        <f t="shared" si="5"/>
        <v>79.078189300411523</v>
      </c>
      <c r="JA5" s="7">
        <f t="shared" si="5"/>
        <v>79.859259259259261</v>
      </c>
      <c r="JB5" s="7">
        <f t="shared" si="5"/>
        <v>94.63636363636364</v>
      </c>
      <c r="JC5" s="7">
        <f t="shared" si="5"/>
        <v>86.477366255144034</v>
      </c>
      <c r="JD5" s="7">
        <f t="shared" si="5"/>
        <v>73.395744680851067</v>
      </c>
      <c r="JE5" s="7">
        <f t="shared" si="5"/>
        <v>115.05</v>
      </c>
      <c r="JF5" s="7">
        <f t="shared" si="5"/>
        <v>101.73333333333333</v>
      </c>
      <c r="JG5" s="7">
        <f t="shared" si="5"/>
        <v>99.942386831275726</v>
      </c>
      <c r="JH5" s="7">
        <f t="shared" si="5"/>
        <v>110.23293172690764</v>
      </c>
      <c r="JI5" s="7">
        <f t="shared" si="5"/>
        <v>84.516666666666666</v>
      </c>
      <c r="JJ5" s="7">
        <f t="shared" si="5"/>
        <v>99.931818181818187</v>
      </c>
      <c r="JK5" s="7">
        <f t="shared" si="5"/>
        <v>77.359872611464965</v>
      </c>
      <c r="JL5" s="7">
        <f t="shared" si="5"/>
        <v>74.222222222222229</v>
      </c>
      <c r="JM5" s="7">
        <f t="shared" si="5"/>
        <v>117.61904761904762</v>
      </c>
      <c r="JN5" s="47">
        <f>+JN4/JN3</f>
        <v>85.525000000000006</v>
      </c>
      <c r="JO5" s="47">
        <f t="shared" ref="JO5:LZ5" si="6">+JO4/JO3</f>
        <v>85.902222222222221</v>
      </c>
      <c r="JP5" s="47">
        <f t="shared" si="6"/>
        <v>101.29305135951662</v>
      </c>
      <c r="JQ5" s="47">
        <f t="shared" si="6"/>
        <v>100.05418326693226</v>
      </c>
      <c r="JR5" s="47">
        <f t="shared" si="6"/>
        <v>91.67619047619047</v>
      </c>
      <c r="JS5" s="47">
        <f t="shared" si="6"/>
        <v>78.503703703703707</v>
      </c>
      <c r="JT5" s="47">
        <f t="shared" si="6"/>
        <v>86.742857142857147</v>
      </c>
      <c r="JU5" s="47">
        <f t="shared" si="6"/>
        <v>85.4</v>
      </c>
      <c r="JV5" s="47">
        <f t="shared" si="6"/>
        <v>104.11764705882354</v>
      </c>
      <c r="JW5" s="47">
        <f t="shared" si="6"/>
        <v>92.995555555555555</v>
      </c>
      <c r="JX5" s="47">
        <f t="shared" si="6"/>
        <v>96.602582496413191</v>
      </c>
      <c r="JY5" s="47">
        <f t="shared" si="6"/>
        <v>106.15</v>
      </c>
      <c r="JZ5" s="47">
        <f t="shared" si="6"/>
        <v>91.36</v>
      </c>
      <c r="KA5" s="47">
        <f t="shared" si="6"/>
        <v>103.57777777777778</v>
      </c>
      <c r="KB5" s="47">
        <f t="shared" si="6"/>
        <v>130.96666666666667</v>
      </c>
      <c r="KC5" s="47">
        <f t="shared" si="6"/>
        <v>120.4</v>
      </c>
      <c r="KD5" s="47">
        <f t="shared" si="6"/>
        <v>107.99196787148594</v>
      </c>
      <c r="KE5" s="47">
        <f t="shared" si="6"/>
        <v>97.872495446265944</v>
      </c>
      <c r="KF5" s="47">
        <f t="shared" si="6"/>
        <v>99.642991829038337</v>
      </c>
      <c r="KG5" s="47">
        <f t="shared" si="6"/>
        <v>121.9552715654952</v>
      </c>
      <c r="KH5" s="47">
        <f t="shared" si="6"/>
        <v>46.597504924491133</v>
      </c>
      <c r="KI5" s="47">
        <f t="shared" si="6"/>
        <v>123.46493812610487</v>
      </c>
      <c r="KJ5" s="47">
        <f t="shared" si="6"/>
        <v>110.66242038216561</v>
      </c>
      <c r="KK5" s="47">
        <f t="shared" si="6"/>
        <v>122.63677130044843</v>
      </c>
      <c r="KL5" s="47">
        <f t="shared" si="6"/>
        <v>112.76038338658147</v>
      </c>
      <c r="KM5" s="47">
        <f t="shared" si="6"/>
        <v>108.03478260869565</v>
      </c>
      <c r="KN5" s="47">
        <f t="shared" si="6"/>
        <v>93.453333333333333</v>
      </c>
      <c r="KO5" s="47">
        <f t="shared" si="6"/>
        <v>73.400000000000006</v>
      </c>
      <c r="KP5" s="47">
        <f t="shared" si="6"/>
        <v>116.45925925925926</v>
      </c>
      <c r="KQ5" s="47">
        <f t="shared" si="6"/>
        <v>89.837037037037035</v>
      </c>
      <c r="KR5" s="47">
        <f t="shared" si="6"/>
        <v>108.8</v>
      </c>
      <c r="KS5" s="47">
        <f t="shared" si="6"/>
        <v>87.850980392156856</v>
      </c>
      <c r="KT5" s="47">
        <f t="shared" si="6"/>
        <v>84.222222222222229</v>
      </c>
      <c r="KU5" s="47">
        <f t="shared" si="6"/>
        <v>107.18333333333334</v>
      </c>
      <c r="KV5" s="47">
        <f t="shared" si="6"/>
        <v>62.370370370370374</v>
      </c>
      <c r="KW5" s="47">
        <f t="shared" si="6"/>
        <v>117.59333333333333</v>
      </c>
      <c r="KX5" s="47">
        <f t="shared" si="6"/>
        <v>120.78518518518518</v>
      </c>
      <c r="KY5" s="47">
        <f t="shared" si="6"/>
        <v>106.83703703703704</v>
      </c>
      <c r="KZ5" s="47">
        <f t="shared" si="6"/>
        <v>118.94035087719298</v>
      </c>
      <c r="LA5" s="47">
        <f t="shared" si="6"/>
        <v>95.134751773049643</v>
      </c>
      <c r="LB5" s="47">
        <f t="shared" si="6"/>
        <v>65.339325842696638</v>
      </c>
      <c r="LC5" s="47">
        <f t="shared" si="6"/>
        <v>64.13333333333334</v>
      </c>
      <c r="LD5" s="47">
        <f t="shared" si="6"/>
        <v>73.84615384615384</v>
      </c>
      <c r="LE5" s="47">
        <f t="shared" si="6"/>
        <v>78.370106761565836</v>
      </c>
      <c r="LF5" s="47">
        <f t="shared" si="6"/>
        <v>87.652173913043484</v>
      </c>
      <c r="LG5" s="47">
        <f t="shared" si="6"/>
        <v>98.322807017543866</v>
      </c>
      <c r="LH5" s="47">
        <f t="shared" si="6"/>
        <v>65.98930481283422</v>
      </c>
      <c r="LI5" s="47">
        <f t="shared" si="6"/>
        <v>62.702341137123746</v>
      </c>
      <c r="LJ5" s="47">
        <f t="shared" si="6"/>
        <v>88.666666666666671</v>
      </c>
      <c r="LK5" s="47">
        <f t="shared" si="6"/>
        <v>93.782456140350874</v>
      </c>
      <c r="LL5" s="47">
        <f t="shared" si="6"/>
        <v>102.50526315789473</v>
      </c>
      <c r="LM5" s="47">
        <f t="shared" si="6"/>
        <v>108.10526315789474</v>
      </c>
      <c r="LN5" s="47">
        <f t="shared" si="6"/>
        <v>111.83157894736843</v>
      </c>
      <c r="LO5" s="47">
        <f t="shared" si="6"/>
        <v>80.666666666666671</v>
      </c>
      <c r="LP5" s="47">
        <f t="shared" si="6"/>
        <v>64.08</v>
      </c>
      <c r="LQ5" s="47">
        <f t="shared" si="6"/>
        <v>73.349999999999994</v>
      </c>
      <c r="LR5" s="47">
        <f t="shared" si="6"/>
        <v>114.35087719298245</v>
      </c>
      <c r="LS5" s="47">
        <f t="shared" si="6"/>
        <v>77.424561403508775</v>
      </c>
      <c r="LT5" s="47">
        <f t="shared" si="6"/>
        <v>101.87368421052632</v>
      </c>
      <c r="LU5" s="47">
        <f t="shared" si="6"/>
        <v>98.826035502958575</v>
      </c>
      <c r="LV5" s="47">
        <f t="shared" si="6"/>
        <v>82.509803921568633</v>
      </c>
      <c r="LW5" s="47">
        <f t="shared" si="6"/>
        <v>116.45333333333333</v>
      </c>
      <c r="LX5" s="47">
        <f t="shared" si="6"/>
        <v>71.38333333333334</v>
      </c>
      <c r="LY5" s="47">
        <f t="shared" si="6"/>
        <v>127.74814814814815</v>
      </c>
      <c r="LZ5" s="47">
        <f t="shared" si="6"/>
        <v>124.07407407407408</v>
      </c>
      <c r="MA5" s="47">
        <f t="shared" ref="MA5:NC5" si="7">+MA4/MA3</f>
        <v>133.5843137254902</v>
      </c>
      <c r="MB5" s="47">
        <f t="shared" si="7"/>
        <v>88.792156862745102</v>
      </c>
      <c r="MC5" s="47">
        <f t="shared" si="7"/>
        <v>114.96847414880203</v>
      </c>
      <c r="MD5" s="47">
        <f t="shared" si="7"/>
        <v>73</v>
      </c>
      <c r="ME5" s="47">
        <f t="shared" si="7"/>
        <v>86.459259259259255</v>
      </c>
      <c r="MF5" s="47">
        <f t="shared" si="7"/>
        <v>105.3569249542404</v>
      </c>
      <c r="MG5" s="47">
        <f t="shared" si="7"/>
        <v>121.6</v>
      </c>
      <c r="MH5" s="47">
        <f t="shared" si="7"/>
        <v>112.99194048357097</v>
      </c>
      <c r="MI5" s="47">
        <f t="shared" si="7"/>
        <v>117.62883845126835</v>
      </c>
      <c r="MJ5" s="47">
        <f t="shared" si="7"/>
        <v>118.54723582925124</v>
      </c>
      <c r="MK5" s="47">
        <f t="shared" si="7"/>
        <v>189.10476190476192</v>
      </c>
      <c r="ML5" s="47">
        <f t="shared" si="7"/>
        <v>79.416666666666671</v>
      </c>
      <c r="MM5" s="47">
        <f t="shared" si="7"/>
        <v>147.45549738219896</v>
      </c>
      <c r="MN5" s="47">
        <f t="shared" si="7"/>
        <v>160.8088888888889</v>
      </c>
      <c r="MO5" s="47">
        <f t="shared" si="7"/>
        <v>122.24166666666666</v>
      </c>
      <c r="MP5" s="47">
        <f t="shared" si="7"/>
        <v>91.791666666666671</v>
      </c>
      <c r="MQ5" s="47">
        <f t="shared" si="7"/>
        <v>101.90193164933136</v>
      </c>
      <c r="MR5" s="47">
        <f t="shared" si="7"/>
        <v>105.89268292682927</v>
      </c>
      <c r="MS5" s="47">
        <f t="shared" si="7"/>
        <v>113.1</v>
      </c>
      <c r="MT5" s="47">
        <f t="shared" si="7"/>
        <v>77.451851851851856</v>
      </c>
      <c r="MU5" s="47">
        <f t="shared" si="7"/>
        <v>81.049275362318838</v>
      </c>
      <c r="MV5" s="47">
        <f t="shared" si="7"/>
        <v>72.916666666666671</v>
      </c>
      <c r="MW5" s="47">
        <f t="shared" si="7"/>
        <v>69.825641025641019</v>
      </c>
      <c r="MX5" s="47">
        <f t="shared" si="7"/>
        <v>60.815686274509801</v>
      </c>
      <c r="MY5" s="47">
        <f t="shared" si="7"/>
        <v>57.83367139959433</v>
      </c>
      <c r="MZ5" s="47">
        <f t="shared" si="7"/>
        <v>68.62222222222222</v>
      </c>
      <c r="NA5" s="47">
        <f t="shared" si="7"/>
        <v>136.16140350877194</v>
      </c>
      <c r="NB5" s="47">
        <f t="shared" si="7"/>
        <v>124.68725868725869</v>
      </c>
      <c r="NC5" s="47">
        <f t="shared" si="7"/>
        <v>109.4</v>
      </c>
    </row>
    <row r="6" spans="1:367">
      <c r="JU6" s="47"/>
      <c r="LK6" s="20"/>
      <c r="MT6" s="20"/>
    </row>
    <row r="7" spans="1:367">
      <c r="A7" s="10" t="s">
        <v>57</v>
      </c>
      <c r="B7" s="10" t="s">
        <v>56</v>
      </c>
      <c r="C7" s="11">
        <v>46023</v>
      </c>
      <c r="D7" s="11">
        <f>+C7+1</f>
        <v>46024</v>
      </c>
      <c r="E7" s="11">
        <f t="shared" ref="E7:BP7" si="8">+D7+1</f>
        <v>46025</v>
      </c>
      <c r="F7" s="11">
        <f t="shared" si="8"/>
        <v>46026</v>
      </c>
      <c r="G7" s="11">
        <f t="shared" si="8"/>
        <v>46027</v>
      </c>
      <c r="H7" s="11">
        <f t="shared" si="8"/>
        <v>46028</v>
      </c>
      <c r="I7" s="11">
        <f t="shared" si="8"/>
        <v>46029</v>
      </c>
      <c r="J7" s="11">
        <f t="shared" si="8"/>
        <v>46030</v>
      </c>
      <c r="K7" s="11">
        <f t="shared" si="8"/>
        <v>46031</v>
      </c>
      <c r="L7" s="11">
        <f t="shared" si="8"/>
        <v>46032</v>
      </c>
      <c r="M7" s="11">
        <f t="shared" si="8"/>
        <v>46033</v>
      </c>
      <c r="N7" s="11">
        <f t="shared" si="8"/>
        <v>46034</v>
      </c>
      <c r="O7" s="11">
        <f t="shared" si="8"/>
        <v>46035</v>
      </c>
      <c r="P7" s="11">
        <f t="shared" si="8"/>
        <v>46036</v>
      </c>
      <c r="Q7" s="11">
        <f t="shared" si="8"/>
        <v>46037</v>
      </c>
      <c r="R7" s="11">
        <f t="shared" si="8"/>
        <v>46038</v>
      </c>
      <c r="S7" s="11">
        <f t="shared" si="8"/>
        <v>46039</v>
      </c>
      <c r="T7" s="11">
        <f t="shared" si="8"/>
        <v>46040</v>
      </c>
      <c r="U7" s="11">
        <f t="shared" si="8"/>
        <v>46041</v>
      </c>
      <c r="V7" s="11">
        <f t="shared" si="8"/>
        <v>46042</v>
      </c>
      <c r="W7" s="11">
        <f t="shared" si="8"/>
        <v>46043</v>
      </c>
      <c r="X7" s="11">
        <f t="shared" si="8"/>
        <v>46044</v>
      </c>
      <c r="Y7" s="11">
        <f t="shared" si="8"/>
        <v>46045</v>
      </c>
      <c r="Z7" s="11">
        <f t="shared" si="8"/>
        <v>46046</v>
      </c>
      <c r="AA7" s="11">
        <f t="shared" si="8"/>
        <v>46047</v>
      </c>
      <c r="AB7" s="11">
        <f t="shared" si="8"/>
        <v>46048</v>
      </c>
      <c r="AC7" s="11">
        <f t="shared" si="8"/>
        <v>46049</v>
      </c>
      <c r="AD7" s="11">
        <f t="shared" si="8"/>
        <v>46050</v>
      </c>
      <c r="AE7" s="11">
        <f t="shared" si="8"/>
        <v>46051</v>
      </c>
      <c r="AF7" s="11">
        <f t="shared" si="8"/>
        <v>46052</v>
      </c>
      <c r="AG7" s="11">
        <f t="shared" si="8"/>
        <v>46053</v>
      </c>
      <c r="AH7" s="11">
        <f t="shared" si="8"/>
        <v>46054</v>
      </c>
      <c r="AI7" s="11">
        <f t="shared" si="8"/>
        <v>46055</v>
      </c>
      <c r="AJ7" s="11">
        <f t="shared" si="8"/>
        <v>46056</v>
      </c>
      <c r="AK7" s="11">
        <f t="shared" si="8"/>
        <v>46057</v>
      </c>
      <c r="AL7" s="11">
        <f t="shared" si="8"/>
        <v>46058</v>
      </c>
      <c r="AM7" s="11">
        <f t="shared" si="8"/>
        <v>46059</v>
      </c>
      <c r="AN7" s="11">
        <f t="shared" si="8"/>
        <v>46060</v>
      </c>
      <c r="AO7" s="11">
        <f t="shared" si="8"/>
        <v>46061</v>
      </c>
      <c r="AP7" s="11">
        <f t="shared" si="8"/>
        <v>46062</v>
      </c>
      <c r="AQ7" s="11">
        <f t="shared" si="8"/>
        <v>46063</v>
      </c>
      <c r="AR7" s="11">
        <f t="shared" si="8"/>
        <v>46064</v>
      </c>
      <c r="AS7" s="11">
        <f t="shared" si="8"/>
        <v>46065</v>
      </c>
      <c r="AT7" s="11">
        <f t="shared" si="8"/>
        <v>46066</v>
      </c>
      <c r="AU7" s="11">
        <f t="shared" si="8"/>
        <v>46067</v>
      </c>
      <c r="AV7" s="11">
        <f t="shared" si="8"/>
        <v>46068</v>
      </c>
      <c r="AW7" s="11">
        <f t="shared" si="8"/>
        <v>46069</v>
      </c>
      <c r="AX7" s="11">
        <f t="shared" si="8"/>
        <v>46070</v>
      </c>
      <c r="AY7" s="11">
        <f t="shared" si="8"/>
        <v>46071</v>
      </c>
      <c r="AZ7" s="11">
        <f t="shared" si="8"/>
        <v>46072</v>
      </c>
      <c r="BA7" s="11">
        <f t="shared" si="8"/>
        <v>46073</v>
      </c>
      <c r="BB7" s="11">
        <f t="shared" si="8"/>
        <v>46074</v>
      </c>
      <c r="BC7" s="11">
        <f t="shared" si="8"/>
        <v>46075</v>
      </c>
      <c r="BD7" s="11">
        <f t="shared" si="8"/>
        <v>46076</v>
      </c>
      <c r="BE7" s="11">
        <f t="shared" si="8"/>
        <v>46077</v>
      </c>
      <c r="BF7" s="11">
        <f t="shared" si="8"/>
        <v>46078</v>
      </c>
      <c r="BG7" s="11">
        <f t="shared" si="8"/>
        <v>46079</v>
      </c>
      <c r="BH7" s="11">
        <f t="shared" si="8"/>
        <v>46080</v>
      </c>
      <c r="BI7" s="11">
        <f t="shared" si="8"/>
        <v>46081</v>
      </c>
      <c r="BJ7" s="11">
        <f t="shared" si="8"/>
        <v>46082</v>
      </c>
      <c r="BK7" s="11">
        <f t="shared" si="8"/>
        <v>46083</v>
      </c>
      <c r="BL7" s="11">
        <f t="shared" si="8"/>
        <v>46084</v>
      </c>
      <c r="BM7" s="11">
        <f t="shared" si="8"/>
        <v>46085</v>
      </c>
      <c r="BN7" s="11">
        <f t="shared" si="8"/>
        <v>46086</v>
      </c>
      <c r="BO7" s="11">
        <f t="shared" si="8"/>
        <v>46087</v>
      </c>
      <c r="BP7" s="11">
        <f t="shared" si="8"/>
        <v>46088</v>
      </c>
      <c r="BQ7" s="11">
        <f t="shared" ref="BQ7:EB7" si="9">+BP7+1</f>
        <v>46089</v>
      </c>
      <c r="BR7" s="11">
        <f t="shared" si="9"/>
        <v>46090</v>
      </c>
      <c r="BS7" s="11">
        <f t="shared" si="9"/>
        <v>46091</v>
      </c>
      <c r="BT7" s="11">
        <f t="shared" si="9"/>
        <v>46092</v>
      </c>
      <c r="BU7" s="11">
        <f t="shared" si="9"/>
        <v>46093</v>
      </c>
      <c r="BV7" s="11">
        <f t="shared" si="9"/>
        <v>46094</v>
      </c>
      <c r="BW7" s="11">
        <f t="shared" si="9"/>
        <v>46095</v>
      </c>
      <c r="BX7" s="11">
        <f t="shared" si="9"/>
        <v>46096</v>
      </c>
      <c r="BY7" s="11">
        <f t="shared" si="9"/>
        <v>46097</v>
      </c>
      <c r="BZ7" s="11">
        <f t="shared" si="9"/>
        <v>46098</v>
      </c>
      <c r="CA7" s="11">
        <f t="shared" si="9"/>
        <v>46099</v>
      </c>
      <c r="CB7" s="11">
        <f t="shared" si="9"/>
        <v>46100</v>
      </c>
      <c r="CC7" s="11">
        <f t="shared" si="9"/>
        <v>46101</v>
      </c>
      <c r="CD7" s="11">
        <f t="shared" si="9"/>
        <v>46102</v>
      </c>
      <c r="CE7" s="11">
        <f t="shared" si="9"/>
        <v>46103</v>
      </c>
      <c r="CF7" s="11">
        <f t="shared" si="9"/>
        <v>46104</v>
      </c>
      <c r="CG7" s="11">
        <f t="shared" si="9"/>
        <v>46105</v>
      </c>
      <c r="CH7" s="11">
        <f t="shared" si="9"/>
        <v>46106</v>
      </c>
      <c r="CI7" s="11">
        <f t="shared" si="9"/>
        <v>46107</v>
      </c>
      <c r="CJ7" s="11">
        <f t="shared" si="9"/>
        <v>46108</v>
      </c>
      <c r="CK7" s="11">
        <f t="shared" si="9"/>
        <v>46109</v>
      </c>
      <c r="CL7" s="11">
        <f t="shared" si="9"/>
        <v>46110</v>
      </c>
      <c r="CM7" s="11">
        <f t="shared" si="9"/>
        <v>46111</v>
      </c>
      <c r="CN7" s="11">
        <f t="shared" si="9"/>
        <v>46112</v>
      </c>
      <c r="CO7" s="11">
        <f t="shared" si="9"/>
        <v>46113</v>
      </c>
      <c r="CP7" s="11">
        <f t="shared" si="9"/>
        <v>46114</v>
      </c>
      <c r="CQ7" s="11">
        <f t="shared" si="9"/>
        <v>46115</v>
      </c>
      <c r="CR7" s="11">
        <f t="shared" si="9"/>
        <v>46116</v>
      </c>
      <c r="CS7" s="11">
        <f t="shared" si="9"/>
        <v>46117</v>
      </c>
      <c r="CT7" s="11">
        <f t="shared" si="9"/>
        <v>46118</v>
      </c>
      <c r="CU7" s="11">
        <f t="shared" si="9"/>
        <v>46119</v>
      </c>
      <c r="CV7" s="11">
        <f t="shared" si="9"/>
        <v>46120</v>
      </c>
      <c r="CW7" s="11">
        <f t="shared" si="9"/>
        <v>46121</v>
      </c>
      <c r="CX7" s="11">
        <f t="shared" si="9"/>
        <v>46122</v>
      </c>
      <c r="CY7" s="11">
        <f t="shared" si="9"/>
        <v>46123</v>
      </c>
      <c r="CZ7" s="11">
        <f t="shared" si="9"/>
        <v>46124</v>
      </c>
      <c r="DA7" s="11">
        <f t="shared" si="9"/>
        <v>46125</v>
      </c>
      <c r="DB7" s="11">
        <f t="shared" si="9"/>
        <v>46126</v>
      </c>
      <c r="DC7" s="11">
        <f t="shared" si="9"/>
        <v>46127</v>
      </c>
      <c r="DD7" s="11">
        <f t="shared" si="9"/>
        <v>46128</v>
      </c>
      <c r="DE7" s="11">
        <f t="shared" si="9"/>
        <v>46129</v>
      </c>
      <c r="DF7" s="11">
        <f t="shared" si="9"/>
        <v>46130</v>
      </c>
      <c r="DG7" s="11">
        <f t="shared" si="9"/>
        <v>46131</v>
      </c>
      <c r="DH7" s="11">
        <f t="shared" si="9"/>
        <v>46132</v>
      </c>
      <c r="DI7" s="11">
        <f t="shared" si="9"/>
        <v>46133</v>
      </c>
      <c r="DJ7" s="11">
        <f t="shared" si="9"/>
        <v>46134</v>
      </c>
      <c r="DK7" s="11">
        <f t="shared" si="9"/>
        <v>46135</v>
      </c>
      <c r="DL7" s="11">
        <f t="shared" si="9"/>
        <v>46136</v>
      </c>
      <c r="DM7" s="11">
        <f t="shared" si="9"/>
        <v>46137</v>
      </c>
      <c r="DN7" s="11">
        <f t="shared" si="9"/>
        <v>46138</v>
      </c>
      <c r="DO7" s="11">
        <f t="shared" si="9"/>
        <v>46139</v>
      </c>
      <c r="DP7" s="11">
        <f t="shared" si="9"/>
        <v>46140</v>
      </c>
      <c r="DQ7" s="11">
        <f t="shared" si="9"/>
        <v>46141</v>
      </c>
      <c r="DR7" s="11">
        <f t="shared" si="9"/>
        <v>46142</v>
      </c>
      <c r="DS7" s="11">
        <f t="shared" si="9"/>
        <v>46143</v>
      </c>
      <c r="DT7" s="11">
        <f t="shared" si="9"/>
        <v>46144</v>
      </c>
      <c r="DU7" s="11">
        <f t="shared" si="9"/>
        <v>46145</v>
      </c>
      <c r="DV7" s="11">
        <f t="shared" si="9"/>
        <v>46146</v>
      </c>
      <c r="DW7" s="11">
        <f t="shared" si="9"/>
        <v>46147</v>
      </c>
      <c r="DX7" s="11">
        <f t="shared" si="9"/>
        <v>46148</v>
      </c>
      <c r="DY7" s="11">
        <f t="shared" si="9"/>
        <v>46149</v>
      </c>
      <c r="DZ7" s="11">
        <f t="shared" si="9"/>
        <v>46150</v>
      </c>
      <c r="EA7" s="11">
        <f t="shared" si="9"/>
        <v>46151</v>
      </c>
      <c r="EB7" s="11">
        <f t="shared" si="9"/>
        <v>46152</v>
      </c>
      <c r="EC7" s="11">
        <f t="shared" ref="EC7:GN7" si="10">+EB7+1</f>
        <v>46153</v>
      </c>
      <c r="ED7" s="11">
        <f t="shared" si="10"/>
        <v>46154</v>
      </c>
      <c r="EE7" s="11">
        <f t="shared" si="10"/>
        <v>46155</v>
      </c>
      <c r="EF7" s="11">
        <f t="shared" si="10"/>
        <v>46156</v>
      </c>
      <c r="EG7" s="11">
        <f t="shared" si="10"/>
        <v>46157</v>
      </c>
      <c r="EH7" s="11">
        <f t="shared" si="10"/>
        <v>46158</v>
      </c>
      <c r="EI7" s="11">
        <f t="shared" si="10"/>
        <v>46159</v>
      </c>
      <c r="EJ7" s="11">
        <f t="shared" si="10"/>
        <v>46160</v>
      </c>
      <c r="EK7" s="11">
        <f t="shared" si="10"/>
        <v>46161</v>
      </c>
      <c r="EL7" s="11">
        <f t="shared" si="10"/>
        <v>46162</v>
      </c>
      <c r="EM7" s="11">
        <f t="shared" si="10"/>
        <v>46163</v>
      </c>
      <c r="EN7" s="11">
        <f t="shared" si="10"/>
        <v>46164</v>
      </c>
      <c r="EO7" s="11">
        <f t="shared" si="10"/>
        <v>46165</v>
      </c>
      <c r="EP7" s="11">
        <f t="shared" si="10"/>
        <v>46166</v>
      </c>
      <c r="EQ7" s="11">
        <f t="shared" si="10"/>
        <v>46167</v>
      </c>
      <c r="ER7" s="11">
        <f t="shared" si="10"/>
        <v>46168</v>
      </c>
      <c r="ES7" s="11">
        <f t="shared" si="10"/>
        <v>46169</v>
      </c>
      <c r="ET7" s="11">
        <f t="shared" si="10"/>
        <v>46170</v>
      </c>
      <c r="EU7" s="11">
        <f t="shared" si="10"/>
        <v>46171</v>
      </c>
      <c r="EV7" s="11">
        <f t="shared" si="10"/>
        <v>46172</v>
      </c>
      <c r="EW7" s="11">
        <f t="shared" si="10"/>
        <v>46173</v>
      </c>
      <c r="EX7" s="11">
        <f t="shared" si="10"/>
        <v>46174</v>
      </c>
      <c r="EY7" s="11">
        <f t="shared" si="10"/>
        <v>46175</v>
      </c>
      <c r="EZ7" s="11">
        <f t="shared" si="10"/>
        <v>46176</v>
      </c>
      <c r="FA7" s="11">
        <f t="shared" si="10"/>
        <v>46177</v>
      </c>
      <c r="FB7" s="11">
        <f t="shared" si="10"/>
        <v>46178</v>
      </c>
      <c r="FC7" s="11">
        <f t="shared" si="10"/>
        <v>46179</v>
      </c>
      <c r="FD7" s="11">
        <f t="shared" si="10"/>
        <v>46180</v>
      </c>
      <c r="FE7" s="11">
        <f t="shared" si="10"/>
        <v>46181</v>
      </c>
      <c r="FF7" s="11">
        <f t="shared" si="10"/>
        <v>46182</v>
      </c>
      <c r="FG7" s="11">
        <f t="shared" si="10"/>
        <v>46183</v>
      </c>
      <c r="FH7" s="11">
        <f t="shared" si="10"/>
        <v>46184</v>
      </c>
      <c r="FI7" s="11">
        <f t="shared" si="10"/>
        <v>46185</v>
      </c>
      <c r="FJ7" s="11">
        <f t="shared" si="10"/>
        <v>46186</v>
      </c>
      <c r="FK7" s="11">
        <f t="shared" si="10"/>
        <v>46187</v>
      </c>
      <c r="FL7" s="11">
        <f t="shared" si="10"/>
        <v>46188</v>
      </c>
      <c r="FM7" s="11">
        <f t="shared" si="10"/>
        <v>46189</v>
      </c>
      <c r="FN7" s="11">
        <f t="shared" si="10"/>
        <v>46190</v>
      </c>
      <c r="FO7" s="11">
        <f t="shared" si="10"/>
        <v>46191</v>
      </c>
      <c r="FP7" s="11">
        <f t="shared" si="10"/>
        <v>46192</v>
      </c>
      <c r="FQ7" s="11">
        <f t="shared" si="10"/>
        <v>46193</v>
      </c>
      <c r="FR7" s="11">
        <f t="shared" si="10"/>
        <v>46194</v>
      </c>
      <c r="FS7" s="11">
        <f t="shared" si="10"/>
        <v>46195</v>
      </c>
      <c r="FT7" s="11">
        <f t="shared" si="10"/>
        <v>46196</v>
      </c>
      <c r="FU7" s="11">
        <f t="shared" si="10"/>
        <v>46197</v>
      </c>
      <c r="FV7" s="11">
        <f t="shared" si="10"/>
        <v>46198</v>
      </c>
      <c r="FW7" s="11">
        <f t="shared" si="10"/>
        <v>46199</v>
      </c>
      <c r="FX7" s="11">
        <f t="shared" si="10"/>
        <v>46200</v>
      </c>
      <c r="FY7" s="11">
        <f t="shared" si="10"/>
        <v>46201</v>
      </c>
      <c r="FZ7" s="11">
        <f t="shared" si="10"/>
        <v>46202</v>
      </c>
      <c r="GA7" s="11">
        <f t="shared" si="10"/>
        <v>46203</v>
      </c>
      <c r="GB7" s="11">
        <f t="shared" si="10"/>
        <v>46204</v>
      </c>
      <c r="GC7" s="11">
        <f t="shared" si="10"/>
        <v>46205</v>
      </c>
      <c r="GD7" s="11">
        <f t="shared" si="10"/>
        <v>46206</v>
      </c>
      <c r="GE7" s="11">
        <f t="shared" si="10"/>
        <v>46207</v>
      </c>
      <c r="GF7" s="11">
        <f t="shared" si="10"/>
        <v>46208</v>
      </c>
      <c r="GG7" s="11">
        <f t="shared" si="10"/>
        <v>46209</v>
      </c>
      <c r="GH7" s="11">
        <f t="shared" si="10"/>
        <v>46210</v>
      </c>
      <c r="GI7" s="11">
        <f t="shared" si="10"/>
        <v>46211</v>
      </c>
      <c r="GJ7" s="11">
        <f t="shared" si="10"/>
        <v>46212</v>
      </c>
      <c r="GK7" s="11">
        <f t="shared" si="10"/>
        <v>46213</v>
      </c>
      <c r="GL7" s="11">
        <f t="shared" si="10"/>
        <v>46214</v>
      </c>
      <c r="GM7" s="11">
        <f t="shared" si="10"/>
        <v>46215</v>
      </c>
      <c r="GN7" s="11">
        <f t="shared" si="10"/>
        <v>46216</v>
      </c>
      <c r="GO7" s="11">
        <f t="shared" ref="GO7:IZ7" si="11">+GN7+1</f>
        <v>46217</v>
      </c>
      <c r="GP7" s="11">
        <f t="shared" si="11"/>
        <v>46218</v>
      </c>
      <c r="GQ7" s="11">
        <f t="shared" si="11"/>
        <v>46219</v>
      </c>
      <c r="GR7" s="11">
        <f t="shared" si="11"/>
        <v>46220</v>
      </c>
      <c r="GS7" s="11">
        <f t="shared" si="11"/>
        <v>46221</v>
      </c>
      <c r="GT7" s="11">
        <f t="shared" si="11"/>
        <v>46222</v>
      </c>
      <c r="GU7" s="11">
        <f t="shared" si="11"/>
        <v>46223</v>
      </c>
      <c r="GV7" s="11">
        <f t="shared" si="11"/>
        <v>46224</v>
      </c>
      <c r="GW7" s="11">
        <f t="shared" si="11"/>
        <v>46225</v>
      </c>
      <c r="GX7" s="11">
        <f t="shared" si="11"/>
        <v>46226</v>
      </c>
      <c r="GY7" s="11">
        <f t="shared" si="11"/>
        <v>46227</v>
      </c>
      <c r="GZ7" s="11">
        <f t="shared" si="11"/>
        <v>46228</v>
      </c>
      <c r="HA7" s="11">
        <f t="shared" si="11"/>
        <v>46229</v>
      </c>
      <c r="HB7" s="11">
        <f t="shared" si="11"/>
        <v>46230</v>
      </c>
      <c r="HC7" s="11">
        <f t="shared" si="11"/>
        <v>46231</v>
      </c>
      <c r="HD7" s="11">
        <f t="shared" si="11"/>
        <v>46232</v>
      </c>
      <c r="HE7" s="11">
        <f t="shared" si="11"/>
        <v>46233</v>
      </c>
      <c r="HF7" s="11">
        <f t="shared" si="11"/>
        <v>46234</v>
      </c>
      <c r="HG7" s="11">
        <f t="shared" si="11"/>
        <v>46235</v>
      </c>
      <c r="HH7" s="11">
        <f t="shared" si="11"/>
        <v>46236</v>
      </c>
      <c r="HI7" s="11">
        <f t="shared" si="11"/>
        <v>46237</v>
      </c>
      <c r="HJ7" s="11">
        <f t="shared" si="11"/>
        <v>46238</v>
      </c>
      <c r="HK7" s="11">
        <f t="shared" si="11"/>
        <v>46239</v>
      </c>
      <c r="HL7" s="11">
        <f t="shared" si="11"/>
        <v>46240</v>
      </c>
      <c r="HM7" s="11">
        <f t="shared" si="11"/>
        <v>46241</v>
      </c>
      <c r="HN7" s="11">
        <f t="shared" si="11"/>
        <v>46242</v>
      </c>
      <c r="HO7" s="11">
        <f t="shared" si="11"/>
        <v>46243</v>
      </c>
      <c r="HP7" s="11">
        <f t="shared" si="11"/>
        <v>46244</v>
      </c>
      <c r="HQ7" s="11">
        <f t="shared" si="11"/>
        <v>46245</v>
      </c>
      <c r="HR7" s="11">
        <f t="shared" si="11"/>
        <v>46246</v>
      </c>
      <c r="HS7" s="11">
        <f t="shared" si="11"/>
        <v>46247</v>
      </c>
      <c r="HT7" s="11">
        <f t="shared" si="11"/>
        <v>46248</v>
      </c>
      <c r="HU7" s="11">
        <f t="shared" si="11"/>
        <v>46249</v>
      </c>
      <c r="HV7" s="11">
        <f t="shared" si="11"/>
        <v>46250</v>
      </c>
      <c r="HW7" s="11">
        <f t="shared" si="11"/>
        <v>46251</v>
      </c>
      <c r="HX7" s="11">
        <f t="shared" si="11"/>
        <v>46252</v>
      </c>
      <c r="HY7" s="11">
        <f t="shared" si="11"/>
        <v>46253</v>
      </c>
      <c r="HZ7" s="11">
        <f t="shared" si="11"/>
        <v>46254</v>
      </c>
      <c r="IA7" s="11">
        <f t="shared" si="11"/>
        <v>46255</v>
      </c>
      <c r="IB7" s="11">
        <f t="shared" si="11"/>
        <v>46256</v>
      </c>
      <c r="IC7" s="11">
        <f t="shared" si="11"/>
        <v>46257</v>
      </c>
      <c r="ID7" s="11">
        <f t="shared" si="11"/>
        <v>46258</v>
      </c>
      <c r="IE7" s="11">
        <f t="shared" si="11"/>
        <v>46259</v>
      </c>
      <c r="IF7" s="11">
        <f t="shared" si="11"/>
        <v>46260</v>
      </c>
      <c r="IG7" s="11">
        <f t="shared" si="11"/>
        <v>46261</v>
      </c>
      <c r="IH7" s="11">
        <f t="shared" si="11"/>
        <v>46262</v>
      </c>
      <c r="II7" s="11">
        <f t="shared" si="11"/>
        <v>46263</v>
      </c>
      <c r="IJ7" s="11">
        <f t="shared" si="11"/>
        <v>46264</v>
      </c>
      <c r="IK7" s="11">
        <f t="shared" si="11"/>
        <v>46265</v>
      </c>
      <c r="IL7" s="11">
        <f t="shared" si="11"/>
        <v>46266</v>
      </c>
      <c r="IM7" s="11">
        <f t="shared" si="11"/>
        <v>46267</v>
      </c>
      <c r="IN7" s="11">
        <f t="shared" si="11"/>
        <v>46268</v>
      </c>
      <c r="IO7" s="11">
        <f t="shared" si="11"/>
        <v>46269</v>
      </c>
      <c r="IP7" s="11">
        <f t="shared" si="11"/>
        <v>46270</v>
      </c>
      <c r="IQ7" s="11">
        <f t="shared" si="11"/>
        <v>46271</v>
      </c>
      <c r="IR7" s="11">
        <f t="shared" si="11"/>
        <v>46272</v>
      </c>
      <c r="IS7" s="11">
        <f t="shared" si="11"/>
        <v>46273</v>
      </c>
      <c r="IT7" s="11">
        <f t="shared" si="11"/>
        <v>46274</v>
      </c>
      <c r="IU7" s="11">
        <f t="shared" si="11"/>
        <v>46275</v>
      </c>
      <c r="IV7" s="11">
        <f t="shared" si="11"/>
        <v>46276</v>
      </c>
      <c r="IW7" s="11">
        <f t="shared" si="11"/>
        <v>46277</v>
      </c>
      <c r="IX7" s="11">
        <f t="shared" si="11"/>
        <v>46278</v>
      </c>
      <c r="IY7" s="11">
        <f t="shared" si="11"/>
        <v>46279</v>
      </c>
      <c r="IZ7" s="11">
        <f t="shared" si="11"/>
        <v>46280</v>
      </c>
      <c r="JA7" s="11">
        <f t="shared" ref="JA7:LL7" si="12">+IZ7+1</f>
        <v>46281</v>
      </c>
      <c r="JB7" s="11">
        <f t="shared" si="12"/>
        <v>46282</v>
      </c>
      <c r="JC7" s="11">
        <f t="shared" si="12"/>
        <v>46283</v>
      </c>
      <c r="JD7" s="11">
        <f t="shared" si="12"/>
        <v>46284</v>
      </c>
      <c r="JE7" s="11">
        <f t="shared" si="12"/>
        <v>46285</v>
      </c>
      <c r="JF7" s="11">
        <f t="shared" si="12"/>
        <v>46286</v>
      </c>
      <c r="JG7" s="11">
        <f t="shared" si="12"/>
        <v>46287</v>
      </c>
      <c r="JH7" s="11">
        <f t="shared" si="12"/>
        <v>46288</v>
      </c>
      <c r="JI7" s="11">
        <f t="shared" si="12"/>
        <v>46289</v>
      </c>
      <c r="JJ7" s="11">
        <f t="shared" si="12"/>
        <v>46290</v>
      </c>
      <c r="JK7" s="11">
        <f t="shared" si="12"/>
        <v>46291</v>
      </c>
      <c r="JL7" s="11">
        <f t="shared" si="12"/>
        <v>46292</v>
      </c>
      <c r="JM7" s="11">
        <f t="shared" si="12"/>
        <v>46293</v>
      </c>
      <c r="JN7" s="11">
        <f t="shared" si="12"/>
        <v>46294</v>
      </c>
      <c r="JO7" s="11">
        <f t="shared" si="12"/>
        <v>46295</v>
      </c>
      <c r="JP7" s="11">
        <f t="shared" si="12"/>
        <v>46296</v>
      </c>
      <c r="JQ7" s="11">
        <f t="shared" si="12"/>
        <v>46297</v>
      </c>
      <c r="JR7" s="11">
        <f t="shared" si="12"/>
        <v>46298</v>
      </c>
      <c r="JS7" s="11">
        <f t="shared" si="12"/>
        <v>46299</v>
      </c>
      <c r="JT7" s="11">
        <f t="shared" si="12"/>
        <v>46300</v>
      </c>
      <c r="JU7" s="11">
        <f t="shared" si="12"/>
        <v>46301</v>
      </c>
      <c r="JV7" s="11">
        <f t="shared" si="12"/>
        <v>46302</v>
      </c>
      <c r="JW7" s="11">
        <f t="shared" si="12"/>
        <v>46303</v>
      </c>
      <c r="JX7" s="11">
        <f t="shared" si="12"/>
        <v>46304</v>
      </c>
      <c r="JY7" s="11">
        <f t="shared" si="12"/>
        <v>46305</v>
      </c>
      <c r="JZ7" s="11">
        <f t="shared" si="12"/>
        <v>46306</v>
      </c>
      <c r="KA7" s="11">
        <f t="shared" si="12"/>
        <v>46307</v>
      </c>
      <c r="KB7" s="11">
        <f t="shared" si="12"/>
        <v>46308</v>
      </c>
      <c r="KC7" s="11">
        <f t="shared" si="12"/>
        <v>46309</v>
      </c>
      <c r="KD7" s="11">
        <f t="shared" si="12"/>
        <v>46310</v>
      </c>
      <c r="KE7" s="11">
        <f t="shared" si="12"/>
        <v>46311</v>
      </c>
      <c r="KF7" s="11">
        <f t="shared" si="12"/>
        <v>46312</v>
      </c>
      <c r="KG7" s="11">
        <f t="shared" si="12"/>
        <v>46313</v>
      </c>
      <c r="KH7" s="11">
        <f t="shared" si="12"/>
        <v>46314</v>
      </c>
      <c r="KI7" s="11">
        <f t="shared" si="12"/>
        <v>46315</v>
      </c>
      <c r="KJ7" s="11">
        <f t="shared" si="12"/>
        <v>46316</v>
      </c>
      <c r="KK7" s="11">
        <f t="shared" si="12"/>
        <v>46317</v>
      </c>
      <c r="KL7" s="11">
        <f t="shared" si="12"/>
        <v>46318</v>
      </c>
      <c r="KM7" s="11">
        <f t="shared" si="12"/>
        <v>46319</v>
      </c>
      <c r="KN7" s="11">
        <f t="shared" si="12"/>
        <v>46320</v>
      </c>
      <c r="KO7" s="11">
        <f t="shared" si="12"/>
        <v>46321</v>
      </c>
      <c r="KP7" s="11">
        <f t="shared" si="12"/>
        <v>46322</v>
      </c>
      <c r="KQ7" s="11">
        <f t="shared" si="12"/>
        <v>46323</v>
      </c>
      <c r="KR7" s="11">
        <f t="shared" si="12"/>
        <v>46324</v>
      </c>
      <c r="KS7" s="11">
        <f t="shared" si="12"/>
        <v>46325</v>
      </c>
      <c r="KT7" s="11">
        <f t="shared" si="12"/>
        <v>46326</v>
      </c>
      <c r="KU7" s="11">
        <f t="shared" si="12"/>
        <v>46327</v>
      </c>
      <c r="KV7" s="11">
        <f t="shared" si="12"/>
        <v>46328</v>
      </c>
      <c r="KW7" s="11">
        <f t="shared" si="12"/>
        <v>46329</v>
      </c>
      <c r="KX7" s="11">
        <f t="shared" si="12"/>
        <v>46330</v>
      </c>
      <c r="KY7" s="11">
        <f t="shared" si="12"/>
        <v>46331</v>
      </c>
      <c r="KZ7" s="11">
        <f t="shared" si="12"/>
        <v>46332</v>
      </c>
      <c r="LA7" s="11">
        <f t="shared" si="12"/>
        <v>46333</v>
      </c>
      <c r="LB7" s="11">
        <f t="shared" si="12"/>
        <v>46334</v>
      </c>
      <c r="LC7" s="11">
        <f t="shared" si="12"/>
        <v>46335</v>
      </c>
      <c r="LD7" s="11">
        <f t="shared" si="12"/>
        <v>46336</v>
      </c>
      <c r="LE7" s="11">
        <f t="shared" si="12"/>
        <v>46337</v>
      </c>
      <c r="LF7" s="11">
        <f t="shared" si="12"/>
        <v>46338</v>
      </c>
      <c r="LG7" s="11">
        <f t="shared" si="12"/>
        <v>46339</v>
      </c>
      <c r="LH7" s="11">
        <f t="shared" si="12"/>
        <v>46340</v>
      </c>
      <c r="LI7" s="11">
        <f t="shared" si="12"/>
        <v>46341</v>
      </c>
      <c r="LJ7" s="11">
        <f t="shared" si="12"/>
        <v>46342</v>
      </c>
      <c r="LK7" s="11">
        <f t="shared" si="12"/>
        <v>46343</v>
      </c>
      <c r="LL7" s="11">
        <f t="shared" si="12"/>
        <v>46344</v>
      </c>
      <c r="LM7" s="11">
        <f t="shared" ref="LM7:NC7" si="13">+LL7+1</f>
        <v>46345</v>
      </c>
      <c r="LN7" s="11">
        <f t="shared" si="13"/>
        <v>46346</v>
      </c>
      <c r="LO7" s="11">
        <f t="shared" si="13"/>
        <v>46347</v>
      </c>
      <c r="LP7" s="11">
        <f t="shared" si="13"/>
        <v>46348</v>
      </c>
      <c r="LQ7" s="11">
        <f t="shared" si="13"/>
        <v>46349</v>
      </c>
      <c r="LR7" s="11">
        <f t="shared" si="13"/>
        <v>46350</v>
      </c>
      <c r="LS7" s="11">
        <f t="shared" si="13"/>
        <v>46351</v>
      </c>
      <c r="LT7" s="11">
        <f t="shared" si="13"/>
        <v>46352</v>
      </c>
      <c r="LU7" s="11">
        <f t="shared" si="13"/>
        <v>46353</v>
      </c>
      <c r="LV7" s="11">
        <f t="shared" si="13"/>
        <v>46354</v>
      </c>
      <c r="LW7" s="11">
        <f t="shared" si="13"/>
        <v>46355</v>
      </c>
      <c r="LX7" s="11">
        <f t="shared" si="13"/>
        <v>46356</v>
      </c>
      <c r="LY7" s="11">
        <f t="shared" si="13"/>
        <v>46357</v>
      </c>
      <c r="LZ7" s="11">
        <f t="shared" si="13"/>
        <v>46358</v>
      </c>
      <c r="MA7" s="11">
        <f t="shared" si="13"/>
        <v>46359</v>
      </c>
      <c r="MB7" s="11">
        <f t="shared" si="13"/>
        <v>46360</v>
      </c>
      <c r="MC7" s="11">
        <f t="shared" si="13"/>
        <v>46361</v>
      </c>
      <c r="MD7" s="11">
        <f t="shared" si="13"/>
        <v>46362</v>
      </c>
      <c r="ME7" s="11">
        <f t="shared" si="13"/>
        <v>46363</v>
      </c>
      <c r="MF7" s="11">
        <f t="shared" si="13"/>
        <v>46364</v>
      </c>
      <c r="MG7" s="11">
        <f t="shared" si="13"/>
        <v>46365</v>
      </c>
      <c r="MH7" s="11">
        <f t="shared" si="13"/>
        <v>46366</v>
      </c>
      <c r="MI7" s="11">
        <f t="shared" si="13"/>
        <v>46367</v>
      </c>
      <c r="MJ7" s="11">
        <f t="shared" si="13"/>
        <v>46368</v>
      </c>
      <c r="MK7" s="11">
        <f t="shared" si="13"/>
        <v>46369</v>
      </c>
      <c r="ML7" s="11">
        <f t="shared" si="13"/>
        <v>46370</v>
      </c>
      <c r="MM7" s="11">
        <f t="shared" si="13"/>
        <v>46371</v>
      </c>
      <c r="MN7" s="11">
        <f t="shared" si="13"/>
        <v>46372</v>
      </c>
      <c r="MO7" s="11">
        <f t="shared" si="13"/>
        <v>46373</v>
      </c>
      <c r="MP7" s="11">
        <f t="shared" si="13"/>
        <v>46374</v>
      </c>
      <c r="MQ7" s="11">
        <f t="shared" si="13"/>
        <v>46375</v>
      </c>
      <c r="MR7" s="11">
        <f t="shared" si="13"/>
        <v>46376</v>
      </c>
      <c r="MS7" s="11">
        <f t="shared" si="13"/>
        <v>46377</v>
      </c>
      <c r="MT7" s="11">
        <f t="shared" si="13"/>
        <v>46378</v>
      </c>
      <c r="MU7" s="11">
        <f t="shared" si="13"/>
        <v>46379</v>
      </c>
      <c r="MV7" s="11">
        <f t="shared" si="13"/>
        <v>46380</v>
      </c>
      <c r="MW7" s="11">
        <f t="shared" si="13"/>
        <v>46381</v>
      </c>
      <c r="MX7" s="11">
        <f t="shared" si="13"/>
        <v>46382</v>
      </c>
      <c r="MY7" s="11">
        <f t="shared" si="13"/>
        <v>46383</v>
      </c>
      <c r="MZ7" s="11">
        <f t="shared" si="13"/>
        <v>46384</v>
      </c>
      <c r="NA7" s="11">
        <f t="shared" si="13"/>
        <v>46385</v>
      </c>
      <c r="NB7" s="11">
        <f t="shared" si="13"/>
        <v>46386</v>
      </c>
      <c r="NC7" s="11">
        <f t="shared" si="13"/>
        <v>46387</v>
      </c>
    </row>
    <row r="8" spans="1:367">
      <c r="A8" s="12"/>
      <c r="B8" s="12" t="s">
        <v>10</v>
      </c>
      <c r="C8" s="8" t="s">
        <v>54</v>
      </c>
      <c r="D8" s="8" t="s">
        <v>54</v>
      </c>
      <c r="E8" s="8" t="s">
        <v>54</v>
      </c>
      <c r="F8" s="8" t="s">
        <v>54</v>
      </c>
      <c r="G8" s="8" t="s">
        <v>425</v>
      </c>
      <c r="H8" s="8" t="s">
        <v>425</v>
      </c>
      <c r="I8" s="8" t="s">
        <v>425</v>
      </c>
      <c r="J8" s="8" t="s">
        <v>425</v>
      </c>
      <c r="K8" s="8" t="s">
        <v>425</v>
      </c>
      <c r="L8" s="8" t="s">
        <v>425</v>
      </c>
      <c r="M8" s="8" t="s">
        <v>425</v>
      </c>
      <c r="N8" s="8" t="s">
        <v>2</v>
      </c>
      <c r="O8" s="8" t="s">
        <v>2</v>
      </c>
      <c r="P8" s="8" t="s">
        <v>2</v>
      </c>
      <c r="Q8" s="8" t="s">
        <v>2</v>
      </c>
      <c r="R8" s="8" t="s">
        <v>2</v>
      </c>
      <c r="S8" s="8" t="s">
        <v>2</v>
      </c>
      <c r="T8" s="8" t="s">
        <v>2</v>
      </c>
      <c r="U8" s="8" t="s">
        <v>3</v>
      </c>
      <c r="V8" s="8" t="s">
        <v>3</v>
      </c>
      <c r="W8" s="8" t="s">
        <v>3</v>
      </c>
      <c r="X8" s="8" t="s">
        <v>3</v>
      </c>
      <c r="Y8" s="8" t="s">
        <v>3</v>
      </c>
      <c r="Z8" s="8" t="s">
        <v>3</v>
      </c>
      <c r="AA8" s="8" t="s">
        <v>3</v>
      </c>
      <c r="AB8" s="8" t="s">
        <v>4</v>
      </c>
      <c r="AC8" s="8" t="s">
        <v>4</v>
      </c>
      <c r="AD8" s="8" t="s">
        <v>4</v>
      </c>
      <c r="AE8" s="8" t="s">
        <v>4</v>
      </c>
      <c r="AF8" s="8" t="s">
        <v>4</v>
      </c>
      <c r="AG8" s="8" t="s">
        <v>4</v>
      </c>
      <c r="AH8" s="8" t="s">
        <v>4</v>
      </c>
      <c r="AI8" s="8" t="s">
        <v>5</v>
      </c>
      <c r="AJ8" s="8" t="s">
        <v>5</v>
      </c>
      <c r="AK8" s="8" t="s">
        <v>5</v>
      </c>
      <c r="AL8" s="8" t="s">
        <v>5</v>
      </c>
      <c r="AM8" s="8" t="s">
        <v>5</v>
      </c>
      <c r="AN8" s="8" t="s">
        <v>5</v>
      </c>
      <c r="AO8" s="8" t="s">
        <v>5</v>
      </c>
      <c r="AP8" s="8" t="s">
        <v>6</v>
      </c>
      <c r="AQ8" s="8" t="s">
        <v>6</v>
      </c>
      <c r="AR8" s="8" t="s">
        <v>6</v>
      </c>
      <c r="AS8" s="8" t="s">
        <v>6</v>
      </c>
      <c r="AT8" s="8" t="s">
        <v>6</v>
      </c>
      <c r="AU8" s="8" t="s">
        <v>6</v>
      </c>
      <c r="AV8" s="8" t="s">
        <v>6</v>
      </c>
      <c r="AW8" s="8" t="s">
        <v>7</v>
      </c>
      <c r="AX8" s="8" t="s">
        <v>7</v>
      </c>
      <c r="AY8" s="8" t="s">
        <v>7</v>
      </c>
      <c r="AZ8" s="8" t="s">
        <v>7</v>
      </c>
      <c r="BA8" s="8" t="s">
        <v>7</v>
      </c>
      <c r="BB8" s="8" t="s">
        <v>7</v>
      </c>
      <c r="BC8" s="8" t="s">
        <v>7</v>
      </c>
      <c r="BD8" s="8" t="s">
        <v>8</v>
      </c>
      <c r="BE8" s="8" t="s">
        <v>8</v>
      </c>
      <c r="BF8" s="8" t="s">
        <v>8</v>
      </c>
      <c r="BG8" s="8" t="s">
        <v>8</v>
      </c>
      <c r="BH8" s="8" t="s">
        <v>8</v>
      </c>
      <c r="BI8" s="8" t="s">
        <v>8</v>
      </c>
      <c r="BJ8" s="8" t="s">
        <v>8</v>
      </c>
      <c r="BK8" s="8" t="s">
        <v>11</v>
      </c>
      <c r="BL8" s="8" t="s">
        <v>11</v>
      </c>
      <c r="BM8" s="8" t="s">
        <v>11</v>
      </c>
      <c r="BN8" s="8" t="s">
        <v>11</v>
      </c>
      <c r="BO8" s="8" t="s">
        <v>11</v>
      </c>
      <c r="BP8" s="8" t="s">
        <v>11</v>
      </c>
      <c r="BQ8" s="8" t="s">
        <v>11</v>
      </c>
      <c r="BR8" s="8" t="s">
        <v>12</v>
      </c>
      <c r="BS8" s="8" t="s">
        <v>12</v>
      </c>
      <c r="BT8" s="8" t="s">
        <v>12</v>
      </c>
      <c r="BU8" s="8" t="s">
        <v>12</v>
      </c>
      <c r="BV8" s="8" t="s">
        <v>12</v>
      </c>
      <c r="BW8" s="8" t="s">
        <v>12</v>
      </c>
      <c r="BX8" s="8" t="s">
        <v>12</v>
      </c>
      <c r="BY8" s="8" t="s">
        <v>13</v>
      </c>
      <c r="BZ8" s="8" t="s">
        <v>13</v>
      </c>
      <c r="CA8" s="8" t="s">
        <v>13</v>
      </c>
      <c r="CB8" s="8" t="s">
        <v>13</v>
      </c>
      <c r="CC8" s="8" t="s">
        <v>13</v>
      </c>
      <c r="CD8" s="8" t="s">
        <v>13</v>
      </c>
      <c r="CE8" s="8" t="s">
        <v>13</v>
      </c>
      <c r="CF8" s="8" t="s">
        <v>14</v>
      </c>
      <c r="CG8" s="8" t="s">
        <v>14</v>
      </c>
      <c r="CH8" s="8" t="s">
        <v>14</v>
      </c>
      <c r="CI8" s="8" t="s">
        <v>14</v>
      </c>
      <c r="CJ8" s="8" t="s">
        <v>14</v>
      </c>
      <c r="CK8" s="8" t="s">
        <v>14</v>
      </c>
      <c r="CL8" s="8" t="s">
        <v>14</v>
      </c>
      <c r="CM8" s="8" t="s">
        <v>15</v>
      </c>
      <c r="CN8" s="8" t="s">
        <v>15</v>
      </c>
      <c r="CO8" s="8" t="s">
        <v>15</v>
      </c>
      <c r="CP8" s="8" t="s">
        <v>15</v>
      </c>
      <c r="CQ8" s="8" t="s">
        <v>15</v>
      </c>
      <c r="CR8" s="8" t="s">
        <v>15</v>
      </c>
      <c r="CS8" s="8" t="s">
        <v>15</v>
      </c>
      <c r="CT8" s="8" t="s">
        <v>16</v>
      </c>
      <c r="CU8" s="8" t="s">
        <v>16</v>
      </c>
      <c r="CV8" s="8" t="s">
        <v>16</v>
      </c>
      <c r="CW8" s="8" t="s">
        <v>16</v>
      </c>
      <c r="CX8" s="8" t="s">
        <v>16</v>
      </c>
      <c r="CY8" s="8" t="s">
        <v>16</v>
      </c>
      <c r="CZ8" s="8" t="s">
        <v>16</v>
      </c>
      <c r="DA8" s="8" t="s">
        <v>17</v>
      </c>
      <c r="DB8" s="8" t="s">
        <v>17</v>
      </c>
      <c r="DC8" s="8" t="s">
        <v>17</v>
      </c>
      <c r="DD8" s="8" t="s">
        <v>17</v>
      </c>
      <c r="DE8" s="8" t="s">
        <v>17</v>
      </c>
      <c r="DF8" s="8" t="s">
        <v>17</v>
      </c>
      <c r="DG8" s="8" t="s">
        <v>17</v>
      </c>
      <c r="DH8" s="8" t="s">
        <v>18</v>
      </c>
      <c r="DI8" s="8" t="s">
        <v>18</v>
      </c>
      <c r="DJ8" s="8" t="s">
        <v>18</v>
      </c>
      <c r="DK8" s="8" t="s">
        <v>18</v>
      </c>
      <c r="DL8" s="8" t="s">
        <v>18</v>
      </c>
      <c r="DM8" s="8" t="s">
        <v>18</v>
      </c>
      <c r="DN8" s="8" t="s">
        <v>18</v>
      </c>
      <c r="DO8" s="8" t="s">
        <v>19</v>
      </c>
      <c r="DP8" s="8" t="s">
        <v>19</v>
      </c>
      <c r="DQ8" s="8" t="s">
        <v>19</v>
      </c>
      <c r="DR8" s="8" t="s">
        <v>19</v>
      </c>
      <c r="DS8" s="8" t="s">
        <v>19</v>
      </c>
      <c r="DT8" s="8" t="s">
        <v>19</v>
      </c>
      <c r="DU8" s="8" t="s">
        <v>19</v>
      </c>
      <c r="DV8" s="8" t="s">
        <v>20</v>
      </c>
      <c r="DW8" s="8" t="s">
        <v>20</v>
      </c>
      <c r="DX8" s="8" t="s">
        <v>20</v>
      </c>
      <c r="DY8" s="8" t="s">
        <v>20</v>
      </c>
      <c r="DZ8" s="8" t="s">
        <v>20</v>
      </c>
      <c r="EA8" s="8" t="s">
        <v>20</v>
      </c>
      <c r="EB8" s="8" t="s">
        <v>20</v>
      </c>
      <c r="EC8" s="8" t="s">
        <v>21</v>
      </c>
      <c r="ED8" s="8" t="s">
        <v>21</v>
      </c>
      <c r="EE8" s="8" t="s">
        <v>21</v>
      </c>
      <c r="EF8" s="8" t="s">
        <v>21</v>
      </c>
      <c r="EG8" s="8" t="s">
        <v>21</v>
      </c>
      <c r="EH8" s="8" t="s">
        <v>21</v>
      </c>
      <c r="EI8" s="8" t="s">
        <v>21</v>
      </c>
      <c r="EJ8" s="8" t="s">
        <v>22</v>
      </c>
      <c r="EK8" s="8" t="s">
        <v>22</v>
      </c>
      <c r="EL8" s="8" t="s">
        <v>22</v>
      </c>
      <c r="EM8" s="8" t="s">
        <v>22</v>
      </c>
      <c r="EN8" s="8" t="s">
        <v>22</v>
      </c>
      <c r="EO8" s="8" t="s">
        <v>22</v>
      </c>
      <c r="EP8" s="8" t="s">
        <v>22</v>
      </c>
      <c r="EQ8" s="8" t="s">
        <v>23</v>
      </c>
      <c r="ER8" s="8" t="s">
        <v>23</v>
      </c>
      <c r="ES8" s="8" t="s">
        <v>23</v>
      </c>
      <c r="ET8" s="8" t="s">
        <v>23</v>
      </c>
      <c r="EU8" s="8" t="s">
        <v>23</v>
      </c>
      <c r="EV8" s="8" t="s">
        <v>23</v>
      </c>
      <c r="EW8" s="8" t="s">
        <v>23</v>
      </c>
      <c r="EX8" s="8" t="s">
        <v>24</v>
      </c>
      <c r="EY8" s="8" t="s">
        <v>24</v>
      </c>
      <c r="EZ8" s="8" t="s">
        <v>24</v>
      </c>
      <c r="FA8" s="8" t="s">
        <v>24</v>
      </c>
      <c r="FB8" s="8" t="s">
        <v>24</v>
      </c>
      <c r="FC8" s="8" t="s">
        <v>24</v>
      </c>
      <c r="FD8" s="8" t="s">
        <v>24</v>
      </c>
      <c r="FE8" s="8" t="s">
        <v>25</v>
      </c>
      <c r="FF8" s="8" t="s">
        <v>25</v>
      </c>
      <c r="FG8" s="8" t="s">
        <v>25</v>
      </c>
      <c r="FH8" s="8" t="s">
        <v>25</v>
      </c>
      <c r="FI8" s="8" t="s">
        <v>25</v>
      </c>
      <c r="FJ8" s="8" t="s">
        <v>25</v>
      </c>
      <c r="FK8" s="8" t="s">
        <v>25</v>
      </c>
      <c r="FL8" s="8" t="s">
        <v>26</v>
      </c>
      <c r="FM8" s="8" t="s">
        <v>26</v>
      </c>
      <c r="FN8" s="8" t="s">
        <v>26</v>
      </c>
      <c r="FO8" s="8" t="s">
        <v>26</v>
      </c>
      <c r="FP8" s="8" t="s">
        <v>26</v>
      </c>
      <c r="FQ8" s="8" t="s">
        <v>26</v>
      </c>
      <c r="FR8" s="8" t="s">
        <v>26</v>
      </c>
      <c r="FS8" s="8" t="s">
        <v>27</v>
      </c>
      <c r="FT8" s="8" t="s">
        <v>27</v>
      </c>
      <c r="FU8" s="8" t="s">
        <v>27</v>
      </c>
      <c r="FV8" s="8" t="s">
        <v>27</v>
      </c>
      <c r="FW8" s="8" t="s">
        <v>27</v>
      </c>
      <c r="FX8" s="8" t="s">
        <v>27</v>
      </c>
      <c r="FY8" s="8" t="s">
        <v>27</v>
      </c>
      <c r="FZ8" s="8" t="s">
        <v>28</v>
      </c>
      <c r="GA8" s="8" t="s">
        <v>28</v>
      </c>
      <c r="GB8" s="8" t="s">
        <v>28</v>
      </c>
      <c r="GC8" s="8" t="s">
        <v>28</v>
      </c>
      <c r="GD8" s="8" t="s">
        <v>28</v>
      </c>
      <c r="GE8" s="8" t="s">
        <v>28</v>
      </c>
      <c r="GF8" s="8" t="s">
        <v>28</v>
      </c>
      <c r="GG8" s="8" t="s">
        <v>29</v>
      </c>
      <c r="GH8" s="8" t="s">
        <v>29</v>
      </c>
      <c r="GI8" s="8" t="s">
        <v>29</v>
      </c>
      <c r="GJ8" s="8" t="s">
        <v>29</v>
      </c>
      <c r="GK8" s="8" t="s">
        <v>29</v>
      </c>
      <c r="GL8" s="8" t="s">
        <v>29</v>
      </c>
      <c r="GM8" s="8" t="s">
        <v>29</v>
      </c>
      <c r="GN8" s="8" t="s">
        <v>30</v>
      </c>
      <c r="GO8" s="8" t="s">
        <v>30</v>
      </c>
      <c r="GP8" s="8" t="s">
        <v>30</v>
      </c>
      <c r="GQ8" s="8" t="s">
        <v>30</v>
      </c>
      <c r="GR8" s="8" t="s">
        <v>30</v>
      </c>
      <c r="GS8" s="8" t="s">
        <v>30</v>
      </c>
      <c r="GT8" s="8" t="s">
        <v>30</v>
      </c>
      <c r="GU8" s="8" t="s">
        <v>31</v>
      </c>
      <c r="GV8" s="8" t="s">
        <v>31</v>
      </c>
      <c r="GW8" s="8" t="s">
        <v>31</v>
      </c>
      <c r="GX8" s="8" t="s">
        <v>31</v>
      </c>
      <c r="GY8" s="8" t="s">
        <v>31</v>
      </c>
      <c r="GZ8" s="8" t="s">
        <v>31</v>
      </c>
      <c r="HA8" s="8" t="s">
        <v>31</v>
      </c>
      <c r="HB8" s="8" t="s">
        <v>32</v>
      </c>
      <c r="HC8" s="8" t="s">
        <v>32</v>
      </c>
      <c r="HD8" s="8" t="s">
        <v>32</v>
      </c>
      <c r="HE8" s="8" t="s">
        <v>32</v>
      </c>
      <c r="HF8" s="8" t="s">
        <v>32</v>
      </c>
      <c r="HG8" s="8" t="s">
        <v>32</v>
      </c>
      <c r="HH8" s="8" t="s">
        <v>32</v>
      </c>
      <c r="HI8" s="8" t="s">
        <v>33</v>
      </c>
      <c r="HJ8" s="8" t="s">
        <v>33</v>
      </c>
      <c r="HK8" s="8" t="s">
        <v>33</v>
      </c>
      <c r="HL8" s="8" t="s">
        <v>33</v>
      </c>
      <c r="HM8" s="8" t="s">
        <v>33</v>
      </c>
      <c r="HN8" s="8" t="s">
        <v>33</v>
      </c>
      <c r="HO8" s="8" t="s">
        <v>33</v>
      </c>
      <c r="HP8" s="8" t="s">
        <v>34</v>
      </c>
      <c r="HQ8" s="8" t="s">
        <v>34</v>
      </c>
      <c r="HR8" s="8" t="s">
        <v>34</v>
      </c>
      <c r="HS8" s="8" t="s">
        <v>34</v>
      </c>
      <c r="HT8" s="8" t="s">
        <v>34</v>
      </c>
      <c r="HU8" s="8" t="s">
        <v>34</v>
      </c>
      <c r="HV8" s="8" t="s">
        <v>34</v>
      </c>
      <c r="HW8" s="8" t="s">
        <v>35</v>
      </c>
      <c r="HX8" s="8" t="s">
        <v>35</v>
      </c>
      <c r="HY8" s="8" t="s">
        <v>35</v>
      </c>
      <c r="HZ8" s="8" t="s">
        <v>35</v>
      </c>
      <c r="IA8" s="8" t="s">
        <v>35</v>
      </c>
      <c r="IB8" s="8" t="s">
        <v>35</v>
      </c>
      <c r="IC8" s="8" t="s">
        <v>35</v>
      </c>
      <c r="ID8" s="8" t="s">
        <v>36</v>
      </c>
      <c r="IE8" s="8" t="s">
        <v>36</v>
      </c>
      <c r="IF8" s="8" t="s">
        <v>36</v>
      </c>
      <c r="IG8" s="8" t="s">
        <v>36</v>
      </c>
      <c r="IH8" s="8" t="s">
        <v>36</v>
      </c>
      <c r="II8" s="8" t="s">
        <v>36</v>
      </c>
      <c r="IJ8" s="8" t="s">
        <v>36</v>
      </c>
      <c r="IK8" s="8" t="s">
        <v>37</v>
      </c>
      <c r="IL8" s="8" t="s">
        <v>37</v>
      </c>
      <c r="IM8" s="8" t="s">
        <v>37</v>
      </c>
      <c r="IN8" s="8" t="s">
        <v>37</v>
      </c>
      <c r="IO8" s="8" t="s">
        <v>37</v>
      </c>
      <c r="IP8" s="8" t="s">
        <v>37</v>
      </c>
      <c r="IQ8" s="8" t="s">
        <v>37</v>
      </c>
      <c r="IR8" s="8" t="s">
        <v>38</v>
      </c>
      <c r="IS8" s="8" t="s">
        <v>38</v>
      </c>
      <c r="IT8" s="8" t="s">
        <v>38</v>
      </c>
      <c r="IU8" s="8" t="s">
        <v>38</v>
      </c>
      <c r="IV8" s="8" t="s">
        <v>38</v>
      </c>
      <c r="IW8" s="8" t="s">
        <v>38</v>
      </c>
      <c r="IX8" s="8" t="s">
        <v>38</v>
      </c>
      <c r="IY8" s="8" t="s">
        <v>39</v>
      </c>
      <c r="IZ8" s="8" t="s">
        <v>39</v>
      </c>
      <c r="JA8" s="8" t="s">
        <v>39</v>
      </c>
      <c r="JB8" s="8" t="s">
        <v>39</v>
      </c>
      <c r="JC8" s="8" t="s">
        <v>39</v>
      </c>
      <c r="JD8" s="8" t="s">
        <v>39</v>
      </c>
      <c r="JE8" s="8" t="s">
        <v>39</v>
      </c>
      <c r="JF8" s="8" t="s">
        <v>40</v>
      </c>
      <c r="JG8" s="8" t="s">
        <v>40</v>
      </c>
      <c r="JH8" s="8" t="s">
        <v>40</v>
      </c>
      <c r="JI8" s="8" t="s">
        <v>40</v>
      </c>
      <c r="JJ8" s="8" t="s">
        <v>40</v>
      </c>
      <c r="JK8" s="8" t="s">
        <v>40</v>
      </c>
      <c r="JL8" s="8" t="s">
        <v>40</v>
      </c>
      <c r="JM8" s="8" t="s">
        <v>41</v>
      </c>
      <c r="JN8" s="8" t="s">
        <v>41</v>
      </c>
      <c r="JO8" s="8" t="s">
        <v>41</v>
      </c>
      <c r="JP8" s="8" t="s">
        <v>41</v>
      </c>
      <c r="JQ8" s="8" t="s">
        <v>41</v>
      </c>
      <c r="JR8" s="8" t="s">
        <v>41</v>
      </c>
      <c r="JS8" s="8" t="s">
        <v>41</v>
      </c>
      <c r="JT8" s="8" t="s">
        <v>42</v>
      </c>
      <c r="JU8" s="8" t="s">
        <v>42</v>
      </c>
      <c r="JV8" s="8" t="s">
        <v>42</v>
      </c>
      <c r="JW8" s="8" t="s">
        <v>42</v>
      </c>
      <c r="JX8" s="8" t="s">
        <v>42</v>
      </c>
      <c r="JY8" s="8" t="s">
        <v>42</v>
      </c>
      <c r="JZ8" s="8" t="s">
        <v>42</v>
      </c>
      <c r="KB8" s="20"/>
      <c r="KI8" s="20"/>
      <c r="KU8" s="36"/>
      <c r="LE8" s="20"/>
      <c r="LF8" s="20"/>
      <c r="LK8" s="20"/>
      <c r="LR8" s="20"/>
      <c r="LY8" s="20"/>
      <c r="LZ8" s="1"/>
      <c r="MA8" s="1"/>
      <c r="MB8" s="1"/>
      <c r="MC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34"/>
      <c r="MQ8" s="1"/>
      <c r="MR8" s="1"/>
      <c r="MS8" s="1"/>
      <c r="MT8" s="20"/>
    </row>
    <row r="9" spans="1:367">
      <c r="A9" s="13">
        <f>+SUM(C9:NC9)</f>
        <v>44104.916666666657</v>
      </c>
      <c r="B9" s="14" t="s">
        <v>427</v>
      </c>
      <c r="C9" s="3"/>
      <c r="D9" s="3">
        <v>141.5</v>
      </c>
      <c r="E9" s="3">
        <v>142.5</v>
      </c>
      <c r="F9" s="3"/>
      <c r="G9" s="3">
        <v>172.5</v>
      </c>
      <c r="H9" s="3">
        <v>112</v>
      </c>
      <c r="I9" s="3">
        <v>120</v>
      </c>
      <c r="J9" s="3">
        <v>150</v>
      </c>
      <c r="K9" s="3">
        <v>202.25</v>
      </c>
      <c r="L9" s="3">
        <v>157.5</v>
      </c>
      <c r="M9" s="3"/>
      <c r="N9" s="3">
        <v>127.5</v>
      </c>
      <c r="O9" s="3">
        <v>180</v>
      </c>
      <c r="P9" s="3">
        <v>112.5</v>
      </c>
      <c r="Q9" s="3">
        <v>127.5</v>
      </c>
      <c r="R9" s="3">
        <v>165</v>
      </c>
      <c r="S9" s="3">
        <v>128</v>
      </c>
      <c r="U9" s="7">
        <v>120</v>
      </c>
      <c r="V9" s="7">
        <v>180</v>
      </c>
      <c r="W9" s="7">
        <v>187.08333333333331</v>
      </c>
      <c r="X9" s="7">
        <v>135.66666666666666</v>
      </c>
      <c r="Y9" s="7">
        <v>135</v>
      </c>
      <c r="Z9" s="7">
        <v>127.5</v>
      </c>
      <c r="AB9" s="8">
        <v>195</v>
      </c>
      <c r="AC9" s="8">
        <v>150</v>
      </c>
      <c r="AD9" s="8">
        <v>165</v>
      </c>
      <c r="AE9" s="8">
        <v>97.5</v>
      </c>
      <c r="AF9" s="8">
        <v>165</v>
      </c>
      <c r="AG9" s="8">
        <v>97.5</v>
      </c>
      <c r="AI9" s="3">
        <v>217.5</v>
      </c>
      <c r="AJ9" s="3">
        <v>150</v>
      </c>
      <c r="AK9" s="3">
        <v>97.5</v>
      </c>
      <c r="AL9" s="3">
        <v>217.5</v>
      </c>
      <c r="AM9" s="3">
        <v>142.16666666666669</v>
      </c>
      <c r="AN9" s="3">
        <v>127.5</v>
      </c>
      <c r="AP9" s="2">
        <v>172.5</v>
      </c>
      <c r="AQ9" s="2">
        <v>150</v>
      </c>
      <c r="AR9" s="2">
        <v>120</v>
      </c>
      <c r="AS9" s="2">
        <v>117</v>
      </c>
      <c r="AT9" s="7">
        <v>112.5</v>
      </c>
      <c r="AU9" s="7">
        <v>112.08333333333334</v>
      </c>
      <c r="AV9" s="7"/>
      <c r="AW9" s="7">
        <v>119.25</v>
      </c>
      <c r="AX9" s="7">
        <v>134.66666666666669</v>
      </c>
      <c r="AY9" s="7">
        <v>119.58333333333333</v>
      </c>
      <c r="AZ9" s="7">
        <v>112.5</v>
      </c>
      <c r="BA9" s="7">
        <v>135</v>
      </c>
      <c r="BB9" s="7">
        <v>112.5</v>
      </c>
      <c r="BD9" s="2">
        <v>127.5</v>
      </c>
      <c r="BE9" s="2">
        <v>105.5</v>
      </c>
      <c r="BF9" s="2">
        <v>195</v>
      </c>
      <c r="BG9" s="7">
        <v>157.25</v>
      </c>
      <c r="BH9" s="7">
        <v>149.25</v>
      </c>
      <c r="BI9" s="7">
        <v>120</v>
      </c>
      <c r="BK9" s="7">
        <v>134.58333333333334</v>
      </c>
      <c r="BL9" s="7">
        <v>142.25</v>
      </c>
      <c r="BM9" s="7">
        <v>187.5</v>
      </c>
      <c r="BN9" s="7">
        <v>135</v>
      </c>
      <c r="BO9" s="7">
        <v>142.5</v>
      </c>
      <c r="BP9" s="7">
        <v>134.33333333333331</v>
      </c>
      <c r="BQ9" s="7"/>
      <c r="BR9" s="3">
        <v>157.16666666666666</v>
      </c>
      <c r="BS9" s="3">
        <v>172.5</v>
      </c>
      <c r="BT9" s="3">
        <v>167.25</v>
      </c>
      <c r="BU9" s="3">
        <v>172.25</v>
      </c>
      <c r="BV9" s="3">
        <v>194.75</v>
      </c>
      <c r="BW9" s="3">
        <v>171.16666666666669</v>
      </c>
      <c r="BX9" s="3">
        <v>285</v>
      </c>
      <c r="BY9" s="7">
        <v>194.66666666666669</v>
      </c>
      <c r="BZ9" s="7">
        <v>232.5</v>
      </c>
      <c r="CA9" s="7">
        <v>187.5</v>
      </c>
      <c r="CB9" s="7">
        <v>30</v>
      </c>
      <c r="CC9" s="7"/>
      <c r="CD9" s="7"/>
      <c r="CF9" s="3">
        <v>120</v>
      </c>
      <c r="CG9" s="3">
        <v>142.5</v>
      </c>
      <c r="CH9" s="3">
        <v>150</v>
      </c>
      <c r="CI9" s="3">
        <v>142.5</v>
      </c>
      <c r="CJ9" s="3">
        <v>177.83333333333331</v>
      </c>
      <c r="CK9" s="3">
        <v>225</v>
      </c>
      <c r="CL9" s="3"/>
      <c r="CM9" s="3">
        <v>140.91666666666669</v>
      </c>
      <c r="CN9" s="3">
        <v>105</v>
      </c>
      <c r="CO9" s="3">
        <v>119.66666666666667</v>
      </c>
      <c r="CP9" s="3">
        <v>120</v>
      </c>
      <c r="CQ9" s="3">
        <v>119.75</v>
      </c>
      <c r="CR9" s="3">
        <v>142.25</v>
      </c>
      <c r="CS9" s="3"/>
      <c r="CT9" s="3">
        <v>180</v>
      </c>
      <c r="CU9" s="3">
        <v>149.75</v>
      </c>
      <c r="CV9" s="3">
        <v>160.08333333333334</v>
      </c>
      <c r="CW9" s="3">
        <v>217.5</v>
      </c>
      <c r="CX9" s="3">
        <v>225</v>
      </c>
      <c r="CY9" s="3">
        <v>180</v>
      </c>
      <c r="CZ9" s="3"/>
      <c r="DA9" s="7">
        <v>172.5</v>
      </c>
      <c r="DB9" s="7">
        <v>180</v>
      </c>
      <c r="DC9" s="7">
        <v>150</v>
      </c>
      <c r="DD9" s="7">
        <v>165</v>
      </c>
      <c r="DE9" s="7">
        <v>120</v>
      </c>
      <c r="DF9" s="7">
        <v>142.5</v>
      </c>
      <c r="DG9" s="7">
        <v>112.5</v>
      </c>
      <c r="DH9" s="7">
        <v>112.5</v>
      </c>
      <c r="DI9" s="7">
        <v>142.5</v>
      </c>
      <c r="DJ9" s="7">
        <v>149.75</v>
      </c>
      <c r="DK9" s="46">
        <v>150</v>
      </c>
      <c r="DL9" s="46">
        <v>165</v>
      </c>
      <c r="DM9" s="7">
        <v>112.5</v>
      </c>
      <c r="DO9" s="2">
        <v>120</v>
      </c>
      <c r="DP9" s="2">
        <v>122.58333333333333</v>
      </c>
      <c r="DQ9" s="2">
        <v>124.5</v>
      </c>
      <c r="DR9" s="2">
        <v>121</v>
      </c>
      <c r="DS9" s="2"/>
      <c r="DT9" s="2">
        <v>118.91666666666666</v>
      </c>
      <c r="DU9" s="2">
        <v>117.58333333333333</v>
      </c>
      <c r="DV9" s="2">
        <v>153</v>
      </c>
      <c r="DW9" s="7">
        <v>162</v>
      </c>
      <c r="DX9" s="7">
        <v>128.5</v>
      </c>
      <c r="DY9" s="7">
        <v>128.5</v>
      </c>
      <c r="DZ9" s="7">
        <v>136.08333333333334</v>
      </c>
      <c r="EA9" s="7">
        <v>169.16666666666669</v>
      </c>
      <c r="EB9" s="7"/>
      <c r="EC9" s="7">
        <v>155.5</v>
      </c>
      <c r="ED9" s="7">
        <v>155.08333333333331</v>
      </c>
      <c r="EE9" s="7">
        <v>155.08333333333334</v>
      </c>
      <c r="EF9" s="7">
        <v>140.5</v>
      </c>
      <c r="EG9" s="7">
        <v>134.58333333333334</v>
      </c>
      <c r="EH9" s="7">
        <v>123</v>
      </c>
      <c r="EI9" s="7">
        <v>117.83333333333333</v>
      </c>
      <c r="EJ9" s="7">
        <v>139.91666666666669</v>
      </c>
      <c r="EK9" s="7">
        <v>120</v>
      </c>
      <c r="EL9" s="7">
        <v>147.5</v>
      </c>
      <c r="EM9" s="7">
        <v>173.41666666666669</v>
      </c>
      <c r="EN9" s="7">
        <v>185.66666666666669</v>
      </c>
      <c r="EO9" s="7">
        <v>135</v>
      </c>
      <c r="EP9" s="7"/>
      <c r="EQ9" s="7">
        <v>120</v>
      </c>
      <c r="ER9" s="7">
        <v>45</v>
      </c>
      <c r="ES9" s="7"/>
      <c r="ET9" s="7"/>
      <c r="EU9" s="7"/>
      <c r="EV9" s="7">
        <v>120</v>
      </c>
      <c r="EW9" s="7"/>
      <c r="EX9" s="7">
        <v>153</v>
      </c>
      <c r="EY9" s="7">
        <v>148.5</v>
      </c>
      <c r="EZ9" s="7">
        <v>148</v>
      </c>
      <c r="FA9" s="7">
        <v>132</v>
      </c>
      <c r="FB9" s="7">
        <v>102.33333333333333</v>
      </c>
      <c r="FC9" s="7">
        <v>101.58333333333333</v>
      </c>
      <c r="FD9" s="7"/>
      <c r="FE9" s="7">
        <v>146.58333333333334</v>
      </c>
      <c r="FF9" s="7">
        <v>172.25</v>
      </c>
      <c r="FG9" s="7">
        <v>154.5</v>
      </c>
      <c r="FH9" s="7">
        <v>144.08333333333334</v>
      </c>
      <c r="FI9" s="7">
        <v>157.5</v>
      </c>
      <c r="FJ9" s="7">
        <v>139.66666666666669</v>
      </c>
      <c r="FK9" s="7">
        <v>112.5</v>
      </c>
      <c r="FL9" s="7">
        <v>142.33333333333331</v>
      </c>
      <c r="FM9" s="7">
        <v>155.25</v>
      </c>
      <c r="FN9" s="7">
        <v>151.5</v>
      </c>
      <c r="FO9" s="7">
        <v>112.5</v>
      </c>
      <c r="FP9" s="7">
        <v>117.66666666666666</v>
      </c>
      <c r="FQ9" s="7">
        <v>120</v>
      </c>
      <c r="FR9" s="7"/>
      <c r="FS9" s="7">
        <v>124.25</v>
      </c>
      <c r="FT9" s="7">
        <v>124.41666666666666</v>
      </c>
      <c r="FU9" s="7">
        <v>130.91666666666669</v>
      </c>
      <c r="FV9" s="7">
        <v>142.66666666666669</v>
      </c>
      <c r="FW9" s="7">
        <v>127.5</v>
      </c>
      <c r="FX9" s="7">
        <v>132</v>
      </c>
      <c r="FY9" s="7">
        <v>112.5</v>
      </c>
      <c r="FZ9" s="7">
        <v>133</v>
      </c>
      <c r="GA9" s="7">
        <v>143.41666666666669</v>
      </c>
      <c r="GB9" s="7">
        <v>120.83333333333333</v>
      </c>
      <c r="GC9" s="7">
        <v>129.83333333333331</v>
      </c>
      <c r="GD9" s="7">
        <v>113.5</v>
      </c>
      <c r="GE9" s="7">
        <v>108.83333333333333</v>
      </c>
      <c r="GG9" s="2">
        <v>133</v>
      </c>
      <c r="GH9" s="2">
        <v>127</v>
      </c>
      <c r="GI9" s="2">
        <v>136</v>
      </c>
      <c r="GJ9" s="2">
        <v>123.58333333333333</v>
      </c>
      <c r="GK9" s="2">
        <v>125</v>
      </c>
      <c r="GL9" s="2">
        <v>104.75</v>
      </c>
      <c r="GM9" s="2">
        <v>82.5</v>
      </c>
      <c r="GN9" s="7">
        <v>119.5</v>
      </c>
      <c r="GO9" s="7">
        <v>110.75</v>
      </c>
      <c r="GP9" s="7">
        <v>97.5</v>
      </c>
      <c r="GQ9" s="7">
        <v>132.33333333333331</v>
      </c>
      <c r="GR9" s="7">
        <v>127</v>
      </c>
      <c r="GS9" s="7">
        <v>112</v>
      </c>
      <c r="GU9" s="7">
        <v>105.25</v>
      </c>
      <c r="GV9" s="7">
        <v>122.5</v>
      </c>
      <c r="GW9" s="7">
        <v>132.58333333333334</v>
      </c>
      <c r="GX9" s="7">
        <v>118</v>
      </c>
      <c r="GY9" s="7">
        <v>106.99999999999999</v>
      </c>
      <c r="GZ9" s="7">
        <v>97.5</v>
      </c>
      <c r="HA9" s="7">
        <v>81.666666666666671</v>
      </c>
      <c r="HB9" s="2">
        <v>107.5</v>
      </c>
      <c r="HC9" s="2">
        <v>118</v>
      </c>
      <c r="HD9" s="2">
        <v>114.58333333333333</v>
      </c>
      <c r="HE9" s="2">
        <v>129.16666666666669</v>
      </c>
      <c r="HF9" s="2">
        <v>133</v>
      </c>
      <c r="HG9" s="2">
        <v>104.49999999999999</v>
      </c>
      <c r="HI9" s="2">
        <v>117</v>
      </c>
      <c r="HJ9" s="2">
        <v>111.08333333333333</v>
      </c>
      <c r="HK9" s="2">
        <v>113.24999999999999</v>
      </c>
      <c r="HL9" s="2">
        <v>97.5</v>
      </c>
      <c r="HM9" s="2">
        <v>117</v>
      </c>
      <c r="HN9" s="2">
        <v>82.5</v>
      </c>
      <c r="HO9" s="2">
        <v>90</v>
      </c>
      <c r="HP9" s="2">
        <v>110.25</v>
      </c>
      <c r="HQ9" s="2">
        <v>110.5</v>
      </c>
      <c r="HR9" s="2">
        <v>88</v>
      </c>
      <c r="HS9" s="2">
        <v>95.5</v>
      </c>
      <c r="HT9" s="2">
        <v>100</v>
      </c>
      <c r="HU9" s="2">
        <v>82.5</v>
      </c>
      <c r="HV9" s="20"/>
      <c r="HW9" s="3">
        <v>208</v>
      </c>
      <c r="HX9" s="3">
        <v>149.5</v>
      </c>
      <c r="HY9" s="3">
        <v>137.5</v>
      </c>
      <c r="HZ9" s="3">
        <v>185.5</v>
      </c>
      <c r="IA9" s="3">
        <v>130.75</v>
      </c>
      <c r="IB9" s="3">
        <v>185.5</v>
      </c>
      <c r="IC9" s="3">
        <v>90</v>
      </c>
      <c r="ID9" s="3">
        <v>106</v>
      </c>
      <c r="IE9" s="3">
        <v>106</v>
      </c>
      <c r="IF9" s="3">
        <v>97</v>
      </c>
      <c r="IG9" s="3">
        <v>105.75</v>
      </c>
      <c r="IH9" s="3">
        <v>112</v>
      </c>
      <c r="II9" s="3">
        <v>67.5</v>
      </c>
      <c r="IK9" s="2">
        <v>120</v>
      </c>
      <c r="IL9" s="2">
        <v>127.5</v>
      </c>
      <c r="IM9" s="2">
        <v>120</v>
      </c>
      <c r="IN9" s="2">
        <v>108</v>
      </c>
      <c r="IO9" s="2">
        <v>105</v>
      </c>
      <c r="IP9" s="2">
        <v>112.5</v>
      </c>
      <c r="IQ9" s="2">
        <v>110.58333333333333</v>
      </c>
      <c r="IR9" s="7">
        <v>126.83333333333333</v>
      </c>
      <c r="IS9" s="7">
        <v>116.5</v>
      </c>
      <c r="IT9" s="7">
        <v>133.08333333333334</v>
      </c>
      <c r="IU9" s="7">
        <v>148.08333333333334</v>
      </c>
      <c r="IV9" s="7">
        <v>143.5</v>
      </c>
      <c r="IW9" s="7">
        <v>134</v>
      </c>
      <c r="IY9" s="3">
        <v>239.58333333333334</v>
      </c>
      <c r="IZ9" s="3">
        <v>181</v>
      </c>
      <c r="JA9" s="3">
        <v>188.5</v>
      </c>
      <c r="JB9" s="3">
        <v>155.08333333333334</v>
      </c>
      <c r="JC9" s="3">
        <v>166</v>
      </c>
      <c r="JD9" s="3">
        <v>127.5</v>
      </c>
      <c r="JF9" s="7">
        <v>181</v>
      </c>
      <c r="JG9" s="7">
        <v>126.75</v>
      </c>
      <c r="JH9" s="7">
        <v>143.5</v>
      </c>
      <c r="JI9" s="7">
        <v>128.5</v>
      </c>
      <c r="JJ9" s="7">
        <v>128.5</v>
      </c>
      <c r="JK9" s="7">
        <v>112.5</v>
      </c>
      <c r="JM9" s="3">
        <v>2057.166666666667</v>
      </c>
      <c r="JN9" s="3">
        <v>1984.25</v>
      </c>
      <c r="JO9" s="3">
        <v>1834.5833333333335</v>
      </c>
      <c r="JP9" s="3">
        <v>1957.7500000000002</v>
      </c>
      <c r="JQ9" s="3">
        <v>1943.5833333333333</v>
      </c>
      <c r="JR9" s="3">
        <v>1361.8333333333333</v>
      </c>
      <c r="JT9" s="3">
        <v>142.5</v>
      </c>
      <c r="JU9" s="3">
        <v>121</v>
      </c>
      <c r="JV9" s="3">
        <v>136</v>
      </c>
      <c r="JW9" s="3">
        <v>143.5</v>
      </c>
      <c r="JX9" s="3">
        <v>136</v>
      </c>
      <c r="JY9" s="3">
        <v>127.5</v>
      </c>
      <c r="KU9" s="36"/>
      <c r="LE9" s="20"/>
      <c r="LF9" s="20"/>
      <c r="LY9" s="20"/>
      <c r="LZ9" s="62"/>
      <c r="MA9" s="62"/>
      <c r="MB9" s="62"/>
      <c r="MC9" s="62"/>
      <c r="MF9"/>
      <c r="MG9"/>
      <c r="MH9"/>
      <c r="MI9"/>
      <c r="MJ9"/>
      <c r="MK9"/>
      <c r="ML9"/>
      <c r="MM9" s="62"/>
      <c r="MN9" s="62"/>
      <c r="MO9" s="62"/>
      <c r="MP9" s="34"/>
      <c r="MQ9" s="62"/>
      <c r="MR9" s="62"/>
      <c r="MS9" s="62"/>
    </row>
    <row r="10" spans="1:367">
      <c r="A10" s="15">
        <f>+SUM(C10:NC10)</f>
        <v>1888159</v>
      </c>
      <c r="B10" s="16" t="s">
        <v>423</v>
      </c>
      <c r="C10" s="7"/>
      <c r="D10" s="7">
        <v>16019</v>
      </c>
      <c r="E10" s="7">
        <v>16982</v>
      </c>
      <c r="F10" s="7"/>
      <c r="G10" s="3">
        <v>15076</v>
      </c>
      <c r="H10" s="3">
        <v>8204</v>
      </c>
      <c r="I10" s="3">
        <v>11687</v>
      </c>
      <c r="J10" s="3">
        <v>11662</v>
      </c>
      <c r="K10" s="3">
        <v>15259</v>
      </c>
      <c r="L10" s="3">
        <v>12205</v>
      </c>
      <c r="M10" s="3"/>
      <c r="N10" s="3">
        <v>11650</v>
      </c>
      <c r="O10" s="3">
        <v>14150</v>
      </c>
      <c r="P10" s="3">
        <v>8511</v>
      </c>
      <c r="Q10" s="3">
        <v>10474</v>
      </c>
      <c r="R10" s="3">
        <v>13419</v>
      </c>
      <c r="S10" s="3">
        <v>9704</v>
      </c>
      <c r="U10" s="7">
        <v>9033</v>
      </c>
      <c r="V10" s="7">
        <v>15872</v>
      </c>
      <c r="W10" s="7">
        <v>15437</v>
      </c>
      <c r="X10" s="7">
        <v>10479</v>
      </c>
      <c r="Y10" s="7">
        <v>11066</v>
      </c>
      <c r="Z10" s="7">
        <v>11228</v>
      </c>
      <c r="AB10" s="7">
        <v>17071</v>
      </c>
      <c r="AC10" s="7">
        <v>11399</v>
      </c>
      <c r="AD10" s="7">
        <v>12630</v>
      </c>
      <c r="AE10" s="7">
        <v>7455</v>
      </c>
      <c r="AF10" s="7">
        <v>10597</v>
      </c>
      <c r="AG10" s="7">
        <v>7836</v>
      </c>
      <c r="AI10" s="7">
        <v>16975</v>
      </c>
      <c r="AJ10" s="7">
        <v>11235</v>
      </c>
      <c r="AK10" s="7">
        <v>6106</v>
      </c>
      <c r="AL10" s="7">
        <v>15919</v>
      </c>
      <c r="AM10" s="7">
        <v>9398</v>
      </c>
      <c r="AN10" s="7">
        <v>8142</v>
      </c>
      <c r="AP10" s="7">
        <v>15044</v>
      </c>
      <c r="AQ10" s="7">
        <v>12624</v>
      </c>
      <c r="AR10" s="7">
        <v>8954</v>
      </c>
      <c r="AS10" s="7">
        <v>7212</v>
      </c>
      <c r="AT10" s="7">
        <v>9551</v>
      </c>
      <c r="AU10" s="7">
        <v>6548</v>
      </c>
      <c r="AW10" s="7">
        <v>13163</v>
      </c>
      <c r="AX10" s="7">
        <v>10370</v>
      </c>
      <c r="AY10" s="7">
        <v>9726</v>
      </c>
      <c r="AZ10" s="7">
        <v>10184</v>
      </c>
      <c r="BA10" s="7">
        <v>9693</v>
      </c>
      <c r="BB10" s="7">
        <v>8265</v>
      </c>
      <c r="BD10" s="7">
        <v>12321</v>
      </c>
      <c r="BE10" s="7">
        <v>8881</v>
      </c>
      <c r="BF10" s="7">
        <v>13556</v>
      </c>
      <c r="BG10" s="7">
        <v>12055</v>
      </c>
      <c r="BH10" s="7">
        <v>11956</v>
      </c>
      <c r="BI10" s="7">
        <v>9252</v>
      </c>
      <c r="BK10" s="7">
        <v>14219</v>
      </c>
      <c r="BL10" s="7">
        <v>15786</v>
      </c>
      <c r="BM10" s="7">
        <v>13537</v>
      </c>
      <c r="BN10" s="7">
        <v>13879</v>
      </c>
      <c r="BO10" s="7">
        <v>14994</v>
      </c>
      <c r="BP10" s="7">
        <v>12196</v>
      </c>
      <c r="BR10" s="7">
        <v>15465</v>
      </c>
      <c r="BS10" s="7">
        <v>14214</v>
      </c>
      <c r="BT10" s="7">
        <v>12505</v>
      </c>
      <c r="BU10" s="7">
        <v>15359</v>
      </c>
      <c r="BV10" s="7">
        <v>16111</v>
      </c>
      <c r="BW10" s="7">
        <v>14185</v>
      </c>
      <c r="BX10" s="7">
        <v>16914</v>
      </c>
      <c r="BY10" s="7">
        <v>16549</v>
      </c>
      <c r="BZ10" s="7">
        <v>20404</v>
      </c>
      <c r="CA10" s="7">
        <v>14960</v>
      </c>
      <c r="CB10" s="7">
        <v>2165</v>
      </c>
      <c r="CF10" s="7">
        <v>9332</v>
      </c>
      <c r="CG10" s="7">
        <v>11346</v>
      </c>
      <c r="CH10" s="7">
        <v>12904</v>
      </c>
      <c r="CI10" s="7">
        <v>13679</v>
      </c>
      <c r="CJ10" s="7">
        <v>12029</v>
      </c>
      <c r="CK10" s="7">
        <v>16208</v>
      </c>
      <c r="CM10" s="7">
        <v>11539</v>
      </c>
      <c r="CN10" s="7">
        <v>11431</v>
      </c>
      <c r="CO10" s="7">
        <v>14221</v>
      </c>
      <c r="CP10" s="7">
        <v>15062</v>
      </c>
      <c r="CQ10" s="7">
        <v>12498</v>
      </c>
      <c r="CR10" s="7">
        <v>12155</v>
      </c>
      <c r="CT10" s="7">
        <v>9963</v>
      </c>
      <c r="CU10" s="7">
        <v>10171</v>
      </c>
      <c r="CV10" s="7">
        <v>11257</v>
      </c>
      <c r="CW10" s="7">
        <v>17685</v>
      </c>
      <c r="CX10" s="7">
        <v>13908</v>
      </c>
      <c r="CY10" s="7">
        <v>15388</v>
      </c>
      <c r="DA10" s="7">
        <v>12815</v>
      </c>
      <c r="DB10" s="7">
        <v>12120</v>
      </c>
      <c r="DC10" s="7">
        <v>9553</v>
      </c>
      <c r="DD10" s="7">
        <v>14006</v>
      </c>
      <c r="DE10" s="7">
        <v>9024</v>
      </c>
      <c r="DF10" s="7">
        <v>9889</v>
      </c>
      <c r="DG10" s="7">
        <v>9512</v>
      </c>
      <c r="DH10" s="7">
        <v>2201</v>
      </c>
      <c r="DI10" s="7">
        <v>9662</v>
      </c>
      <c r="DJ10" s="7">
        <v>12300</v>
      </c>
      <c r="DK10" s="7">
        <v>11546</v>
      </c>
      <c r="DL10" s="7">
        <v>12728</v>
      </c>
      <c r="DM10" s="7">
        <v>5573</v>
      </c>
      <c r="DO10" s="7">
        <v>11022</v>
      </c>
      <c r="DP10" s="7">
        <v>9053</v>
      </c>
      <c r="DQ10" s="7">
        <v>10770</v>
      </c>
      <c r="DR10" s="7">
        <v>7993</v>
      </c>
      <c r="DS10" s="7"/>
      <c r="DT10" s="7">
        <v>9921</v>
      </c>
      <c r="DU10" s="7">
        <v>8953</v>
      </c>
      <c r="DV10" s="7">
        <v>12401</v>
      </c>
      <c r="DW10" s="7">
        <v>12802</v>
      </c>
      <c r="DX10" s="7">
        <v>8091</v>
      </c>
      <c r="DY10" s="7">
        <v>5208</v>
      </c>
      <c r="DZ10" s="7">
        <v>5778</v>
      </c>
      <c r="EA10" s="7">
        <v>10436</v>
      </c>
      <c r="EC10" s="7">
        <v>3567</v>
      </c>
      <c r="ED10" s="7">
        <v>9572</v>
      </c>
      <c r="EE10" s="7">
        <v>8328</v>
      </c>
      <c r="EF10" s="7">
        <v>7551</v>
      </c>
      <c r="EG10" s="7">
        <v>8677</v>
      </c>
      <c r="EH10" s="7">
        <v>9938</v>
      </c>
      <c r="EI10" s="7">
        <v>5525</v>
      </c>
      <c r="EJ10" s="7">
        <v>6635</v>
      </c>
      <c r="EK10" s="7">
        <v>6232</v>
      </c>
      <c r="EL10" s="7">
        <v>6695</v>
      </c>
      <c r="EM10" s="7">
        <v>8700</v>
      </c>
      <c r="EN10" s="7">
        <v>7867</v>
      </c>
      <c r="EO10" s="7">
        <v>5387</v>
      </c>
      <c r="EP10" s="7"/>
      <c r="EQ10" s="7">
        <v>5173</v>
      </c>
      <c r="ER10" s="7">
        <v>1997</v>
      </c>
      <c r="ES10" s="7"/>
      <c r="ET10" s="7"/>
      <c r="EU10" s="7"/>
      <c r="EV10" s="7">
        <v>6627</v>
      </c>
      <c r="EX10" s="7">
        <v>8352</v>
      </c>
      <c r="EY10" s="7">
        <v>8682</v>
      </c>
      <c r="EZ10" s="7">
        <v>8694</v>
      </c>
      <c r="FA10" s="7">
        <v>6904</v>
      </c>
      <c r="FB10" s="7">
        <v>7404</v>
      </c>
      <c r="FC10" s="7">
        <v>5772</v>
      </c>
      <c r="FE10" s="7">
        <v>9788</v>
      </c>
      <c r="FF10" s="7">
        <v>11107</v>
      </c>
      <c r="FG10" s="7">
        <v>11277</v>
      </c>
      <c r="FH10" s="7">
        <v>9741</v>
      </c>
      <c r="FI10" s="7">
        <v>8981</v>
      </c>
      <c r="FJ10" s="7">
        <v>8709</v>
      </c>
      <c r="FK10" s="7">
        <v>6129</v>
      </c>
      <c r="FL10" s="7">
        <v>8654</v>
      </c>
      <c r="FM10" s="7">
        <v>11113</v>
      </c>
      <c r="FN10" s="7">
        <v>10232</v>
      </c>
      <c r="FO10" s="7">
        <v>6616</v>
      </c>
      <c r="FP10" s="7">
        <v>7380</v>
      </c>
      <c r="FQ10" s="7">
        <v>9262</v>
      </c>
      <c r="FS10" s="7">
        <v>8198</v>
      </c>
      <c r="FT10" s="7">
        <v>8891</v>
      </c>
      <c r="FU10" s="7">
        <v>8401</v>
      </c>
      <c r="FV10" s="7">
        <v>10585</v>
      </c>
      <c r="FW10" s="7">
        <v>10142</v>
      </c>
      <c r="FX10" s="7">
        <v>10198</v>
      </c>
      <c r="FY10" s="7">
        <v>8129</v>
      </c>
      <c r="FZ10" s="7">
        <v>6952</v>
      </c>
      <c r="GA10" s="7">
        <v>8065</v>
      </c>
      <c r="GB10" s="7">
        <v>7101</v>
      </c>
      <c r="GC10" s="7">
        <v>4628</v>
      </c>
      <c r="GD10" s="7">
        <v>3177</v>
      </c>
      <c r="GE10" s="7">
        <v>2281</v>
      </c>
      <c r="GG10" s="7">
        <v>7954</v>
      </c>
      <c r="GH10" s="7">
        <v>9019</v>
      </c>
      <c r="GI10" s="7">
        <v>8122</v>
      </c>
      <c r="GJ10" s="7">
        <v>6585</v>
      </c>
      <c r="GK10" s="7">
        <v>6608</v>
      </c>
      <c r="GL10" s="7">
        <v>4218</v>
      </c>
      <c r="GM10" s="7">
        <v>4773</v>
      </c>
      <c r="GN10" s="7">
        <v>7366</v>
      </c>
      <c r="GO10" s="7">
        <v>4545</v>
      </c>
      <c r="GP10" s="7">
        <v>11021</v>
      </c>
      <c r="GQ10" s="7">
        <v>9097</v>
      </c>
      <c r="GR10" s="7">
        <v>8031</v>
      </c>
      <c r="GS10" s="7">
        <v>7344</v>
      </c>
      <c r="GU10" s="7">
        <v>8399</v>
      </c>
      <c r="GV10" s="7">
        <v>9016</v>
      </c>
      <c r="GW10" s="7">
        <v>6355</v>
      </c>
      <c r="GX10" s="7">
        <v>4316</v>
      </c>
      <c r="GY10" s="7">
        <v>4042</v>
      </c>
      <c r="GZ10" s="7">
        <v>4140</v>
      </c>
      <c r="HA10" s="7">
        <v>3243</v>
      </c>
      <c r="HB10" s="7">
        <v>2452</v>
      </c>
      <c r="HC10" s="7">
        <v>6098</v>
      </c>
      <c r="HD10" s="7">
        <v>2651</v>
      </c>
      <c r="HE10" s="7">
        <v>5332</v>
      </c>
      <c r="HF10" s="7">
        <v>4217</v>
      </c>
      <c r="HG10" s="7">
        <v>3117</v>
      </c>
      <c r="HI10" s="7">
        <v>1799</v>
      </c>
      <c r="HJ10" s="7">
        <v>3802</v>
      </c>
      <c r="HK10" s="7">
        <v>3251</v>
      </c>
      <c r="HL10" s="7">
        <v>1583</v>
      </c>
      <c r="HM10" s="7">
        <v>8217</v>
      </c>
      <c r="HN10" s="7">
        <v>3319</v>
      </c>
      <c r="HO10" s="7">
        <v>1141</v>
      </c>
      <c r="HP10" s="7">
        <v>5650</v>
      </c>
      <c r="HQ10" s="7">
        <v>1123</v>
      </c>
      <c r="HR10" s="7">
        <v>1336</v>
      </c>
      <c r="HS10" s="7">
        <v>8589</v>
      </c>
      <c r="HT10" s="7">
        <v>7291</v>
      </c>
      <c r="HU10" s="7">
        <v>7896</v>
      </c>
      <c r="HW10" s="7">
        <v>6152</v>
      </c>
      <c r="HX10" s="7">
        <v>1618</v>
      </c>
      <c r="HY10" s="7">
        <v>40</v>
      </c>
      <c r="HZ10" s="7">
        <v>3278</v>
      </c>
      <c r="IA10" s="7">
        <v>3036</v>
      </c>
      <c r="IB10" s="7">
        <v>771</v>
      </c>
      <c r="IC10" s="7">
        <v>25</v>
      </c>
      <c r="ID10" s="8">
        <v>54</v>
      </c>
      <c r="IE10" s="8">
        <v>119</v>
      </c>
      <c r="IF10" s="8">
        <v>68</v>
      </c>
      <c r="IG10" s="8">
        <v>23</v>
      </c>
      <c r="IH10" s="8">
        <v>66</v>
      </c>
      <c r="II10" s="8">
        <v>25</v>
      </c>
      <c r="KB10" s="20"/>
      <c r="LE10" s="20"/>
      <c r="LY10" s="2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V10" s="7"/>
    </row>
    <row r="11" spans="1:367">
      <c r="A11" s="17">
        <f>+A10/A9</f>
        <v>42.810623910032717</v>
      </c>
      <c r="B11" s="18" t="s">
        <v>424</v>
      </c>
      <c r="C11" s="7"/>
      <c r="D11" s="7">
        <f t="shared" ref="D11:BO11" si="14">+IFERROR(D10/D9,"")</f>
        <v>113.20848056537102</v>
      </c>
      <c r="E11" s="7">
        <f t="shared" si="14"/>
        <v>119.1719298245614</v>
      </c>
      <c r="F11" s="7"/>
      <c r="G11" s="3">
        <f t="shared" si="14"/>
        <v>87.397101449275368</v>
      </c>
      <c r="H11" s="3">
        <f t="shared" si="14"/>
        <v>73.25</v>
      </c>
      <c r="I11" s="3">
        <f t="shared" si="14"/>
        <v>97.391666666666666</v>
      </c>
      <c r="J11" s="3">
        <f t="shared" si="14"/>
        <v>77.74666666666667</v>
      </c>
      <c r="K11" s="3">
        <f t="shared" si="14"/>
        <v>75.446229913473431</v>
      </c>
      <c r="L11" s="3">
        <f t="shared" si="14"/>
        <v>77.492063492063494</v>
      </c>
      <c r="M11" s="3"/>
      <c r="N11" s="3">
        <f t="shared" si="14"/>
        <v>91.372549019607845</v>
      </c>
      <c r="O11" s="3">
        <f t="shared" si="14"/>
        <v>78.611111111111114</v>
      </c>
      <c r="P11" s="3">
        <f t="shared" si="14"/>
        <v>75.653333333333336</v>
      </c>
      <c r="Q11" s="3">
        <f t="shared" si="14"/>
        <v>82.149019607843144</v>
      </c>
      <c r="R11" s="3">
        <f t="shared" si="14"/>
        <v>81.327272727272728</v>
      </c>
      <c r="S11" s="3">
        <f t="shared" si="14"/>
        <v>75.8125</v>
      </c>
      <c r="T11" s="3" t="str">
        <f t="shared" si="14"/>
        <v/>
      </c>
      <c r="U11" s="3">
        <f t="shared" si="14"/>
        <v>75.275000000000006</v>
      </c>
      <c r="V11" s="3">
        <f t="shared" si="14"/>
        <v>88.177777777777777</v>
      </c>
      <c r="W11" s="3">
        <f t="shared" si="14"/>
        <v>82.514031180400906</v>
      </c>
      <c r="X11" s="3">
        <f t="shared" si="14"/>
        <v>77.24078624078625</v>
      </c>
      <c r="Y11" s="3">
        <f t="shared" si="14"/>
        <v>81.970370370370375</v>
      </c>
      <c r="Z11" s="3">
        <f t="shared" si="14"/>
        <v>88.062745098039215</v>
      </c>
      <c r="AA11" s="3" t="str">
        <f t="shared" si="14"/>
        <v/>
      </c>
      <c r="AB11" s="3">
        <f t="shared" si="14"/>
        <v>87.543589743589749</v>
      </c>
      <c r="AC11" s="3">
        <f t="shared" si="14"/>
        <v>75.993333333333339</v>
      </c>
      <c r="AD11" s="3">
        <f t="shared" si="14"/>
        <v>76.545454545454547</v>
      </c>
      <c r="AE11" s="3">
        <f t="shared" si="14"/>
        <v>76.461538461538467</v>
      </c>
      <c r="AF11" s="3">
        <f t="shared" si="14"/>
        <v>64.224242424242419</v>
      </c>
      <c r="AG11" s="3">
        <f t="shared" si="14"/>
        <v>80.369230769230768</v>
      </c>
      <c r="AH11" s="3" t="str">
        <f t="shared" si="14"/>
        <v/>
      </c>
      <c r="AI11" s="3">
        <f t="shared" si="14"/>
        <v>78.045977011494259</v>
      </c>
      <c r="AJ11" s="3">
        <f t="shared" si="14"/>
        <v>74.900000000000006</v>
      </c>
      <c r="AK11" s="3">
        <f t="shared" si="14"/>
        <v>62.625641025641023</v>
      </c>
      <c r="AL11" s="3">
        <f t="shared" si="14"/>
        <v>73.190804597701145</v>
      </c>
      <c r="AM11" s="3">
        <f t="shared" si="14"/>
        <v>66.105509964830006</v>
      </c>
      <c r="AN11" s="3">
        <f t="shared" si="14"/>
        <v>63.858823529411765</v>
      </c>
      <c r="AO11" s="3" t="str">
        <f t="shared" si="14"/>
        <v/>
      </c>
      <c r="AP11" s="3">
        <f t="shared" si="14"/>
        <v>87.211594202898553</v>
      </c>
      <c r="AQ11" s="3">
        <f t="shared" si="14"/>
        <v>84.16</v>
      </c>
      <c r="AR11" s="3">
        <f t="shared" si="14"/>
        <v>74.61666666666666</v>
      </c>
      <c r="AS11" s="3">
        <f t="shared" si="14"/>
        <v>61.641025641025642</v>
      </c>
      <c r="AT11" s="3">
        <f t="shared" si="14"/>
        <v>84.897777777777776</v>
      </c>
      <c r="AU11" s="3">
        <f t="shared" si="14"/>
        <v>58.420817843866168</v>
      </c>
      <c r="AV11" s="3" t="str">
        <f t="shared" si="14"/>
        <v/>
      </c>
      <c r="AW11" s="3">
        <f t="shared" si="14"/>
        <v>110.38155136268344</v>
      </c>
      <c r="AX11" s="3">
        <f t="shared" si="14"/>
        <v>77.004950495049499</v>
      </c>
      <c r="AY11" s="3">
        <f t="shared" si="14"/>
        <v>81.332404181184671</v>
      </c>
      <c r="AZ11" s="3">
        <f t="shared" si="14"/>
        <v>90.524444444444441</v>
      </c>
      <c r="BA11" s="3">
        <f t="shared" si="14"/>
        <v>71.8</v>
      </c>
      <c r="BB11" s="3">
        <f t="shared" si="14"/>
        <v>73.466666666666669</v>
      </c>
      <c r="BC11" s="3" t="str">
        <f t="shared" si="14"/>
        <v/>
      </c>
      <c r="BD11" s="3">
        <f t="shared" si="14"/>
        <v>96.635294117647064</v>
      </c>
      <c r="BE11" s="3">
        <f t="shared" si="14"/>
        <v>84.180094786729853</v>
      </c>
      <c r="BF11" s="3">
        <f t="shared" si="14"/>
        <v>69.517948717948713</v>
      </c>
      <c r="BG11" s="3">
        <f t="shared" si="14"/>
        <v>76.661367249602549</v>
      </c>
      <c r="BH11" s="3">
        <f t="shared" si="14"/>
        <v>80.107202680067005</v>
      </c>
      <c r="BI11" s="3">
        <f t="shared" si="14"/>
        <v>77.099999999999994</v>
      </c>
      <c r="BJ11" s="3" t="str">
        <f t="shared" si="14"/>
        <v/>
      </c>
      <c r="BK11" s="3">
        <f t="shared" si="14"/>
        <v>105.65201238390092</v>
      </c>
      <c r="BL11" s="3">
        <f t="shared" si="14"/>
        <v>110.97363796133568</v>
      </c>
      <c r="BM11" s="3">
        <f t="shared" si="14"/>
        <v>72.197333333333333</v>
      </c>
      <c r="BN11" s="3">
        <f t="shared" si="14"/>
        <v>102.80740740740741</v>
      </c>
      <c r="BO11" s="3">
        <f t="shared" si="14"/>
        <v>105.22105263157894</v>
      </c>
      <c r="BP11" s="3">
        <f t="shared" ref="BP11:EB11" si="15">+IFERROR(BP10/BP9,"")</f>
        <v>90.789081885856092</v>
      </c>
      <c r="BQ11" s="3" t="str">
        <f t="shared" si="15"/>
        <v/>
      </c>
      <c r="BR11" s="3">
        <f t="shared" si="15"/>
        <v>98.398727465535529</v>
      </c>
      <c r="BS11" s="3">
        <f t="shared" si="15"/>
        <v>82.4</v>
      </c>
      <c r="BT11" s="3">
        <f t="shared" si="15"/>
        <v>74.768310911808669</v>
      </c>
      <c r="BU11" s="3">
        <f t="shared" si="15"/>
        <v>89.166908563134982</v>
      </c>
      <c r="BV11" s="3">
        <f t="shared" si="15"/>
        <v>82.726572528883182</v>
      </c>
      <c r="BW11" s="3">
        <f t="shared" si="15"/>
        <v>82.872444011684507</v>
      </c>
      <c r="BX11" s="3">
        <f t="shared" si="15"/>
        <v>59.347368421052629</v>
      </c>
      <c r="BY11" s="3">
        <f t="shared" si="15"/>
        <v>85.011986301369859</v>
      </c>
      <c r="BZ11" s="3">
        <f t="shared" si="15"/>
        <v>87.759139784946242</v>
      </c>
      <c r="CA11" s="3">
        <f t="shared" si="15"/>
        <v>79.786666666666662</v>
      </c>
      <c r="CB11" s="3">
        <f t="shared" si="15"/>
        <v>72.166666666666671</v>
      </c>
      <c r="CC11" s="3" t="str">
        <f t="shared" si="15"/>
        <v/>
      </c>
      <c r="CD11" s="3" t="str">
        <f t="shared" si="15"/>
        <v/>
      </c>
      <c r="CE11" s="3" t="str">
        <f t="shared" si="15"/>
        <v/>
      </c>
      <c r="CF11" s="3">
        <f t="shared" si="15"/>
        <v>77.766666666666666</v>
      </c>
      <c r="CG11" s="3">
        <f t="shared" si="15"/>
        <v>79.621052631578948</v>
      </c>
      <c r="CH11" s="3">
        <f t="shared" si="15"/>
        <v>86.026666666666671</v>
      </c>
      <c r="CI11" s="3">
        <f t="shared" si="15"/>
        <v>95.992982456140354</v>
      </c>
      <c r="CJ11" s="3">
        <f t="shared" si="15"/>
        <v>67.641986879100287</v>
      </c>
      <c r="CK11" s="3">
        <f t="shared" si="15"/>
        <v>72.035555555555561</v>
      </c>
      <c r="CL11" s="3" t="str">
        <f t="shared" si="15"/>
        <v/>
      </c>
      <c r="CM11" s="3">
        <f t="shared" si="15"/>
        <v>81.885274985215844</v>
      </c>
      <c r="CN11" s="3">
        <f t="shared" si="15"/>
        <v>108.86666666666666</v>
      </c>
      <c r="CO11" s="3">
        <f t="shared" si="15"/>
        <v>118.83844011142061</v>
      </c>
      <c r="CP11" s="3">
        <f t="shared" si="15"/>
        <v>125.51666666666667</v>
      </c>
      <c r="CQ11" s="3">
        <f t="shared" si="15"/>
        <v>104.36743215031315</v>
      </c>
      <c r="CR11" s="3">
        <f t="shared" si="15"/>
        <v>85.4481546572935</v>
      </c>
      <c r="CS11" s="3" t="str">
        <f t="shared" si="15"/>
        <v/>
      </c>
      <c r="CT11" s="3">
        <f t="shared" si="15"/>
        <v>55.35</v>
      </c>
      <c r="CU11" s="3">
        <f t="shared" si="15"/>
        <v>67.919866444073449</v>
      </c>
      <c r="CV11" s="3">
        <f t="shared" si="15"/>
        <v>70.319625195210818</v>
      </c>
      <c r="CW11" s="3">
        <f t="shared" si="15"/>
        <v>81.310344827586206</v>
      </c>
      <c r="CX11" s="3">
        <f t="shared" si="15"/>
        <v>61.813333333333333</v>
      </c>
      <c r="CY11" s="3">
        <f t="shared" si="15"/>
        <v>85.488888888888894</v>
      </c>
      <c r="CZ11" s="3" t="str">
        <f t="shared" si="15"/>
        <v/>
      </c>
      <c r="DA11" s="3">
        <f t="shared" si="15"/>
        <v>74.289855072463766</v>
      </c>
      <c r="DB11" s="3">
        <f t="shared" si="15"/>
        <v>67.333333333333329</v>
      </c>
      <c r="DC11" s="3">
        <f t="shared" si="15"/>
        <v>63.686666666666667</v>
      </c>
      <c r="DD11" s="3">
        <f t="shared" si="15"/>
        <v>84.88484848484849</v>
      </c>
      <c r="DE11" s="3">
        <f t="shared" si="15"/>
        <v>75.2</v>
      </c>
      <c r="DF11" s="3">
        <f t="shared" si="15"/>
        <v>69.396491228070175</v>
      </c>
      <c r="DG11" s="3">
        <f t="shared" si="15"/>
        <v>84.551111111111112</v>
      </c>
      <c r="DH11" s="3">
        <f t="shared" si="15"/>
        <v>19.564444444444444</v>
      </c>
      <c r="DI11" s="3">
        <f t="shared" si="15"/>
        <v>67.803508771929828</v>
      </c>
      <c r="DJ11" s="3">
        <f t="shared" si="15"/>
        <v>82.136894824707852</v>
      </c>
      <c r="DK11" s="3">
        <f t="shared" si="15"/>
        <v>76.973333333333329</v>
      </c>
      <c r="DL11" s="3">
        <f t="shared" si="15"/>
        <v>77.139393939393941</v>
      </c>
      <c r="DM11" s="3">
        <f t="shared" si="15"/>
        <v>49.537777777777777</v>
      </c>
      <c r="DN11" s="3" t="str">
        <f t="shared" si="15"/>
        <v/>
      </c>
      <c r="DO11" s="3">
        <f t="shared" si="15"/>
        <v>91.85</v>
      </c>
      <c r="DP11" s="3">
        <f t="shared" si="15"/>
        <v>73.851801495581242</v>
      </c>
      <c r="DQ11" s="3">
        <f t="shared" si="15"/>
        <v>86.506024096385545</v>
      </c>
      <c r="DR11" s="3">
        <f t="shared" si="15"/>
        <v>66.057851239669418</v>
      </c>
      <c r="DS11" s="3" t="str">
        <f t="shared" si="15"/>
        <v/>
      </c>
      <c r="DT11" s="3">
        <f t="shared" si="15"/>
        <v>83.428170988086904</v>
      </c>
      <c r="DU11" s="3">
        <f t="shared" si="15"/>
        <v>76.141743444365702</v>
      </c>
      <c r="DV11" s="3">
        <f t="shared" si="15"/>
        <v>81.052287581699346</v>
      </c>
      <c r="DW11" s="3">
        <f t="shared" si="15"/>
        <v>79.024691358024697</v>
      </c>
      <c r="DX11" s="3">
        <f t="shared" si="15"/>
        <v>62.964980544747078</v>
      </c>
      <c r="DY11" s="3">
        <f t="shared" si="15"/>
        <v>40.52918287937743</v>
      </c>
      <c r="DZ11" s="3">
        <f t="shared" si="15"/>
        <v>42.459277403551745</v>
      </c>
      <c r="EA11" s="3">
        <f t="shared" si="15"/>
        <v>61.690640394088661</v>
      </c>
      <c r="EB11" s="3" t="str">
        <f t="shared" si="15"/>
        <v/>
      </c>
      <c r="EC11" s="3">
        <f t="shared" ref="EC11:GN11" si="16">+IFERROR(EC10/EC9,"")</f>
        <v>22.938906752411576</v>
      </c>
      <c r="ED11" s="3">
        <f t="shared" si="16"/>
        <v>61.721655024180556</v>
      </c>
      <c r="EE11" s="3">
        <f t="shared" si="16"/>
        <v>53.700161203653948</v>
      </c>
      <c r="EF11" s="3">
        <f t="shared" si="16"/>
        <v>53.743772241992886</v>
      </c>
      <c r="EG11" s="3">
        <f t="shared" si="16"/>
        <v>64.473065015479875</v>
      </c>
      <c r="EH11" s="3">
        <f t="shared" si="16"/>
        <v>80.796747967479675</v>
      </c>
      <c r="EI11" s="3">
        <f t="shared" si="16"/>
        <v>46.888260254596894</v>
      </c>
      <c r="EJ11" s="3">
        <f t="shared" si="16"/>
        <v>47.421083978558663</v>
      </c>
      <c r="EK11" s="3">
        <f t="shared" si="16"/>
        <v>51.93333333333333</v>
      </c>
      <c r="EL11" s="3">
        <f t="shared" si="16"/>
        <v>45.389830508474574</v>
      </c>
      <c r="EM11" s="3">
        <f t="shared" si="16"/>
        <v>50.168188370975486</v>
      </c>
      <c r="EN11" s="3">
        <f t="shared" si="16"/>
        <v>42.371633752244158</v>
      </c>
      <c r="EO11" s="3">
        <f t="shared" si="16"/>
        <v>39.903703703703705</v>
      </c>
      <c r="EP11" s="3" t="str">
        <f t="shared" si="16"/>
        <v/>
      </c>
      <c r="EQ11" s="3">
        <f t="shared" si="16"/>
        <v>43.108333333333334</v>
      </c>
      <c r="ER11" s="3">
        <f t="shared" si="16"/>
        <v>44.37777777777778</v>
      </c>
      <c r="ES11" s="3" t="str">
        <f t="shared" si="16"/>
        <v/>
      </c>
      <c r="ET11" s="3" t="str">
        <f t="shared" si="16"/>
        <v/>
      </c>
      <c r="EU11" s="3" t="str">
        <f t="shared" si="16"/>
        <v/>
      </c>
      <c r="EV11" s="3">
        <f t="shared" si="16"/>
        <v>55.225000000000001</v>
      </c>
      <c r="EW11" s="3" t="str">
        <f t="shared" si="16"/>
        <v/>
      </c>
      <c r="EX11" s="3">
        <f t="shared" si="16"/>
        <v>54.588235294117645</v>
      </c>
      <c r="EY11" s="3">
        <f t="shared" si="16"/>
        <v>58.464646464646464</v>
      </c>
      <c r="EZ11" s="3">
        <f t="shared" si="16"/>
        <v>58.743243243243242</v>
      </c>
      <c r="FA11" s="3">
        <f t="shared" si="16"/>
        <v>52.303030303030305</v>
      </c>
      <c r="FB11" s="3">
        <f t="shared" si="16"/>
        <v>72.351791530944624</v>
      </c>
      <c r="FC11" s="3">
        <f t="shared" si="16"/>
        <v>56.820344544708782</v>
      </c>
      <c r="FD11" s="3" t="str">
        <f t="shared" si="16"/>
        <v/>
      </c>
      <c r="FE11" s="3">
        <f t="shared" si="16"/>
        <v>66.77430358158044</v>
      </c>
      <c r="FF11" s="3">
        <f t="shared" si="16"/>
        <v>64.481857764876636</v>
      </c>
      <c r="FG11" s="3">
        <f t="shared" si="16"/>
        <v>72.990291262135926</v>
      </c>
      <c r="FH11" s="3">
        <f t="shared" si="16"/>
        <v>67.606709080393287</v>
      </c>
      <c r="FI11" s="3">
        <f t="shared" si="16"/>
        <v>57.022222222222226</v>
      </c>
      <c r="FJ11" s="3">
        <f t="shared" si="16"/>
        <v>62.355608591885435</v>
      </c>
      <c r="FK11" s="3">
        <f t="shared" si="16"/>
        <v>54.48</v>
      </c>
      <c r="FL11" s="3">
        <f t="shared" si="16"/>
        <v>60.800936768149889</v>
      </c>
      <c r="FM11" s="3">
        <f t="shared" si="16"/>
        <v>71.58132045088567</v>
      </c>
      <c r="FN11" s="3">
        <f t="shared" si="16"/>
        <v>67.537953795379536</v>
      </c>
      <c r="FO11" s="3">
        <f t="shared" si="16"/>
        <v>58.808888888888887</v>
      </c>
      <c r="FP11" s="3">
        <f t="shared" si="16"/>
        <v>62.719546742209637</v>
      </c>
      <c r="FQ11" s="3">
        <f t="shared" si="16"/>
        <v>77.183333333333337</v>
      </c>
      <c r="FR11" s="3" t="str">
        <f t="shared" si="16"/>
        <v/>
      </c>
      <c r="FS11" s="3">
        <f t="shared" si="16"/>
        <v>65.979879275653929</v>
      </c>
      <c r="FT11" s="3">
        <f t="shared" si="16"/>
        <v>71.461486939048896</v>
      </c>
      <c r="FU11" s="3">
        <f t="shared" si="16"/>
        <v>64.1705919796308</v>
      </c>
      <c r="FV11" s="3">
        <f t="shared" si="16"/>
        <v>74.193925233644848</v>
      </c>
      <c r="FW11" s="3">
        <f t="shared" si="16"/>
        <v>79.545098039215688</v>
      </c>
      <c r="FX11" s="3">
        <f t="shared" si="16"/>
        <v>77.257575757575751</v>
      </c>
      <c r="FY11" s="3">
        <f t="shared" si="16"/>
        <v>72.257777777777775</v>
      </c>
      <c r="FZ11" s="3">
        <f t="shared" si="16"/>
        <v>52.270676691729321</v>
      </c>
      <c r="GA11" s="3">
        <f t="shared" si="16"/>
        <v>56.234747239976748</v>
      </c>
      <c r="GB11" s="3">
        <f t="shared" si="16"/>
        <v>58.766896551724138</v>
      </c>
      <c r="GC11" s="3">
        <f t="shared" si="16"/>
        <v>35.645699614890894</v>
      </c>
      <c r="GD11" s="3">
        <f t="shared" si="16"/>
        <v>27.991189427312776</v>
      </c>
      <c r="GE11" s="3">
        <f t="shared" si="16"/>
        <v>20.95865237366003</v>
      </c>
      <c r="GF11" s="3" t="str">
        <f t="shared" si="16"/>
        <v/>
      </c>
      <c r="GG11" s="3">
        <f t="shared" si="16"/>
        <v>59.804511278195491</v>
      </c>
      <c r="GH11" s="3">
        <f t="shared" si="16"/>
        <v>71.015748031496059</v>
      </c>
      <c r="GI11" s="3">
        <f t="shared" si="16"/>
        <v>59.720588235294116</v>
      </c>
      <c r="GJ11" s="3">
        <f t="shared" si="16"/>
        <v>53.283884018880649</v>
      </c>
      <c r="GK11" s="3">
        <f t="shared" si="16"/>
        <v>52.863999999999997</v>
      </c>
      <c r="GL11" s="3">
        <f t="shared" si="16"/>
        <v>40.267303102625299</v>
      </c>
      <c r="GM11" s="3">
        <f t="shared" si="16"/>
        <v>57.854545454545452</v>
      </c>
      <c r="GN11" s="3">
        <f t="shared" si="16"/>
        <v>61.640167364016733</v>
      </c>
      <c r="GO11" s="3">
        <f t="shared" ref="GO11:IZ11" si="17">+IFERROR(GO10/GO9,"")</f>
        <v>41.038374717832959</v>
      </c>
      <c r="GP11" s="3">
        <f t="shared" si="17"/>
        <v>113.03589743589744</v>
      </c>
      <c r="GQ11" s="3">
        <f t="shared" si="17"/>
        <v>68.743073047858957</v>
      </c>
      <c r="GR11" s="3">
        <f t="shared" si="17"/>
        <v>63.236220472440948</v>
      </c>
      <c r="GS11" s="3">
        <f t="shared" si="17"/>
        <v>65.571428571428569</v>
      </c>
      <c r="GT11" s="3" t="str">
        <f t="shared" si="17"/>
        <v/>
      </c>
      <c r="GU11" s="3">
        <f t="shared" si="17"/>
        <v>79.800475059382421</v>
      </c>
      <c r="GV11" s="3">
        <f t="shared" si="17"/>
        <v>73.599999999999994</v>
      </c>
      <c r="GW11" s="3">
        <f t="shared" si="17"/>
        <v>47.932118164676304</v>
      </c>
      <c r="GX11" s="3">
        <f t="shared" si="17"/>
        <v>36.576271186440678</v>
      </c>
      <c r="GY11" s="3">
        <f t="shared" si="17"/>
        <v>37.775700934579447</v>
      </c>
      <c r="GZ11" s="3">
        <f t="shared" si="17"/>
        <v>42.46153846153846</v>
      </c>
      <c r="HA11" s="3">
        <f t="shared" si="17"/>
        <v>39.710204081632654</v>
      </c>
      <c r="HB11" s="3">
        <f t="shared" si="17"/>
        <v>22.809302325581395</v>
      </c>
      <c r="HC11" s="3">
        <f t="shared" si="17"/>
        <v>51.677966101694913</v>
      </c>
      <c r="HD11" s="3">
        <f t="shared" si="17"/>
        <v>23.135999999999999</v>
      </c>
      <c r="HE11" s="3">
        <f t="shared" si="17"/>
        <v>41.279999999999994</v>
      </c>
      <c r="HF11" s="3">
        <f t="shared" si="17"/>
        <v>31.706766917293233</v>
      </c>
      <c r="HG11" s="3">
        <f t="shared" si="17"/>
        <v>29.827751196172255</v>
      </c>
      <c r="HH11" s="3" t="str">
        <f t="shared" si="17"/>
        <v/>
      </c>
      <c r="HI11" s="3">
        <f t="shared" si="17"/>
        <v>15.376068376068377</v>
      </c>
      <c r="HJ11" s="3">
        <f t="shared" si="17"/>
        <v>34.226556639159789</v>
      </c>
      <c r="HK11" s="3">
        <f t="shared" si="17"/>
        <v>28.706401766004419</v>
      </c>
      <c r="HL11" s="3">
        <f t="shared" si="17"/>
        <v>16.235897435897435</v>
      </c>
      <c r="HM11" s="3">
        <f t="shared" si="17"/>
        <v>70.230769230769226</v>
      </c>
      <c r="HN11" s="3">
        <f t="shared" si="17"/>
        <v>40.230303030303027</v>
      </c>
      <c r="HO11" s="3">
        <f t="shared" si="17"/>
        <v>12.677777777777777</v>
      </c>
      <c r="HP11" s="3">
        <f t="shared" si="17"/>
        <v>51.247165532879819</v>
      </c>
      <c r="HQ11" s="3">
        <f t="shared" si="17"/>
        <v>10.162895927601809</v>
      </c>
      <c r="HR11" s="3">
        <f t="shared" si="17"/>
        <v>15.181818181818182</v>
      </c>
      <c r="HS11" s="3">
        <f t="shared" si="17"/>
        <v>89.937172774869111</v>
      </c>
      <c r="HT11" s="3">
        <f t="shared" si="17"/>
        <v>72.91</v>
      </c>
      <c r="HU11" s="3">
        <f t="shared" si="17"/>
        <v>95.709090909090904</v>
      </c>
      <c r="HV11" s="3" t="str">
        <f t="shared" si="17"/>
        <v/>
      </c>
      <c r="HW11" s="3">
        <f t="shared" si="17"/>
        <v>29.576923076923077</v>
      </c>
      <c r="HX11" s="3">
        <f t="shared" si="17"/>
        <v>10.822742474916389</v>
      </c>
      <c r="HY11" s="3">
        <f t="shared" si="17"/>
        <v>0.29090909090909089</v>
      </c>
      <c r="HZ11" s="3">
        <f t="shared" si="17"/>
        <v>17.671159029649594</v>
      </c>
      <c r="IA11" s="3">
        <f t="shared" si="17"/>
        <v>23.219885277246654</v>
      </c>
      <c r="IB11" s="3">
        <f t="shared" si="17"/>
        <v>4.1563342318059302</v>
      </c>
      <c r="IC11" s="3">
        <f t="shared" si="17"/>
        <v>0.27777777777777779</v>
      </c>
      <c r="ID11" s="3">
        <f t="shared" si="17"/>
        <v>0.50943396226415094</v>
      </c>
      <c r="IE11" s="3">
        <f t="shared" si="17"/>
        <v>1.1226415094339623</v>
      </c>
      <c r="IF11" s="3">
        <f t="shared" si="17"/>
        <v>0.7010309278350515</v>
      </c>
      <c r="IG11" s="3">
        <f t="shared" si="17"/>
        <v>0.21749408983451538</v>
      </c>
      <c r="IH11" s="3">
        <f t="shared" si="17"/>
        <v>0.5892857142857143</v>
      </c>
      <c r="II11" s="3">
        <f t="shared" si="17"/>
        <v>0.37037037037037035</v>
      </c>
      <c r="IJ11" s="3" t="str">
        <f t="shared" si="17"/>
        <v/>
      </c>
      <c r="IK11" s="3">
        <f t="shared" si="17"/>
        <v>0</v>
      </c>
      <c r="IL11" s="3">
        <f t="shared" si="17"/>
        <v>0</v>
      </c>
      <c r="IM11" s="3">
        <f t="shared" si="17"/>
        <v>0</v>
      </c>
      <c r="IN11" s="3">
        <f t="shared" si="17"/>
        <v>0</v>
      </c>
      <c r="IO11" s="3">
        <f t="shared" si="17"/>
        <v>0</v>
      </c>
      <c r="IP11" s="3">
        <f t="shared" si="17"/>
        <v>0</v>
      </c>
      <c r="IQ11" s="3">
        <f t="shared" si="17"/>
        <v>0</v>
      </c>
      <c r="IR11" s="3">
        <f t="shared" si="17"/>
        <v>0</v>
      </c>
      <c r="IS11" s="3">
        <f t="shared" si="17"/>
        <v>0</v>
      </c>
      <c r="IT11" s="3">
        <f t="shared" si="17"/>
        <v>0</v>
      </c>
      <c r="IU11" s="3">
        <f t="shared" si="17"/>
        <v>0</v>
      </c>
      <c r="IV11" s="3">
        <f t="shared" si="17"/>
        <v>0</v>
      </c>
      <c r="IW11" s="3">
        <f t="shared" si="17"/>
        <v>0</v>
      </c>
      <c r="IX11" s="3" t="str">
        <f t="shared" si="17"/>
        <v/>
      </c>
      <c r="IY11" s="3">
        <f t="shared" si="17"/>
        <v>0</v>
      </c>
      <c r="IZ11" s="3">
        <f t="shared" si="17"/>
        <v>0</v>
      </c>
      <c r="JA11" s="3">
        <f t="shared" ref="JA11:JZ11" si="18">+IFERROR(JA10/JA9,"")</f>
        <v>0</v>
      </c>
      <c r="JB11" s="3">
        <f t="shared" si="18"/>
        <v>0</v>
      </c>
      <c r="JC11" s="3">
        <f t="shared" si="18"/>
        <v>0</v>
      </c>
      <c r="JD11" s="3">
        <f t="shared" si="18"/>
        <v>0</v>
      </c>
      <c r="JE11" s="3" t="str">
        <f t="shared" si="18"/>
        <v/>
      </c>
      <c r="JF11" s="3">
        <f t="shared" si="18"/>
        <v>0</v>
      </c>
      <c r="JG11" s="3">
        <f t="shared" si="18"/>
        <v>0</v>
      </c>
      <c r="JH11" s="3">
        <f t="shared" si="18"/>
        <v>0</v>
      </c>
      <c r="JI11" s="3">
        <f t="shared" si="18"/>
        <v>0</v>
      </c>
      <c r="JJ11" s="3">
        <f t="shared" si="18"/>
        <v>0</v>
      </c>
      <c r="JK11" s="3">
        <f t="shared" si="18"/>
        <v>0</v>
      </c>
      <c r="JL11" s="3" t="str">
        <f t="shared" si="18"/>
        <v/>
      </c>
      <c r="JM11" s="3">
        <f t="shared" si="18"/>
        <v>0</v>
      </c>
      <c r="JN11" s="3">
        <f t="shared" si="18"/>
        <v>0</v>
      </c>
      <c r="JO11" s="3">
        <f t="shared" si="18"/>
        <v>0</v>
      </c>
      <c r="JP11" s="3">
        <f t="shared" si="18"/>
        <v>0</v>
      </c>
      <c r="JQ11" s="3">
        <f t="shared" si="18"/>
        <v>0</v>
      </c>
      <c r="JR11" s="3">
        <f t="shared" si="18"/>
        <v>0</v>
      </c>
      <c r="JS11" s="3" t="str">
        <f t="shared" si="18"/>
        <v/>
      </c>
      <c r="JT11" s="3">
        <f t="shared" si="18"/>
        <v>0</v>
      </c>
      <c r="JU11" s="3">
        <f t="shared" si="18"/>
        <v>0</v>
      </c>
      <c r="JV11" s="3">
        <f t="shared" si="18"/>
        <v>0</v>
      </c>
      <c r="JW11" s="3">
        <f t="shared" si="18"/>
        <v>0</v>
      </c>
      <c r="JX11" s="3">
        <f t="shared" si="18"/>
        <v>0</v>
      </c>
      <c r="JY11" s="3">
        <f t="shared" si="18"/>
        <v>0</v>
      </c>
      <c r="JZ11" s="3" t="str">
        <f t="shared" si="18"/>
        <v/>
      </c>
      <c r="LY11" s="83"/>
      <c r="LZ11" s="34"/>
      <c r="MA11" s="34"/>
      <c r="MB11" s="34"/>
      <c r="MC11" s="34"/>
      <c r="MD11" s="34"/>
      <c r="ME11" s="34"/>
      <c r="MF11" s="34"/>
      <c r="MG11" s="34"/>
      <c r="MH11" s="34"/>
      <c r="MI11" s="34"/>
      <c r="MJ11" s="34"/>
      <c r="MK11" s="34"/>
      <c r="ML11" s="34"/>
      <c r="MM11" s="34"/>
      <c r="MN11" s="34"/>
      <c r="MO11" s="34"/>
      <c r="MP11" s="34"/>
      <c r="MQ11" s="34"/>
      <c r="MR11" s="34"/>
      <c r="MS11" s="34"/>
      <c r="MV11" s="7"/>
    </row>
    <row r="12" spans="1:367">
      <c r="G12" s="20"/>
      <c r="N12" s="20"/>
      <c r="U12" s="20"/>
      <c r="AI12" s="20"/>
      <c r="AP12" s="20"/>
      <c r="AW12" s="20"/>
      <c r="BD12" s="20"/>
      <c r="BK12" s="20"/>
      <c r="BY12" s="20"/>
      <c r="CF12" s="20"/>
      <c r="CM12" s="20"/>
      <c r="CT12" s="20"/>
      <c r="DA12" s="20"/>
      <c r="DH12" s="20"/>
      <c r="DL12" s="7"/>
      <c r="DM12" s="7"/>
      <c r="DO12" s="20"/>
      <c r="DV12" s="20"/>
      <c r="EC12" s="20"/>
      <c r="EJ12" s="20"/>
      <c r="EQ12" s="20"/>
      <c r="EX12" s="20"/>
      <c r="FE12" s="7"/>
      <c r="FL12" s="7"/>
      <c r="FS12" s="20"/>
      <c r="FZ12" s="20"/>
      <c r="GG12" s="20"/>
      <c r="GN12" s="20"/>
      <c r="GU12" s="20"/>
      <c r="HB12" s="20"/>
      <c r="HI12" s="20"/>
      <c r="HP12" s="20"/>
      <c r="HW12" s="20"/>
      <c r="ID12" s="20"/>
      <c r="LW12" s="71"/>
      <c r="LX12" s="93"/>
      <c r="LY12" s="93"/>
      <c r="LZ12" s="93"/>
      <c r="MA12" s="26"/>
    </row>
    <row r="13" spans="1:367">
      <c r="G13" s="20"/>
      <c r="N13" s="20"/>
      <c r="U13" s="20"/>
      <c r="AI13" s="20"/>
      <c r="AP13" s="20"/>
      <c r="AW13" s="20"/>
      <c r="BD13" s="20"/>
      <c r="BK13" s="20"/>
      <c r="BY13" s="20"/>
      <c r="CF13" s="20"/>
      <c r="CM13" s="20"/>
      <c r="CT13" s="20"/>
      <c r="DA13" s="20"/>
      <c r="DH13" s="20"/>
      <c r="DL13" s="7"/>
      <c r="DM13" s="19"/>
      <c r="DO13" s="20"/>
      <c r="DV13" s="20"/>
      <c r="EC13" s="20"/>
      <c r="EJ13" s="20"/>
      <c r="EQ13" s="20"/>
      <c r="EX13" s="20"/>
      <c r="FE13" s="7"/>
      <c r="FL13" s="7"/>
      <c r="FS13" s="20"/>
      <c r="FZ13" s="20"/>
      <c r="GG13" s="20"/>
      <c r="GN13" s="20"/>
      <c r="GU13" s="20"/>
      <c r="HB13" s="20"/>
      <c r="HI13" s="20"/>
      <c r="HP13" s="20"/>
      <c r="HW13" s="20"/>
      <c r="ID13" s="20"/>
      <c r="LW13" s="71"/>
      <c r="LX13" s="93"/>
      <c r="LY13" s="93"/>
      <c r="LZ13" s="93"/>
      <c r="MA13" s="26"/>
    </row>
    <row r="14" spans="1:367">
      <c r="G14" s="20"/>
      <c r="N14" s="20"/>
      <c r="U14" s="20"/>
      <c r="AI14" s="20"/>
      <c r="AP14" s="20"/>
      <c r="AW14" s="20"/>
      <c r="BD14" s="20"/>
      <c r="BK14" s="20"/>
      <c r="BY14" s="20"/>
      <c r="CF14" s="20"/>
      <c r="CM14" s="20"/>
      <c r="CT14" s="20"/>
      <c r="DA14" s="20"/>
      <c r="DH14" s="20"/>
      <c r="DO14" s="20"/>
      <c r="DV14" s="22"/>
      <c r="EC14" s="20"/>
      <c r="EJ14" s="20"/>
      <c r="EQ14" s="20"/>
      <c r="EX14" s="20"/>
      <c r="FE14" s="7"/>
      <c r="FL14" s="7"/>
      <c r="FS14" s="20"/>
      <c r="FZ14" s="20"/>
      <c r="GG14" s="20"/>
      <c r="GN14" s="20"/>
      <c r="GU14" s="20"/>
      <c r="HB14" s="20"/>
      <c r="HI14" s="20"/>
      <c r="HP14" s="20"/>
      <c r="HW14" s="20"/>
      <c r="ID14" s="20"/>
      <c r="LW14" s="71"/>
      <c r="LX14" s="93"/>
      <c r="LY14" s="93"/>
      <c r="LZ14" s="93"/>
      <c r="MA14" s="26"/>
    </row>
    <row r="15" spans="1:367">
      <c r="AB15" s="7"/>
      <c r="BD15" s="20"/>
      <c r="LW15" s="71"/>
      <c r="LX15" s="93"/>
      <c r="LY15" s="93"/>
      <c r="LZ15" s="93"/>
      <c r="MA15" s="26"/>
    </row>
    <row r="16" spans="1:367">
      <c r="LW16" s="71"/>
      <c r="LX16" s="93"/>
      <c r="LY16" s="93"/>
      <c r="LZ16" s="93"/>
      <c r="MA16" s="26"/>
    </row>
    <row r="17" spans="335:339">
      <c r="LW17" s="71"/>
      <c r="LX17" s="93"/>
      <c r="LY17" s="93"/>
      <c r="LZ17" s="93"/>
      <c r="MA17" s="26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55EC7-F7D3-432B-87BB-8E3E1CAF7F52}">
  <dimension ref="A1:NG31"/>
  <sheetViews>
    <sheetView showGridLines="0" topLeftCell="JK1" zoomScaleNormal="100" workbookViewId="0">
      <selection activeCell="JT12" sqref="JT12:JT17"/>
    </sheetView>
  </sheetViews>
  <sheetFormatPr defaultColWidth="8.88671875" defaultRowHeight="14.4"/>
  <cols>
    <col min="1" max="1" width="11.44140625" style="8" bestFit="1" customWidth="1"/>
    <col min="2" max="2" width="22.44140625" style="8" bestFit="1" customWidth="1"/>
    <col min="3" max="3" width="11.44140625" style="8" customWidth="1"/>
    <col min="4" max="4" width="11.33203125" style="8" customWidth="1"/>
    <col min="5" max="5" width="12.33203125" style="8" customWidth="1"/>
    <col min="6" max="6" width="12" style="8" customWidth="1"/>
    <col min="7" max="7" width="11.44140625" style="8" customWidth="1"/>
    <col min="8" max="8" width="11.109375" style="8" customWidth="1"/>
    <col min="9" max="9" width="11" style="8" customWidth="1"/>
    <col min="10" max="10" width="11.44140625" style="8" customWidth="1"/>
    <col min="11" max="11" width="11.33203125" style="8" customWidth="1"/>
    <col min="12" max="12" width="12.33203125" style="8" customWidth="1"/>
    <col min="13" max="13" width="12" style="8" customWidth="1"/>
    <col min="14" max="14" width="11.44140625" style="8" customWidth="1"/>
    <col min="15" max="15" width="11.109375" style="8" customWidth="1"/>
    <col min="16" max="16" width="11" style="8" customWidth="1"/>
    <col min="17" max="17" width="11.44140625" style="8" customWidth="1"/>
    <col min="18" max="18" width="11.33203125" style="8" customWidth="1"/>
    <col min="19" max="19" width="12.33203125" style="8" customWidth="1"/>
    <col min="20" max="20" width="12" style="8" customWidth="1"/>
    <col min="21" max="21" width="11.44140625" style="8" customWidth="1"/>
    <col min="22" max="22" width="11.109375" style="8" customWidth="1"/>
    <col min="23" max="23" width="11" style="8" customWidth="1"/>
    <col min="24" max="24" width="11.44140625" style="8" customWidth="1"/>
    <col min="25" max="25" width="11.33203125" style="8" customWidth="1"/>
    <col min="26" max="26" width="12.33203125" style="8" customWidth="1"/>
    <col min="27" max="27" width="12" style="8" customWidth="1"/>
    <col min="28" max="28" width="11.44140625" style="8" customWidth="1"/>
    <col min="29" max="29" width="11.109375" style="8" customWidth="1"/>
    <col min="30" max="30" width="11" style="8" customWidth="1"/>
    <col min="31" max="31" width="11.44140625" style="8" customWidth="1"/>
    <col min="32" max="32" width="11.33203125" style="8" customWidth="1"/>
    <col min="33" max="33" width="12.33203125" style="8" customWidth="1"/>
    <col min="34" max="34" width="12" style="8" customWidth="1"/>
    <col min="35" max="35" width="11.44140625" style="8" customWidth="1"/>
    <col min="36" max="36" width="11.109375" style="8" customWidth="1"/>
    <col min="37" max="37" width="11" style="8" customWidth="1"/>
    <col min="38" max="38" width="11.44140625" style="8" customWidth="1"/>
    <col min="39" max="39" width="11.33203125" style="8" customWidth="1"/>
    <col min="40" max="40" width="12.33203125" style="8" customWidth="1"/>
    <col min="41" max="41" width="12" style="8" customWidth="1"/>
    <col min="42" max="42" width="11.44140625" style="8" customWidth="1"/>
    <col min="43" max="43" width="11.109375" style="8" customWidth="1"/>
    <col min="44" max="44" width="11" style="8" customWidth="1"/>
    <col min="45" max="45" width="11.44140625" style="8" customWidth="1"/>
    <col min="46" max="46" width="11.33203125" style="8" customWidth="1"/>
    <col min="47" max="47" width="12.33203125" style="8" customWidth="1"/>
    <col min="48" max="48" width="12" style="8" customWidth="1"/>
    <col min="49" max="49" width="11.44140625" style="8" customWidth="1"/>
    <col min="50" max="50" width="11.109375" style="8" customWidth="1"/>
    <col min="51" max="51" width="11" style="8" customWidth="1"/>
    <col min="52" max="52" width="11.44140625" style="8" customWidth="1"/>
    <col min="53" max="53" width="11.33203125" style="8" customWidth="1"/>
    <col min="54" max="54" width="12.33203125" style="8" customWidth="1"/>
    <col min="55" max="55" width="12" style="8" customWidth="1"/>
    <col min="56" max="56" width="11.44140625" style="8" customWidth="1"/>
    <col min="57" max="57" width="11.109375" style="8" customWidth="1"/>
    <col min="58" max="58" width="11" style="8" customWidth="1"/>
    <col min="59" max="59" width="11.44140625" style="8" customWidth="1"/>
    <col min="60" max="60" width="11.33203125" style="8" customWidth="1"/>
    <col min="61" max="61" width="12.33203125" style="8" customWidth="1"/>
    <col min="62" max="62" width="12" style="8" customWidth="1"/>
    <col min="63" max="63" width="11.44140625" style="8" customWidth="1"/>
    <col min="64" max="64" width="12.109375" style="8" customWidth="1"/>
    <col min="65" max="65" width="12" style="8" customWidth="1"/>
    <col min="66" max="66" width="12.44140625" style="8" customWidth="1"/>
    <col min="67" max="67" width="12.33203125" style="8" customWidth="1"/>
    <col min="68" max="68" width="13.44140625" style="8" customWidth="1"/>
    <col min="69" max="69" width="13.109375" style="8" customWidth="1"/>
    <col min="70" max="70" width="12.44140625" style="8" customWidth="1"/>
    <col min="71" max="71" width="12.109375" style="8" customWidth="1"/>
    <col min="72" max="72" width="12" style="8" customWidth="1"/>
    <col min="73" max="73" width="12.44140625" style="8" customWidth="1"/>
    <col min="74" max="74" width="12.33203125" style="8" customWidth="1"/>
    <col min="75" max="75" width="13.44140625" style="8" customWidth="1"/>
    <col min="76" max="76" width="13.109375" style="8" customWidth="1"/>
    <col min="77" max="77" width="12.44140625" style="8" customWidth="1"/>
    <col min="78" max="78" width="12.109375" style="8" customWidth="1"/>
    <col min="79" max="79" width="12" style="8" customWidth="1"/>
    <col min="80" max="80" width="12.44140625" style="8" customWidth="1"/>
    <col min="81" max="81" width="12.33203125" style="8" customWidth="1"/>
    <col min="82" max="82" width="13.44140625" style="8" customWidth="1"/>
    <col min="83" max="83" width="13.109375" style="8" customWidth="1"/>
    <col min="84" max="84" width="12.44140625" style="8" customWidth="1"/>
    <col min="85" max="85" width="12.109375" style="8" customWidth="1"/>
    <col min="86" max="86" width="12" style="8" customWidth="1"/>
    <col min="87" max="87" width="12.44140625" style="8" customWidth="1"/>
    <col min="88" max="88" width="12.33203125" style="8" customWidth="1"/>
    <col min="89" max="89" width="13.44140625" style="8" customWidth="1"/>
    <col min="90" max="90" width="13.109375" style="8" customWidth="1"/>
    <col min="91" max="91" width="12.44140625" style="8" customWidth="1"/>
    <col min="92" max="92" width="12.109375" style="8" customWidth="1"/>
    <col min="93" max="93" width="12" style="8" customWidth="1"/>
    <col min="94" max="94" width="12.44140625" style="8" customWidth="1"/>
    <col min="95" max="95" width="12.33203125" style="8" customWidth="1"/>
    <col min="96" max="96" width="13.44140625" style="8" customWidth="1"/>
    <col min="97" max="97" width="13.109375" style="8" customWidth="1"/>
    <col min="98" max="98" width="12.44140625" style="8" customWidth="1"/>
    <col min="99" max="99" width="12.109375" style="8" customWidth="1"/>
    <col min="100" max="100" width="12" style="8" customWidth="1"/>
    <col min="101" max="101" width="12.44140625" style="8" customWidth="1"/>
    <col min="102" max="102" width="12.33203125" style="8" customWidth="1"/>
    <col min="103" max="103" width="13.44140625" style="8" customWidth="1"/>
    <col min="104" max="104" width="13.109375" style="8" customWidth="1"/>
    <col min="105" max="105" width="12.44140625" style="8" customWidth="1"/>
    <col min="106" max="106" width="12.109375" style="8" customWidth="1"/>
    <col min="107" max="107" width="12" style="8" customWidth="1"/>
    <col min="108" max="108" width="12.44140625" style="8" customWidth="1"/>
    <col min="109" max="109" width="12.33203125" style="8" customWidth="1"/>
    <col min="110" max="110" width="13.44140625" style="8" customWidth="1"/>
    <col min="111" max="111" width="13.109375" style="8" customWidth="1"/>
    <col min="112" max="112" width="12.44140625" style="8" customWidth="1"/>
    <col min="113" max="113" width="12.109375" style="8" customWidth="1"/>
    <col min="114" max="114" width="12" style="8" customWidth="1"/>
    <col min="115" max="115" width="12.44140625" style="8" customWidth="1"/>
    <col min="116" max="116" width="12.33203125" style="8" customWidth="1"/>
    <col min="117" max="117" width="13.44140625" style="8" customWidth="1"/>
    <col min="118" max="118" width="13.109375" style="8" customWidth="1"/>
    <col min="119" max="119" width="12.44140625" style="8" customWidth="1"/>
    <col min="120" max="120" width="12.109375" style="8" customWidth="1"/>
    <col min="121" max="121" width="12" style="8" customWidth="1"/>
    <col min="122" max="122" width="12.44140625" style="8" customWidth="1"/>
    <col min="123" max="123" width="12.33203125" style="8" customWidth="1"/>
    <col min="124" max="124" width="13.44140625" style="8" customWidth="1"/>
    <col min="125" max="125" width="13.109375" style="8" customWidth="1"/>
    <col min="126" max="126" width="12.44140625" style="8" customWidth="1"/>
    <col min="127" max="127" width="12.109375" style="8" customWidth="1"/>
    <col min="128" max="128" width="12" style="8" customWidth="1"/>
    <col min="129" max="129" width="12.44140625" style="8" customWidth="1"/>
    <col min="130" max="130" width="12.33203125" style="8" customWidth="1"/>
    <col min="131" max="131" width="13.44140625" style="8" customWidth="1"/>
    <col min="132" max="132" width="13.109375" style="8" customWidth="1"/>
    <col min="133" max="133" width="12.44140625" style="8" customWidth="1"/>
    <col min="134" max="134" width="12.109375" style="8" customWidth="1"/>
    <col min="135" max="135" width="12" style="8" customWidth="1"/>
    <col min="136" max="136" width="12.44140625" style="8" customWidth="1"/>
    <col min="137" max="137" width="12.33203125" style="8" customWidth="1"/>
    <col min="138" max="138" width="13.44140625" style="8" customWidth="1"/>
    <col min="139" max="139" width="13.109375" style="8" customWidth="1"/>
    <col min="140" max="140" width="12.44140625" style="8" customWidth="1"/>
    <col min="141" max="141" width="12.109375" style="8" customWidth="1"/>
    <col min="142" max="142" width="12" style="8" customWidth="1"/>
    <col min="143" max="143" width="12.44140625" style="8" customWidth="1"/>
    <col min="144" max="144" width="12.33203125" style="8" customWidth="1"/>
    <col min="145" max="145" width="13.44140625" style="8" customWidth="1"/>
    <col min="146" max="146" width="13.109375" style="8" customWidth="1"/>
    <col min="147" max="147" width="12.44140625" style="8" customWidth="1"/>
    <col min="148" max="148" width="12.109375" style="8" customWidth="1"/>
    <col min="149" max="149" width="12" style="8" customWidth="1"/>
    <col min="150" max="150" width="12.44140625" style="8" customWidth="1"/>
    <col min="151" max="151" width="12.33203125" style="8" customWidth="1"/>
    <col min="152" max="152" width="13.44140625" style="8" customWidth="1"/>
    <col min="153" max="153" width="13.109375" style="8" customWidth="1"/>
    <col min="154" max="154" width="12.44140625" style="8" customWidth="1"/>
    <col min="155" max="155" width="12.109375" style="8" customWidth="1"/>
    <col min="156" max="156" width="12" style="8" customWidth="1"/>
    <col min="157" max="157" width="12.44140625" style="8" customWidth="1"/>
    <col min="158" max="158" width="12.33203125" style="8" customWidth="1"/>
    <col min="159" max="159" width="13.44140625" style="8" customWidth="1"/>
    <col min="160" max="160" width="13.109375" style="8" customWidth="1"/>
    <col min="161" max="161" width="12.44140625" style="8" customWidth="1"/>
    <col min="162" max="162" width="12.109375" style="8" customWidth="1"/>
    <col min="163" max="163" width="12" style="8" customWidth="1"/>
    <col min="164" max="164" width="12.44140625" style="8" customWidth="1"/>
    <col min="165" max="165" width="12.33203125" style="8" customWidth="1"/>
    <col min="166" max="166" width="13.44140625" style="8" customWidth="1"/>
    <col min="167" max="167" width="13.109375" style="8" customWidth="1"/>
    <col min="168" max="168" width="12.44140625" style="8" customWidth="1"/>
    <col min="169" max="169" width="12.109375" style="8" customWidth="1"/>
    <col min="170" max="170" width="12" style="8" customWidth="1"/>
    <col min="171" max="171" width="12.44140625" style="8" customWidth="1"/>
    <col min="172" max="172" width="12.33203125" style="8" customWidth="1"/>
    <col min="173" max="173" width="13.44140625" style="8" customWidth="1"/>
    <col min="174" max="174" width="13.109375" style="8" customWidth="1"/>
    <col min="175" max="175" width="12.44140625" style="8" customWidth="1"/>
    <col min="176" max="176" width="12.109375" style="8" customWidth="1"/>
    <col min="177" max="177" width="12" style="8" customWidth="1"/>
    <col min="178" max="178" width="12.44140625" style="8" customWidth="1"/>
    <col min="179" max="179" width="12.33203125" style="8" customWidth="1"/>
    <col min="180" max="180" width="13.44140625" style="8" customWidth="1"/>
    <col min="181" max="181" width="13.109375" style="8" customWidth="1"/>
    <col min="182" max="182" width="12.44140625" style="8" customWidth="1"/>
    <col min="183" max="183" width="12.109375" style="8" customWidth="1"/>
    <col min="184" max="184" width="12" style="8" customWidth="1"/>
    <col min="185" max="185" width="12.44140625" style="8" customWidth="1"/>
    <col min="186" max="186" width="12.33203125" style="8" customWidth="1"/>
    <col min="187" max="187" width="13.44140625" style="8" customWidth="1"/>
    <col min="188" max="188" width="13.109375" style="8" customWidth="1"/>
    <col min="189" max="189" width="12.44140625" style="8" customWidth="1"/>
    <col min="190" max="190" width="12.109375" style="8" customWidth="1"/>
    <col min="191" max="191" width="12" style="8" customWidth="1"/>
    <col min="192" max="192" width="12.44140625" style="8" customWidth="1"/>
    <col min="193" max="193" width="12.33203125" style="8" customWidth="1"/>
    <col min="194" max="194" width="13.44140625" style="8" customWidth="1"/>
    <col min="195" max="195" width="13.109375" style="8" customWidth="1"/>
    <col min="196" max="196" width="12.44140625" style="8" customWidth="1"/>
    <col min="197" max="197" width="12.109375" style="8" customWidth="1"/>
    <col min="198" max="198" width="12" style="8" customWidth="1"/>
    <col min="199" max="199" width="12.44140625" style="8" customWidth="1"/>
    <col min="200" max="200" width="12.33203125" style="8" customWidth="1"/>
    <col min="201" max="201" width="13.44140625" style="8" customWidth="1"/>
    <col min="202" max="202" width="13.109375" style="8" customWidth="1"/>
    <col min="203" max="203" width="12.44140625" style="8" customWidth="1"/>
    <col min="204" max="204" width="12.109375" style="8" customWidth="1"/>
    <col min="205" max="205" width="12" style="8" customWidth="1"/>
    <col min="206" max="206" width="12.44140625" style="8" customWidth="1"/>
    <col min="207" max="207" width="12.33203125" style="8" customWidth="1"/>
    <col min="208" max="208" width="13.44140625" style="8" customWidth="1"/>
    <col min="209" max="209" width="13.109375" style="8" customWidth="1"/>
    <col min="210" max="210" width="12.44140625" style="8" customWidth="1"/>
    <col min="211" max="211" width="12.109375" style="8" customWidth="1"/>
    <col min="212" max="212" width="12" style="8" customWidth="1"/>
    <col min="213" max="213" width="12.44140625" style="8" customWidth="1"/>
    <col min="214" max="214" width="12.33203125" style="8" customWidth="1"/>
    <col min="215" max="215" width="13.44140625" style="8" customWidth="1"/>
    <col min="216" max="216" width="13.109375" style="8" customWidth="1"/>
    <col min="217" max="217" width="12.44140625" style="8" customWidth="1"/>
    <col min="218" max="218" width="12.109375" style="8" customWidth="1"/>
    <col min="219" max="219" width="12" style="8" customWidth="1"/>
    <col min="220" max="220" width="12.44140625" style="8" customWidth="1"/>
    <col min="221" max="221" width="12.33203125" style="8" customWidth="1"/>
    <col min="222" max="222" width="13.44140625" style="8" customWidth="1"/>
    <col min="223" max="223" width="13.109375" style="8" customWidth="1"/>
    <col min="224" max="224" width="12.44140625" style="8" customWidth="1"/>
    <col min="225" max="225" width="12.109375" style="8" customWidth="1"/>
    <col min="226" max="226" width="12" style="8" customWidth="1"/>
    <col min="227" max="227" width="12.44140625" style="8" customWidth="1"/>
    <col min="228" max="228" width="12.33203125" style="8" customWidth="1"/>
    <col min="229" max="229" width="13.44140625" style="8" customWidth="1"/>
    <col min="230" max="230" width="13.109375" style="8" customWidth="1"/>
    <col min="231" max="231" width="12.44140625" style="8" customWidth="1"/>
    <col min="232" max="232" width="12.109375" style="8" customWidth="1"/>
    <col min="233" max="233" width="12" style="8" customWidth="1"/>
    <col min="234" max="234" width="12.44140625" style="8" customWidth="1"/>
    <col min="235" max="235" width="12.33203125" style="8" customWidth="1"/>
    <col min="236" max="236" width="13.44140625" style="8" customWidth="1"/>
    <col min="237" max="237" width="13.109375" style="8" customWidth="1"/>
    <col min="238" max="238" width="12.44140625" style="8" customWidth="1"/>
    <col min="239" max="239" width="12.109375" style="8" customWidth="1"/>
    <col min="240" max="240" width="12" style="8" customWidth="1"/>
    <col min="241" max="241" width="12.44140625" style="8" customWidth="1"/>
    <col min="242" max="242" width="12.33203125" style="8" customWidth="1"/>
    <col min="243" max="243" width="13.44140625" style="8" customWidth="1"/>
    <col min="244" max="244" width="13.109375" style="8" customWidth="1"/>
    <col min="245" max="245" width="12.44140625" style="8" customWidth="1"/>
    <col min="246" max="246" width="12.109375" style="8" customWidth="1"/>
    <col min="247" max="247" width="12" style="8" customWidth="1"/>
    <col min="248" max="248" width="12.44140625" style="8" customWidth="1"/>
    <col min="249" max="249" width="12.33203125" style="8" customWidth="1"/>
    <col min="250" max="250" width="13.44140625" style="8" customWidth="1"/>
    <col min="251" max="251" width="13.109375" style="8" customWidth="1"/>
    <col min="252" max="252" width="12.44140625" style="8" customWidth="1"/>
    <col min="253" max="253" width="12.109375" style="8" customWidth="1"/>
    <col min="254" max="254" width="12" style="8" customWidth="1"/>
    <col min="255" max="255" width="12.44140625" style="8" customWidth="1"/>
    <col min="256" max="256" width="12.33203125" style="8" customWidth="1"/>
    <col min="257" max="257" width="13.44140625" style="8" customWidth="1"/>
    <col min="258" max="258" width="13.109375" style="8" customWidth="1"/>
    <col min="259" max="259" width="12.44140625" style="8" customWidth="1"/>
    <col min="260" max="260" width="12.109375" style="8" customWidth="1"/>
    <col min="261" max="261" width="12" style="8" customWidth="1"/>
    <col min="262" max="262" width="12.44140625" style="8" customWidth="1"/>
    <col min="263" max="263" width="12.33203125" style="8" customWidth="1"/>
    <col min="264" max="264" width="13.44140625" style="8" customWidth="1"/>
    <col min="265" max="265" width="13.109375" style="8" customWidth="1"/>
    <col min="266" max="266" width="12.44140625" style="8" customWidth="1"/>
    <col min="267" max="267" width="12.109375" style="8" customWidth="1"/>
    <col min="268" max="268" width="12" style="8" customWidth="1"/>
    <col min="269" max="269" width="12.44140625" style="8" customWidth="1"/>
    <col min="270" max="270" width="12.33203125" style="8" customWidth="1"/>
    <col min="271" max="271" width="13.44140625" style="8" customWidth="1"/>
    <col min="272" max="272" width="13.109375" style="8" customWidth="1"/>
    <col min="273" max="273" width="12.44140625" style="8" customWidth="1"/>
    <col min="274" max="274" width="12.109375" style="8" customWidth="1"/>
    <col min="275" max="275" width="12" style="8" customWidth="1"/>
    <col min="276" max="276" width="12.44140625" style="8" customWidth="1"/>
    <col min="277" max="277" width="12.33203125" style="8" customWidth="1"/>
    <col min="278" max="278" width="13.44140625" style="8" customWidth="1"/>
    <col min="279" max="279" width="13.109375" style="8" customWidth="1"/>
    <col min="280" max="280" width="12.44140625" style="8" customWidth="1"/>
    <col min="281" max="281" width="12.109375" style="8" customWidth="1"/>
    <col min="282" max="282" width="12" style="8" customWidth="1"/>
    <col min="283" max="283" width="12.44140625" style="8" customWidth="1"/>
    <col min="284" max="284" width="12.33203125" style="8" customWidth="1"/>
    <col min="285" max="285" width="13.44140625" style="8" customWidth="1"/>
    <col min="286" max="286" width="13.109375" style="8" customWidth="1"/>
    <col min="287" max="287" width="12.44140625" style="8" customWidth="1"/>
    <col min="288" max="288" width="12.109375" style="8" customWidth="1"/>
    <col min="289" max="289" width="12" style="8" customWidth="1"/>
    <col min="290" max="290" width="12.44140625" style="8" customWidth="1"/>
    <col min="291" max="291" width="12.33203125" style="8" customWidth="1"/>
    <col min="292" max="292" width="13.44140625" style="8" customWidth="1"/>
    <col min="293" max="293" width="13.109375" style="8" customWidth="1"/>
    <col min="294" max="294" width="12.44140625" style="8" customWidth="1"/>
    <col min="295" max="295" width="12.109375" style="8" customWidth="1"/>
    <col min="296" max="296" width="12" style="8" customWidth="1"/>
    <col min="297" max="297" width="12.44140625" style="8" customWidth="1"/>
    <col min="298" max="298" width="12.33203125" style="8" customWidth="1"/>
    <col min="299" max="299" width="13.44140625" style="8" customWidth="1"/>
    <col min="300" max="300" width="13.109375" style="8" customWidth="1"/>
    <col min="301" max="301" width="12.44140625" style="8" customWidth="1"/>
    <col min="302" max="302" width="12.109375" style="8" customWidth="1"/>
    <col min="303" max="303" width="12" style="8" customWidth="1"/>
    <col min="304" max="304" width="12.44140625" style="8" customWidth="1"/>
    <col min="305" max="305" width="12.33203125" style="8" customWidth="1"/>
    <col min="306" max="306" width="13.44140625" style="8" customWidth="1"/>
    <col min="307" max="307" width="13.109375" style="8" customWidth="1"/>
    <col min="308" max="308" width="12.44140625" style="8" customWidth="1"/>
    <col min="309" max="309" width="12.109375" style="8" customWidth="1"/>
    <col min="310" max="310" width="12" style="8" customWidth="1"/>
    <col min="311" max="311" width="12.44140625" style="8" customWidth="1"/>
    <col min="312" max="312" width="12.33203125" style="8" customWidth="1"/>
    <col min="313" max="313" width="13.44140625" style="8" customWidth="1"/>
    <col min="314" max="314" width="13.109375" style="8" customWidth="1"/>
    <col min="315" max="315" width="12.44140625" style="8" customWidth="1"/>
    <col min="316" max="316" width="12.109375" style="8" customWidth="1"/>
    <col min="317" max="317" width="12" style="8" customWidth="1"/>
    <col min="318" max="318" width="12.44140625" style="8" customWidth="1"/>
    <col min="319" max="319" width="12.33203125" style="8" customWidth="1"/>
    <col min="320" max="320" width="13.44140625" style="8" customWidth="1"/>
    <col min="321" max="321" width="13.109375" style="8" customWidth="1"/>
    <col min="322" max="322" width="12.44140625" style="8" customWidth="1"/>
    <col min="323" max="323" width="12.109375" style="8" customWidth="1"/>
    <col min="324" max="324" width="12" style="8" customWidth="1"/>
    <col min="325" max="325" width="12.44140625" style="8" customWidth="1"/>
    <col min="326" max="326" width="12.33203125" style="8" customWidth="1"/>
    <col min="327" max="327" width="13.44140625" style="8" customWidth="1"/>
    <col min="328" max="328" width="13.109375" style="8" customWidth="1"/>
    <col min="329" max="329" width="12.44140625" style="8" customWidth="1"/>
    <col min="330" max="330" width="12.109375" style="8" customWidth="1"/>
    <col min="331" max="331" width="12" style="8" customWidth="1"/>
    <col min="332" max="332" width="12.44140625" style="8" customWidth="1"/>
    <col min="333" max="333" width="12.33203125" style="8" customWidth="1"/>
    <col min="334" max="334" width="13.44140625" style="8" customWidth="1"/>
    <col min="335" max="335" width="13.109375" style="8" customWidth="1"/>
    <col min="336" max="336" width="12.44140625" style="8" customWidth="1"/>
    <col min="337" max="337" width="12.109375" style="8" customWidth="1"/>
    <col min="338" max="338" width="12" style="8" customWidth="1"/>
    <col min="339" max="339" width="12.44140625" style="8" customWidth="1"/>
    <col min="340" max="340" width="12.33203125" style="8" customWidth="1"/>
    <col min="341" max="341" width="13.44140625" style="8" customWidth="1"/>
    <col min="342" max="342" width="13.109375" style="8" customWidth="1"/>
    <col min="343" max="343" width="12.44140625" style="8" customWidth="1"/>
    <col min="344" max="344" width="12.109375" style="8" customWidth="1"/>
    <col min="345" max="345" width="12" style="8" customWidth="1"/>
    <col min="346" max="346" width="12.44140625" style="8" customWidth="1"/>
    <col min="347" max="347" width="12.33203125" style="8" customWidth="1"/>
    <col min="348" max="348" width="13.44140625" style="8" customWidth="1"/>
    <col min="349" max="349" width="13.109375" style="8" customWidth="1"/>
    <col min="350" max="350" width="12.44140625" style="8" customWidth="1"/>
    <col min="351" max="351" width="12.109375" style="8" bestFit="1" customWidth="1"/>
    <col min="352" max="352" width="12" style="8" bestFit="1" customWidth="1"/>
    <col min="353" max="353" width="12.44140625" style="8" bestFit="1" customWidth="1"/>
    <col min="354" max="354" width="12.33203125" style="8" bestFit="1" customWidth="1"/>
    <col min="355" max="355" width="13.44140625" style="8" bestFit="1" customWidth="1"/>
    <col min="356" max="356" width="13.109375" style="8" bestFit="1" customWidth="1"/>
    <col min="357" max="357" width="12.44140625" style="8" bestFit="1" customWidth="1"/>
    <col min="358" max="358" width="12.109375" style="8" bestFit="1" customWidth="1"/>
    <col min="359" max="359" width="12" style="8" bestFit="1" customWidth="1"/>
    <col min="360" max="360" width="12.44140625" style="8" bestFit="1" customWidth="1"/>
    <col min="361" max="361" width="12.33203125" style="8" bestFit="1" customWidth="1"/>
    <col min="362" max="362" width="13.44140625" style="8" bestFit="1" customWidth="1"/>
    <col min="363" max="363" width="13.109375" style="8" bestFit="1" customWidth="1"/>
    <col min="364" max="364" width="12.44140625" style="8" bestFit="1" customWidth="1"/>
    <col min="365" max="365" width="11.21875" style="8" bestFit="1" customWidth="1"/>
    <col min="366" max="366" width="11.109375" style="8" bestFit="1" customWidth="1"/>
    <col min="367" max="367" width="11.5546875" style="8" bestFit="1" customWidth="1"/>
    <col min="368" max="368" width="8.88671875" style="8"/>
    <col min="369" max="370" width="10.33203125" style="8" bestFit="1" customWidth="1"/>
    <col min="371" max="16384" width="8.88671875" style="8"/>
  </cols>
  <sheetData>
    <row r="1" spans="1:371">
      <c r="A1" s="10" t="s">
        <v>57</v>
      </c>
      <c r="B1" s="10" t="s">
        <v>56</v>
      </c>
      <c r="C1" s="11">
        <v>45658</v>
      </c>
      <c r="D1" s="11">
        <v>45659</v>
      </c>
      <c r="E1" s="11">
        <v>45660</v>
      </c>
      <c r="F1" s="11">
        <v>45661</v>
      </c>
      <c r="G1" s="11">
        <v>45662</v>
      </c>
      <c r="H1" s="11">
        <v>45663</v>
      </c>
      <c r="I1" s="11">
        <v>45664</v>
      </c>
      <c r="J1" s="11">
        <v>45665</v>
      </c>
      <c r="K1" s="11">
        <v>45666</v>
      </c>
      <c r="L1" s="11">
        <v>45667</v>
      </c>
      <c r="M1" s="11">
        <v>45668</v>
      </c>
      <c r="N1" s="11">
        <v>45669</v>
      </c>
      <c r="O1" s="11">
        <v>45670</v>
      </c>
      <c r="P1" s="11">
        <v>45671</v>
      </c>
      <c r="Q1" s="11">
        <v>45672</v>
      </c>
      <c r="R1" s="11">
        <v>45673</v>
      </c>
      <c r="S1" s="11">
        <v>45674</v>
      </c>
      <c r="T1" s="11">
        <v>45675</v>
      </c>
      <c r="U1" s="11">
        <v>45676</v>
      </c>
      <c r="V1" s="11">
        <v>45677</v>
      </c>
      <c r="W1" s="11">
        <v>45678</v>
      </c>
      <c r="X1" s="11">
        <v>45679</v>
      </c>
      <c r="Y1" s="11">
        <v>45680</v>
      </c>
      <c r="Z1" s="11">
        <v>45681</v>
      </c>
      <c r="AA1" s="11">
        <v>45682</v>
      </c>
      <c r="AB1" s="11">
        <v>45683</v>
      </c>
      <c r="AC1" s="11">
        <v>45684</v>
      </c>
      <c r="AD1" s="11">
        <v>45685</v>
      </c>
      <c r="AE1" s="11">
        <v>45686</v>
      </c>
      <c r="AF1" s="11">
        <v>45687</v>
      </c>
      <c r="AG1" s="11">
        <v>45688</v>
      </c>
      <c r="AH1" s="11">
        <v>45689</v>
      </c>
      <c r="AI1" s="11">
        <v>45690</v>
      </c>
      <c r="AJ1" s="11">
        <v>45691</v>
      </c>
      <c r="AK1" s="11">
        <v>45692</v>
      </c>
      <c r="AL1" s="11">
        <v>45693</v>
      </c>
      <c r="AM1" s="11">
        <v>45694</v>
      </c>
      <c r="AN1" s="11">
        <v>45695</v>
      </c>
      <c r="AO1" s="11">
        <v>45696</v>
      </c>
      <c r="AP1" s="11">
        <v>45697</v>
      </c>
      <c r="AQ1" s="11">
        <v>45698</v>
      </c>
      <c r="AR1" s="11">
        <v>45699</v>
      </c>
      <c r="AS1" s="11">
        <v>45700</v>
      </c>
      <c r="AT1" s="11">
        <v>45701</v>
      </c>
      <c r="AU1" s="11">
        <v>45702</v>
      </c>
      <c r="AV1" s="11">
        <v>45703</v>
      </c>
      <c r="AW1" s="11">
        <v>45704</v>
      </c>
      <c r="AX1" s="11">
        <v>45705</v>
      </c>
      <c r="AY1" s="11">
        <v>45706</v>
      </c>
      <c r="AZ1" s="11">
        <v>45707</v>
      </c>
      <c r="BA1" s="11">
        <v>45708</v>
      </c>
      <c r="BB1" s="11">
        <v>45709</v>
      </c>
      <c r="BC1" s="11">
        <v>45710</v>
      </c>
      <c r="BD1" s="11">
        <v>45711</v>
      </c>
      <c r="BE1" s="11">
        <v>45712</v>
      </c>
      <c r="BF1" s="11">
        <v>45713</v>
      </c>
      <c r="BG1" s="11">
        <v>45714</v>
      </c>
      <c r="BH1" s="11">
        <v>45715</v>
      </c>
      <c r="BI1" s="11">
        <v>45716</v>
      </c>
      <c r="BJ1" s="11">
        <v>45717</v>
      </c>
      <c r="BK1" s="11">
        <v>45718</v>
      </c>
      <c r="BL1" s="11">
        <v>45719</v>
      </c>
      <c r="BM1" s="11">
        <v>45720</v>
      </c>
      <c r="BN1" s="11">
        <v>45721</v>
      </c>
      <c r="BO1" s="11">
        <v>45722</v>
      </c>
      <c r="BP1" s="11">
        <v>45723</v>
      </c>
      <c r="BQ1" s="11">
        <v>45724</v>
      </c>
      <c r="BR1" s="11">
        <v>45725</v>
      </c>
      <c r="BS1" s="11">
        <v>45726</v>
      </c>
      <c r="BT1" s="11">
        <v>45727</v>
      </c>
      <c r="BU1" s="11">
        <v>45728</v>
      </c>
      <c r="BV1" s="11">
        <v>45729</v>
      </c>
      <c r="BW1" s="11">
        <v>45730</v>
      </c>
      <c r="BX1" s="11">
        <v>45731</v>
      </c>
      <c r="BY1" s="11">
        <v>45732</v>
      </c>
      <c r="BZ1" s="11">
        <v>45733</v>
      </c>
      <c r="CA1" s="11">
        <v>45734</v>
      </c>
      <c r="CB1" s="11">
        <v>45735</v>
      </c>
      <c r="CC1" s="11">
        <v>45736</v>
      </c>
      <c r="CD1" s="11">
        <v>45737</v>
      </c>
      <c r="CE1" s="11">
        <v>45738</v>
      </c>
      <c r="CF1" s="11">
        <v>45739</v>
      </c>
      <c r="CG1" s="11">
        <v>45740</v>
      </c>
      <c r="CH1" s="11">
        <v>45741</v>
      </c>
      <c r="CI1" s="11">
        <v>45742</v>
      </c>
      <c r="CJ1" s="11">
        <v>45743</v>
      </c>
      <c r="CK1" s="11">
        <v>45744</v>
      </c>
      <c r="CL1" s="11">
        <v>45745</v>
      </c>
      <c r="CM1" s="11">
        <v>45746</v>
      </c>
      <c r="CN1" s="11">
        <v>45747</v>
      </c>
      <c r="CO1" s="11">
        <v>45748</v>
      </c>
      <c r="CP1" s="11">
        <v>45749</v>
      </c>
      <c r="CQ1" s="11">
        <v>45750</v>
      </c>
      <c r="CR1" s="11">
        <v>45751</v>
      </c>
      <c r="CS1" s="11">
        <v>45752</v>
      </c>
      <c r="CT1" s="11">
        <v>45753</v>
      </c>
      <c r="CU1" s="11">
        <v>45754</v>
      </c>
      <c r="CV1" s="11">
        <v>45755</v>
      </c>
      <c r="CW1" s="11">
        <v>45756</v>
      </c>
      <c r="CX1" s="11">
        <v>45757</v>
      </c>
      <c r="CY1" s="11">
        <v>45758</v>
      </c>
      <c r="CZ1" s="11">
        <v>45759</v>
      </c>
      <c r="DA1" s="11">
        <v>45760</v>
      </c>
      <c r="DB1" s="11">
        <v>45761</v>
      </c>
      <c r="DC1" s="11">
        <v>45762</v>
      </c>
      <c r="DD1" s="11">
        <v>45763</v>
      </c>
      <c r="DE1" s="11">
        <v>45764</v>
      </c>
      <c r="DF1" s="11">
        <v>45765</v>
      </c>
      <c r="DG1" s="11">
        <v>45766</v>
      </c>
      <c r="DH1" s="11">
        <v>45767</v>
      </c>
      <c r="DI1" s="11">
        <v>45768</v>
      </c>
      <c r="DJ1" s="11">
        <v>45769</v>
      </c>
      <c r="DK1" s="11">
        <v>45770</v>
      </c>
      <c r="DL1" s="11">
        <v>45771</v>
      </c>
      <c r="DM1" s="11">
        <v>45772</v>
      </c>
      <c r="DN1" s="11">
        <v>45773</v>
      </c>
      <c r="DO1" s="11">
        <v>45774</v>
      </c>
      <c r="DP1" s="11">
        <v>45775</v>
      </c>
      <c r="DQ1" s="11">
        <v>45776</v>
      </c>
      <c r="DR1" s="11">
        <v>45777</v>
      </c>
      <c r="DS1" s="11">
        <v>45778</v>
      </c>
      <c r="DT1" s="11">
        <v>45779</v>
      </c>
      <c r="DU1" s="11">
        <v>45780</v>
      </c>
      <c r="DV1" s="11">
        <v>45781</v>
      </c>
      <c r="DW1" s="11">
        <v>45782</v>
      </c>
      <c r="DX1" s="11">
        <v>45783</v>
      </c>
      <c r="DY1" s="11">
        <v>45784</v>
      </c>
      <c r="DZ1" s="11">
        <v>45785</v>
      </c>
      <c r="EA1" s="11">
        <v>45786</v>
      </c>
      <c r="EB1" s="11">
        <v>45787</v>
      </c>
      <c r="EC1" s="11">
        <v>45788</v>
      </c>
      <c r="ED1" s="11">
        <v>45789</v>
      </c>
      <c r="EE1" s="11">
        <v>45790</v>
      </c>
      <c r="EF1" s="11">
        <v>45791</v>
      </c>
      <c r="EG1" s="11">
        <v>45792</v>
      </c>
      <c r="EH1" s="11">
        <v>45793</v>
      </c>
      <c r="EI1" s="11">
        <v>45794</v>
      </c>
      <c r="EJ1" s="11">
        <v>45795</v>
      </c>
      <c r="EK1" s="11">
        <v>45796</v>
      </c>
      <c r="EL1" s="11">
        <v>45797</v>
      </c>
      <c r="EM1" s="11">
        <v>45798</v>
      </c>
      <c r="EN1" s="11">
        <v>45799</v>
      </c>
      <c r="EO1" s="11">
        <v>45800</v>
      </c>
      <c r="EP1" s="11">
        <v>45801</v>
      </c>
      <c r="EQ1" s="11">
        <v>45802</v>
      </c>
      <c r="ER1" s="11">
        <v>45803</v>
      </c>
      <c r="ES1" s="11">
        <v>45804</v>
      </c>
      <c r="ET1" s="11">
        <v>45805</v>
      </c>
      <c r="EU1" s="11">
        <v>45806</v>
      </c>
      <c r="EV1" s="11">
        <v>45807</v>
      </c>
      <c r="EW1" s="11">
        <v>45808</v>
      </c>
      <c r="EX1" s="11">
        <v>45809</v>
      </c>
      <c r="EY1" s="11">
        <v>45810</v>
      </c>
      <c r="EZ1" s="11">
        <v>45811</v>
      </c>
      <c r="FA1" s="11">
        <v>45812</v>
      </c>
      <c r="FB1" s="11">
        <v>45813</v>
      </c>
      <c r="FC1" s="11">
        <v>45814</v>
      </c>
      <c r="FD1" s="11">
        <v>45815</v>
      </c>
      <c r="FE1" s="11">
        <v>45816</v>
      </c>
      <c r="FF1" s="11">
        <v>45817</v>
      </c>
      <c r="FG1" s="11">
        <v>45818</v>
      </c>
      <c r="FH1" s="11">
        <v>45819</v>
      </c>
      <c r="FI1" s="11">
        <v>45820</v>
      </c>
      <c r="FJ1" s="11">
        <v>45821</v>
      </c>
      <c r="FK1" s="11">
        <v>45822</v>
      </c>
      <c r="FL1" s="11">
        <v>45823</v>
      </c>
      <c r="FM1" s="11">
        <v>45824</v>
      </c>
      <c r="FN1" s="11">
        <v>45825</v>
      </c>
      <c r="FO1" s="11">
        <v>45826</v>
      </c>
      <c r="FP1" s="11">
        <v>45827</v>
      </c>
      <c r="FQ1" s="11">
        <v>45828</v>
      </c>
      <c r="FR1" s="11">
        <v>45829</v>
      </c>
      <c r="FS1" s="11">
        <v>45830</v>
      </c>
      <c r="FT1" s="11">
        <v>45831</v>
      </c>
      <c r="FU1" s="11">
        <v>45832</v>
      </c>
      <c r="FV1" s="11">
        <v>45833</v>
      </c>
      <c r="FW1" s="11">
        <v>45834</v>
      </c>
      <c r="FX1" s="11">
        <v>45835</v>
      </c>
      <c r="FY1" s="11">
        <v>45836</v>
      </c>
      <c r="FZ1" s="11">
        <v>45837</v>
      </c>
      <c r="GA1" s="11">
        <v>45838</v>
      </c>
      <c r="GB1" s="11">
        <v>45839</v>
      </c>
      <c r="GC1" s="11">
        <v>45840</v>
      </c>
      <c r="GD1" s="11">
        <v>45841</v>
      </c>
      <c r="GE1" s="11">
        <v>45842</v>
      </c>
      <c r="GF1" s="11">
        <v>45843</v>
      </c>
      <c r="GG1" s="11">
        <v>45844</v>
      </c>
      <c r="GH1" s="11">
        <v>45845</v>
      </c>
      <c r="GI1" s="11">
        <v>45846</v>
      </c>
      <c r="GJ1" s="11">
        <v>45847</v>
      </c>
      <c r="GK1" s="11">
        <v>45848</v>
      </c>
      <c r="GL1" s="11">
        <v>45849</v>
      </c>
      <c r="GM1" s="11">
        <v>45850</v>
      </c>
      <c r="GN1" s="11">
        <v>45851</v>
      </c>
      <c r="GO1" s="11">
        <v>45852</v>
      </c>
      <c r="GP1" s="11">
        <v>45853</v>
      </c>
      <c r="GQ1" s="11">
        <v>45854</v>
      </c>
      <c r="GR1" s="11">
        <v>45855</v>
      </c>
      <c r="GS1" s="11">
        <v>45856</v>
      </c>
      <c r="GT1" s="11">
        <v>45857</v>
      </c>
      <c r="GU1" s="11">
        <v>45858</v>
      </c>
      <c r="GV1" s="11">
        <v>45859</v>
      </c>
      <c r="GW1" s="11">
        <v>45860</v>
      </c>
      <c r="GX1" s="11">
        <v>45861</v>
      </c>
      <c r="GY1" s="11">
        <v>45862</v>
      </c>
      <c r="GZ1" s="11">
        <v>45863</v>
      </c>
      <c r="HA1" s="11">
        <v>45864</v>
      </c>
      <c r="HB1" s="11">
        <v>45865</v>
      </c>
      <c r="HC1" s="11">
        <v>45866</v>
      </c>
      <c r="HD1" s="11">
        <v>45867</v>
      </c>
      <c r="HE1" s="11">
        <v>45868</v>
      </c>
      <c r="HF1" s="11">
        <v>45869</v>
      </c>
      <c r="HG1" s="11">
        <v>45870</v>
      </c>
      <c r="HH1" s="11">
        <v>45871</v>
      </c>
      <c r="HI1" s="11">
        <v>45872</v>
      </c>
      <c r="HJ1" s="11">
        <v>45873</v>
      </c>
      <c r="HK1" s="11">
        <v>45874</v>
      </c>
      <c r="HL1" s="11">
        <v>45875</v>
      </c>
      <c r="HM1" s="11">
        <v>45876</v>
      </c>
      <c r="HN1" s="11">
        <v>45877</v>
      </c>
      <c r="HO1" s="11">
        <v>45878</v>
      </c>
      <c r="HP1" s="11">
        <v>45879</v>
      </c>
      <c r="HQ1" s="11">
        <v>45880</v>
      </c>
      <c r="HR1" s="11">
        <v>45881</v>
      </c>
      <c r="HS1" s="11">
        <v>45882</v>
      </c>
      <c r="HT1" s="11">
        <v>45883</v>
      </c>
      <c r="HU1" s="11">
        <v>45884</v>
      </c>
      <c r="HV1" s="11">
        <v>45885</v>
      </c>
      <c r="HW1" s="11">
        <v>45886</v>
      </c>
      <c r="HX1" s="11">
        <v>45887</v>
      </c>
      <c r="HY1" s="11">
        <v>45888</v>
      </c>
      <c r="HZ1" s="11">
        <v>45889</v>
      </c>
      <c r="IA1" s="11">
        <v>45890</v>
      </c>
      <c r="IB1" s="11">
        <v>45891</v>
      </c>
      <c r="IC1" s="11">
        <v>45892</v>
      </c>
      <c r="ID1" s="11">
        <v>45893</v>
      </c>
      <c r="IE1" s="11">
        <v>45894</v>
      </c>
      <c r="IF1" s="11">
        <v>45895</v>
      </c>
      <c r="IG1" s="11">
        <v>45896</v>
      </c>
      <c r="IH1" s="11">
        <v>45897</v>
      </c>
      <c r="II1" s="11">
        <v>45898</v>
      </c>
      <c r="IJ1" s="11">
        <v>45899</v>
      </c>
      <c r="IK1" s="11">
        <v>45900</v>
      </c>
      <c r="IL1" s="11">
        <v>45901</v>
      </c>
      <c r="IM1" s="11">
        <v>45902</v>
      </c>
      <c r="IN1" s="11">
        <v>45903</v>
      </c>
      <c r="IO1" s="11">
        <v>45904</v>
      </c>
      <c r="IP1" s="11">
        <v>45905</v>
      </c>
      <c r="IQ1" s="11">
        <v>45906</v>
      </c>
      <c r="IR1" s="11">
        <v>45907</v>
      </c>
      <c r="IS1" s="11">
        <v>45908</v>
      </c>
      <c r="IT1" s="11">
        <v>45909</v>
      </c>
      <c r="IU1" s="11">
        <v>45910</v>
      </c>
      <c r="IV1" s="11">
        <v>45911</v>
      </c>
      <c r="IW1" s="11">
        <v>45912</v>
      </c>
      <c r="IX1" s="11">
        <v>45913</v>
      </c>
      <c r="IY1" s="11">
        <v>45914</v>
      </c>
      <c r="IZ1" s="11">
        <v>45915</v>
      </c>
      <c r="JA1" s="11">
        <v>45916</v>
      </c>
      <c r="JB1" s="11">
        <v>45917</v>
      </c>
      <c r="JC1" s="11">
        <v>45918</v>
      </c>
      <c r="JD1" s="11">
        <v>45919</v>
      </c>
      <c r="JE1" s="11">
        <v>45920</v>
      </c>
      <c r="JF1" s="11">
        <v>45921</v>
      </c>
      <c r="JG1" s="11">
        <v>45922</v>
      </c>
      <c r="JH1" s="11">
        <v>45923</v>
      </c>
      <c r="JI1" s="11">
        <v>45924</v>
      </c>
      <c r="JJ1" s="11">
        <v>45925</v>
      </c>
      <c r="JK1" s="11">
        <v>45926</v>
      </c>
      <c r="JL1" s="11">
        <v>45927</v>
      </c>
      <c r="JM1" s="11">
        <v>45928</v>
      </c>
      <c r="JN1" s="11">
        <v>45929</v>
      </c>
      <c r="JO1" s="11">
        <v>45930</v>
      </c>
      <c r="JP1" s="11">
        <v>45931</v>
      </c>
      <c r="JQ1" s="11">
        <v>45932</v>
      </c>
      <c r="JR1" s="11">
        <v>45933</v>
      </c>
      <c r="JS1" s="11">
        <v>45934</v>
      </c>
      <c r="JT1" s="11">
        <v>45935</v>
      </c>
      <c r="JU1" s="11">
        <v>45936</v>
      </c>
      <c r="JV1" s="11">
        <v>45937</v>
      </c>
      <c r="JW1" s="11">
        <v>45938</v>
      </c>
      <c r="JX1" s="11">
        <v>45939</v>
      </c>
      <c r="JY1" s="11">
        <v>45940</v>
      </c>
      <c r="JZ1" s="11">
        <v>45941</v>
      </c>
      <c r="KA1" s="11">
        <v>45942</v>
      </c>
      <c r="KB1" s="11">
        <v>45943</v>
      </c>
      <c r="KC1" s="11">
        <v>45944</v>
      </c>
      <c r="KD1" s="11">
        <v>45945</v>
      </c>
      <c r="KE1" s="11">
        <v>45946</v>
      </c>
      <c r="KF1" s="11">
        <v>45947</v>
      </c>
      <c r="KG1" s="11">
        <v>45948</v>
      </c>
      <c r="KH1" s="11">
        <v>45949</v>
      </c>
      <c r="KI1" s="11">
        <v>45950</v>
      </c>
      <c r="KJ1" s="11">
        <v>45951</v>
      </c>
      <c r="KK1" s="11">
        <v>45952</v>
      </c>
      <c r="KL1" s="11">
        <v>45953</v>
      </c>
      <c r="KM1" s="11">
        <v>45954</v>
      </c>
      <c r="KN1" s="11">
        <v>45955</v>
      </c>
      <c r="KO1" s="11">
        <v>45956</v>
      </c>
      <c r="KP1" s="11">
        <v>45957</v>
      </c>
      <c r="KQ1" s="11">
        <v>45958</v>
      </c>
      <c r="KR1" s="11">
        <v>45959</v>
      </c>
      <c r="KS1" s="11">
        <v>45960</v>
      </c>
      <c r="KT1" s="11">
        <v>45961</v>
      </c>
      <c r="KU1" s="11">
        <v>45962</v>
      </c>
      <c r="KV1" s="11">
        <v>45963</v>
      </c>
      <c r="KW1" s="11">
        <v>45964</v>
      </c>
      <c r="KX1" s="11">
        <v>45965</v>
      </c>
      <c r="KY1" s="11">
        <v>45966</v>
      </c>
      <c r="KZ1" s="11">
        <v>45967</v>
      </c>
      <c r="LA1" s="11">
        <v>45968</v>
      </c>
      <c r="LB1" s="11">
        <v>45969</v>
      </c>
      <c r="LC1" s="11">
        <v>45970</v>
      </c>
      <c r="LD1" s="11">
        <v>45971</v>
      </c>
      <c r="LE1" s="11">
        <v>45972</v>
      </c>
      <c r="LF1" s="11">
        <v>45973</v>
      </c>
      <c r="LG1" s="11">
        <v>45974</v>
      </c>
      <c r="LH1" s="11">
        <v>45975</v>
      </c>
      <c r="LI1" s="11">
        <v>45976</v>
      </c>
      <c r="LJ1" s="11">
        <v>45977</v>
      </c>
      <c r="LK1" s="11">
        <v>45978</v>
      </c>
      <c r="LL1" s="11">
        <v>45979</v>
      </c>
      <c r="LM1" s="11">
        <v>45980</v>
      </c>
      <c r="LN1" s="11">
        <v>45981</v>
      </c>
      <c r="LO1" s="11">
        <v>45982</v>
      </c>
      <c r="LP1" s="11">
        <v>45983</v>
      </c>
      <c r="LQ1" s="11">
        <v>45984</v>
      </c>
      <c r="LR1" s="11">
        <v>45985</v>
      </c>
      <c r="LS1" s="11">
        <v>45986</v>
      </c>
      <c r="LT1" s="11">
        <v>45987</v>
      </c>
      <c r="LU1" s="11">
        <v>45988</v>
      </c>
      <c r="LV1" s="11">
        <v>45989</v>
      </c>
      <c r="LW1" s="11">
        <v>45990</v>
      </c>
      <c r="LX1" s="11">
        <v>45991</v>
      </c>
      <c r="LY1" s="11">
        <v>45992</v>
      </c>
      <c r="LZ1" s="11">
        <v>45993</v>
      </c>
      <c r="MA1" s="11">
        <v>45994</v>
      </c>
      <c r="MB1" s="11">
        <v>45995</v>
      </c>
      <c r="MC1" s="11">
        <v>45996</v>
      </c>
      <c r="MD1" s="11">
        <v>45997</v>
      </c>
      <c r="ME1" s="11">
        <v>45998</v>
      </c>
      <c r="MF1" s="11">
        <v>45999</v>
      </c>
      <c r="MG1" s="11">
        <v>46000</v>
      </c>
      <c r="MH1" s="11">
        <v>46001</v>
      </c>
      <c r="MI1" s="11">
        <v>46002</v>
      </c>
      <c r="MJ1" s="11">
        <v>46003</v>
      </c>
      <c r="MK1" s="11">
        <v>46004</v>
      </c>
      <c r="ML1" s="11">
        <v>46005</v>
      </c>
      <c r="MM1" s="11">
        <v>46006</v>
      </c>
      <c r="MN1" s="11">
        <v>46007</v>
      </c>
      <c r="MO1" s="11">
        <v>46008</v>
      </c>
      <c r="MP1" s="11">
        <v>46009</v>
      </c>
      <c r="MQ1" s="11">
        <v>46010</v>
      </c>
      <c r="MR1" s="11">
        <v>46011</v>
      </c>
      <c r="MS1" s="11">
        <v>46012</v>
      </c>
      <c r="MT1" s="11">
        <v>46013</v>
      </c>
      <c r="MU1" s="11">
        <v>46014</v>
      </c>
      <c r="MV1" s="11">
        <v>46015</v>
      </c>
      <c r="MW1" s="11">
        <v>46016</v>
      </c>
      <c r="MX1" s="11">
        <v>46017</v>
      </c>
      <c r="MY1" s="11">
        <v>46018</v>
      </c>
      <c r="MZ1" s="11">
        <v>46019</v>
      </c>
      <c r="NA1" s="11">
        <v>46020</v>
      </c>
      <c r="NB1" s="11">
        <v>46021</v>
      </c>
      <c r="NC1" s="11">
        <v>46022</v>
      </c>
    </row>
    <row r="2" spans="1:371">
      <c r="B2" s="12" t="s">
        <v>10</v>
      </c>
      <c r="C2" s="8" t="s">
        <v>54</v>
      </c>
      <c r="D2" s="8" t="s">
        <v>54</v>
      </c>
      <c r="E2" s="8" t="s">
        <v>54</v>
      </c>
      <c r="F2" s="8" t="s">
        <v>54</v>
      </c>
      <c r="G2" s="8" t="s">
        <v>54</v>
      </c>
      <c r="H2" s="8" t="s">
        <v>425</v>
      </c>
      <c r="I2" s="8" t="s">
        <v>425</v>
      </c>
      <c r="J2" s="8" t="s">
        <v>425</v>
      </c>
      <c r="K2" s="8" t="s">
        <v>425</v>
      </c>
      <c r="L2" s="8" t="s">
        <v>425</v>
      </c>
      <c r="M2" s="8" t="s">
        <v>425</v>
      </c>
      <c r="N2" s="8" t="s">
        <v>425</v>
      </c>
      <c r="O2" s="8" t="s">
        <v>2</v>
      </c>
      <c r="P2" s="8" t="s">
        <v>2</v>
      </c>
      <c r="Q2" s="8" t="s">
        <v>2</v>
      </c>
      <c r="R2" s="8" t="s">
        <v>2</v>
      </c>
      <c r="S2" s="8" t="s">
        <v>2</v>
      </c>
      <c r="T2" s="8" t="s">
        <v>2</v>
      </c>
      <c r="U2" s="8" t="s">
        <v>2</v>
      </c>
      <c r="V2" s="8" t="s">
        <v>3</v>
      </c>
      <c r="W2" s="8" t="s">
        <v>3</v>
      </c>
      <c r="X2" s="8" t="s">
        <v>3</v>
      </c>
      <c r="Y2" s="8" t="s">
        <v>3</v>
      </c>
      <c r="Z2" s="8" t="s">
        <v>3</v>
      </c>
      <c r="AA2" s="8" t="s">
        <v>3</v>
      </c>
      <c r="AB2" s="8" t="s">
        <v>3</v>
      </c>
      <c r="AC2" s="8" t="s">
        <v>4</v>
      </c>
      <c r="AD2" s="8" t="s">
        <v>4</v>
      </c>
      <c r="AE2" s="8" t="s">
        <v>4</v>
      </c>
      <c r="AF2" s="8" t="s">
        <v>4</v>
      </c>
      <c r="AG2" s="8" t="s">
        <v>4</v>
      </c>
      <c r="AH2" s="8" t="s">
        <v>4</v>
      </c>
      <c r="AI2" s="8" t="s">
        <v>4</v>
      </c>
      <c r="AJ2" s="8" t="s">
        <v>5</v>
      </c>
      <c r="AK2" s="8" t="s">
        <v>5</v>
      </c>
      <c r="AL2" s="8" t="s">
        <v>5</v>
      </c>
      <c r="AM2" s="8" t="s">
        <v>5</v>
      </c>
      <c r="AN2" s="8" t="s">
        <v>5</v>
      </c>
      <c r="AO2" s="8" t="s">
        <v>5</v>
      </c>
      <c r="AP2" s="8" t="s">
        <v>5</v>
      </c>
      <c r="AQ2" s="8" t="s">
        <v>6</v>
      </c>
      <c r="AR2" s="8" t="s">
        <v>6</v>
      </c>
      <c r="AS2" s="8" t="s">
        <v>6</v>
      </c>
      <c r="AT2" s="8" t="s">
        <v>6</v>
      </c>
      <c r="AU2" s="8" t="s">
        <v>6</v>
      </c>
      <c r="AV2" s="8" t="s">
        <v>6</v>
      </c>
      <c r="AW2" s="8" t="s">
        <v>6</v>
      </c>
      <c r="AX2" s="8" t="s">
        <v>7</v>
      </c>
      <c r="AY2" s="8" t="s">
        <v>7</v>
      </c>
      <c r="AZ2" s="8" t="s">
        <v>7</v>
      </c>
      <c r="BA2" s="8" t="s">
        <v>7</v>
      </c>
      <c r="BB2" s="8" t="s">
        <v>7</v>
      </c>
      <c r="BC2" s="8" t="s">
        <v>7</v>
      </c>
      <c r="BD2" s="8" t="s">
        <v>7</v>
      </c>
      <c r="BE2" s="8" t="s">
        <v>8</v>
      </c>
      <c r="BF2" s="8" t="s">
        <v>8</v>
      </c>
      <c r="BG2" s="8" t="s">
        <v>8</v>
      </c>
      <c r="BH2" s="8" t="s">
        <v>8</v>
      </c>
      <c r="BI2" s="8" t="s">
        <v>8</v>
      </c>
      <c r="BJ2" s="8" t="s">
        <v>8</v>
      </c>
      <c r="BK2" s="8" t="s">
        <v>8</v>
      </c>
      <c r="BL2" s="8" t="s">
        <v>11</v>
      </c>
      <c r="BM2" s="8" t="s">
        <v>11</v>
      </c>
      <c r="BN2" s="8" t="s">
        <v>11</v>
      </c>
      <c r="BO2" s="8" t="s">
        <v>11</v>
      </c>
      <c r="BP2" s="8" t="s">
        <v>11</v>
      </c>
      <c r="BQ2" s="8" t="s">
        <v>11</v>
      </c>
      <c r="BR2" s="8" t="s">
        <v>11</v>
      </c>
      <c r="BS2" s="8" t="s">
        <v>12</v>
      </c>
      <c r="BT2" s="8" t="s">
        <v>12</v>
      </c>
      <c r="BU2" s="8" t="s">
        <v>12</v>
      </c>
      <c r="BV2" s="8" t="s">
        <v>12</v>
      </c>
      <c r="BW2" s="8" t="s">
        <v>12</v>
      </c>
      <c r="BX2" s="8" t="s">
        <v>12</v>
      </c>
      <c r="BY2" s="8" t="s">
        <v>12</v>
      </c>
      <c r="BZ2" s="8" t="s">
        <v>13</v>
      </c>
      <c r="CA2" s="8" t="s">
        <v>13</v>
      </c>
      <c r="CB2" s="8" t="s">
        <v>13</v>
      </c>
      <c r="CC2" s="8" t="s">
        <v>13</v>
      </c>
      <c r="CD2" s="8" t="s">
        <v>13</v>
      </c>
      <c r="CE2" s="8" t="s">
        <v>13</v>
      </c>
      <c r="CF2" s="8" t="s">
        <v>13</v>
      </c>
      <c r="CG2" s="8" t="s">
        <v>14</v>
      </c>
      <c r="CH2" s="8" t="s">
        <v>14</v>
      </c>
      <c r="CI2" s="8" t="s">
        <v>14</v>
      </c>
      <c r="CJ2" s="8" t="s">
        <v>14</v>
      </c>
      <c r="CK2" s="8" t="s">
        <v>14</v>
      </c>
      <c r="CL2" s="8" t="s">
        <v>14</v>
      </c>
      <c r="CM2" s="8" t="s">
        <v>14</v>
      </c>
      <c r="CN2" s="8" t="s">
        <v>15</v>
      </c>
      <c r="CO2" s="8" t="s">
        <v>15</v>
      </c>
      <c r="CP2" s="8" t="s">
        <v>15</v>
      </c>
      <c r="CQ2" s="8" t="s">
        <v>15</v>
      </c>
      <c r="CR2" s="8" t="s">
        <v>15</v>
      </c>
      <c r="CS2" s="8" t="s">
        <v>15</v>
      </c>
      <c r="CT2" s="8" t="s">
        <v>15</v>
      </c>
      <c r="CU2" s="8" t="s">
        <v>16</v>
      </c>
      <c r="CV2" s="8" t="s">
        <v>16</v>
      </c>
      <c r="CW2" s="8" t="s">
        <v>16</v>
      </c>
      <c r="CX2" s="8" t="s">
        <v>16</v>
      </c>
      <c r="CY2" s="8" t="s">
        <v>16</v>
      </c>
      <c r="CZ2" s="8" t="s">
        <v>16</v>
      </c>
      <c r="DA2" s="8" t="s">
        <v>16</v>
      </c>
      <c r="DB2" s="8" t="s">
        <v>17</v>
      </c>
      <c r="DC2" s="8" t="s">
        <v>17</v>
      </c>
      <c r="DD2" s="8" t="s">
        <v>17</v>
      </c>
      <c r="DE2" s="8" t="s">
        <v>17</v>
      </c>
      <c r="DF2" s="8" t="s">
        <v>17</v>
      </c>
      <c r="DG2" s="8" t="s">
        <v>17</v>
      </c>
      <c r="DH2" s="8" t="s">
        <v>17</v>
      </c>
      <c r="DI2" s="8" t="s">
        <v>18</v>
      </c>
      <c r="DJ2" s="8" t="s">
        <v>18</v>
      </c>
      <c r="DK2" s="8" t="s">
        <v>18</v>
      </c>
      <c r="DL2" s="8" t="s">
        <v>18</v>
      </c>
      <c r="DM2" s="8" t="s">
        <v>18</v>
      </c>
      <c r="DN2" s="8" t="s">
        <v>18</v>
      </c>
      <c r="DO2" s="8" t="s">
        <v>18</v>
      </c>
      <c r="DP2" s="8" t="s">
        <v>19</v>
      </c>
      <c r="DQ2" s="8" t="s">
        <v>19</v>
      </c>
      <c r="DR2" s="8" t="s">
        <v>19</v>
      </c>
      <c r="DS2" s="8" t="s">
        <v>19</v>
      </c>
      <c r="DT2" s="8" t="s">
        <v>19</v>
      </c>
      <c r="DU2" s="8" t="s">
        <v>19</v>
      </c>
      <c r="DV2" s="8" t="s">
        <v>19</v>
      </c>
      <c r="DW2" s="8" t="s">
        <v>20</v>
      </c>
      <c r="DX2" s="8" t="s">
        <v>20</v>
      </c>
      <c r="DY2" s="8" t="s">
        <v>20</v>
      </c>
      <c r="DZ2" s="8" t="s">
        <v>20</v>
      </c>
      <c r="EA2" s="8" t="s">
        <v>20</v>
      </c>
      <c r="EB2" s="8" t="s">
        <v>20</v>
      </c>
      <c r="EC2" s="8" t="s">
        <v>20</v>
      </c>
      <c r="ED2" s="8" t="s">
        <v>21</v>
      </c>
      <c r="EE2" s="8" t="s">
        <v>21</v>
      </c>
      <c r="EF2" s="8" t="s">
        <v>21</v>
      </c>
      <c r="EG2" s="8" t="s">
        <v>21</v>
      </c>
      <c r="EH2" s="8" t="s">
        <v>21</v>
      </c>
      <c r="EI2" s="8" t="s">
        <v>21</v>
      </c>
      <c r="EJ2" s="8" t="s">
        <v>21</v>
      </c>
      <c r="EK2" s="8" t="s">
        <v>22</v>
      </c>
      <c r="EL2" s="8" t="s">
        <v>22</v>
      </c>
      <c r="EM2" s="8" t="s">
        <v>22</v>
      </c>
      <c r="EN2" s="8" t="s">
        <v>22</v>
      </c>
      <c r="EO2" s="8" t="s">
        <v>22</v>
      </c>
      <c r="EP2" s="8" t="s">
        <v>22</v>
      </c>
      <c r="EQ2" s="8" t="s">
        <v>22</v>
      </c>
      <c r="ER2" s="8" t="s">
        <v>23</v>
      </c>
      <c r="ES2" s="8" t="s">
        <v>23</v>
      </c>
      <c r="ET2" s="8" t="s">
        <v>23</v>
      </c>
      <c r="EU2" s="8" t="s">
        <v>23</v>
      </c>
      <c r="EV2" s="8" t="s">
        <v>23</v>
      </c>
      <c r="EW2" s="8" t="s">
        <v>23</v>
      </c>
      <c r="EX2" s="8" t="s">
        <v>23</v>
      </c>
      <c r="EY2" s="8" t="s">
        <v>24</v>
      </c>
      <c r="EZ2" s="8" t="s">
        <v>24</v>
      </c>
      <c r="FA2" s="8" t="s">
        <v>24</v>
      </c>
      <c r="FB2" s="8" t="s">
        <v>24</v>
      </c>
      <c r="FC2" s="8" t="s">
        <v>24</v>
      </c>
      <c r="FD2" s="8" t="s">
        <v>24</v>
      </c>
      <c r="FE2" s="8" t="s">
        <v>24</v>
      </c>
      <c r="FF2" s="8" t="s">
        <v>25</v>
      </c>
      <c r="FG2" s="8" t="s">
        <v>25</v>
      </c>
      <c r="FH2" s="8" t="s">
        <v>25</v>
      </c>
      <c r="FI2" s="8" t="s">
        <v>25</v>
      </c>
      <c r="FJ2" s="8" t="s">
        <v>25</v>
      </c>
      <c r="FK2" s="8" t="s">
        <v>25</v>
      </c>
      <c r="FL2" s="8" t="s">
        <v>25</v>
      </c>
      <c r="FM2" s="8" t="s">
        <v>26</v>
      </c>
      <c r="FN2" s="8" t="s">
        <v>26</v>
      </c>
      <c r="FO2" s="8" t="s">
        <v>26</v>
      </c>
      <c r="FP2" s="8" t="s">
        <v>26</v>
      </c>
      <c r="FQ2" s="8" t="s">
        <v>26</v>
      </c>
      <c r="FR2" s="8" t="s">
        <v>26</v>
      </c>
      <c r="FS2" s="8" t="s">
        <v>26</v>
      </c>
      <c r="FT2" s="8" t="s">
        <v>27</v>
      </c>
      <c r="FU2" s="8" t="s">
        <v>27</v>
      </c>
      <c r="FV2" s="8" t="s">
        <v>27</v>
      </c>
      <c r="FW2" s="8" t="s">
        <v>27</v>
      </c>
      <c r="FX2" s="8" t="s">
        <v>27</v>
      </c>
      <c r="FY2" s="8" t="s">
        <v>27</v>
      </c>
      <c r="FZ2" s="8" t="s">
        <v>27</v>
      </c>
      <c r="GA2" s="8" t="s">
        <v>28</v>
      </c>
      <c r="GB2" s="8" t="s">
        <v>28</v>
      </c>
      <c r="GC2" s="8" t="s">
        <v>28</v>
      </c>
      <c r="GD2" s="8" t="s">
        <v>28</v>
      </c>
      <c r="GE2" s="8" t="s">
        <v>28</v>
      </c>
      <c r="GF2" s="8" t="s">
        <v>28</v>
      </c>
      <c r="GG2" s="8" t="s">
        <v>28</v>
      </c>
      <c r="GH2" s="8" t="s">
        <v>29</v>
      </c>
      <c r="GI2" s="8" t="s">
        <v>29</v>
      </c>
      <c r="GJ2" s="8" t="s">
        <v>29</v>
      </c>
      <c r="GK2" s="8" t="s">
        <v>29</v>
      </c>
      <c r="GL2" s="8" t="s">
        <v>29</v>
      </c>
      <c r="GM2" s="8" t="s">
        <v>29</v>
      </c>
      <c r="GN2" s="8" t="s">
        <v>29</v>
      </c>
      <c r="GO2" s="8" t="s">
        <v>30</v>
      </c>
      <c r="GP2" s="8" t="s">
        <v>30</v>
      </c>
      <c r="GQ2" s="8" t="s">
        <v>30</v>
      </c>
      <c r="GR2" s="8" t="s">
        <v>30</v>
      </c>
      <c r="GS2" s="8" t="s">
        <v>30</v>
      </c>
      <c r="GT2" s="8" t="s">
        <v>30</v>
      </c>
      <c r="GU2" s="8" t="s">
        <v>30</v>
      </c>
      <c r="GV2" s="8" t="s">
        <v>31</v>
      </c>
      <c r="GW2" s="8" t="s">
        <v>31</v>
      </c>
      <c r="GX2" s="8" t="s">
        <v>31</v>
      </c>
      <c r="GY2" s="8" t="s">
        <v>31</v>
      </c>
      <c r="GZ2" s="8" t="s">
        <v>31</v>
      </c>
      <c r="HA2" s="8" t="s">
        <v>31</v>
      </c>
      <c r="HB2" s="8" t="s">
        <v>31</v>
      </c>
      <c r="HC2" s="8" t="s">
        <v>32</v>
      </c>
      <c r="HD2" s="8" t="s">
        <v>32</v>
      </c>
      <c r="HE2" s="8" t="s">
        <v>32</v>
      </c>
      <c r="HF2" s="8" t="s">
        <v>32</v>
      </c>
      <c r="HG2" s="8" t="s">
        <v>32</v>
      </c>
      <c r="HH2" s="8" t="s">
        <v>32</v>
      </c>
      <c r="HI2" s="8" t="s">
        <v>32</v>
      </c>
      <c r="HJ2" s="8" t="s">
        <v>33</v>
      </c>
      <c r="HK2" s="8" t="s">
        <v>33</v>
      </c>
      <c r="HL2" s="8" t="s">
        <v>33</v>
      </c>
      <c r="HM2" s="8" t="s">
        <v>33</v>
      </c>
      <c r="HN2" s="8" t="s">
        <v>33</v>
      </c>
      <c r="HO2" s="8" t="s">
        <v>33</v>
      </c>
      <c r="HP2" s="8" t="s">
        <v>33</v>
      </c>
      <c r="HQ2" s="8" t="s">
        <v>34</v>
      </c>
      <c r="HR2" s="8" t="s">
        <v>34</v>
      </c>
      <c r="HS2" s="8" t="s">
        <v>34</v>
      </c>
      <c r="HT2" s="8" t="s">
        <v>34</v>
      </c>
      <c r="HU2" s="8" t="s">
        <v>34</v>
      </c>
      <c r="HV2" s="8" t="s">
        <v>34</v>
      </c>
      <c r="HW2" s="8" t="s">
        <v>34</v>
      </c>
      <c r="HX2" s="8" t="s">
        <v>35</v>
      </c>
      <c r="HY2" s="8" t="s">
        <v>35</v>
      </c>
      <c r="HZ2" s="8" t="s">
        <v>35</v>
      </c>
      <c r="IA2" s="8" t="s">
        <v>35</v>
      </c>
      <c r="IB2" s="8" t="s">
        <v>35</v>
      </c>
      <c r="IC2" s="8" t="s">
        <v>35</v>
      </c>
      <c r="ID2" s="8" t="s">
        <v>35</v>
      </c>
      <c r="IE2" s="8" t="s">
        <v>36</v>
      </c>
      <c r="IF2" s="8" t="s">
        <v>36</v>
      </c>
      <c r="IG2" s="8" t="s">
        <v>36</v>
      </c>
      <c r="IH2" s="8" t="s">
        <v>36</v>
      </c>
      <c r="II2" s="8" t="s">
        <v>36</v>
      </c>
      <c r="IJ2" s="8" t="s">
        <v>36</v>
      </c>
      <c r="IK2" s="8" t="s">
        <v>36</v>
      </c>
      <c r="IL2" s="8" t="s">
        <v>37</v>
      </c>
      <c r="IM2" s="8" t="s">
        <v>37</v>
      </c>
      <c r="IN2" s="8" t="s">
        <v>37</v>
      </c>
      <c r="IO2" s="8" t="s">
        <v>37</v>
      </c>
      <c r="IP2" s="8" t="s">
        <v>37</v>
      </c>
      <c r="IQ2" s="8" t="s">
        <v>37</v>
      </c>
      <c r="IR2" s="8" t="s">
        <v>37</v>
      </c>
      <c r="IS2" s="8" t="s">
        <v>38</v>
      </c>
      <c r="IT2" s="8" t="s">
        <v>38</v>
      </c>
      <c r="IU2" s="8" t="s">
        <v>38</v>
      </c>
      <c r="IV2" s="8" t="s">
        <v>38</v>
      </c>
      <c r="IW2" s="8" t="s">
        <v>38</v>
      </c>
      <c r="IX2" s="8" t="s">
        <v>38</v>
      </c>
      <c r="IY2" s="8" t="s">
        <v>38</v>
      </c>
      <c r="IZ2" s="8" t="s">
        <v>39</v>
      </c>
      <c r="JA2" s="8" t="s">
        <v>39</v>
      </c>
      <c r="JB2" s="8" t="s">
        <v>39</v>
      </c>
      <c r="JC2" s="8" t="s">
        <v>39</v>
      </c>
      <c r="JD2" s="8" t="s">
        <v>39</v>
      </c>
      <c r="JE2" s="8" t="s">
        <v>39</v>
      </c>
      <c r="JF2" s="8" t="s">
        <v>39</v>
      </c>
      <c r="JG2" s="8" t="s">
        <v>40</v>
      </c>
      <c r="JH2" s="8" t="s">
        <v>40</v>
      </c>
      <c r="JI2" s="8" t="s">
        <v>40</v>
      </c>
      <c r="JJ2" s="8" t="s">
        <v>40</v>
      </c>
      <c r="JK2" s="8" t="s">
        <v>40</v>
      </c>
      <c r="JL2" s="8" t="s">
        <v>40</v>
      </c>
      <c r="JM2" s="8" t="s">
        <v>40</v>
      </c>
      <c r="JN2" s="8" t="s">
        <v>41</v>
      </c>
      <c r="JO2" s="8" t="s">
        <v>41</v>
      </c>
      <c r="JP2" s="8" t="s">
        <v>41</v>
      </c>
      <c r="JQ2" s="8" t="s">
        <v>41</v>
      </c>
      <c r="JR2" s="8" t="s">
        <v>41</v>
      </c>
      <c r="JS2" s="8" t="s">
        <v>41</v>
      </c>
      <c r="JT2" s="8" t="s">
        <v>41</v>
      </c>
      <c r="JU2" s="8" t="s">
        <v>42</v>
      </c>
      <c r="JV2" s="8" t="s">
        <v>42</v>
      </c>
      <c r="JW2" s="8" t="s">
        <v>42</v>
      </c>
      <c r="JX2" s="8" t="s">
        <v>42</v>
      </c>
      <c r="JY2" s="8" t="s">
        <v>42</v>
      </c>
      <c r="JZ2" s="8" t="s">
        <v>42</v>
      </c>
      <c r="KA2" s="8" t="s">
        <v>42</v>
      </c>
      <c r="KB2" s="8" t="s">
        <v>43</v>
      </c>
      <c r="KC2" s="8" t="s">
        <v>43</v>
      </c>
      <c r="KD2" s="8" t="s">
        <v>43</v>
      </c>
      <c r="KE2" s="8" t="s">
        <v>43</v>
      </c>
      <c r="KF2" s="8" t="s">
        <v>43</v>
      </c>
      <c r="KG2" s="8" t="s">
        <v>43</v>
      </c>
      <c r="KH2" s="8" t="s">
        <v>43</v>
      </c>
      <c r="KI2" s="8" t="s">
        <v>44</v>
      </c>
      <c r="KJ2" s="8" t="s">
        <v>44</v>
      </c>
      <c r="KK2" s="8" t="s">
        <v>44</v>
      </c>
      <c r="KL2" s="8" t="s">
        <v>44</v>
      </c>
      <c r="KM2" s="8" t="s">
        <v>44</v>
      </c>
      <c r="KN2" s="8" t="s">
        <v>44</v>
      </c>
      <c r="KO2" s="8" t="s">
        <v>44</v>
      </c>
      <c r="KP2" s="8" t="s">
        <v>45</v>
      </c>
      <c r="KQ2" s="8" t="s">
        <v>45</v>
      </c>
      <c r="KR2" s="8" t="s">
        <v>45</v>
      </c>
      <c r="KS2" s="8" t="s">
        <v>45</v>
      </c>
      <c r="KT2" s="8" t="s">
        <v>45</v>
      </c>
      <c r="KU2" s="8" t="s">
        <v>45</v>
      </c>
      <c r="KV2" s="8" t="s">
        <v>45</v>
      </c>
      <c r="KW2" s="8" t="s">
        <v>46</v>
      </c>
      <c r="KX2" s="8" t="s">
        <v>46</v>
      </c>
      <c r="KY2" s="8" t="s">
        <v>46</v>
      </c>
      <c r="KZ2" s="8" t="s">
        <v>46</v>
      </c>
      <c r="LA2" s="8" t="s">
        <v>46</v>
      </c>
      <c r="LB2" s="8" t="s">
        <v>46</v>
      </c>
      <c r="LC2" s="8" t="s">
        <v>46</v>
      </c>
      <c r="LD2" s="8" t="s">
        <v>47</v>
      </c>
      <c r="LE2" s="8" t="s">
        <v>47</v>
      </c>
      <c r="LF2" s="8" t="s">
        <v>47</v>
      </c>
      <c r="LG2" s="8" t="s">
        <v>47</v>
      </c>
      <c r="LH2" s="8" t="s">
        <v>47</v>
      </c>
      <c r="LI2" s="8" t="s">
        <v>47</v>
      </c>
      <c r="LJ2" s="8" t="s">
        <v>47</v>
      </c>
      <c r="LK2" s="8" t="s">
        <v>48</v>
      </c>
      <c r="LL2" s="8" t="s">
        <v>48</v>
      </c>
      <c r="LM2" s="8" t="s">
        <v>48</v>
      </c>
      <c r="LN2" s="8" t="s">
        <v>48</v>
      </c>
      <c r="LO2" s="8" t="s">
        <v>48</v>
      </c>
      <c r="LP2" s="8" t="s">
        <v>48</v>
      </c>
      <c r="LQ2" s="8" t="s">
        <v>48</v>
      </c>
      <c r="LR2" s="8" t="s">
        <v>49</v>
      </c>
      <c r="LS2" s="8" t="s">
        <v>49</v>
      </c>
      <c r="LT2" s="8" t="s">
        <v>49</v>
      </c>
      <c r="LU2" s="8" t="s">
        <v>49</v>
      </c>
      <c r="LV2" s="8" t="s">
        <v>49</v>
      </c>
      <c r="LW2" s="8" t="s">
        <v>49</v>
      </c>
      <c r="LX2" s="8" t="s">
        <v>49</v>
      </c>
      <c r="LY2" s="8" t="s">
        <v>50</v>
      </c>
      <c r="LZ2" s="8" t="s">
        <v>50</v>
      </c>
      <c r="MA2" s="8" t="s">
        <v>50</v>
      </c>
      <c r="MB2" s="8" t="s">
        <v>50</v>
      </c>
      <c r="MC2" s="8" t="s">
        <v>50</v>
      </c>
      <c r="MD2" s="8" t="s">
        <v>50</v>
      </c>
      <c r="ME2" s="8" t="s">
        <v>50</v>
      </c>
      <c r="MF2" s="8" t="s">
        <v>51</v>
      </c>
      <c r="MG2" s="8" t="s">
        <v>51</v>
      </c>
      <c r="MH2" s="8" t="s">
        <v>51</v>
      </c>
      <c r="MI2" s="8" t="s">
        <v>51</v>
      </c>
      <c r="MJ2" s="8" t="s">
        <v>51</v>
      </c>
      <c r="MK2" s="8" t="s">
        <v>51</v>
      </c>
      <c r="ML2" s="8" t="s">
        <v>51</v>
      </c>
      <c r="MM2" s="8" t="s">
        <v>52</v>
      </c>
      <c r="MN2" s="8" t="s">
        <v>52</v>
      </c>
      <c r="MO2" s="8" t="s">
        <v>52</v>
      </c>
      <c r="MP2" s="8" t="s">
        <v>52</v>
      </c>
      <c r="MQ2" s="8" t="s">
        <v>52</v>
      </c>
      <c r="MR2" s="8" t="s">
        <v>52</v>
      </c>
      <c r="MS2" s="8" t="s">
        <v>52</v>
      </c>
      <c r="MT2" s="8" t="s">
        <v>53</v>
      </c>
      <c r="MU2" s="8" t="s">
        <v>53</v>
      </c>
      <c r="MV2" s="8" t="s">
        <v>53</v>
      </c>
      <c r="MW2" s="8" t="s">
        <v>53</v>
      </c>
      <c r="MX2" s="8" t="s">
        <v>53</v>
      </c>
      <c r="MY2" s="8" t="s">
        <v>53</v>
      </c>
      <c r="MZ2" s="8" t="s">
        <v>53</v>
      </c>
      <c r="NA2" s="8" t="s">
        <v>54</v>
      </c>
      <c r="NB2" s="8" t="s">
        <v>54</v>
      </c>
      <c r="NC2" s="8" t="s">
        <v>54</v>
      </c>
    </row>
    <row r="3" spans="1:371">
      <c r="A3" s="13">
        <f>SUM(C3:NC3)</f>
        <v>86568.833333333328</v>
      </c>
      <c r="B3" s="14" t="s">
        <v>427</v>
      </c>
      <c r="C3" s="103"/>
      <c r="D3" s="2">
        <v>283.08333333333337</v>
      </c>
      <c r="E3" s="2">
        <v>302.83333333333337</v>
      </c>
      <c r="F3" s="2">
        <v>201.41666666666669</v>
      </c>
      <c r="G3" s="2">
        <v>150.41666666666669</v>
      </c>
      <c r="H3" s="2">
        <v>279.25</v>
      </c>
      <c r="I3" s="2">
        <v>301</v>
      </c>
      <c r="J3" s="2">
        <v>214.75</v>
      </c>
      <c r="K3" s="2">
        <v>196</v>
      </c>
      <c r="L3" s="2">
        <v>219.75</v>
      </c>
      <c r="M3" s="2">
        <v>162.33333333333334</v>
      </c>
      <c r="N3" s="2">
        <v>142.5</v>
      </c>
      <c r="O3" s="7">
        <v>173.58333333333331</v>
      </c>
      <c r="P3" s="7">
        <v>230</v>
      </c>
      <c r="Q3" s="7">
        <v>185.41666666666666</v>
      </c>
      <c r="R3" s="7">
        <v>195</v>
      </c>
      <c r="S3" s="7">
        <v>293</v>
      </c>
      <c r="T3" s="7">
        <v>125.83333333333334</v>
      </c>
      <c r="U3" s="7">
        <v>142</v>
      </c>
      <c r="V3" s="7">
        <v>254.74999999999997</v>
      </c>
      <c r="W3" s="7">
        <v>200.08333333333331</v>
      </c>
      <c r="X3" s="7">
        <v>140.75</v>
      </c>
      <c r="Y3" s="7">
        <v>169.66666666666663</v>
      </c>
      <c r="Z3" s="7">
        <v>225</v>
      </c>
      <c r="AA3" s="7">
        <v>129.5</v>
      </c>
      <c r="AB3" s="7">
        <v>157.50000000000003</v>
      </c>
      <c r="AC3" s="7">
        <v>286</v>
      </c>
      <c r="AD3" s="7">
        <v>245.91666666666663</v>
      </c>
      <c r="AE3" s="7">
        <v>221.66666666666663</v>
      </c>
      <c r="AF3" s="6">
        <v>305.33333333333331</v>
      </c>
      <c r="AG3" s="6">
        <v>244</v>
      </c>
      <c r="AH3" s="6">
        <v>150</v>
      </c>
      <c r="AI3" s="6">
        <v>164.41666666666666</v>
      </c>
      <c r="AJ3" s="6">
        <v>243.24999999999994</v>
      </c>
      <c r="AK3" s="6">
        <v>239.41666666666666</v>
      </c>
      <c r="AL3" s="6">
        <v>255</v>
      </c>
      <c r="AM3" s="6">
        <v>264.83333333333337</v>
      </c>
      <c r="AN3" s="6">
        <v>244.08333333333334</v>
      </c>
      <c r="AO3" s="6">
        <v>164.66666666666666</v>
      </c>
      <c r="AP3" s="6">
        <v>150</v>
      </c>
      <c r="AQ3" s="6">
        <v>225</v>
      </c>
      <c r="AR3" s="6">
        <v>268.41666666666663</v>
      </c>
      <c r="AS3" s="6">
        <v>247.5</v>
      </c>
      <c r="AT3" s="6">
        <v>202.5</v>
      </c>
      <c r="AU3" s="6">
        <v>168.41666666666666</v>
      </c>
      <c r="AV3" s="6">
        <v>104.24999999999999</v>
      </c>
      <c r="AW3" s="6">
        <v>150.75</v>
      </c>
      <c r="AX3" s="7">
        <v>274.16666666666669</v>
      </c>
      <c r="AY3" s="7">
        <v>253</v>
      </c>
      <c r="AZ3" s="7">
        <v>188.25</v>
      </c>
      <c r="BA3" s="6">
        <v>217.5</v>
      </c>
      <c r="BB3" s="6">
        <v>194.75</v>
      </c>
      <c r="BC3" s="6">
        <v>60</v>
      </c>
      <c r="BD3" s="6">
        <v>98.916666666666671</v>
      </c>
      <c r="BE3" s="6">
        <v>263.5</v>
      </c>
      <c r="BF3" s="6">
        <v>231.08333333333331</v>
      </c>
      <c r="BG3" s="6">
        <v>281.83333333333337</v>
      </c>
      <c r="BH3" s="6">
        <v>266.41666666666663</v>
      </c>
      <c r="BI3" s="6">
        <v>281.08333333333337</v>
      </c>
      <c r="BJ3" s="6">
        <v>112.58333333333331</v>
      </c>
      <c r="BK3" s="6">
        <v>67.5</v>
      </c>
      <c r="BL3" s="7">
        <v>231.58333333333337</v>
      </c>
      <c r="BM3" s="7">
        <v>206.91666666666669</v>
      </c>
      <c r="BN3" s="7">
        <v>216.75</v>
      </c>
      <c r="BO3" s="7">
        <v>232.25</v>
      </c>
      <c r="BP3" s="7">
        <v>262.5</v>
      </c>
      <c r="BQ3" s="7">
        <v>209.25</v>
      </c>
      <c r="BR3" s="7">
        <v>141.75</v>
      </c>
      <c r="BS3" s="6">
        <v>292.00000000000006</v>
      </c>
      <c r="BT3" s="6">
        <v>289.99999999999994</v>
      </c>
      <c r="BU3" s="6">
        <v>300</v>
      </c>
      <c r="BV3" s="6">
        <v>292.24999999999994</v>
      </c>
      <c r="BW3" s="6">
        <v>285</v>
      </c>
      <c r="BX3" s="6">
        <v>194.66666666666666</v>
      </c>
      <c r="BY3" s="6">
        <v>119.33333333333334</v>
      </c>
      <c r="BZ3" s="6">
        <v>352.5</v>
      </c>
      <c r="CA3" s="6">
        <v>381.91666666666663</v>
      </c>
      <c r="CB3" s="6">
        <v>357.75</v>
      </c>
      <c r="CC3" s="6">
        <v>336.91666666666669</v>
      </c>
      <c r="CD3" s="6">
        <v>381.83333333333331</v>
      </c>
      <c r="CE3" s="6">
        <v>345</v>
      </c>
      <c r="CF3" s="6">
        <v>289.58333333333337</v>
      </c>
      <c r="CG3" s="6">
        <v>362.16666666666663</v>
      </c>
      <c r="CH3" s="6">
        <v>394.24999999999994</v>
      </c>
      <c r="CI3" s="6">
        <v>307</v>
      </c>
      <c r="CJ3" s="6">
        <v>268.5</v>
      </c>
      <c r="CK3" s="6">
        <v>257.83333333333337</v>
      </c>
      <c r="CL3" s="6">
        <v>62</v>
      </c>
      <c r="CM3" s="102"/>
      <c r="CN3" s="102"/>
      <c r="CO3" s="102"/>
      <c r="CP3" s="6">
        <v>257.5</v>
      </c>
      <c r="CQ3" s="6">
        <v>277.5</v>
      </c>
      <c r="CR3" s="6">
        <v>224.75</v>
      </c>
      <c r="CS3" s="6">
        <v>200</v>
      </c>
      <c r="CT3" s="6">
        <v>187.5</v>
      </c>
      <c r="CU3" s="6">
        <v>281.75</v>
      </c>
      <c r="CV3" s="6">
        <v>269.58333333333337</v>
      </c>
      <c r="CW3" s="6">
        <v>261.5</v>
      </c>
      <c r="CX3" s="6">
        <v>251</v>
      </c>
      <c r="CY3" s="6">
        <v>242.58333333333331</v>
      </c>
      <c r="CZ3" s="6">
        <v>189.83333333333334</v>
      </c>
      <c r="DA3" s="6">
        <v>156.33333333333331</v>
      </c>
      <c r="DB3" s="6">
        <v>277.5</v>
      </c>
      <c r="DC3" s="6">
        <v>292.75000000000006</v>
      </c>
      <c r="DD3" s="6">
        <v>261.83333333333331</v>
      </c>
      <c r="DE3" s="6">
        <v>233.08333333333343</v>
      </c>
      <c r="DF3" s="6">
        <v>234.91666666666663</v>
      </c>
      <c r="DG3" s="6">
        <v>141.91666666666669</v>
      </c>
      <c r="DH3" s="6">
        <v>162.41666666666666</v>
      </c>
      <c r="DI3" s="6">
        <v>217.49999999999994</v>
      </c>
      <c r="DJ3" s="6">
        <v>235.99999999999997</v>
      </c>
      <c r="DK3" s="6">
        <v>19</v>
      </c>
      <c r="DL3" s="6"/>
      <c r="DM3" s="6">
        <v>254.99999999999997</v>
      </c>
      <c r="DN3" s="6">
        <v>293.58333333333331</v>
      </c>
      <c r="DO3" s="6">
        <v>244.58333333333337</v>
      </c>
      <c r="DP3" s="4">
        <v>237.75000000000003</v>
      </c>
      <c r="DQ3" s="4">
        <v>223.5</v>
      </c>
      <c r="DR3" s="4">
        <v>237.16666666666669</v>
      </c>
      <c r="DS3" s="4"/>
      <c r="DT3" s="4">
        <v>266.83333333333337</v>
      </c>
      <c r="DU3" s="4">
        <v>232.5</v>
      </c>
      <c r="DV3" s="7">
        <v>127.5</v>
      </c>
      <c r="DW3" s="7">
        <v>297.5</v>
      </c>
      <c r="DX3" s="7">
        <v>285</v>
      </c>
      <c r="DY3" s="7">
        <v>304.25</v>
      </c>
      <c r="DZ3" s="7">
        <v>285</v>
      </c>
      <c r="EA3" s="7">
        <v>304.58333333333337</v>
      </c>
      <c r="EB3" s="7">
        <v>216.58333333333331</v>
      </c>
      <c r="EC3" s="7">
        <v>142.25</v>
      </c>
      <c r="ED3" s="7">
        <v>328.25</v>
      </c>
      <c r="EE3" s="4">
        <v>315</v>
      </c>
      <c r="EF3" s="4">
        <v>306.58333333333331</v>
      </c>
      <c r="EG3" s="4">
        <v>285</v>
      </c>
      <c r="EH3" s="4">
        <v>298.5</v>
      </c>
      <c r="EI3" s="4">
        <v>225</v>
      </c>
      <c r="EJ3" s="4">
        <v>120</v>
      </c>
      <c r="EK3" s="4">
        <v>307.16666666666663</v>
      </c>
      <c r="EL3" s="4">
        <v>344.5</v>
      </c>
      <c r="EM3" s="4">
        <v>331.75</v>
      </c>
      <c r="EN3" s="4">
        <v>337.5</v>
      </c>
      <c r="EO3" s="4">
        <v>322.5</v>
      </c>
      <c r="EP3" s="4">
        <v>232.25</v>
      </c>
      <c r="EQ3" s="4">
        <v>142.5</v>
      </c>
      <c r="ER3" s="4">
        <v>298.91666666666663</v>
      </c>
      <c r="ES3" s="4">
        <v>299.66666666666663</v>
      </c>
      <c r="ET3" s="4">
        <v>279.41666666666669</v>
      </c>
      <c r="EU3" s="4">
        <v>284.08333333333331</v>
      </c>
      <c r="EV3" s="4">
        <v>289.5</v>
      </c>
      <c r="EW3" s="4">
        <v>344.33333333333331</v>
      </c>
      <c r="EX3" s="4">
        <v>285</v>
      </c>
      <c r="EY3" s="4">
        <v>297.74999999999994</v>
      </c>
      <c r="EZ3" s="4">
        <v>291.66666666666669</v>
      </c>
      <c r="FA3" s="4">
        <v>274.08333333333337</v>
      </c>
      <c r="FB3" s="4">
        <v>151</v>
      </c>
      <c r="FC3" s="4"/>
      <c r="FD3" s="4"/>
      <c r="FE3" s="4"/>
      <c r="FF3"/>
      <c r="FG3" s="4">
        <v>247.50000000000003</v>
      </c>
      <c r="FH3" s="4">
        <v>292</v>
      </c>
      <c r="FI3" s="4">
        <v>300</v>
      </c>
      <c r="FJ3" s="4">
        <v>292.49999999999994</v>
      </c>
      <c r="FK3" s="4">
        <v>314.41666666666669</v>
      </c>
      <c r="FL3" s="4">
        <v>306.66666666666663</v>
      </c>
      <c r="FM3" s="4">
        <v>307.25</v>
      </c>
      <c r="FN3" s="4">
        <v>307.08333333333337</v>
      </c>
      <c r="FO3" s="4">
        <v>284.41666666666663</v>
      </c>
      <c r="FP3" s="4">
        <v>266.58333333333337</v>
      </c>
      <c r="FQ3" s="4">
        <v>268.66666666666663</v>
      </c>
      <c r="FR3" s="4">
        <v>222.16666666666666</v>
      </c>
      <c r="FS3" s="4">
        <v>132.25</v>
      </c>
      <c r="FT3" s="4">
        <v>260.83333333333331</v>
      </c>
      <c r="FU3" s="4">
        <v>267.08333333333337</v>
      </c>
      <c r="FV3" s="4">
        <v>272.75</v>
      </c>
      <c r="FW3" s="4">
        <v>244.16666666666663</v>
      </c>
      <c r="FX3" s="4">
        <v>284</v>
      </c>
      <c r="FY3" s="4">
        <v>202.5</v>
      </c>
      <c r="FZ3" s="4">
        <v>126.83333333333336</v>
      </c>
      <c r="GA3" s="4">
        <v>273.74999999999994</v>
      </c>
      <c r="GB3" s="4">
        <v>292.25</v>
      </c>
      <c r="GC3" s="4">
        <v>261.16666666666663</v>
      </c>
      <c r="GD3" s="4">
        <v>261.16666666666663</v>
      </c>
      <c r="GE3" s="4">
        <v>232.5</v>
      </c>
      <c r="GF3" s="4">
        <v>246.66666666666669</v>
      </c>
      <c r="GG3" s="4">
        <v>112.16666666666666</v>
      </c>
      <c r="GH3" s="3">
        <v>201.49999999999997</v>
      </c>
      <c r="GI3" s="3">
        <v>212.25</v>
      </c>
      <c r="GJ3" s="3">
        <v>261</v>
      </c>
      <c r="GK3" s="3">
        <v>213.41666666666663</v>
      </c>
      <c r="GL3" s="3">
        <v>240</v>
      </c>
      <c r="GM3" s="3">
        <v>157.5</v>
      </c>
      <c r="GN3" s="3">
        <v>118.75</v>
      </c>
      <c r="GO3" s="3">
        <v>217.5</v>
      </c>
      <c r="GP3" s="3"/>
      <c r="GQ3" s="3">
        <v>261.83333333333337</v>
      </c>
      <c r="GR3" s="3">
        <v>226.58333333333329</v>
      </c>
      <c r="GS3" s="3">
        <v>243.5</v>
      </c>
      <c r="GT3" s="3">
        <v>215.58333333333337</v>
      </c>
      <c r="GU3" s="3">
        <v>166.83333333333331</v>
      </c>
      <c r="GV3" s="3">
        <v>233.49999999999997</v>
      </c>
      <c r="GW3" s="3">
        <v>177.08333333333337</v>
      </c>
      <c r="GX3" s="3">
        <v>199.41666666666669</v>
      </c>
      <c r="GY3" s="3">
        <v>194.33333333333337</v>
      </c>
      <c r="GZ3" s="3">
        <v>139.58333333333337</v>
      </c>
      <c r="HA3" s="3">
        <v>127.5</v>
      </c>
      <c r="HB3" s="3">
        <v>116.74999999999999</v>
      </c>
      <c r="HC3" s="3">
        <v>200</v>
      </c>
      <c r="HD3" s="3">
        <v>199.33333333333334</v>
      </c>
      <c r="HE3" s="3">
        <v>200.83333333333329</v>
      </c>
      <c r="HF3" s="3">
        <v>171.41666666666669</v>
      </c>
      <c r="HG3" s="3">
        <v>150</v>
      </c>
      <c r="HH3" s="3">
        <v>119.99999999999999</v>
      </c>
      <c r="HI3" s="3">
        <v>112.5</v>
      </c>
      <c r="HJ3" s="3">
        <v>164.99999999999994</v>
      </c>
      <c r="HK3" s="3">
        <v>221.91666666666663</v>
      </c>
      <c r="HL3" s="3">
        <v>178.58333333333334</v>
      </c>
      <c r="HM3" s="3">
        <v>157.5</v>
      </c>
      <c r="HN3" s="3">
        <v>156.16666666666669</v>
      </c>
      <c r="HO3" s="3">
        <v>104.41666666666667</v>
      </c>
      <c r="HP3" s="3">
        <v>90</v>
      </c>
      <c r="HQ3" s="3">
        <v>180</v>
      </c>
      <c r="HR3" s="3">
        <v>204.49999999999997</v>
      </c>
      <c r="HS3" s="3">
        <v>195</v>
      </c>
      <c r="HT3" s="3">
        <v>185.08333333333331</v>
      </c>
      <c r="HU3" s="3">
        <v>187.5</v>
      </c>
      <c r="HV3" s="3">
        <v>112</v>
      </c>
      <c r="HW3" s="3">
        <v>102</v>
      </c>
      <c r="HX3" s="3">
        <v>201.41666666666666</v>
      </c>
      <c r="HY3" s="3">
        <v>214.5</v>
      </c>
      <c r="HZ3" s="3">
        <v>209.75</v>
      </c>
      <c r="IA3" s="3">
        <v>213.33333333333331</v>
      </c>
      <c r="IB3" s="3">
        <v>187</v>
      </c>
      <c r="IC3" s="3">
        <v>186.91666666666669</v>
      </c>
      <c r="ID3" s="3">
        <v>192.41666666666669</v>
      </c>
      <c r="IE3" s="3">
        <v>202.16666666666669</v>
      </c>
      <c r="IF3" s="3">
        <v>209.25</v>
      </c>
      <c r="IG3" s="3">
        <v>179.75</v>
      </c>
      <c r="IH3" s="3">
        <v>203.91666666666666</v>
      </c>
      <c r="II3" s="3">
        <v>192.83333333333334</v>
      </c>
      <c r="IJ3" s="3">
        <v>172.50000000000003</v>
      </c>
      <c r="IK3" s="3">
        <v>119.75</v>
      </c>
      <c r="IL3" s="3">
        <v>281.33333333333331</v>
      </c>
      <c r="IM3" s="3">
        <v>220.75</v>
      </c>
      <c r="IN3" s="3">
        <v>201.58333333333331</v>
      </c>
      <c r="IO3" s="3">
        <v>181.25</v>
      </c>
      <c r="IP3" s="3">
        <v>192.5</v>
      </c>
      <c r="IQ3" s="3">
        <v>177.66666666666669</v>
      </c>
      <c r="IR3" s="3">
        <v>194.08333333333337</v>
      </c>
      <c r="IS3" s="3">
        <v>214.91666666666669</v>
      </c>
      <c r="IT3" s="3">
        <v>179.16666666666669</v>
      </c>
      <c r="IU3" s="3">
        <v>263.33333333333337</v>
      </c>
      <c r="IV3" s="3">
        <v>252</v>
      </c>
      <c r="IW3" s="3">
        <v>238.24999999999994</v>
      </c>
      <c r="IX3" s="3">
        <v>142.5</v>
      </c>
      <c r="IY3" s="3">
        <v>127.5</v>
      </c>
      <c r="IZ3" s="3">
        <v>255.00000000000003</v>
      </c>
      <c r="JA3" s="3">
        <v>262.5</v>
      </c>
      <c r="JB3" s="3">
        <v>247.08333333333331</v>
      </c>
      <c r="JC3" s="3">
        <v>267.66666666666669</v>
      </c>
      <c r="JD3" s="3">
        <v>252.99999999999994</v>
      </c>
      <c r="JE3" s="3">
        <v>147.5</v>
      </c>
      <c r="JF3" s="3">
        <v>124.91666666666666</v>
      </c>
      <c r="JG3" s="3">
        <v>259</v>
      </c>
      <c r="JH3" s="3">
        <v>297</v>
      </c>
      <c r="JI3" s="3">
        <v>287.66666666666669</v>
      </c>
      <c r="JJ3" s="3">
        <v>307.41666666666669</v>
      </c>
      <c r="JK3" s="3">
        <v>329.41666666666663</v>
      </c>
      <c r="JL3" s="3">
        <v>172.5</v>
      </c>
      <c r="JM3" s="3">
        <v>118.99999999999999</v>
      </c>
      <c r="JN3" s="3">
        <v>261.83333333333331</v>
      </c>
      <c r="JO3" s="3">
        <v>261.58333333333331</v>
      </c>
      <c r="JP3" s="3">
        <v>285</v>
      </c>
      <c r="JQ3" s="3">
        <v>284.5</v>
      </c>
      <c r="JR3" s="3">
        <v>269.41666666666663</v>
      </c>
      <c r="JS3" s="3">
        <v>150</v>
      </c>
      <c r="JT3" s="3">
        <v>130.83333333333331</v>
      </c>
      <c r="JU3" s="3">
        <v>285</v>
      </c>
      <c r="JV3" s="3">
        <v>300</v>
      </c>
      <c r="JW3" s="3">
        <v>295.08333333333337</v>
      </c>
      <c r="JX3" s="3">
        <v>284.08333333333337</v>
      </c>
      <c r="JY3" s="3">
        <v>333.83333333333331</v>
      </c>
      <c r="JZ3" s="3">
        <v>207.91666666666669</v>
      </c>
      <c r="KA3" s="3">
        <v>117.75000000000001</v>
      </c>
      <c r="KB3" s="3">
        <v>375.41666666666663</v>
      </c>
      <c r="KC3" s="3">
        <v>361.5</v>
      </c>
      <c r="KD3" s="3">
        <v>382.33333333333331</v>
      </c>
      <c r="KE3" s="3">
        <v>334.75</v>
      </c>
      <c r="KF3" s="3">
        <v>428.91666666666669</v>
      </c>
      <c r="KG3" s="3">
        <v>412.25</v>
      </c>
      <c r="KH3" s="3">
        <v>235.25</v>
      </c>
      <c r="KI3" s="3">
        <v>395.91666666666669</v>
      </c>
      <c r="KJ3" s="3">
        <v>439.5</v>
      </c>
      <c r="KK3" s="3">
        <v>432.5</v>
      </c>
      <c r="KL3" s="3">
        <v>379.16666666666669</v>
      </c>
      <c r="KM3" s="3">
        <v>361.49999999999994</v>
      </c>
      <c r="KN3" s="3">
        <v>270</v>
      </c>
      <c r="KO3" s="3">
        <v>178.41666666666666</v>
      </c>
      <c r="KP3" s="2">
        <v>370.5</v>
      </c>
      <c r="KQ3" s="2">
        <v>379</v>
      </c>
      <c r="KR3" s="2">
        <v>442.5</v>
      </c>
      <c r="KS3" s="2">
        <v>261.83333333333337</v>
      </c>
      <c r="KT3" s="2">
        <v>322.24999999999994</v>
      </c>
      <c r="KU3" s="2">
        <v>199</v>
      </c>
      <c r="KV3" s="2">
        <v>154.91666666666669</v>
      </c>
      <c r="KW3" s="3">
        <v>350</v>
      </c>
      <c r="KX3" s="3">
        <v>394.58333333333337</v>
      </c>
      <c r="KY3" s="3">
        <v>365.83333333333337</v>
      </c>
      <c r="KZ3" s="3">
        <v>319.41666666666663</v>
      </c>
      <c r="LA3" s="3">
        <v>266.08333333333337</v>
      </c>
      <c r="LB3" s="3">
        <v>135</v>
      </c>
      <c r="LC3" s="3">
        <v>142.24999999999997</v>
      </c>
      <c r="LD3" s="3">
        <v>284.99999999999994</v>
      </c>
      <c r="LE3" s="3">
        <v>284.99999999999994</v>
      </c>
      <c r="LF3" s="3">
        <v>270</v>
      </c>
      <c r="LG3" s="3">
        <v>370.58333333333331</v>
      </c>
      <c r="LH3" s="3">
        <v>262.16666666666663</v>
      </c>
      <c r="LI3" s="3">
        <v>184.25</v>
      </c>
      <c r="LJ3" s="3">
        <v>179.33333333333334</v>
      </c>
      <c r="LK3" s="3">
        <v>315.00000000000006</v>
      </c>
      <c r="LL3" s="3">
        <v>382.5</v>
      </c>
      <c r="LM3" s="3">
        <v>287</v>
      </c>
      <c r="LN3" s="3">
        <v>365.00000000000006</v>
      </c>
      <c r="LO3" s="3">
        <v>329.75</v>
      </c>
      <c r="LP3" s="3">
        <v>142.5</v>
      </c>
      <c r="LQ3" s="3">
        <v>146.16666666666666</v>
      </c>
      <c r="LR3" s="3">
        <v>335.83333333333331</v>
      </c>
      <c r="LS3" s="3">
        <v>250.99999999999997</v>
      </c>
      <c r="LT3" s="3">
        <v>282.41666666666663</v>
      </c>
      <c r="LU3" s="3">
        <v>319.75</v>
      </c>
      <c r="LV3" s="3">
        <v>307.16666666666663</v>
      </c>
      <c r="LW3" s="3">
        <v>260.5</v>
      </c>
      <c r="LX3" s="3">
        <v>154.08333333333331</v>
      </c>
      <c r="LY3" s="3">
        <v>422.66666666666663</v>
      </c>
      <c r="LZ3" s="3">
        <v>424.75</v>
      </c>
      <c r="MA3" s="3">
        <v>405</v>
      </c>
      <c r="MB3" s="3">
        <v>344.66666666666663</v>
      </c>
      <c r="MC3" s="3">
        <v>393</v>
      </c>
      <c r="MD3" s="3">
        <v>172.5</v>
      </c>
      <c r="ME3" s="3">
        <v>132.75</v>
      </c>
      <c r="MF3" s="3">
        <v>411.33333333333337</v>
      </c>
      <c r="MG3" s="3">
        <v>438.5</v>
      </c>
      <c r="MH3" s="3">
        <v>441.58333333333337</v>
      </c>
      <c r="MI3" s="3">
        <v>465</v>
      </c>
      <c r="MJ3" s="3">
        <v>404.5</v>
      </c>
      <c r="MK3" s="3">
        <v>300</v>
      </c>
      <c r="ML3" s="3">
        <v>135</v>
      </c>
      <c r="MM3" s="3">
        <v>412.5</v>
      </c>
      <c r="MN3" s="3">
        <v>375</v>
      </c>
      <c r="MO3" s="3">
        <v>366.75</v>
      </c>
      <c r="MP3" s="3">
        <v>284.33333333333331</v>
      </c>
      <c r="MQ3" s="3">
        <v>296.5</v>
      </c>
      <c r="MR3" s="3">
        <v>270</v>
      </c>
      <c r="MS3" s="3">
        <v>298.66666666666663</v>
      </c>
      <c r="MT3" s="3">
        <v>243.91666666666663</v>
      </c>
      <c r="MU3" s="3">
        <v>246.66666666666663</v>
      </c>
      <c r="MV3" s="3">
        <v>225</v>
      </c>
      <c r="MW3" s="3">
        <v>253.75</v>
      </c>
      <c r="MX3" s="3">
        <v>259.83333333333331</v>
      </c>
      <c r="MY3" s="3">
        <v>112.5</v>
      </c>
      <c r="MZ3" s="3">
        <v>141.91666666666669</v>
      </c>
      <c r="NA3" s="3">
        <v>360</v>
      </c>
      <c r="NB3" s="3">
        <v>359</v>
      </c>
      <c r="NC3" s="3">
        <v>214.16666666666669</v>
      </c>
    </row>
    <row r="4" spans="1:371">
      <c r="A4" s="15">
        <f>SUM(C4:NC4)</f>
        <v>10062968</v>
      </c>
      <c r="B4" s="16" t="s">
        <v>423</v>
      </c>
      <c r="C4" s="7"/>
      <c r="D4" s="7">
        <v>32787</v>
      </c>
      <c r="E4" s="7">
        <v>28006</v>
      </c>
      <c r="F4" s="7">
        <v>19144</v>
      </c>
      <c r="G4" s="7">
        <v>15855</v>
      </c>
      <c r="H4" s="7">
        <v>25263</v>
      </c>
      <c r="I4" s="7">
        <v>22568</v>
      </c>
      <c r="J4" s="7">
        <v>13819</v>
      </c>
      <c r="K4" s="7">
        <v>17213</v>
      </c>
      <c r="L4" s="7">
        <v>18785</v>
      </c>
      <c r="M4" s="7">
        <v>18863</v>
      </c>
      <c r="N4" s="7">
        <v>19813</v>
      </c>
      <c r="O4" s="7">
        <v>22978</v>
      </c>
      <c r="P4" s="7">
        <v>21148</v>
      </c>
      <c r="Q4" s="7">
        <v>25136</v>
      </c>
      <c r="R4" s="7">
        <v>25498</v>
      </c>
      <c r="S4" s="7">
        <v>32990</v>
      </c>
      <c r="T4" s="7">
        <v>20275</v>
      </c>
      <c r="U4" s="7">
        <v>19086</v>
      </c>
      <c r="V4" s="7">
        <v>24979</v>
      </c>
      <c r="W4" s="7">
        <v>27360</v>
      </c>
      <c r="X4" s="7">
        <v>15875</v>
      </c>
      <c r="Y4" s="7">
        <v>18340</v>
      </c>
      <c r="Z4" s="7">
        <v>23025</v>
      </c>
      <c r="AA4" s="7">
        <v>15732</v>
      </c>
      <c r="AB4" s="7">
        <v>17432</v>
      </c>
      <c r="AC4" s="7">
        <v>14104</v>
      </c>
      <c r="AD4" s="7">
        <v>17741</v>
      </c>
      <c r="AE4" s="7">
        <v>19338</v>
      </c>
      <c r="AF4" s="7">
        <v>21681</v>
      </c>
      <c r="AG4" s="7">
        <v>18336</v>
      </c>
      <c r="AH4" s="7">
        <v>18301</v>
      </c>
      <c r="AI4" s="7">
        <v>17378</v>
      </c>
      <c r="AJ4" s="7">
        <v>16811</v>
      </c>
      <c r="AK4" s="7">
        <v>22015</v>
      </c>
      <c r="AL4" s="7">
        <v>23562</v>
      </c>
      <c r="AM4" s="7">
        <v>27603</v>
      </c>
      <c r="AN4" s="7">
        <v>27204</v>
      </c>
      <c r="AO4" s="7">
        <v>16083</v>
      </c>
      <c r="AP4" s="7">
        <v>16140</v>
      </c>
      <c r="AQ4" s="7">
        <v>28468</v>
      </c>
      <c r="AR4" s="7">
        <v>29839</v>
      </c>
      <c r="AS4" s="7">
        <v>30111</v>
      </c>
      <c r="AT4" s="7">
        <v>26819</v>
      </c>
      <c r="AU4" s="7">
        <v>21369</v>
      </c>
      <c r="AV4" s="7">
        <v>13079</v>
      </c>
      <c r="AW4" s="7">
        <v>14252</v>
      </c>
      <c r="AX4" s="7">
        <v>21676</v>
      </c>
      <c r="AY4" s="7">
        <v>29030</v>
      </c>
      <c r="AZ4" s="7">
        <v>23604</v>
      </c>
      <c r="BA4" s="7">
        <v>26680</v>
      </c>
      <c r="BB4" s="7">
        <v>20477</v>
      </c>
      <c r="BC4" s="7">
        <v>9680</v>
      </c>
      <c r="BD4" s="7">
        <v>12085</v>
      </c>
      <c r="BE4" s="7">
        <v>30439</v>
      </c>
      <c r="BF4" s="7">
        <v>24458</v>
      </c>
      <c r="BG4" s="7">
        <v>30524</v>
      </c>
      <c r="BH4" s="7">
        <v>22734</v>
      </c>
      <c r="BI4" s="7">
        <v>20507</v>
      </c>
      <c r="BJ4" s="7">
        <v>15755</v>
      </c>
      <c r="BK4" s="7">
        <v>5323</v>
      </c>
      <c r="BL4" s="7">
        <v>29170</v>
      </c>
      <c r="BM4" s="7">
        <v>25196</v>
      </c>
      <c r="BN4" s="7">
        <v>26361</v>
      </c>
      <c r="BO4" s="7">
        <v>28706</v>
      </c>
      <c r="BP4" s="7">
        <v>28838</v>
      </c>
      <c r="BQ4" s="7">
        <v>25259</v>
      </c>
      <c r="BR4" s="7">
        <v>16399</v>
      </c>
      <c r="BS4" s="7">
        <v>43086</v>
      </c>
      <c r="BT4" s="7">
        <v>37835</v>
      </c>
      <c r="BU4" s="7">
        <v>35842</v>
      </c>
      <c r="BV4" s="7">
        <v>33716</v>
      </c>
      <c r="BW4" s="7">
        <v>30091</v>
      </c>
      <c r="BX4" s="7">
        <v>23634</v>
      </c>
      <c r="BY4" s="7">
        <v>18036</v>
      </c>
      <c r="BZ4" s="7">
        <v>43862</v>
      </c>
      <c r="CA4" s="7">
        <v>47316</v>
      </c>
      <c r="CB4" s="7">
        <v>41123</v>
      </c>
      <c r="CC4" s="7">
        <v>46567</v>
      </c>
      <c r="CD4" s="7">
        <v>45677</v>
      </c>
      <c r="CE4" s="7">
        <v>38712</v>
      </c>
      <c r="CF4" s="7">
        <v>47875</v>
      </c>
      <c r="CG4" s="7">
        <v>56986</v>
      </c>
      <c r="CH4" s="7">
        <v>52444</v>
      </c>
      <c r="CI4" s="7">
        <v>44252</v>
      </c>
      <c r="CJ4" s="7">
        <v>30059</v>
      </c>
      <c r="CK4" s="7">
        <v>22899</v>
      </c>
      <c r="CL4" s="7">
        <v>9001</v>
      </c>
      <c r="CP4" s="7">
        <v>36594</v>
      </c>
      <c r="CQ4" s="7">
        <v>38234</v>
      </c>
      <c r="CR4" s="7">
        <v>26746</v>
      </c>
      <c r="CS4" s="7">
        <v>20280</v>
      </c>
      <c r="CT4" s="7">
        <v>18059</v>
      </c>
      <c r="CU4" s="7">
        <v>26220</v>
      </c>
      <c r="CV4" s="7">
        <v>27492</v>
      </c>
      <c r="CW4" s="7">
        <v>26204</v>
      </c>
      <c r="CX4" s="7">
        <v>28810</v>
      </c>
      <c r="CY4" s="7">
        <v>26520</v>
      </c>
      <c r="CZ4" s="7">
        <v>18302</v>
      </c>
      <c r="DA4" s="7">
        <v>17679</v>
      </c>
      <c r="DB4" s="7">
        <v>34645</v>
      </c>
      <c r="DC4" s="7">
        <v>34455</v>
      </c>
      <c r="DD4" s="7">
        <v>34289</v>
      </c>
      <c r="DE4" s="7">
        <v>35508</v>
      </c>
      <c r="DF4" s="7">
        <v>26788</v>
      </c>
      <c r="DG4" s="7">
        <v>17193</v>
      </c>
      <c r="DH4" s="7">
        <v>20051</v>
      </c>
      <c r="DI4" s="7">
        <v>29852</v>
      </c>
      <c r="DJ4" s="7">
        <v>28016</v>
      </c>
      <c r="DK4" s="7">
        <v>5917</v>
      </c>
      <c r="DM4" s="7">
        <v>27205</v>
      </c>
      <c r="DN4" s="7">
        <v>37228</v>
      </c>
      <c r="DO4" s="7">
        <v>30842</v>
      </c>
      <c r="DP4" s="7">
        <v>24479</v>
      </c>
      <c r="DQ4" s="7">
        <v>20606</v>
      </c>
      <c r="DR4" s="7">
        <v>23779</v>
      </c>
      <c r="DS4" s="7"/>
      <c r="DT4" s="7">
        <v>32191</v>
      </c>
      <c r="DU4" s="7">
        <v>24315</v>
      </c>
      <c r="DV4" s="7">
        <v>17458</v>
      </c>
      <c r="DW4" s="7">
        <v>37471</v>
      </c>
      <c r="DX4" s="7">
        <v>37582</v>
      </c>
      <c r="DY4" s="7">
        <v>36611</v>
      </c>
      <c r="DZ4" s="7">
        <v>35537</v>
      </c>
      <c r="EA4" s="7">
        <v>36158</v>
      </c>
      <c r="EB4" s="7">
        <v>22447</v>
      </c>
      <c r="EC4" s="7">
        <v>15543</v>
      </c>
      <c r="ED4" s="7">
        <v>40627</v>
      </c>
      <c r="EE4" s="7">
        <v>37707</v>
      </c>
      <c r="EF4" s="7">
        <v>39777</v>
      </c>
      <c r="EG4" s="7">
        <v>39819</v>
      </c>
      <c r="EH4" s="7">
        <v>32310</v>
      </c>
      <c r="EI4" s="7">
        <v>23149</v>
      </c>
      <c r="EJ4" s="7">
        <v>17579</v>
      </c>
      <c r="EK4" s="7">
        <v>36139</v>
      </c>
      <c r="EL4" s="7">
        <v>41392</v>
      </c>
      <c r="EM4" s="7">
        <v>36250</v>
      </c>
      <c r="EN4" s="7">
        <v>41445</v>
      </c>
      <c r="EO4" s="7">
        <v>36026</v>
      </c>
      <c r="EP4" s="7">
        <v>24101</v>
      </c>
      <c r="EQ4" s="7">
        <v>18463</v>
      </c>
      <c r="ER4" s="7">
        <v>39124</v>
      </c>
      <c r="ES4" s="7">
        <v>41147</v>
      </c>
      <c r="ET4" s="7">
        <v>38557</v>
      </c>
      <c r="EU4" s="7">
        <v>41790</v>
      </c>
      <c r="EV4" s="7">
        <v>39243</v>
      </c>
      <c r="EW4" s="7">
        <v>48516</v>
      </c>
      <c r="EX4" s="7">
        <v>42153</v>
      </c>
      <c r="EY4" s="7">
        <v>42183</v>
      </c>
      <c r="EZ4" s="7">
        <v>37852</v>
      </c>
      <c r="FA4" s="7">
        <v>18489</v>
      </c>
      <c r="FB4" s="7">
        <v>10320</v>
      </c>
      <c r="FG4" s="7">
        <v>25096</v>
      </c>
      <c r="FH4" s="7">
        <v>37736</v>
      </c>
      <c r="FI4" s="7">
        <v>35537</v>
      </c>
      <c r="FJ4" s="7">
        <v>34020</v>
      </c>
      <c r="FK4" s="7">
        <v>37529</v>
      </c>
      <c r="FL4" s="7">
        <v>38498</v>
      </c>
      <c r="FM4" s="7">
        <v>39708</v>
      </c>
      <c r="FN4" s="7">
        <v>37047</v>
      </c>
      <c r="FO4" s="7">
        <v>37016</v>
      </c>
      <c r="FP4" s="7">
        <v>39078</v>
      </c>
      <c r="FQ4" s="7">
        <v>29080</v>
      </c>
      <c r="FR4" s="7">
        <v>25419</v>
      </c>
      <c r="FS4" s="7">
        <v>15163</v>
      </c>
      <c r="FT4" s="7">
        <v>29036</v>
      </c>
      <c r="FU4" s="7">
        <v>31116</v>
      </c>
      <c r="FV4" s="7">
        <v>33234</v>
      </c>
      <c r="FW4" s="7">
        <v>29548</v>
      </c>
      <c r="FX4" s="7">
        <v>38040</v>
      </c>
      <c r="FY4" s="7">
        <v>23278</v>
      </c>
      <c r="FZ4" s="7">
        <v>17599</v>
      </c>
      <c r="GA4" s="7">
        <v>37324</v>
      </c>
      <c r="GB4" s="7">
        <v>36333</v>
      </c>
      <c r="GC4" s="7">
        <v>27542</v>
      </c>
      <c r="GD4" s="7">
        <v>26756</v>
      </c>
      <c r="GE4" s="7">
        <v>23986</v>
      </c>
      <c r="GF4" s="7">
        <v>17683</v>
      </c>
      <c r="GG4" s="7">
        <v>10202</v>
      </c>
      <c r="GH4" s="7">
        <v>23857</v>
      </c>
      <c r="GI4" s="7">
        <v>28010</v>
      </c>
      <c r="GJ4" s="7">
        <v>30884</v>
      </c>
      <c r="GK4" s="7">
        <v>27293</v>
      </c>
      <c r="GL4" s="7">
        <v>28420</v>
      </c>
      <c r="GM4" s="7">
        <v>19583</v>
      </c>
      <c r="GN4" s="7">
        <v>12548</v>
      </c>
      <c r="GO4" s="7">
        <v>18586</v>
      </c>
      <c r="GQ4" s="7">
        <v>36845</v>
      </c>
      <c r="GR4" s="7">
        <v>30574</v>
      </c>
      <c r="GS4" s="7">
        <v>29780</v>
      </c>
      <c r="GT4" s="7">
        <v>27317</v>
      </c>
      <c r="GU4" s="7">
        <v>19438</v>
      </c>
      <c r="GV4" s="7">
        <v>24305</v>
      </c>
      <c r="GW4" s="7">
        <v>23283</v>
      </c>
      <c r="GX4" s="7">
        <v>24566</v>
      </c>
      <c r="GY4" s="7">
        <v>24832</v>
      </c>
      <c r="GZ4" s="7">
        <v>12911</v>
      </c>
      <c r="HA4" s="7">
        <v>15367</v>
      </c>
      <c r="HB4" s="7">
        <v>16223</v>
      </c>
      <c r="HC4" s="7">
        <v>28670</v>
      </c>
      <c r="HD4" s="7">
        <v>19470</v>
      </c>
      <c r="HE4" s="7">
        <v>26914</v>
      </c>
      <c r="HF4" s="7">
        <v>22875</v>
      </c>
      <c r="HG4" s="7">
        <v>22689</v>
      </c>
      <c r="HH4" s="7">
        <v>13811</v>
      </c>
      <c r="HI4" s="7">
        <v>13676</v>
      </c>
      <c r="HJ4" s="7">
        <v>21192</v>
      </c>
      <c r="HK4" s="7">
        <v>25702</v>
      </c>
      <c r="HL4" s="7">
        <v>22577</v>
      </c>
      <c r="HM4" s="7">
        <v>17011</v>
      </c>
      <c r="HN4" s="7">
        <v>22747</v>
      </c>
      <c r="HO4" s="7">
        <v>13014</v>
      </c>
      <c r="HP4" s="7">
        <v>11296</v>
      </c>
      <c r="HQ4" s="7">
        <v>25511</v>
      </c>
      <c r="HR4" s="7">
        <v>30833</v>
      </c>
      <c r="HS4" s="7">
        <v>27827</v>
      </c>
      <c r="HT4" s="7">
        <v>23094</v>
      </c>
      <c r="HU4" s="7">
        <v>22158</v>
      </c>
      <c r="HV4" s="7">
        <v>12719</v>
      </c>
      <c r="HW4" s="7">
        <v>10652</v>
      </c>
      <c r="HX4" s="7">
        <v>24603</v>
      </c>
      <c r="HY4" s="7">
        <v>22269</v>
      </c>
      <c r="HZ4" s="7">
        <v>19609</v>
      </c>
      <c r="IA4" s="7">
        <v>25273</v>
      </c>
      <c r="IB4" s="7">
        <v>23651</v>
      </c>
      <c r="IC4" s="7">
        <v>20538</v>
      </c>
      <c r="ID4" s="7">
        <v>23385</v>
      </c>
      <c r="IE4" s="7">
        <v>22961</v>
      </c>
      <c r="IF4" s="7">
        <v>22582</v>
      </c>
      <c r="IG4" s="7">
        <v>24513</v>
      </c>
      <c r="IH4" s="7">
        <v>23871</v>
      </c>
      <c r="II4" s="7">
        <v>26795</v>
      </c>
      <c r="IJ4" s="7">
        <v>18867</v>
      </c>
      <c r="IK4" s="7">
        <v>16343</v>
      </c>
      <c r="IL4" s="7">
        <v>26451</v>
      </c>
      <c r="IM4" s="7">
        <v>28319</v>
      </c>
      <c r="IN4" s="7">
        <v>22090</v>
      </c>
      <c r="IO4" s="7">
        <v>23148</v>
      </c>
      <c r="IP4" s="7">
        <v>21435</v>
      </c>
      <c r="IQ4" s="7">
        <v>21964</v>
      </c>
      <c r="IR4" s="7">
        <v>22509</v>
      </c>
      <c r="IS4" s="7">
        <v>25554</v>
      </c>
      <c r="IT4" s="7">
        <v>24159</v>
      </c>
      <c r="IU4" s="7">
        <v>30538</v>
      </c>
      <c r="IV4" s="7">
        <v>33540</v>
      </c>
      <c r="IW4" s="7">
        <v>24994</v>
      </c>
      <c r="IX4" s="7">
        <v>17803</v>
      </c>
      <c r="IY4" s="7">
        <v>13420</v>
      </c>
      <c r="IZ4" s="7">
        <v>25656</v>
      </c>
      <c r="JA4" s="7">
        <v>31262</v>
      </c>
      <c r="JB4" s="7">
        <v>32481</v>
      </c>
      <c r="JC4" s="7">
        <v>28716</v>
      </c>
      <c r="JD4" s="7">
        <v>25283</v>
      </c>
      <c r="JE4" s="7">
        <v>16303</v>
      </c>
      <c r="JF4" s="7">
        <v>13851</v>
      </c>
      <c r="JG4" s="7">
        <v>31601</v>
      </c>
      <c r="JH4" s="7">
        <v>35816</v>
      </c>
      <c r="JI4" s="7">
        <v>34936</v>
      </c>
      <c r="JJ4" s="7">
        <v>38483</v>
      </c>
      <c r="JK4" s="7">
        <v>37187</v>
      </c>
      <c r="JL4" s="7">
        <v>18872</v>
      </c>
      <c r="JM4" s="7">
        <v>14375</v>
      </c>
      <c r="JN4" s="7">
        <v>34269</v>
      </c>
      <c r="JO4" s="7">
        <v>39610</v>
      </c>
      <c r="JP4" s="7">
        <v>36878</v>
      </c>
      <c r="JQ4" s="7">
        <v>33130</v>
      </c>
      <c r="JR4" s="7">
        <v>29760</v>
      </c>
      <c r="JS4" s="7">
        <v>19641</v>
      </c>
      <c r="JT4" s="7">
        <v>14852</v>
      </c>
      <c r="JU4" s="7">
        <v>33405</v>
      </c>
      <c r="JV4" s="7">
        <v>39084</v>
      </c>
      <c r="JW4" s="7">
        <v>39309</v>
      </c>
      <c r="JX4" s="7">
        <v>37243</v>
      </c>
      <c r="JY4" s="7">
        <v>39553</v>
      </c>
      <c r="JZ4" s="7">
        <v>23702</v>
      </c>
      <c r="KA4" s="7">
        <v>15976</v>
      </c>
      <c r="KB4" s="73">
        <v>42522</v>
      </c>
      <c r="KC4" s="73">
        <v>40735</v>
      </c>
      <c r="KD4" s="73">
        <v>42800</v>
      </c>
      <c r="KE4" s="73">
        <v>39863</v>
      </c>
      <c r="KF4" s="73">
        <v>45961</v>
      </c>
      <c r="KG4" s="73">
        <v>49500</v>
      </c>
      <c r="KH4" s="73">
        <v>36319</v>
      </c>
      <c r="KI4" s="73">
        <v>50265</v>
      </c>
      <c r="KJ4" s="73">
        <v>57654</v>
      </c>
      <c r="KK4" s="73">
        <v>51104</v>
      </c>
      <c r="KL4" s="73">
        <v>51974</v>
      </c>
      <c r="KM4" s="73">
        <v>48622</v>
      </c>
      <c r="KN4" s="73">
        <v>36739</v>
      </c>
      <c r="KO4" s="73">
        <v>23861</v>
      </c>
      <c r="KP4" s="7">
        <v>50352</v>
      </c>
      <c r="KQ4" s="7">
        <v>49100</v>
      </c>
      <c r="KR4" s="7">
        <v>48857</v>
      </c>
      <c r="KS4" s="7">
        <v>41948</v>
      </c>
      <c r="KT4" s="7">
        <v>39525</v>
      </c>
      <c r="KU4" s="7">
        <v>21303</v>
      </c>
      <c r="KV4" s="7">
        <v>18060</v>
      </c>
      <c r="KW4" s="7">
        <v>40694</v>
      </c>
      <c r="KX4" s="7">
        <v>45719</v>
      </c>
      <c r="KY4" s="7">
        <v>42944</v>
      </c>
      <c r="KZ4" s="7">
        <v>40621</v>
      </c>
      <c r="LA4" s="7">
        <v>24288</v>
      </c>
      <c r="LB4" s="7">
        <v>20463</v>
      </c>
      <c r="LC4" s="7">
        <v>18615</v>
      </c>
      <c r="LD4" s="7">
        <v>29702</v>
      </c>
      <c r="LE4" s="7">
        <v>29778</v>
      </c>
      <c r="LF4" s="7">
        <v>28339</v>
      </c>
      <c r="LG4" s="7">
        <v>32575</v>
      </c>
      <c r="LH4" s="7">
        <v>28291</v>
      </c>
      <c r="LI4" s="7">
        <v>20535</v>
      </c>
      <c r="LJ4" s="7">
        <v>20240</v>
      </c>
      <c r="LK4" s="7">
        <v>30094</v>
      </c>
      <c r="LL4" s="7">
        <v>41268</v>
      </c>
      <c r="LM4" s="7">
        <v>40983</v>
      </c>
      <c r="LN4" s="7">
        <v>33560</v>
      </c>
      <c r="LO4" s="7">
        <v>32470</v>
      </c>
      <c r="LP4" s="7">
        <v>17174</v>
      </c>
      <c r="LQ4" s="7">
        <v>15050</v>
      </c>
      <c r="LR4" s="7">
        <v>31402</v>
      </c>
      <c r="LS4" s="7">
        <v>33388</v>
      </c>
      <c r="LT4" s="7">
        <v>34936</v>
      </c>
      <c r="LU4" s="7">
        <v>35452</v>
      </c>
      <c r="LV4" s="7">
        <v>32788</v>
      </c>
      <c r="LW4" s="7">
        <v>19403</v>
      </c>
      <c r="LX4" s="7">
        <v>14777</v>
      </c>
      <c r="LY4" s="7">
        <v>40502</v>
      </c>
      <c r="LZ4" s="7">
        <v>43912</v>
      </c>
      <c r="MA4" s="7">
        <v>40419</v>
      </c>
      <c r="MB4" s="7">
        <v>35180</v>
      </c>
      <c r="MC4" s="7">
        <v>37242</v>
      </c>
      <c r="MD4" s="7">
        <v>19806</v>
      </c>
      <c r="ME4" s="7">
        <v>13090</v>
      </c>
      <c r="MF4" s="7">
        <v>39013</v>
      </c>
      <c r="MG4" s="7">
        <v>48631</v>
      </c>
      <c r="MH4" s="7">
        <v>49825</v>
      </c>
      <c r="MI4" s="7">
        <v>44079</v>
      </c>
      <c r="MJ4" s="7">
        <v>34435</v>
      </c>
      <c r="MK4" s="7">
        <v>27890</v>
      </c>
      <c r="ML4" s="7">
        <v>17787</v>
      </c>
      <c r="MM4" s="7">
        <v>35847</v>
      </c>
      <c r="MN4" s="7">
        <v>37901</v>
      </c>
      <c r="MO4" s="7">
        <v>36991</v>
      </c>
      <c r="MP4" s="7">
        <v>33176</v>
      </c>
      <c r="MQ4" s="7">
        <v>30735</v>
      </c>
      <c r="MR4" s="7">
        <v>35254</v>
      </c>
      <c r="MS4" s="7">
        <v>34401</v>
      </c>
      <c r="MT4" s="7">
        <v>31244</v>
      </c>
      <c r="MU4" s="7">
        <v>30936</v>
      </c>
      <c r="MV4" s="7">
        <v>34244</v>
      </c>
      <c r="MW4" s="7">
        <v>34882</v>
      </c>
      <c r="MX4" s="7">
        <v>29334</v>
      </c>
      <c r="MY4" s="7">
        <v>18130</v>
      </c>
      <c r="MZ4" s="7">
        <v>19994</v>
      </c>
      <c r="NA4" s="2">
        <v>39732</v>
      </c>
      <c r="NB4" s="2">
        <v>39961</v>
      </c>
      <c r="NC4" s="2">
        <v>26118</v>
      </c>
      <c r="ND4" s="2"/>
      <c r="NG4" s="2"/>
    </row>
    <row r="5" spans="1:371">
      <c r="A5" s="17">
        <f>+A4/A3</f>
        <v>116.24238900451087</v>
      </c>
      <c r="B5" s="18" t="s">
        <v>424</v>
      </c>
      <c r="C5" s="7"/>
      <c r="D5" s="7">
        <f t="shared" ref="D5:N5" si="0">+D4/D3</f>
        <v>115.82101854577567</v>
      </c>
      <c r="E5" s="7">
        <f t="shared" si="0"/>
        <v>92.479911942762783</v>
      </c>
      <c r="F5" s="7">
        <f t="shared" si="0"/>
        <v>95.046752172114182</v>
      </c>
      <c r="G5" s="7">
        <f t="shared" si="0"/>
        <v>105.40720221606647</v>
      </c>
      <c r="H5" s="7">
        <f t="shared" si="0"/>
        <v>90.46732318710832</v>
      </c>
      <c r="I5" s="7">
        <f t="shared" si="0"/>
        <v>74.976744186046517</v>
      </c>
      <c r="J5" s="7">
        <f t="shared" si="0"/>
        <v>64.349243306169967</v>
      </c>
      <c r="K5" s="7">
        <f t="shared" si="0"/>
        <v>87.821428571428569</v>
      </c>
      <c r="L5" s="7">
        <f t="shared" si="0"/>
        <v>85.483503981797497</v>
      </c>
      <c r="M5" s="7">
        <f t="shared" si="0"/>
        <v>116.19917864476385</v>
      </c>
      <c r="N5" s="7">
        <f t="shared" si="0"/>
        <v>139.03859649122808</v>
      </c>
      <c r="O5" s="7">
        <f>+O4/O3</f>
        <v>132.37445991358618</v>
      </c>
      <c r="P5" s="7">
        <f t="shared" ref="P5:CA5" si="1">+P4/P3</f>
        <v>91.947826086956525</v>
      </c>
      <c r="Q5" s="7">
        <f t="shared" si="1"/>
        <v>135.56494382022473</v>
      </c>
      <c r="R5" s="7">
        <f t="shared" si="1"/>
        <v>130.75897435897437</v>
      </c>
      <c r="S5" s="7">
        <f t="shared" si="1"/>
        <v>112.5938566552901</v>
      </c>
      <c r="T5" s="7">
        <f t="shared" si="1"/>
        <v>161.12582781456953</v>
      </c>
      <c r="U5" s="7">
        <f t="shared" si="1"/>
        <v>134.40845070422534</v>
      </c>
      <c r="V5" s="7">
        <f t="shared" si="1"/>
        <v>98.052993130520122</v>
      </c>
      <c r="W5" s="7">
        <f t="shared" si="1"/>
        <v>136.7430237401083</v>
      </c>
      <c r="X5" s="7">
        <f t="shared" si="1"/>
        <v>112.7886323268206</v>
      </c>
      <c r="Y5" s="7">
        <f t="shared" si="1"/>
        <v>108.09430255402754</v>
      </c>
      <c r="Z5" s="7">
        <f t="shared" si="1"/>
        <v>102.33333333333333</v>
      </c>
      <c r="AA5" s="7">
        <f t="shared" si="1"/>
        <v>121.48262548262548</v>
      </c>
      <c r="AB5" s="7">
        <f t="shared" si="1"/>
        <v>110.67936507936506</v>
      </c>
      <c r="AC5" s="7">
        <f t="shared" si="1"/>
        <v>49.314685314685313</v>
      </c>
      <c r="AD5" s="7">
        <f t="shared" si="1"/>
        <v>72.142324635716719</v>
      </c>
      <c r="AE5" s="7">
        <f t="shared" si="1"/>
        <v>87.239097744360919</v>
      </c>
      <c r="AF5" s="7">
        <f t="shared" si="1"/>
        <v>71.007641921397379</v>
      </c>
      <c r="AG5" s="7">
        <f t="shared" si="1"/>
        <v>75.147540983606561</v>
      </c>
      <c r="AH5" s="7">
        <f t="shared" si="1"/>
        <v>122.00666666666666</v>
      </c>
      <c r="AI5" s="7">
        <f t="shared" si="1"/>
        <v>105.69488089204258</v>
      </c>
      <c r="AJ5" s="7">
        <f t="shared" si="1"/>
        <v>69.109969167523147</v>
      </c>
      <c r="AK5" s="7">
        <f t="shared" si="1"/>
        <v>91.952662721893489</v>
      </c>
      <c r="AL5" s="7">
        <f t="shared" si="1"/>
        <v>92.4</v>
      </c>
      <c r="AM5" s="7">
        <f t="shared" si="1"/>
        <v>104.22781623662679</v>
      </c>
      <c r="AN5" s="7">
        <f t="shared" si="1"/>
        <v>111.453738477296</v>
      </c>
      <c r="AO5" s="7">
        <f t="shared" si="1"/>
        <v>97.670040485829972</v>
      </c>
      <c r="AP5" s="7">
        <f t="shared" si="1"/>
        <v>107.6</v>
      </c>
      <c r="AQ5" s="7">
        <f t="shared" si="1"/>
        <v>126.52444444444444</v>
      </c>
      <c r="AR5" s="7">
        <f t="shared" si="1"/>
        <v>111.16671841043156</v>
      </c>
      <c r="AS5" s="7">
        <f t="shared" si="1"/>
        <v>121.66060606060606</v>
      </c>
      <c r="AT5" s="7">
        <f t="shared" si="1"/>
        <v>132.43950617283951</v>
      </c>
      <c r="AU5" s="7">
        <f t="shared" si="1"/>
        <v>126.88174171202375</v>
      </c>
      <c r="AV5" s="7">
        <f t="shared" si="1"/>
        <v>125.45803357314151</v>
      </c>
      <c r="AW5" s="7">
        <f t="shared" si="1"/>
        <v>94.540630182421225</v>
      </c>
      <c r="AX5" s="7">
        <f t="shared" si="1"/>
        <v>79.061398176291789</v>
      </c>
      <c r="AY5" s="7">
        <f t="shared" si="1"/>
        <v>114.74308300395256</v>
      </c>
      <c r="AZ5" s="7">
        <f t="shared" si="1"/>
        <v>125.38645418326693</v>
      </c>
      <c r="BA5" s="7">
        <f t="shared" si="1"/>
        <v>122.66666666666667</v>
      </c>
      <c r="BB5" s="7">
        <f t="shared" si="1"/>
        <v>105.14505776636713</v>
      </c>
      <c r="BC5" s="7">
        <f t="shared" si="1"/>
        <v>161.33333333333334</v>
      </c>
      <c r="BD5" s="7">
        <f t="shared" si="1"/>
        <v>122.17354675652906</v>
      </c>
      <c r="BE5" s="7">
        <f t="shared" si="1"/>
        <v>115.51802656546489</v>
      </c>
      <c r="BF5" s="7">
        <f t="shared" si="1"/>
        <v>105.84060584204833</v>
      </c>
      <c r="BG5" s="7">
        <f t="shared" si="1"/>
        <v>108.3051448846836</v>
      </c>
      <c r="BH5" s="7">
        <f t="shared" si="1"/>
        <v>85.332499218016906</v>
      </c>
      <c r="BI5" s="7">
        <f t="shared" si="1"/>
        <v>72.957011562407345</v>
      </c>
      <c r="BJ5" s="7">
        <f t="shared" si="1"/>
        <v>139.94078460399706</v>
      </c>
      <c r="BK5" s="7">
        <f t="shared" si="1"/>
        <v>78.859259259259261</v>
      </c>
      <c r="BL5" s="7">
        <f t="shared" si="1"/>
        <v>125.95897804965813</v>
      </c>
      <c r="BM5" s="7">
        <f t="shared" si="1"/>
        <v>121.76882803060812</v>
      </c>
      <c r="BN5" s="7">
        <f t="shared" si="1"/>
        <v>121.61937716262976</v>
      </c>
      <c r="BO5" s="7">
        <f t="shared" si="1"/>
        <v>123.59956942949408</v>
      </c>
      <c r="BP5" s="7">
        <f t="shared" si="1"/>
        <v>109.85904761904762</v>
      </c>
      <c r="BQ5" s="7">
        <f t="shared" si="1"/>
        <v>120.71206690561529</v>
      </c>
      <c r="BR5" s="7">
        <f t="shared" si="1"/>
        <v>115.68959435626103</v>
      </c>
      <c r="BS5" s="7">
        <f t="shared" si="1"/>
        <v>147.55479452054792</v>
      </c>
      <c r="BT5" s="7">
        <f t="shared" si="1"/>
        <v>130.46551724137933</v>
      </c>
      <c r="BU5" s="7">
        <f t="shared" si="1"/>
        <v>119.47333333333333</v>
      </c>
      <c r="BV5" s="7">
        <f t="shared" si="1"/>
        <v>115.36698032506418</v>
      </c>
      <c r="BW5" s="7">
        <f t="shared" si="1"/>
        <v>105.58245614035087</v>
      </c>
      <c r="BX5" s="7">
        <f t="shared" si="1"/>
        <v>121.40753424657535</v>
      </c>
      <c r="BY5" s="7">
        <f t="shared" si="1"/>
        <v>151.13966480446925</v>
      </c>
      <c r="BZ5" s="7">
        <f t="shared" si="1"/>
        <v>124.43120567375887</v>
      </c>
      <c r="CA5" s="7">
        <f t="shared" si="1"/>
        <v>123.89090115644775</v>
      </c>
      <c r="CB5" s="7">
        <f t="shared" ref="CB5:CL5" si="2">+CB4/CB3</f>
        <v>114.94898672257163</v>
      </c>
      <c r="CC5" s="7">
        <f t="shared" si="2"/>
        <v>138.21518674251791</v>
      </c>
      <c r="CD5" s="7">
        <f t="shared" si="2"/>
        <v>119.62549105194239</v>
      </c>
      <c r="CE5" s="7">
        <f t="shared" si="2"/>
        <v>112.20869565217392</v>
      </c>
      <c r="CF5" s="7">
        <f t="shared" si="2"/>
        <v>165.32374100719423</v>
      </c>
      <c r="CG5" s="7">
        <f t="shared" si="2"/>
        <v>157.34744592728947</v>
      </c>
      <c r="CH5" s="7">
        <f t="shared" si="2"/>
        <v>133.02219403931517</v>
      </c>
      <c r="CI5" s="7">
        <f t="shared" si="2"/>
        <v>144.14332247557005</v>
      </c>
      <c r="CJ5" s="7">
        <f t="shared" si="2"/>
        <v>111.95158286778398</v>
      </c>
      <c r="CK5" s="7">
        <f t="shared" si="2"/>
        <v>88.813186813186803</v>
      </c>
      <c r="CL5" s="7">
        <f t="shared" si="2"/>
        <v>145.17741935483872</v>
      </c>
      <c r="CP5" s="7">
        <f>+CP4/CP3</f>
        <v>142.11262135922331</v>
      </c>
      <c r="CQ5" s="7">
        <f t="shared" ref="CQ5:FB5" si="3">+CQ4/CQ3</f>
        <v>137.78018018018017</v>
      </c>
      <c r="CR5" s="7">
        <f t="shared" si="3"/>
        <v>119.00333704115684</v>
      </c>
      <c r="CS5" s="7">
        <f t="shared" si="3"/>
        <v>101.4</v>
      </c>
      <c r="CT5" s="7">
        <f t="shared" si="3"/>
        <v>96.314666666666668</v>
      </c>
      <c r="CU5" s="7">
        <f t="shared" si="3"/>
        <v>93.061224489795919</v>
      </c>
      <c r="CV5" s="7">
        <f t="shared" si="3"/>
        <v>101.97959814528592</v>
      </c>
      <c r="CW5" s="7">
        <f t="shared" si="3"/>
        <v>100.20650095602295</v>
      </c>
      <c r="CX5" s="7">
        <f t="shared" si="3"/>
        <v>114.7808764940239</v>
      </c>
      <c r="CY5" s="7">
        <f t="shared" si="3"/>
        <v>109.32325661284783</v>
      </c>
      <c r="CZ5" s="7">
        <f t="shared" si="3"/>
        <v>96.410886742756801</v>
      </c>
      <c r="DA5" s="7">
        <f t="shared" si="3"/>
        <v>113.08528784648189</v>
      </c>
      <c r="DB5" s="7">
        <f t="shared" si="3"/>
        <v>124.84684684684684</v>
      </c>
      <c r="DC5" s="7">
        <f t="shared" si="3"/>
        <v>117.69427839453456</v>
      </c>
      <c r="DD5" s="7">
        <f t="shared" si="3"/>
        <v>130.9573520050923</v>
      </c>
      <c r="DE5" s="7">
        <f t="shared" si="3"/>
        <v>152.34036467643898</v>
      </c>
      <c r="DF5" s="7">
        <f t="shared" si="3"/>
        <v>114.03192621496987</v>
      </c>
      <c r="DG5" s="7">
        <f t="shared" si="3"/>
        <v>121.14856136230181</v>
      </c>
      <c r="DH5" s="7">
        <f t="shared" si="3"/>
        <v>123.45407901487943</v>
      </c>
      <c r="DI5" s="7">
        <f t="shared" si="3"/>
        <v>137.25057471264373</v>
      </c>
      <c r="DJ5" s="7">
        <f t="shared" si="3"/>
        <v>118.71186440677968</v>
      </c>
      <c r="DK5" s="7">
        <f t="shared" si="3"/>
        <v>311.42105263157896</v>
      </c>
      <c r="DL5" s="7"/>
      <c r="DM5" s="7">
        <f t="shared" si="3"/>
        <v>106.68627450980394</v>
      </c>
      <c r="DN5" s="7">
        <f t="shared" si="3"/>
        <v>126.8055634402498</v>
      </c>
      <c r="DO5" s="7">
        <f t="shared" si="3"/>
        <v>126.10017035775125</v>
      </c>
      <c r="DP5" s="7">
        <f t="shared" si="3"/>
        <v>102.96109358569925</v>
      </c>
      <c r="DQ5" s="7">
        <f t="shared" si="3"/>
        <v>92.196868008948542</v>
      </c>
      <c r="DR5" s="7">
        <f t="shared" si="3"/>
        <v>100.2628250175685</v>
      </c>
      <c r="DS5" s="7"/>
      <c r="DT5" s="7">
        <f t="shared" si="3"/>
        <v>120.6408494690818</v>
      </c>
      <c r="DU5" s="7">
        <f t="shared" si="3"/>
        <v>104.58064516129032</v>
      </c>
      <c r="DV5" s="7">
        <f t="shared" si="3"/>
        <v>136.92549019607844</v>
      </c>
      <c r="DW5" s="7">
        <f t="shared" si="3"/>
        <v>125.95294117647059</v>
      </c>
      <c r="DX5" s="7">
        <f t="shared" si="3"/>
        <v>131.86666666666667</v>
      </c>
      <c r="DY5" s="7">
        <f t="shared" si="3"/>
        <v>120.33196384552177</v>
      </c>
      <c r="DZ5" s="7">
        <f t="shared" si="3"/>
        <v>124.69122807017544</v>
      </c>
      <c r="EA5" s="7">
        <f t="shared" si="3"/>
        <v>118.71299589603282</v>
      </c>
      <c r="EB5" s="7">
        <f t="shared" si="3"/>
        <v>103.64140053866873</v>
      </c>
      <c r="EC5" s="7">
        <f t="shared" si="3"/>
        <v>109.26537785588752</v>
      </c>
      <c r="ED5" s="7">
        <f t="shared" si="3"/>
        <v>123.76846915460777</v>
      </c>
      <c r="EE5" s="7">
        <f t="shared" si="3"/>
        <v>119.70476190476191</v>
      </c>
      <c r="EF5" s="7">
        <f t="shared" si="3"/>
        <v>129.74286490894266</v>
      </c>
      <c r="EG5" s="7">
        <f t="shared" si="3"/>
        <v>139.7157894736842</v>
      </c>
      <c r="EH5" s="7">
        <f t="shared" si="3"/>
        <v>108.24120603015075</v>
      </c>
      <c r="EI5" s="7">
        <f t="shared" si="3"/>
        <v>102.88444444444444</v>
      </c>
      <c r="EJ5" s="7">
        <f t="shared" si="3"/>
        <v>146.49166666666667</v>
      </c>
      <c r="EK5" s="7">
        <f t="shared" si="3"/>
        <v>117.65274009766686</v>
      </c>
      <c r="EL5" s="7">
        <f t="shared" si="3"/>
        <v>120.15094339622641</v>
      </c>
      <c r="EM5" s="7">
        <f t="shared" si="3"/>
        <v>109.26902788244159</v>
      </c>
      <c r="EN5" s="7">
        <f t="shared" si="3"/>
        <v>122.8</v>
      </c>
      <c r="EO5" s="7">
        <f t="shared" si="3"/>
        <v>111.70852713178294</v>
      </c>
      <c r="EP5" s="7">
        <f t="shared" si="3"/>
        <v>103.77179763186221</v>
      </c>
      <c r="EQ5" s="7">
        <f t="shared" si="3"/>
        <v>129.56491228070175</v>
      </c>
      <c r="ER5" s="7">
        <f t="shared" si="3"/>
        <v>130.88597713967104</v>
      </c>
      <c r="ES5" s="7">
        <f t="shared" si="3"/>
        <v>137.30923248053395</v>
      </c>
      <c r="ET5" s="7">
        <f t="shared" si="3"/>
        <v>137.99105278854756</v>
      </c>
      <c r="EU5" s="7">
        <f t="shared" si="3"/>
        <v>147.10472279260782</v>
      </c>
      <c r="EV5" s="7">
        <f t="shared" si="3"/>
        <v>135.55440414507771</v>
      </c>
      <c r="EW5" s="7">
        <f t="shared" si="3"/>
        <v>140.89835430784126</v>
      </c>
      <c r="EX5" s="7">
        <f t="shared" si="3"/>
        <v>147.90526315789472</v>
      </c>
      <c r="EY5" s="7">
        <f t="shared" si="3"/>
        <v>141.67254408060455</v>
      </c>
      <c r="EZ5" s="7">
        <f t="shared" si="3"/>
        <v>129.77828571428572</v>
      </c>
      <c r="FA5" s="7">
        <f t="shared" si="3"/>
        <v>67.457585892368485</v>
      </c>
      <c r="FB5" s="7">
        <f t="shared" si="3"/>
        <v>68.344370860927157</v>
      </c>
      <c r="FG5" s="7">
        <f>+FG4/FG3</f>
        <v>101.39797979797979</v>
      </c>
      <c r="FH5" s="7">
        <f t="shared" ref="FH5:FS5" si="4">+FH4/FH3</f>
        <v>129.23287671232876</v>
      </c>
      <c r="FI5" s="7">
        <f t="shared" si="4"/>
        <v>118.45666666666666</v>
      </c>
      <c r="FJ5" s="7">
        <f t="shared" si="4"/>
        <v>116.30769230769234</v>
      </c>
      <c r="FK5" s="7">
        <f t="shared" si="4"/>
        <v>119.36072091174131</v>
      </c>
      <c r="FL5" s="7">
        <f t="shared" si="4"/>
        <v>125.53695652173914</v>
      </c>
      <c r="FM5" s="7">
        <f t="shared" si="4"/>
        <v>129.23677786818553</v>
      </c>
      <c r="FN5" s="7">
        <f t="shared" si="4"/>
        <v>120.64151967435548</v>
      </c>
      <c r="FO5" s="7">
        <f t="shared" si="4"/>
        <v>130.14708467623794</v>
      </c>
      <c r="FP5" s="7">
        <f t="shared" si="4"/>
        <v>146.58830884651451</v>
      </c>
      <c r="FQ5" s="7">
        <f t="shared" si="4"/>
        <v>108.23821339950373</v>
      </c>
      <c r="FR5" s="7">
        <f t="shared" si="4"/>
        <v>114.41410352588147</v>
      </c>
      <c r="FS5" s="7">
        <f t="shared" si="4"/>
        <v>114.65406427221173</v>
      </c>
      <c r="FT5" s="47">
        <f>+FT4/FT3</f>
        <v>111.32012779552717</v>
      </c>
      <c r="FU5" s="47">
        <f t="shared" ref="FU5:IF5" si="5">+FU4/FU3</f>
        <v>116.50296411856472</v>
      </c>
      <c r="FV5" s="47">
        <f t="shared" si="5"/>
        <v>121.84784601283226</v>
      </c>
      <c r="FW5" s="47">
        <f t="shared" si="5"/>
        <v>121.01569965870308</v>
      </c>
      <c r="FX5" s="47">
        <f t="shared" si="5"/>
        <v>133.94366197183098</v>
      </c>
      <c r="FY5" s="47">
        <f t="shared" si="5"/>
        <v>114.95308641975309</v>
      </c>
      <c r="FZ5" s="47">
        <f t="shared" si="5"/>
        <v>138.75689881734556</v>
      </c>
      <c r="GA5" s="47">
        <f t="shared" si="5"/>
        <v>136.34337899543382</v>
      </c>
      <c r="GB5" s="47">
        <f t="shared" si="5"/>
        <v>124.32164242942686</v>
      </c>
      <c r="GC5" s="47">
        <f t="shared" si="5"/>
        <v>105.45756222080409</v>
      </c>
      <c r="GD5" s="47">
        <f t="shared" si="5"/>
        <v>102.44798978940652</v>
      </c>
      <c r="GE5" s="47">
        <f t="shared" si="5"/>
        <v>103.16559139784947</v>
      </c>
      <c r="GF5" s="47">
        <f t="shared" si="5"/>
        <v>71.687837837837833</v>
      </c>
      <c r="GG5" s="47">
        <f t="shared" si="5"/>
        <v>90.95393759286776</v>
      </c>
      <c r="GH5" s="47">
        <f t="shared" si="5"/>
        <v>118.39702233250622</v>
      </c>
      <c r="GI5" s="47">
        <f t="shared" si="5"/>
        <v>131.96702002355713</v>
      </c>
      <c r="GJ5" s="47">
        <f t="shared" si="5"/>
        <v>118.32950191570882</v>
      </c>
      <c r="GK5" s="47">
        <f t="shared" si="5"/>
        <v>127.88598203826632</v>
      </c>
      <c r="GL5" s="47">
        <f t="shared" si="5"/>
        <v>118.41666666666667</v>
      </c>
      <c r="GM5" s="47">
        <f t="shared" si="5"/>
        <v>124.33650793650794</v>
      </c>
      <c r="GN5" s="47">
        <f t="shared" si="5"/>
        <v>105.66736842105263</v>
      </c>
      <c r="GO5" s="47">
        <f t="shared" si="5"/>
        <v>85.45287356321839</v>
      </c>
      <c r="GP5" s="47"/>
      <c r="GQ5" s="47">
        <f t="shared" si="5"/>
        <v>140.71928707829406</v>
      </c>
      <c r="GR5" s="47">
        <f t="shared" si="5"/>
        <v>134.93490253769772</v>
      </c>
      <c r="GS5" s="47">
        <f t="shared" si="5"/>
        <v>122.29979466119096</v>
      </c>
      <c r="GT5" s="47">
        <f t="shared" si="5"/>
        <v>126.71202164669499</v>
      </c>
      <c r="GU5" s="47">
        <f t="shared" si="5"/>
        <v>116.51148851148852</v>
      </c>
      <c r="GV5" s="47">
        <f t="shared" si="5"/>
        <v>104.08993576017131</v>
      </c>
      <c r="GW5" s="47">
        <f t="shared" si="5"/>
        <v>131.48047058823528</v>
      </c>
      <c r="GX5" s="47">
        <f t="shared" si="5"/>
        <v>123.18930213121604</v>
      </c>
      <c r="GY5" s="47">
        <f t="shared" si="5"/>
        <v>127.7804459691252</v>
      </c>
      <c r="GZ5" s="47">
        <f t="shared" si="5"/>
        <v>92.49671641791042</v>
      </c>
      <c r="HA5" s="47">
        <f t="shared" si="5"/>
        <v>120.52549019607844</v>
      </c>
      <c r="HB5" s="47">
        <f t="shared" si="5"/>
        <v>138.95503211991436</v>
      </c>
      <c r="HC5" s="47">
        <f t="shared" si="5"/>
        <v>143.35</v>
      </c>
      <c r="HD5" s="47">
        <f t="shared" si="5"/>
        <v>97.675585284280928</v>
      </c>
      <c r="HE5" s="47">
        <f t="shared" si="5"/>
        <v>134.01161825726143</v>
      </c>
      <c r="HF5" s="47">
        <f t="shared" si="5"/>
        <v>133.4467671366067</v>
      </c>
      <c r="HG5" s="47">
        <f t="shared" si="5"/>
        <v>151.26</v>
      </c>
      <c r="HH5" s="47">
        <f t="shared" si="5"/>
        <v>115.09166666666668</v>
      </c>
      <c r="HI5" s="47">
        <f t="shared" si="5"/>
        <v>121.56444444444445</v>
      </c>
      <c r="HJ5" s="47">
        <f t="shared" si="5"/>
        <v>128.43636363636369</v>
      </c>
      <c r="HK5" s="47">
        <f t="shared" si="5"/>
        <v>115.8182500938791</v>
      </c>
      <c r="HL5" s="47">
        <f t="shared" si="5"/>
        <v>126.42277181521231</v>
      </c>
      <c r="HM5" s="47">
        <f t="shared" si="5"/>
        <v>108.00634920634921</v>
      </c>
      <c r="HN5" s="47">
        <f t="shared" si="5"/>
        <v>145.65848452508001</v>
      </c>
      <c r="HO5" s="47">
        <f t="shared" si="5"/>
        <v>124.63527533918595</v>
      </c>
      <c r="HP5" s="47">
        <f t="shared" si="5"/>
        <v>125.51111111111111</v>
      </c>
      <c r="HQ5" s="47">
        <f t="shared" si="5"/>
        <v>141.72777777777779</v>
      </c>
      <c r="HR5" s="47">
        <f t="shared" si="5"/>
        <v>150.77261613691934</v>
      </c>
      <c r="HS5" s="47">
        <f t="shared" si="5"/>
        <v>142.70256410256411</v>
      </c>
      <c r="HT5" s="47">
        <f t="shared" si="5"/>
        <v>124.77622692480865</v>
      </c>
      <c r="HU5" s="47">
        <f t="shared" si="5"/>
        <v>118.176</v>
      </c>
      <c r="HV5" s="47">
        <f t="shared" si="5"/>
        <v>113.5625</v>
      </c>
      <c r="HW5" s="47">
        <f t="shared" si="5"/>
        <v>104.43137254901961</v>
      </c>
      <c r="HX5" s="47">
        <f t="shared" si="5"/>
        <v>122.14977244517998</v>
      </c>
      <c r="HY5" s="47">
        <f t="shared" si="5"/>
        <v>103.81818181818181</v>
      </c>
      <c r="HZ5" s="47">
        <f t="shared" si="5"/>
        <v>93.48748510131108</v>
      </c>
      <c r="IA5" s="47">
        <f t="shared" si="5"/>
        <v>118.46718750000001</v>
      </c>
      <c r="IB5" s="47">
        <f t="shared" si="5"/>
        <v>126.475935828877</v>
      </c>
      <c r="IC5" s="47">
        <f t="shared" si="5"/>
        <v>109.87784217565759</v>
      </c>
      <c r="ID5" s="47">
        <f t="shared" si="5"/>
        <v>121.5331312256388</v>
      </c>
      <c r="IE5" s="47">
        <f t="shared" si="5"/>
        <v>113.57460840890353</v>
      </c>
      <c r="IF5" s="47">
        <f t="shared" si="5"/>
        <v>107.91875746714456</v>
      </c>
      <c r="IG5" s="47">
        <f t="shared" ref="IG5:JM5" si="6">+IG4/IG3</f>
        <v>136.37273991655076</v>
      </c>
      <c r="IH5" s="47">
        <f t="shared" si="6"/>
        <v>117.06252554147937</v>
      </c>
      <c r="II5" s="47">
        <f t="shared" si="6"/>
        <v>138.95419187554018</v>
      </c>
      <c r="IJ5" s="47">
        <f t="shared" si="6"/>
        <v>109.37391304347824</v>
      </c>
      <c r="IK5" s="47">
        <f t="shared" si="6"/>
        <v>136.4759916492693</v>
      </c>
      <c r="IL5" s="47">
        <f t="shared" si="6"/>
        <v>94.020142180094794</v>
      </c>
      <c r="IM5" s="47">
        <f t="shared" si="6"/>
        <v>128.28539071347677</v>
      </c>
      <c r="IN5" s="47">
        <f t="shared" si="6"/>
        <v>109.58247209590741</v>
      </c>
      <c r="IO5" s="47">
        <f t="shared" si="6"/>
        <v>127.71310344827586</v>
      </c>
      <c r="IP5" s="47">
        <f t="shared" si="6"/>
        <v>111.35064935064935</v>
      </c>
      <c r="IQ5" s="47">
        <f t="shared" si="6"/>
        <v>123.624765478424</v>
      </c>
      <c r="IR5" s="47">
        <f t="shared" si="6"/>
        <v>115.97595534564188</v>
      </c>
      <c r="IS5" s="47">
        <f t="shared" si="6"/>
        <v>118.90189996122527</v>
      </c>
      <c r="IT5" s="47">
        <f t="shared" si="6"/>
        <v>134.84093023255812</v>
      </c>
      <c r="IU5" s="47">
        <f t="shared" si="6"/>
        <v>115.96708860759492</v>
      </c>
      <c r="IV5" s="47">
        <f t="shared" si="6"/>
        <v>133.0952380952381</v>
      </c>
      <c r="IW5" s="47">
        <f t="shared" si="6"/>
        <v>104.90661070304304</v>
      </c>
      <c r="IX5" s="47">
        <f t="shared" si="6"/>
        <v>124.93333333333334</v>
      </c>
      <c r="IY5" s="47">
        <f t="shared" si="6"/>
        <v>105.25490196078431</v>
      </c>
      <c r="IZ5" s="47">
        <f t="shared" si="6"/>
        <v>100.61176470588234</v>
      </c>
      <c r="JA5" s="47">
        <f t="shared" si="6"/>
        <v>119.09333333333333</v>
      </c>
      <c r="JB5" s="47">
        <f t="shared" si="6"/>
        <v>131.4576728499157</v>
      </c>
      <c r="JC5" s="47">
        <f t="shared" si="6"/>
        <v>107.2826899128269</v>
      </c>
      <c r="JD5" s="47">
        <f t="shared" si="6"/>
        <v>99.9328063241107</v>
      </c>
      <c r="JE5" s="47">
        <f t="shared" si="6"/>
        <v>110.52881355932203</v>
      </c>
      <c r="JF5" s="47">
        <f t="shared" si="6"/>
        <v>110.88192128085392</v>
      </c>
      <c r="JG5" s="47">
        <f t="shared" si="6"/>
        <v>122.01158301158301</v>
      </c>
      <c r="JH5" s="47">
        <f t="shared" si="6"/>
        <v>120.5925925925926</v>
      </c>
      <c r="JI5" s="47">
        <f t="shared" si="6"/>
        <v>121.44611819235224</v>
      </c>
      <c r="JJ5" s="47">
        <f t="shared" si="6"/>
        <v>125.18189211168338</v>
      </c>
      <c r="JK5" s="47">
        <f t="shared" si="6"/>
        <v>112.88742727042754</v>
      </c>
      <c r="JL5" s="47">
        <f t="shared" si="6"/>
        <v>109.40289855072464</v>
      </c>
      <c r="JM5" s="47">
        <f t="shared" si="6"/>
        <v>120.79831932773111</v>
      </c>
      <c r="JN5" s="47">
        <f>+JN4/JN3</f>
        <v>130.88096753660091</v>
      </c>
      <c r="JO5" s="47">
        <f t="shared" ref="JO5:LZ5" si="7">+JO4/JO3</f>
        <v>151.42402038865882</v>
      </c>
      <c r="JP5" s="47">
        <f t="shared" si="7"/>
        <v>129.39649122807018</v>
      </c>
      <c r="JQ5" s="47">
        <f t="shared" si="7"/>
        <v>116.44991212653778</v>
      </c>
      <c r="JR5" s="47">
        <f t="shared" si="7"/>
        <v>110.46087225487165</v>
      </c>
      <c r="JS5" s="47">
        <f t="shared" si="7"/>
        <v>130.94</v>
      </c>
      <c r="JT5" s="47">
        <f t="shared" si="7"/>
        <v>113.51847133757964</v>
      </c>
      <c r="JU5" s="47">
        <f t="shared" si="7"/>
        <v>117.21052631578948</v>
      </c>
      <c r="JV5" s="47">
        <f t="shared" si="7"/>
        <v>130.28</v>
      </c>
      <c r="JW5" s="47">
        <f t="shared" si="7"/>
        <v>133.21321660547866</v>
      </c>
      <c r="JX5" s="47">
        <f t="shared" si="7"/>
        <v>131.09885596949249</v>
      </c>
      <c r="JY5" s="47">
        <f t="shared" si="7"/>
        <v>118.48127808287569</v>
      </c>
      <c r="JZ5" s="47">
        <f t="shared" si="7"/>
        <v>113.99759519038075</v>
      </c>
      <c r="KA5" s="47">
        <f t="shared" si="7"/>
        <v>135.67728237791931</v>
      </c>
      <c r="KB5" s="47">
        <f t="shared" si="7"/>
        <v>113.26614872364041</v>
      </c>
      <c r="KC5" s="47">
        <f t="shared" si="7"/>
        <v>112.68326417704012</v>
      </c>
      <c r="KD5" s="47">
        <f t="shared" si="7"/>
        <v>111.94420226678292</v>
      </c>
      <c r="KE5" s="47">
        <f t="shared" si="7"/>
        <v>119.08289768483944</v>
      </c>
      <c r="KF5" s="47">
        <f t="shared" si="7"/>
        <v>107.15601321157956</v>
      </c>
      <c r="KG5" s="47">
        <f t="shared" si="7"/>
        <v>120.07277137659187</v>
      </c>
      <c r="KH5" s="47">
        <f t="shared" si="7"/>
        <v>154.384697130712</v>
      </c>
      <c r="KI5" s="47">
        <f t="shared" si="7"/>
        <v>126.95853504525363</v>
      </c>
      <c r="KJ5" s="47">
        <f t="shared" si="7"/>
        <v>131.18088737201364</v>
      </c>
      <c r="KK5" s="47">
        <f t="shared" si="7"/>
        <v>118.15953757225434</v>
      </c>
      <c r="KL5" s="47">
        <f t="shared" si="7"/>
        <v>137.07428571428571</v>
      </c>
      <c r="KM5" s="47">
        <f t="shared" si="7"/>
        <v>134.50069156293225</v>
      </c>
      <c r="KN5" s="47">
        <f t="shared" si="7"/>
        <v>136.07037037037037</v>
      </c>
      <c r="KO5" s="47">
        <f t="shared" si="7"/>
        <v>133.73750583839328</v>
      </c>
      <c r="KP5" s="47">
        <f t="shared" si="7"/>
        <v>135.90283400809716</v>
      </c>
      <c r="KQ5" s="47">
        <f t="shared" si="7"/>
        <v>129.55145118733509</v>
      </c>
      <c r="KR5" s="47">
        <f t="shared" si="7"/>
        <v>110.41129943502825</v>
      </c>
      <c r="KS5" s="47">
        <f t="shared" si="7"/>
        <v>160.2087842138765</v>
      </c>
      <c r="KT5" s="47">
        <f t="shared" si="7"/>
        <v>122.65321955003881</v>
      </c>
      <c r="KU5" s="47">
        <f t="shared" si="7"/>
        <v>107.05025125628141</v>
      </c>
      <c r="KV5" s="7">
        <f t="shared" si="7"/>
        <v>116.57880580957503</v>
      </c>
      <c r="KW5" s="7">
        <f t="shared" si="7"/>
        <v>116.26857142857143</v>
      </c>
      <c r="KX5" s="7">
        <f t="shared" si="7"/>
        <v>115.86652587117212</v>
      </c>
      <c r="KY5" s="7">
        <f t="shared" si="7"/>
        <v>117.38678815489749</v>
      </c>
      <c r="KZ5" s="7">
        <f t="shared" si="7"/>
        <v>127.1724497782416</v>
      </c>
      <c r="LA5" s="7">
        <f t="shared" si="7"/>
        <v>91.279674287503909</v>
      </c>
      <c r="LB5" s="7">
        <f t="shared" si="7"/>
        <v>151.57777777777778</v>
      </c>
      <c r="LC5" s="7">
        <f t="shared" si="7"/>
        <v>130.86115992970124</v>
      </c>
      <c r="LD5" s="7">
        <f t="shared" si="7"/>
        <v>104.21754385964914</v>
      </c>
      <c r="LE5" s="7">
        <f t="shared" si="7"/>
        <v>104.48421052631581</v>
      </c>
      <c r="LF5" s="7">
        <f t="shared" si="7"/>
        <v>104.95925925925926</v>
      </c>
      <c r="LG5" s="7">
        <f t="shared" si="7"/>
        <v>87.901956375084325</v>
      </c>
      <c r="LH5" s="7">
        <f t="shared" si="7"/>
        <v>107.9122695486332</v>
      </c>
      <c r="LI5" s="7">
        <f t="shared" si="7"/>
        <v>111.45183175033921</v>
      </c>
      <c r="LJ5" s="7">
        <f t="shared" si="7"/>
        <v>112.8624535315985</v>
      </c>
      <c r="LK5" s="7">
        <f t="shared" si="7"/>
        <v>95.536507936507917</v>
      </c>
      <c r="LL5" s="7">
        <f t="shared" si="7"/>
        <v>107.89019607843137</v>
      </c>
      <c r="LM5" s="7">
        <f t="shared" si="7"/>
        <v>142.79790940766551</v>
      </c>
      <c r="LN5" s="7">
        <f t="shared" si="7"/>
        <v>91.945205479452042</v>
      </c>
      <c r="LO5" s="7">
        <f t="shared" si="7"/>
        <v>98.468536770280522</v>
      </c>
      <c r="LP5" s="7">
        <f t="shared" si="7"/>
        <v>120.51929824561404</v>
      </c>
      <c r="LQ5" s="7">
        <f t="shared" si="7"/>
        <v>102.96465222348917</v>
      </c>
      <c r="LR5" s="7">
        <f t="shared" si="7"/>
        <v>93.504714640198515</v>
      </c>
      <c r="LS5" s="7">
        <f t="shared" si="7"/>
        <v>133.01992031872513</v>
      </c>
      <c r="LT5" s="7">
        <f t="shared" si="7"/>
        <v>123.70374741811746</v>
      </c>
      <c r="LU5" s="7">
        <f t="shared" si="7"/>
        <v>110.87412040656763</v>
      </c>
      <c r="LV5" s="7">
        <f t="shared" si="7"/>
        <v>106.74335322843191</v>
      </c>
      <c r="LW5" s="7">
        <f t="shared" si="7"/>
        <v>74.48368522072937</v>
      </c>
      <c r="LX5" s="7">
        <f t="shared" si="7"/>
        <v>95.902650081124946</v>
      </c>
      <c r="LY5" s="7">
        <f t="shared" si="7"/>
        <v>95.82492113564669</v>
      </c>
      <c r="LZ5" s="7">
        <f t="shared" si="7"/>
        <v>103.38316656856975</v>
      </c>
      <c r="MA5" s="7">
        <f t="shared" ref="MA5:NC5" si="8">+MA4/MA3</f>
        <v>99.8</v>
      </c>
      <c r="MB5" s="7">
        <f t="shared" si="8"/>
        <v>102.06963249516443</v>
      </c>
      <c r="MC5" s="7">
        <f t="shared" si="8"/>
        <v>94.763358778625957</v>
      </c>
      <c r="MD5" s="7">
        <f t="shared" si="8"/>
        <v>114.81739130434782</v>
      </c>
      <c r="ME5" s="7">
        <f t="shared" si="8"/>
        <v>98.606403013182671</v>
      </c>
      <c r="MF5" s="7">
        <f t="shared" si="8"/>
        <v>94.845218800648283</v>
      </c>
      <c r="MG5" s="7">
        <f t="shared" si="8"/>
        <v>110.90307867730901</v>
      </c>
      <c r="MH5" s="7">
        <f t="shared" si="8"/>
        <v>112.8326099264012</v>
      </c>
      <c r="MI5" s="7">
        <f t="shared" si="8"/>
        <v>94.793548387096777</v>
      </c>
      <c r="MJ5" s="7">
        <f t="shared" si="8"/>
        <v>85.129789864029661</v>
      </c>
      <c r="MK5" s="7">
        <f t="shared" si="8"/>
        <v>92.966666666666669</v>
      </c>
      <c r="ML5" s="7">
        <f t="shared" si="8"/>
        <v>131.75555555555556</v>
      </c>
      <c r="MM5" s="7">
        <f t="shared" si="8"/>
        <v>86.901818181818186</v>
      </c>
      <c r="MN5" s="7">
        <f t="shared" si="8"/>
        <v>101.06933333333333</v>
      </c>
      <c r="MO5" s="7">
        <f t="shared" si="8"/>
        <v>100.86162235855487</v>
      </c>
      <c r="MP5" s="7">
        <f t="shared" si="8"/>
        <v>116.67995310668231</v>
      </c>
      <c r="MQ5" s="7">
        <f t="shared" si="8"/>
        <v>103.65935919055649</v>
      </c>
      <c r="MR5" s="7">
        <f t="shared" si="8"/>
        <v>130.57037037037037</v>
      </c>
      <c r="MS5" s="7">
        <f t="shared" si="8"/>
        <v>115.18191964285715</v>
      </c>
      <c r="MT5" s="7">
        <f t="shared" si="8"/>
        <v>128.09292791253844</v>
      </c>
      <c r="MU5" s="7">
        <f t="shared" si="8"/>
        <v>125.41621621621624</v>
      </c>
      <c r="MV5" s="7">
        <f t="shared" si="8"/>
        <v>152.19555555555556</v>
      </c>
      <c r="MW5" s="7">
        <f t="shared" si="8"/>
        <v>137.46600985221676</v>
      </c>
      <c r="MX5" s="7">
        <f t="shared" si="8"/>
        <v>112.89544579858885</v>
      </c>
      <c r="MY5" s="7">
        <f t="shared" si="8"/>
        <v>161.15555555555557</v>
      </c>
      <c r="MZ5" s="7">
        <f t="shared" si="8"/>
        <v>140.8854961832061</v>
      </c>
      <c r="NA5" s="7">
        <f t="shared" si="8"/>
        <v>110.36666666666666</v>
      </c>
      <c r="NB5" s="7">
        <f t="shared" si="8"/>
        <v>111.31197771587743</v>
      </c>
      <c r="NC5" s="7">
        <f t="shared" si="8"/>
        <v>121.95175097276264</v>
      </c>
    </row>
    <row r="6" spans="1:371"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HX6" s="20"/>
      <c r="HY6" s="20"/>
      <c r="HZ6" s="20"/>
      <c r="IA6" s="20"/>
      <c r="IB6" s="20"/>
      <c r="IC6" s="20"/>
      <c r="ID6" s="20"/>
      <c r="IE6" s="20"/>
      <c r="KI6" s="73"/>
      <c r="KJ6" s="73"/>
      <c r="KK6" s="73"/>
      <c r="KL6" s="73"/>
      <c r="KM6" s="73"/>
      <c r="KN6" s="73"/>
      <c r="KO6" s="73"/>
      <c r="KP6" s="73"/>
      <c r="LY6" s="20">
        <v>2295.333333333333</v>
      </c>
      <c r="MF6" s="20">
        <v>2595.916666666667</v>
      </c>
      <c r="MM6" s="20"/>
      <c r="MT6" s="20"/>
    </row>
    <row r="7" spans="1:371">
      <c r="A7" s="10" t="s">
        <v>57</v>
      </c>
      <c r="B7" s="10" t="s">
        <v>56</v>
      </c>
      <c r="C7" s="11">
        <v>46023</v>
      </c>
      <c r="D7" s="11">
        <f>+C7+1</f>
        <v>46024</v>
      </c>
      <c r="E7" s="11">
        <f t="shared" ref="E7:BP7" si="9">+D7+1</f>
        <v>46025</v>
      </c>
      <c r="F7" s="11">
        <f t="shared" si="9"/>
        <v>46026</v>
      </c>
      <c r="G7" s="11">
        <f t="shared" si="9"/>
        <v>46027</v>
      </c>
      <c r="H7" s="11">
        <f t="shared" si="9"/>
        <v>46028</v>
      </c>
      <c r="I7" s="11">
        <f t="shared" si="9"/>
        <v>46029</v>
      </c>
      <c r="J7" s="11">
        <f t="shared" si="9"/>
        <v>46030</v>
      </c>
      <c r="K7" s="11">
        <f t="shared" si="9"/>
        <v>46031</v>
      </c>
      <c r="L7" s="11">
        <f t="shared" si="9"/>
        <v>46032</v>
      </c>
      <c r="M7" s="11">
        <f t="shared" si="9"/>
        <v>46033</v>
      </c>
      <c r="N7" s="11">
        <f t="shared" si="9"/>
        <v>46034</v>
      </c>
      <c r="O7" s="11">
        <f t="shared" si="9"/>
        <v>46035</v>
      </c>
      <c r="P7" s="11">
        <f t="shared" si="9"/>
        <v>46036</v>
      </c>
      <c r="Q7" s="11">
        <f t="shared" si="9"/>
        <v>46037</v>
      </c>
      <c r="R7" s="11">
        <f t="shared" si="9"/>
        <v>46038</v>
      </c>
      <c r="S7" s="11">
        <f t="shared" si="9"/>
        <v>46039</v>
      </c>
      <c r="T7" s="11">
        <f t="shared" si="9"/>
        <v>46040</v>
      </c>
      <c r="U7" s="11">
        <f t="shared" si="9"/>
        <v>46041</v>
      </c>
      <c r="V7" s="11">
        <f t="shared" si="9"/>
        <v>46042</v>
      </c>
      <c r="W7" s="11">
        <f t="shared" si="9"/>
        <v>46043</v>
      </c>
      <c r="X7" s="11">
        <f t="shared" si="9"/>
        <v>46044</v>
      </c>
      <c r="Y7" s="11">
        <f t="shared" si="9"/>
        <v>46045</v>
      </c>
      <c r="Z7" s="11">
        <f t="shared" si="9"/>
        <v>46046</v>
      </c>
      <c r="AA7" s="11">
        <f t="shared" si="9"/>
        <v>46047</v>
      </c>
      <c r="AB7" s="11">
        <f t="shared" si="9"/>
        <v>46048</v>
      </c>
      <c r="AC7" s="11">
        <f t="shared" si="9"/>
        <v>46049</v>
      </c>
      <c r="AD7" s="11">
        <f t="shared" si="9"/>
        <v>46050</v>
      </c>
      <c r="AE7" s="11">
        <f t="shared" si="9"/>
        <v>46051</v>
      </c>
      <c r="AF7" s="11">
        <f t="shared" si="9"/>
        <v>46052</v>
      </c>
      <c r="AG7" s="11">
        <f t="shared" si="9"/>
        <v>46053</v>
      </c>
      <c r="AH7" s="11">
        <f t="shared" si="9"/>
        <v>46054</v>
      </c>
      <c r="AI7" s="11">
        <f t="shared" si="9"/>
        <v>46055</v>
      </c>
      <c r="AJ7" s="11">
        <f t="shared" si="9"/>
        <v>46056</v>
      </c>
      <c r="AK7" s="11">
        <f t="shared" si="9"/>
        <v>46057</v>
      </c>
      <c r="AL7" s="11">
        <f t="shared" si="9"/>
        <v>46058</v>
      </c>
      <c r="AM7" s="11">
        <f t="shared" si="9"/>
        <v>46059</v>
      </c>
      <c r="AN7" s="11">
        <f t="shared" si="9"/>
        <v>46060</v>
      </c>
      <c r="AO7" s="11">
        <f t="shared" si="9"/>
        <v>46061</v>
      </c>
      <c r="AP7" s="11">
        <f t="shared" si="9"/>
        <v>46062</v>
      </c>
      <c r="AQ7" s="11">
        <f t="shared" si="9"/>
        <v>46063</v>
      </c>
      <c r="AR7" s="11">
        <f t="shared" si="9"/>
        <v>46064</v>
      </c>
      <c r="AS7" s="11">
        <f t="shared" si="9"/>
        <v>46065</v>
      </c>
      <c r="AT7" s="11">
        <f t="shared" si="9"/>
        <v>46066</v>
      </c>
      <c r="AU7" s="11">
        <f t="shared" si="9"/>
        <v>46067</v>
      </c>
      <c r="AV7" s="11">
        <f t="shared" si="9"/>
        <v>46068</v>
      </c>
      <c r="AW7" s="11">
        <f t="shared" si="9"/>
        <v>46069</v>
      </c>
      <c r="AX7" s="11">
        <f t="shared" si="9"/>
        <v>46070</v>
      </c>
      <c r="AY7" s="11">
        <f t="shared" si="9"/>
        <v>46071</v>
      </c>
      <c r="AZ7" s="11">
        <f t="shared" si="9"/>
        <v>46072</v>
      </c>
      <c r="BA7" s="11">
        <f t="shared" si="9"/>
        <v>46073</v>
      </c>
      <c r="BB7" s="11">
        <f t="shared" si="9"/>
        <v>46074</v>
      </c>
      <c r="BC7" s="11">
        <f t="shared" si="9"/>
        <v>46075</v>
      </c>
      <c r="BD7" s="11">
        <f t="shared" si="9"/>
        <v>46076</v>
      </c>
      <c r="BE7" s="11">
        <f t="shared" si="9"/>
        <v>46077</v>
      </c>
      <c r="BF7" s="11">
        <f t="shared" si="9"/>
        <v>46078</v>
      </c>
      <c r="BG7" s="11">
        <f t="shared" si="9"/>
        <v>46079</v>
      </c>
      <c r="BH7" s="11">
        <f t="shared" si="9"/>
        <v>46080</v>
      </c>
      <c r="BI7" s="11">
        <f t="shared" si="9"/>
        <v>46081</v>
      </c>
      <c r="BJ7" s="11">
        <f t="shared" si="9"/>
        <v>46082</v>
      </c>
      <c r="BK7" s="11">
        <f t="shared" si="9"/>
        <v>46083</v>
      </c>
      <c r="BL7" s="11">
        <f t="shared" si="9"/>
        <v>46084</v>
      </c>
      <c r="BM7" s="11">
        <f t="shared" si="9"/>
        <v>46085</v>
      </c>
      <c r="BN7" s="11">
        <f t="shared" si="9"/>
        <v>46086</v>
      </c>
      <c r="BO7" s="11">
        <f t="shared" si="9"/>
        <v>46087</v>
      </c>
      <c r="BP7" s="11">
        <f t="shared" si="9"/>
        <v>46088</v>
      </c>
      <c r="BQ7" s="11">
        <f t="shared" ref="BQ7:EB7" si="10">+BP7+1</f>
        <v>46089</v>
      </c>
      <c r="BR7" s="11">
        <f t="shared" si="10"/>
        <v>46090</v>
      </c>
      <c r="BS7" s="11">
        <f t="shared" si="10"/>
        <v>46091</v>
      </c>
      <c r="BT7" s="11">
        <f t="shared" si="10"/>
        <v>46092</v>
      </c>
      <c r="BU7" s="11">
        <f t="shared" si="10"/>
        <v>46093</v>
      </c>
      <c r="BV7" s="11">
        <f t="shared" si="10"/>
        <v>46094</v>
      </c>
      <c r="BW7" s="11">
        <f t="shared" si="10"/>
        <v>46095</v>
      </c>
      <c r="BX7" s="11">
        <f t="shared" si="10"/>
        <v>46096</v>
      </c>
      <c r="BY7" s="11">
        <f t="shared" si="10"/>
        <v>46097</v>
      </c>
      <c r="BZ7" s="11">
        <f t="shared" si="10"/>
        <v>46098</v>
      </c>
      <c r="CA7" s="11">
        <f t="shared" si="10"/>
        <v>46099</v>
      </c>
      <c r="CB7" s="11">
        <f t="shared" si="10"/>
        <v>46100</v>
      </c>
      <c r="CC7" s="11">
        <f t="shared" si="10"/>
        <v>46101</v>
      </c>
      <c r="CD7" s="11">
        <f t="shared" si="10"/>
        <v>46102</v>
      </c>
      <c r="CE7" s="11">
        <f t="shared" si="10"/>
        <v>46103</v>
      </c>
      <c r="CF7" s="11">
        <f t="shared" si="10"/>
        <v>46104</v>
      </c>
      <c r="CG7" s="11">
        <f t="shared" si="10"/>
        <v>46105</v>
      </c>
      <c r="CH7" s="11">
        <f t="shared" si="10"/>
        <v>46106</v>
      </c>
      <c r="CI7" s="11">
        <f t="shared" si="10"/>
        <v>46107</v>
      </c>
      <c r="CJ7" s="11">
        <f t="shared" si="10"/>
        <v>46108</v>
      </c>
      <c r="CK7" s="11">
        <f t="shared" si="10"/>
        <v>46109</v>
      </c>
      <c r="CL7" s="11">
        <f t="shared" si="10"/>
        <v>46110</v>
      </c>
      <c r="CM7" s="11">
        <f t="shared" si="10"/>
        <v>46111</v>
      </c>
      <c r="CN7" s="11">
        <f t="shared" si="10"/>
        <v>46112</v>
      </c>
      <c r="CO7" s="11">
        <f t="shared" si="10"/>
        <v>46113</v>
      </c>
      <c r="CP7" s="11">
        <f t="shared" si="10"/>
        <v>46114</v>
      </c>
      <c r="CQ7" s="11">
        <f t="shared" si="10"/>
        <v>46115</v>
      </c>
      <c r="CR7" s="11">
        <f t="shared" si="10"/>
        <v>46116</v>
      </c>
      <c r="CS7" s="11">
        <f t="shared" si="10"/>
        <v>46117</v>
      </c>
      <c r="CT7" s="11">
        <f t="shared" si="10"/>
        <v>46118</v>
      </c>
      <c r="CU7" s="11">
        <f t="shared" si="10"/>
        <v>46119</v>
      </c>
      <c r="CV7" s="11">
        <f t="shared" si="10"/>
        <v>46120</v>
      </c>
      <c r="CW7" s="11">
        <f t="shared" si="10"/>
        <v>46121</v>
      </c>
      <c r="CX7" s="11">
        <f t="shared" si="10"/>
        <v>46122</v>
      </c>
      <c r="CY7" s="11">
        <f t="shared" si="10"/>
        <v>46123</v>
      </c>
      <c r="CZ7" s="11">
        <f t="shared" si="10"/>
        <v>46124</v>
      </c>
      <c r="DA7" s="11">
        <f t="shared" si="10"/>
        <v>46125</v>
      </c>
      <c r="DB7" s="11">
        <f t="shared" si="10"/>
        <v>46126</v>
      </c>
      <c r="DC7" s="11">
        <f t="shared" si="10"/>
        <v>46127</v>
      </c>
      <c r="DD7" s="11">
        <f t="shared" si="10"/>
        <v>46128</v>
      </c>
      <c r="DE7" s="11">
        <f t="shared" si="10"/>
        <v>46129</v>
      </c>
      <c r="DF7" s="11">
        <f t="shared" si="10"/>
        <v>46130</v>
      </c>
      <c r="DG7" s="11">
        <f t="shared" si="10"/>
        <v>46131</v>
      </c>
      <c r="DH7" s="11">
        <f t="shared" si="10"/>
        <v>46132</v>
      </c>
      <c r="DI7" s="11">
        <f t="shared" si="10"/>
        <v>46133</v>
      </c>
      <c r="DJ7" s="11">
        <f t="shared" si="10"/>
        <v>46134</v>
      </c>
      <c r="DK7" s="11">
        <f t="shared" si="10"/>
        <v>46135</v>
      </c>
      <c r="DL7" s="11">
        <f t="shared" si="10"/>
        <v>46136</v>
      </c>
      <c r="DM7" s="11">
        <f t="shared" si="10"/>
        <v>46137</v>
      </c>
      <c r="DN7" s="11">
        <f t="shared" si="10"/>
        <v>46138</v>
      </c>
      <c r="DO7" s="11">
        <f t="shared" si="10"/>
        <v>46139</v>
      </c>
      <c r="DP7" s="11">
        <f t="shared" si="10"/>
        <v>46140</v>
      </c>
      <c r="DQ7" s="11">
        <f t="shared" si="10"/>
        <v>46141</v>
      </c>
      <c r="DR7" s="11">
        <f t="shared" si="10"/>
        <v>46142</v>
      </c>
      <c r="DS7" s="11">
        <f t="shared" si="10"/>
        <v>46143</v>
      </c>
      <c r="DT7" s="11">
        <f t="shared" si="10"/>
        <v>46144</v>
      </c>
      <c r="DU7" s="11">
        <f t="shared" si="10"/>
        <v>46145</v>
      </c>
      <c r="DV7" s="11">
        <f t="shared" si="10"/>
        <v>46146</v>
      </c>
      <c r="DW7" s="11">
        <f t="shared" si="10"/>
        <v>46147</v>
      </c>
      <c r="DX7" s="11">
        <f t="shared" si="10"/>
        <v>46148</v>
      </c>
      <c r="DY7" s="11">
        <f t="shared" si="10"/>
        <v>46149</v>
      </c>
      <c r="DZ7" s="11">
        <f t="shared" si="10"/>
        <v>46150</v>
      </c>
      <c r="EA7" s="11">
        <f t="shared" si="10"/>
        <v>46151</v>
      </c>
      <c r="EB7" s="11">
        <f t="shared" si="10"/>
        <v>46152</v>
      </c>
      <c r="EC7" s="11">
        <f t="shared" ref="EC7:GN7" si="11">+EB7+1</f>
        <v>46153</v>
      </c>
      <c r="ED7" s="11">
        <f t="shared" si="11"/>
        <v>46154</v>
      </c>
      <c r="EE7" s="11">
        <f t="shared" si="11"/>
        <v>46155</v>
      </c>
      <c r="EF7" s="11">
        <f t="shared" si="11"/>
        <v>46156</v>
      </c>
      <c r="EG7" s="11">
        <f t="shared" si="11"/>
        <v>46157</v>
      </c>
      <c r="EH7" s="11">
        <f t="shared" si="11"/>
        <v>46158</v>
      </c>
      <c r="EI7" s="11">
        <f t="shared" si="11"/>
        <v>46159</v>
      </c>
      <c r="EJ7" s="11">
        <f t="shared" si="11"/>
        <v>46160</v>
      </c>
      <c r="EK7" s="11">
        <f t="shared" si="11"/>
        <v>46161</v>
      </c>
      <c r="EL7" s="11">
        <f t="shared" si="11"/>
        <v>46162</v>
      </c>
      <c r="EM7" s="11">
        <f t="shared" si="11"/>
        <v>46163</v>
      </c>
      <c r="EN7" s="11">
        <f t="shared" si="11"/>
        <v>46164</v>
      </c>
      <c r="EO7" s="11">
        <f t="shared" si="11"/>
        <v>46165</v>
      </c>
      <c r="EP7" s="11">
        <f t="shared" si="11"/>
        <v>46166</v>
      </c>
      <c r="EQ7" s="11">
        <f t="shared" si="11"/>
        <v>46167</v>
      </c>
      <c r="ER7" s="11">
        <f t="shared" si="11"/>
        <v>46168</v>
      </c>
      <c r="ES7" s="11">
        <f t="shared" si="11"/>
        <v>46169</v>
      </c>
      <c r="ET7" s="11">
        <f t="shared" si="11"/>
        <v>46170</v>
      </c>
      <c r="EU7" s="11">
        <f t="shared" si="11"/>
        <v>46171</v>
      </c>
      <c r="EV7" s="11">
        <f t="shared" si="11"/>
        <v>46172</v>
      </c>
      <c r="EW7" s="11">
        <f t="shared" si="11"/>
        <v>46173</v>
      </c>
      <c r="EX7" s="11">
        <f t="shared" si="11"/>
        <v>46174</v>
      </c>
      <c r="EY7" s="11">
        <f t="shared" si="11"/>
        <v>46175</v>
      </c>
      <c r="EZ7" s="11">
        <f t="shared" si="11"/>
        <v>46176</v>
      </c>
      <c r="FA7" s="11">
        <f t="shared" si="11"/>
        <v>46177</v>
      </c>
      <c r="FB7" s="11">
        <f t="shared" si="11"/>
        <v>46178</v>
      </c>
      <c r="FC7" s="11">
        <f t="shared" si="11"/>
        <v>46179</v>
      </c>
      <c r="FD7" s="11">
        <f t="shared" si="11"/>
        <v>46180</v>
      </c>
      <c r="FE7" s="11">
        <f t="shared" si="11"/>
        <v>46181</v>
      </c>
      <c r="FF7" s="11">
        <f t="shared" si="11"/>
        <v>46182</v>
      </c>
      <c r="FG7" s="11">
        <f t="shared" si="11"/>
        <v>46183</v>
      </c>
      <c r="FH7" s="11">
        <f t="shared" si="11"/>
        <v>46184</v>
      </c>
      <c r="FI7" s="11">
        <f t="shared" si="11"/>
        <v>46185</v>
      </c>
      <c r="FJ7" s="11">
        <f t="shared" si="11"/>
        <v>46186</v>
      </c>
      <c r="FK7" s="11">
        <f t="shared" si="11"/>
        <v>46187</v>
      </c>
      <c r="FL7" s="11">
        <f t="shared" si="11"/>
        <v>46188</v>
      </c>
      <c r="FM7" s="11">
        <f t="shared" si="11"/>
        <v>46189</v>
      </c>
      <c r="FN7" s="11">
        <f t="shared" si="11"/>
        <v>46190</v>
      </c>
      <c r="FO7" s="11">
        <f t="shared" si="11"/>
        <v>46191</v>
      </c>
      <c r="FP7" s="11">
        <f t="shared" si="11"/>
        <v>46192</v>
      </c>
      <c r="FQ7" s="11">
        <f t="shared" si="11"/>
        <v>46193</v>
      </c>
      <c r="FR7" s="11">
        <f t="shared" si="11"/>
        <v>46194</v>
      </c>
      <c r="FS7" s="11">
        <f t="shared" si="11"/>
        <v>46195</v>
      </c>
      <c r="FT7" s="11">
        <f t="shared" si="11"/>
        <v>46196</v>
      </c>
      <c r="FU7" s="11">
        <f t="shared" si="11"/>
        <v>46197</v>
      </c>
      <c r="FV7" s="11">
        <f t="shared" si="11"/>
        <v>46198</v>
      </c>
      <c r="FW7" s="11">
        <f t="shared" si="11"/>
        <v>46199</v>
      </c>
      <c r="FX7" s="11">
        <f t="shared" si="11"/>
        <v>46200</v>
      </c>
      <c r="FY7" s="11">
        <f t="shared" si="11"/>
        <v>46201</v>
      </c>
      <c r="FZ7" s="11">
        <f t="shared" si="11"/>
        <v>46202</v>
      </c>
      <c r="GA7" s="11">
        <f t="shared" si="11"/>
        <v>46203</v>
      </c>
      <c r="GB7" s="11">
        <f t="shared" si="11"/>
        <v>46204</v>
      </c>
      <c r="GC7" s="11">
        <f t="shared" si="11"/>
        <v>46205</v>
      </c>
      <c r="GD7" s="11">
        <f t="shared" si="11"/>
        <v>46206</v>
      </c>
      <c r="GE7" s="11">
        <f t="shared" si="11"/>
        <v>46207</v>
      </c>
      <c r="GF7" s="11">
        <f t="shared" si="11"/>
        <v>46208</v>
      </c>
      <c r="GG7" s="11">
        <f t="shared" si="11"/>
        <v>46209</v>
      </c>
      <c r="GH7" s="11">
        <f t="shared" si="11"/>
        <v>46210</v>
      </c>
      <c r="GI7" s="11">
        <f t="shared" si="11"/>
        <v>46211</v>
      </c>
      <c r="GJ7" s="11">
        <f t="shared" si="11"/>
        <v>46212</v>
      </c>
      <c r="GK7" s="11">
        <f t="shared" si="11"/>
        <v>46213</v>
      </c>
      <c r="GL7" s="11">
        <f t="shared" si="11"/>
        <v>46214</v>
      </c>
      <c r="GM7" s="11">
        <f t="shared" si="11"/>
        <v>46215</v>
      </c>
      <c r="GN7" s="11">
        <f t="shared" si="11"/>
        <v>46216</v>
      </c>
      <c r="GO7" s="11">
        <f t="shared" ref="GO7:IZ7" si="12">+GN7+1</f>
        <v>46217</v>
      </c>
      <c r="GP7" s="11">
        <f t="shared" si="12"/>
        <v>46218</v>
      </c>
      <c r="GQ7" s="11">
        <f t="shared" si="12"/>
        <v>46219</v>
      </c>
      <c r="GR7" s="11">
        <f t="shared" si="12"/>
        <v>46220</v>
      </c>
      <c r="GS7" s="11">
        <f t="shared" si="12"/>
        <v>46221</v>
      </c>
      <c r="GT7" s="11">
        <f t="shared" si="12"/>
        <v>46222</v>
      </c>
      <c r="GU7" s="11">
        <f t="shared" si="12"/>
        <v>46223</v>
      </c>
      <c r="GV7" s="11">
        <f t="shared" si="12"/>
        <v>46224</v>
      </c>
      <c r="GW7" s="11">
        <f t="shared" si="12"/>
        <v>46225</v>
      </c>
      <c r="GX7" s="11">
        <f t="shared" si="12"/>
        <v>46226</v>
      </c>
      <c r="GY7" s="11">
        <f t="shared" si="12"/>
        <v>46227</v>
      </c>
      <c r="GZ7" s="11">
        <f t="shared" si="12"/>
        <v>46228</v>
      </c>
      <c r="HA7" s="11">
        <f t="shared" si="12"/>
        <v>46229</v>
      </c>
      <c r="HB7" s="11">
        <f t="shared" si="12"/>
        <v>46230</v>
      </c>
      <c r="HC7" s="11">
        <f t="shared" si="12"/>
        <v>46231</v>
      </c>
      <c r="HD7" s="11">
        <f t="shared" si="12"/>
        <v>46232</v>
      </c>
      <c r="HE7" s="11">
        <f t="shared" si="12"/>
        <v>46233</v>
      </c>
      <c r="HF7" s="11">
        <f t="shared" si="12"/>
        <v>46234</v>
      </c>
      <c r="HG7" s="11">
        <f t="shared" si="12"/>
        <v>46235</v>
      </c>
      <c r="HH7" s="11">
        <f t="shared" si="12"/>
        <v>46236</v>
      </c>
      <c r="HI7" s="11">
        <f t="shared" si="12"/>
        <v>46237</v>
      </c>
      <c r="HJ7" s="11">
        <f t="shared" si="12"/>
        <v>46238</v>
      </c>
      <c r="HK7" s="11">
        <f t="shared" si="12"/>
        <v>46239</v>
      </c>
      <c r="HL7" s="11">
        <f t="shared" si="12"/>
        <v>46240</v>
      </c>
      <c r="HM7" s="11">
        <f t="shared" si="12"/>
        <v>46241</v>
      </c>
      <c r="HN7" s="11">
        <f t="shared" si="12"/>
        <v>46242</v>
      </c>
      <c r="HO7" s="11">
        <f t="shared" si="12"/>
        <v>46243</v>
      </c>
      <c r="HP7" s="11">
        <f t="shared" si="12"/>
        <v>46244</v>
      </c>
      <c r="HQ7" s="11">
        <f t="shared" si="12"/>
        <v>46245</v>
      </c>
      <c r="HR7" s="11">
        <f t="shared" si="12"/>
        <v>46246</v>
      </c>
      <c r="HS7" s="11">
        <f t="shared" si="12"/>
        <v>46247</v>
      </c>
      <c r="HT7" s="11">
        <f t="shared" si="12"/>
        <v>46248</v>
      </c>
      <c r="HU7" s="11">
        <f t="shared" si="12"/>
        <v>46249</v>
      </c>
      <c r="HV7" s="11">
        <f t="shared" si="12"/>
        <v>46250</v>
      </c>
      <c r="HW7" s="11">
        <f t="shared" si="12"/>
        <v>46251</v>
      </c>
      <c r="HX7" s="11">
        <f t="shared" si="12"/>
        <v>46252</v>
      </c>
      <c r="HY7" s="11">
        <f t="shared" si="12"/>
        <v>46253</v>
      </c>
      <c r="HZ7" s="11">
        <f t="shared" si="12"/>
        <v>46254</v>
      </c>
      <c r="IA7" s="11">
        <f t="shared" si="12"/>
        <v>46255</v>
      </c>
      <c r="IB7" s="11">
        <f t="shared" si="12"/>
        <v>46256</v>
      </c>
      <c r="IC7" s="11">
        <f t="shared" si="12"/>
        <v>46257</v>
      </c>
      <c r="ID7" s="11">
        <f t="shared" si="12"/>
        <v>46258</v>
      </c>
      <c r="IE7" s="11">
        <f t="shared" si="12"/>
        <v>46259</v>
      </c>
      <c r="IF7" s="11">
        <f t="shared" si="12"/>
        <v>46260</v>
      </c>
      <c r="IG7" s="11">
        <f t="shared" si="12"/>
        <v>46261</v>
      </c>
      <c r="IH7" s="11">
        <f t="shared" si="12"/>
        <v>46262</v>
      </c>
      <c r="II7" s="11">
        <f t="shared" si="12"/>
        <v>46263</v>
      </c>
      <c r="IJ7" s="11">
        <f t="shared" si="12"/>
        <v>46264</v>
      </c>
      <c r="IK7" s="11">
        <f t="shared" si="12"/>
        <v>46265</v>
      </c>
      <c r="IL7" s="11">
        <f t="shared" si="12"/>
        <v>46266</v>
      </c>
      <c r="IM7" s="11">
        <f t="shared" si="12"/>
        <v>46267</v>
      </c>
      <c r="IN7" s="11">
        <f t="shared" si="12"/>
        <v>46268</v>
      </c>
      <c r="IO7" s="11">
        <f t="shared" si="12"/>
        <v>46269</v>
      </c>
      <c r="IP7" s="11">
        <f t="shared" si="12"/>
        <v>46270</v>
      </c>
      <c r="IQ7" s="11">
        <f t="shared" si="12"/>
        <v>46271</v>
      </c>
      <c r="IR7" s="11">
        <f t="shared" si="12"/>
        <v>46272</v>
      </c>
      <c r="IS7" s="11">
        <f t="shared" si="12"/>
        <v>46273</v>
      </c>
      <c r="IT7" s="11">
        <f t="shared" si="12"/>
        <v>46274</v>
      </c>
      <c r="IU7" s="11">
        <f t="shared" si="12"/>
        <v>46275</v>
      </c>
      <c r="IV7" s="11">
        <f t="shared" si="12"/>
        <v>46276</v>
      </c>
      <c r="IW7" s="11">
        <f t="shared" si="12"/>
        <v>46277</v>
      </c>
      <c r="IX7" s="11">
        <f t="shared" si="12"/>
        <v>46278</v>
      </c>
      <c r="IY7" s="11">
        <f t="shared" si="12"/>
        <v>46279</v>
      </c>
      <c r="IZ7" s="11">
        <f t="shared" si="12"/>
        <v>46280</v>
      </c>
      <c r="JA7" s="11">
        <f t="shared" ref="JA7:LL7" si="13">+IZ7+1</f>
        <v>46281</v>
      </c>
      <c r="JB7" s="11">
        <f t="shared" si="13"/>
        <v>46282</v>
      </c>
      <c r="JC7" s="11">
        <f t="shared" si="13"/>
        <v>46283</v>
      </c>
      <c r="JD7" s="11">
        <f t="shared" si="13"/>
        <v>46284</v>
      </c>
      <c r="JE7" s="11">
        <f t="shared" si="13"/>
        <v>46285</v>
      </c>
      <c r="JF7" s="11">
        <f t="shared" si="13"/>
        <v>46286</v>
      </c>
      <c r="JG7" s="11">
        <f t="shared" si="13"/>
        <v>46287</v>
      </c>
      <c r="JH7" s="11">
        <f t="shared" si="13"/>
        <v>46288</v>
      </c>
      <c r="JI7" s="11">
        <f t="shared" si="13"/>
        <v>46289</v>
      </c>
      <c r="JJ7" s="11">
        <f t="shared" si="13"/>
        <v>46290</v>
      </c>
      <c r="JK7" s="11">
        <f t="shared" si="13"/>
        <v>46291</v>
      </c>
      <c r="JL7" s="11">
        <f t="shared" si="13"/>
        <v>46292</v>
      </c>
      <c r="JM7" s="11">
        <f t="shared" si="13"/>
        <v>46293</v>
      </c>
      <c r="JN7" s="11">
        <f t="shared" si="13"/>
        <v>46294</v>
      </c>
      <c r="JO7" s="11">
        <f t="shared" si="13"/>
        <v>46295</v>
      </c>
      <c r="JP7" s="11">
        <f t="shared" si="13"/>
        <v>46296</v>
      </c>
      <c r="JQ7" s="11">
        <f t="shared" si="13"/>
        <v>46297</v>
      </c>
      <c r="JR7" s="11">
        <f t="shared" si="13"/>
        <v>46298</v>
      </c>
      <c r="JS7" s="11">
        <f t="shared" si="13"/>
        <v>46299</v>
      </c>
      <c r="JT7" s="11">
        <f t="shared" si="13"/>
        <v>46300</v>
      </c>
      <c r="JU7" s="11">
        <f t="shared" si="13"/>
        <v>46301</v>
      </c>
      <c r="JV7" s="11">
        <f t="shared" si="13"/>
        <v>46302</v>
      </c>
      <c r="JW7" s="11">
        <f t="shared" si="13"/>
        <v>46303</v>
      </c>
      <c r="JX7" s="11">
        <f t="shared" si="13"/>
        <v>46304</v>
      </c>
      <c r="JY7" s="11">
        <f t="shared" si="13"/>
        <v>46305</v>
      </c>
      <c r="JZ7" s="11">
        <f t="shared" si="13"/>
        <v>46306</v>
      </c>
      <c r="KA7" s="11">
        <f t="shared" si="13"/>
        <v>46307</v>
      </c>
      <c r="KB7" s="11">
        <f t="shared" si="13"/>
        <v>46308</v>
      </c>
      <c r="KC7" s="11">
        <f t="shared" si="13"/>
        <v>46309</v>
      </c>
      <c r="KD7" s="11">
        <f t="shared" si="13"/>
        <v>46310</v>
      </c>
      <c r="KE7" s="11">
        <f t="shared" si="13"/>
        <v>46311</v>
      </c>
      <c r="KF7" s="11">
        <f t="shared" si="13"/>
        <v>46312</v>
      </c>
      <c r="KG7" s="11">
        <f t="shared" si="13"/>
        <v>46313</v>
      </c>
      <c r="KH7" s="11">
        <f t="shared" si="13"/>
        <v>46314</v>
      </c>
      <c r="KI7" s="11">
        <f t="shared" si="13"/>
        <v>46315</v>
      </c>
      <c r="KJ7" s="11">
        <f t="shared" si="13"/>
        <v>46316</v>
      </c>
      <c r="KK7" s="11">
        <f t="shared" si="13"/>
        <v>46317</v>
      </c>
      <c r="KL7" s="11">
        <f t="shared" si="13"/>
        <v>46318</v>
      </c>
      <c r="KM7" s="11">
        <f t="shared" si="13"/>
        <v>46319</v>
      </c>
      <c r="KN7" s="11">
        <f t="shared" si="13"/>
        <v>46320</v>
      </c>
      <c r="KO7" s="11">
        <f t="shared" si="13"/>
        <v>46321</v>
      </c>
      <c r="KP7" s="11">
        <f t="shared" si="13"/>
        <v>46322</v>
      </c>
      <c r="KQ7" s="11">
        <f t="shared" si="13"/>
        <v>46323</v>
      </c>
      <c r="KR7" s="11">
        <f t="shared" si="13"/>
        <v>46324</v>
      </c>
      <c r="KS7" s="11">
        <f t="shared" si="13"/>
        <v>46325</v>
      </c>
      <c r="KT7" s="11">
        <f t="shared" si="13"/>
        <v>46326</v>
      </c>
      <c r="KU7" s="11">
        <f t="shared" si="13"/>
        <v>46327</v>
      </c>
      <c r="KV7" s="11">
        <f t="shared" si="13"/>
        <v>46328</v>
      </c>
      <c r="KW7" s="11">
        <f t="shared" si="13"/>
        <v>46329</v>
      </c>
      <c r="KX7" s="11">
        <f t="shared" si="13"/>
        <v>46330</v>
      </c>
      <c r="KY7" s="11">
        <f t="shared" si="13"/>
        <v>46331</v>
      </c>
      <c r="KZ7" s="11">
        <f t="shared" si="13"/>
        <v>46332</v>
      </c>
      <c r="LA7" s="11">
        <f t="shared" si="13"/>
        <v>46333</v>
      </c>
      <c r="LB7" s="11">
        <f t="shared" si="13"/>
        <v>46334</v>
      </c>
      <c r="LC7" s="11">
        <f t="shared" si="13"/>
        <v>46335</v>
      </c>
      <c r="LD7" s="11">
        <f t="shared" si="13"/>
        <v>46336</v>
      </c>
      <c r="LE7" s="11">
        <f t="shared" si="13"/>
        <v>46337</v>
      </c>
      <c r="LF7" s="11">
        <f t="shared" si="13"/>
        <v>46338</v>
      </c>
      <c r="LG7" s="11">
        <f t="shared" si="13"/>
        <v>46339</v>
      </c>
      <c r="LH7" s="11">
        <f t="shared" si="13"/>
        <v>46340</v>
      </c>
      <c r="LI7" s="11">
        <f t="shared" si="13"/>
        <v>46341</v>
      </c>
      <c r="LJ7" s="11">
        <f t="shared" si="13"/>
        <v>46342</v>
      </c>
      <c r="LK7" s="11">
        <f t="shared" si="13"/>
        <v>46343</v>
      </c>
      <c r="LL7" s="11">
        <f t="shared" si="13"/>
        <v>46344</v>
      </c>
      <c r="LM7" s="11">
        <f t="shared" ref="LM7:NC7" si="14">+LL7+1</f>
        <v>46345</v>
      </c>
      <c r="LN7" s="11">
        <f t="shared" si="14"/>
        <v>46346</v>
      </c>
      <c r="LO7" s="11">
        <f t="shared" si="14"/>
        <v>46347</v>
      </c>
      <c r="LP7" s="11">
        <f t="shared" si="14"/>
        <v>46348</v>
      </c>
      <c r="LQ7" s="11">
        <f t="shared" si="14"/>
        <v>46349</v>
      </c>
      <c r="LR7" s="11">
        <f t="shared" si="14"/>
        <v>46350</v>
      </c>
      <c r="LS7" s="11">
        <f t="shared" si="14"/>
        <v>46351</v>
      </c>
      <c r="LT7" s="11">
        <f t="shared" si="14"/>
        <v>46352</v>
      </c>
      <c r="LU7" s="11">
        <f t="shared" si="14"/>
        <v>46353</v>
      </c>
      <c r="LV7" s="11">
        <f t="shared" si="14"/>
        <v>46354</v>
      </c>
      <c r="LW7" s="11">
        <f t="shared" si="14"/>
        <v>46355</v>
      </c>
      <c r="LX7" s="11">
        <f t="shared" si="14"/>
        <v>46356</v>
      </c>
      <c r="LY7" s="11">
        <f t="shared" si="14"/>
        <v>46357</v>
      </c>
      <c r="LZ7" s="11">
        <f t="shared" si="14"/>
        <v>46358</v>
      </c>
      <c r="MA7" s="11">
        <f t="shared" si="14"/>
        <v>46359</v>
      </c>
      <c r="MB7" s="11">
        <f t="shared" si="14"/>
        <v>46360</v>
      </c>
      <c r="MC7" s="11">
        <f t="shared" si="14"/>
        <v>46361</v>
      </c>
      <c r="MD7" s="11">
        <f t="shared" si="14"/>
        <v>46362</v>
      </c>
      <c r="ME7" s="11">
        <f t="shared" si="14"/>
        <v>46363</v>
      </c>
      <c r="MF7" s="11">
        <f t="shared" si="14"/>
        <v>46364</v>
      </c>
      <c r="MG7" s="11">
        <f t="shared" si="14"/>
        <v>46365</v>
      </c>
      <c r="MH7" s="11">
        <f t="shared" si="14"/>
        <v>46366</v>
      </c>
      <c r="MI7" s="11">
        <f t="shared" si="14"/>
        <v>46367</v>
      </c>
      <c r="MJ7" s="11">
        <f t="shared" si="14"/>
        <v>46368</v>
      </c>
      <c r="MK7" s="11">
        <f t="shared" si="14"/>
        <v>46369</v>
      </c>
      <c r="ML7" s="11">
        <f t="shared" si="14"/>
        <v>46370</v>
      </c>
      <c r="MM7" s="11">
        <f t="shared" si="14"/>
        <v>46371</v>
      </c>
      <c r="MN7" s="11">
        <f t="shared" si="14"/>
        <v>46372</v>
      </c>
      <c r="MO7" s="11">
        <f t="shared" si="14"/>
        <v>46373</v>
      </c>
      <c r="MP7" s="11">
        <f t="shared" si="14"/>
        <v>46374</v>
      </c>
      <c r="MQ7" s="11">
        <f t="shared" si="14"/>
        <v>46375</v>
      </c>
      <c r="MR7" s="11">
        <f t="shared" si="14"/>
        <v>46376</v>
      </c>
      <c r="MS7" s="11">
        <f t="shared" si="14"/>
        <v>46377</v>
      </c>
      <c r="MT7" s="11">
        <f t="shared" si="14"/>
        <v>46378</v>
      </c>
      <c r="MU7" s="11">
        <f t="shared" si="14"/>
        <v>46379</v>
      </c>
      <c r="MV7" s="11">
        <f t="shared" si="14"/>
        <v>46380</v>
      </c>
      <c r="MW7" s="11">
        <f t="shared" si="14"/>
        <v>46381</v>
      </c>
      <c r="MX7" s="11">
        <f t="shared" si="14"/>
        <v>46382</v>
      </c>
      <c r="MY7" s="11">
        <f t="shared" si="14"/>
        <v>46383</v>
      </c>
      <c r="MZ7" s="11">
        <f t="shared" si="14"/>
        <v>46384</v>
      </c>
      <c r="NA7" s="11">
        <f t="shared" si="14"/>
        <v>46385</v>
      </c>
      <c r="NB7" s="11">
        <f t="shared" si="14"/>
        <v>46386</v>
      </c>
      <c r="NC7" s="11">
        <f t="shared" si="14"/>
        <v>46387</v>
      </c>
    </row>
    <row r="8" spans="1:371">
      <c r="A8" s="12"/>
      <c r="B8" s="12" t="s">
        <v>10</v>
      </c>
      <c r="C8" s="8" t="s">
        <v>54</v>
      </c>
      <c r="D8" s="8" t="s">
        <v>54</v>
      </c>
      <c r="E8" s="8" t="s">
        <v>54</v>
      </c>
      <c r="F8" s="8" t="s">
        <v>54</v>
      </c>
      <c r="G8" s="8" t="s">
        <v>425</v>
      </c>
      <c r="H8" s="8" t="s">
        <v>425</v>
      </c>
      <c r="I8" s="8" t="s">
        <v>425</v>
      </c>
      <c r="J8" s="8" t="s">
        <v>425</v>
      </c>
      <c r="K8" s="8" t="s">
        <v>425</v>
      </c>
      <c r="L8" s="8" t="s">
        <v>425</v>
      </c>
      <c r="M8" s="8" t="s">
        <v>425</v>
      </c>
      <c r="N8" s="8" t="s">
        <v>2</v>
      </c>
      <c r="O8" s="8" t="s">
        <v>2</v>
      </c>
      <c r="P8" s="8" t="s">
        <v>2</v>
      </c>
      <c r="Q8" s="8" t="s">
        <v>2</v>
      </c>
      <c r="R8" s="8" t="s">
        <v>2</v>
      </c>
      <c r="S8" s="8" t="s">
        <v>2</v>
      </c>
      <c r="T8" s="8" t="s">
        <v>2</v>
      </c>
      <c r="U8" s="8" t="s">
        <v>3</v>
      </c>
      <c r="V8" s="8" t="s">
        <v>3</v>
      </c>
      <c r="W8" s="8" t="s">
        <v>3</v>
      </c>
      <c r="X8" s="8" t="s">
        <v>3</v>
      </c>
      <c r="Y8" s="8" t="s">
        <v>3</v>
      </c>
      <c r="Z8" s="8" t="s">
        <v>3</v>
      </c>
      <c r="AA8" s="8" t="s">
        <v>3</v>
      </c>
      <c r="AB8" s="8" t="s">
        <v>4</v>
      </c>
      <c r="AC8" s="8" t="s">
        <v>4</v>
      </c>
      <c r="AD8" s="8" t="s">
        <v>4</v>
      </c>
      <c r="AE8" s="8" t="s">
        <v>4</v>
      </c>
      <c r="AF8" s="8" t="s">
        <v>4</v>
      </c>
      <c r="AG8" s="8" t="s">
        <v>4</v>
      </c>
      <c r="AH8" s="8" t="s">
        <v>4</v>
      </c>
      <c r="AI8" s="8" t="s">
        <v>5</v>
      </c>
      <c r="AJ8" s="8" t="s">
        <v>5</v>
      </c>
      <c r="AK8" s="8" t="s">
        <v>5</v>
      </c>
      <c r="AL8" s="8" t="s">
        <v>5</v>
      </c>
      <c r="AM8" s="8" t="s">
        <v>5</v>
      </c>
      <c r="AN8" s="8" t="s">
        <v>5</v>
      </c>
      <c r="AO8" s="8" t="s">
        <v>5</v>
      </c>
      <c r="AP8" s="8" t="s">
        <v>6</v>
      </c>
      <c r="AQ8" s="8" t="s">
        <v>6</v>
      </c>
      <c r="AR8" s="8" t="s">
        <v>6</v>
      </c>
      <c r="AS8" s="8" t="s">
        <v>6</v>
      </c>
      <c r="AT8" s="8" t="s">
        <v>6</v>
      </c>
      <c r="AU8" s="8" t="s">
        <v>6</v>
      </c>
      <c r="AV8" s="8" t="s">
        <v>6</v>
      </c>
      <c r="AW8" s="8" t="s">
        <v>7</v>
      </c>
      <c r="AX8" s="8" t="s">
        <v>7</v>
      </c>
      <c r="AY8" s="8" t="s">
        <v>7</v>
      </c>
      <c r="AZ8" s="8" t="s">
        <v>7</v>
      </c>
      <c r="BA8" s="8" t="s">
        <v>7</v>
      </c>
      <c r="BB8" s="8" t="s">
        <v>7</v>
      </c>
      <c r="BC8" s="8" t="s">
        <v>7</v>
      </c>
      <c r="BD8" s="8" t="s">
        <v>8</v>
      </c>
      <c r="BE8" s="8" t="s">
        <v>8</v>
      </c>
      <c r="BF8" s="8" t="s">
        <v>8</v>
      </c>
      <c r="BG8" s="8" t="s">
        <v>8</v>
      </c>
      <c r="BH8" s="8" t="s">
        <v>8</v>
      </c>
      <c r="BI8" s="8" t="s">
        <v>8</v>
      </c>
      <c r="BJ8" s="8" t="s">
        <v>8</v>
      </c>
      <c r="BK8" s="8" t="s">
        <v>11</v>
      </c>
      <c r="BL8" s="8" t="s">
        <v>11</v>
      </c>
      <c r="BM8" s="8" t="s">
        <v>11</v>
      </c>
      <c r="BN8" s="8" t="s">
        <v>11</v>
      </c>
      <c r="BO8" s="8" t="s">
        <v>11</v>
      </c>
      <c r="BP8" s="8" t="s">
        <v>11</v>
      </c>
      <c r="BQ8" s="8" t="s">
        <v>11</v>
      </c>
      <c r="BR8" s="8" t="s">
        <v>12</v>
      </c>
      <c r="BS8" s="8" t="s">
        <v>12</v>
      </c>
      <c r="BT8" s="8" t="s">
        <v>12</v>
      </c>
      <c r="BU8" s="8" t="s">
        <v>12</v>
      </c>
      <c r="BV8" s="8" t="s">
        <v>12</v>
      </c>
      <c r="BW8" s="8" t="s">
        <v>12</v>
      </c>
      <c r="BX8" s="39" t="s">
        <v>12</v>
      </c>
      <c r="BY8" s="8" t="s">
        <v>13</v>
      </c>
      <c r="BZ8" s="8" t="s">
        <v>13</v>
      </c>
      <c r="CA8" s="8" t="s">
        <v>13</v>
      </c>
      <c r="CB8" s="8" t="s">
        <v>13</v>
      </c>
      <c r="CC8" s="8" t="s">
        <v>13</v>
      </c>
      <c r="CD8" s="8" t="s">
        <v>13</v>
      </c>
      <c r="CE8" s="8" t="s">
        <v>13</v>
      </c>
      <c r="CF8" s="8" t="s">
        <v>14</v>
      </c>
      <c r="CG8" s="8" t="s">
        <v>14</v>
      </c>
      <c r="CH8" s="8" t="s">
        <v>14</v>
      </c>
      <c r="CI8" s="8" t="s">
        <v>14</v>
      </c>
      <c r="CJ8" s="8" t="s">
        <v>14</v>
      </c>
      <c r="CK8" s="8" t="s">
        <v>14</v>
      </c>
      <c r="CL8" s="8" t="s">
        <v>14</v>
      </c>
      <c r="CM8" s="8" t="s">
        <v>15</v>
      </c>
      <c r="CN8" s="8" t="s">
        <v>15</v>
      </c>
      <c r="CO8" s="8" t="s">
        <v>15</v>
      </c>
      <c r="CP8" s="8" t="s">
        <v>15</v>
      </c>
      <c r="CQ8" s="8" t="s">
        <v>15</v>
      </c>
      <c r="CR8" s="8" t="s">
        <v>15</v>
      </c>
      <c r="CS8" s="8" t="s">
        <v>15</v>
      </c>
      <c r="CT8" s="8" t="s">
        <v>16</v>
      </c>
      <c r="CU8" s="8" t="s">
        <v>16</v>
      </c>
      <c r="CV8" s="8" t="s">
        <v>16</v>
      </c>
      <c r="CW8" s="8" t="s">
        <v>16</v>
      </c>
      <c r="CX8" s="8" t="s">
        <v>16</v>
      </c>
      <c r="CY8" s="8" t="s">
        <v>16</v>
      </c>
      <c r="CZ8" s="8" t="s">
        <v>16</v>
      </c>
      <c r="DA8" s="8" t="s">
        <v>17</v>
      </c>
      <c r="DB8" s="8" t="s">
        <v>17</v>
      </c>
      <c r="DC8" s="8" t="s">
        <v>17</v>
      </c>
      <c r="DD8" s="8" t="s">
        <v>17</v>
      </c>
      <c r="DE8" s="8" t="s">
        <v>17</v>
      </c>
      <c r="DF8" s="8" t="s">
        <v>17</v>
      </c>
      <c r="DG8" s="8" t="s">
        <v>17</v>
      </c>
      <c r="DH8" s="8" t="s">
        <v>18</v>
      </c>
      <c r="DI8" s="8" t="s">
        <v>18</v>
      </c>
      <c r="DJ8" s="8" t="s">
        <v>18</v>
      </c>
      <c r="DK8" s="8" t="s">
        <v>18</v>
      </c>
      <c r="DL8" s="8" t="s">
        <v>18</v>
      </c>
      <c r="DM8" s="8" t="s">
        <v>18</v>
      </c>
      <c r="DN8" s="8" t="s">
        <v>18</v>
      </c>
      <c r="DO8" s="8" t="s">
        <v>19</v>
      </c>
      <c r="DP8" s="8" t="s">
        <v>19</v>
      </c>
      <c r="DQ8" s="8" t="s">
        <v>19</v>
      </c>
      <c r="DR8" s="8" t="s">
        <v>19</v>
      </c>
      <c r="DS8" s="8" t="s">
        <v>19</v>
      </c>
      <c r="DT8" s="8" t="s">
        <v>19</v>
      </c>
      <c r="DU8" s="8" t="s">
        <v>19</v>
      </c>
      <c r="DV8" s="8" t="s">
        <v>20</v>
      </c>
      <c r="DW8" s="8" t="s">
        <v>20</v>
      </c>
      <c r="DX8" s="8" t="s">
        <v>20</v>
      </c>
      <c r="DY8" s="8" t="s">
        <v>20</v>
      </c>
      <c r="DZ8" s="8" t="s">
        <v>20</v>
      </c>
      <c r="EA8" s="8" t="s">
        <v>20</v>
      </c>
      <c r="EB8" s="8" t="s">
        <v>20</v>
      </c>
      <c r="EC8" s="8" t="s">
        <v>21</v>
      </c>
      <c r="ED8" s="8" t="s">
        <v>21</v>
      </c>
      <c r="EE8" s="8" t="s">
        <v>21</v>
      </c>
      <c r="EF8" s="8" t="s">
        <v>21</v>
      </c>
      <c r="EG8" s="8" t="s">
        <v>21</v>
      </c>
      <c r="EH8" s="8" t="s">
        <v>21</v>
      </c>
      <c r="EI8" s="8" t="s">
        <v>21</v>
      </c>
      <c r="EJ8" s="8" t="s">
        <v>22</v>
      </c>
      <c r="EK8" s="8" t="s">
        <v>22</v>
      </c>
      <c r="EL8" s="8" t="s">
        <v>22</v>
      </c>
      <c r="EM8" s="8" t="s">
        <v>22</v>
      </c>
      <c r="EN8" s="8" t="s">
        <v>22</v>
      </c>
      <c r="EO8" s="8" t="s">
        <v>22</v>
      </c>
      <c r="EP8" s="8" t="s">
        <v>22</v>
      </c>
      <c r="EQ8" s="8" t="s">
        <v>23</v>
      </c>
      <c r="ER8" s="8" t="s">
        <v>23</v>
      </c>
      <c r="ES8" s="8" t="s">
        <v>23</v>
      </c>
      <c r="ET8" s="8" t="s">
        <v>23</v>
      </c>
      <c r="EU8" s="8" t="s">
        <v>23</v>
      </c>
      <c r="EV8" s="8" t="s">
        <v>23</v>
      </c>
      <c r="EW8" s="8" t="s">
        <v>23</v>
      </c>
      <c r="EX8" s="8" t="s">
        <v>24</v>
      </c>
      <c r="EY8" s="8" t="s">
        <v>24</v>
      </c>
      <c r="EZ8" s="8" t="s">
        <v>24</v>
      </c>
      <c r="FA8" s="8" t="s">
        <v>24</v>
      </c>
      <c r="FB8" s="8" t="s">
        <v>24</v>
      </c>
      <c r="FC8" s="8" t="s">
        <v>24</v>
      </c>
      <c r="FD8" s="8" t="s">
        <v>24</v>
      </c>
      <c r="FE8" s="8" t="s">
        <v>25</v>
      </c>
      <c r="FF8" s="8" t="s">
        <v>25</v>
      </c>
      <c r="FG8" s="8" t="s">
        <v>25</v>
      </c>
      <c r="FH8" s="8" t="s">
        <v>25</v>
      </c>
      <c r="FI8" s="8" t="s">
        <v>25</v>
      </c>
      <c r="FJ8" s="8" t="s">
        <v>25</v>
      </c>
      <c r="FK8" s="8" t="s">
        <v>25</v>
      </c>
      <c r="FL8" s="8" t="s">
        <v>26</v>
      </c>
      <c r="FM8" s="8" t="s">
        <v>26</v>
      </c>
      <c r="FN8" s="8" t="s">
        <v>26</v>
      </c>
      <c r="FO8" s="8" t="s">
        <v>26</v>
      </c>
      <c r="FP8" s="8" t="s">
        <v>26</v>
      </c>
      <c r="FQ8" s="8" t="s">
        <v>26</v>
      </c>
      <c r="FR8" s="8" t="s">
        <v>26</v>
      </c>
      <c r="FS8" s="8" t="s">
        <v>27</v>
      </c>
      <c r="FT8" s="8" t="s">
        <v>27</v>
      </c>
      <c r="FU8" s="8" t="s">
        <v>27</v>
      </c>
      <c r="FV8" s="8" t="s">
        <v>27</v>
      </c>
      <c r="FW8" s="8" t="s">
        <v>27</v>
      </c>
      <c r="FX8" s="8" t="s">
        <v>27</v>
      </c>
      <c r="FY8" s="8" t="s">
        <v>27</v>
      </c>
      <c r="FZ8" s="8" t="s">
        <v>28</v>
      </c>
      <c r="GA8" s="8" t="s">
        <v>28</v>
      </c>
      <c r="GB8" s="8" t="s">
        <v>28</v>
      </c>
      <c r="GC8" s="8" t="s">
        <v>28</v>
      </c>
      <c r="GD8" s="8" t="s">
        <v>28</v>
      </c>
      <c r="GE8" s="8" t="s">
        <v>28</v>
      </c>
      <c r="GF8" s="8" t="s">
        <v>28</v>
      </c>
      <c r="GG8" s="8" t="s">
        <v>29</v>
      </c>
      <c r="GH8" s="8" t="s">
        <v>29</v>
      </c>
      <c r="GI8" s="8" t="s">
        <v>29</v>
      </c>
      <c r="GJ8" s="8" t="s">
        <v>29</v>
      </c>
      <c r="GK8" s="8" t="s">
        <v>29</v>
      </c>
      <c r="GL8" s="8" t="s">
        <v>29</v>
      </c>
      <c r="GM8" s="8" t="s">
        <v>29</v>
      </c>
      <c r="GN8" s="8" t="s">
        <v>30</v>
      </c>
      <c r="GO8" s="8" t="s">
        <v>30</v>
      </c>
      <c r="GP8" s="8" t="s">
        <v>30</v>
      </c>
      <c r="GQ8" s="8" t="s">
        <v>30</v>
      </c>
      <c r="GR8" s="8" t="s">
        <v>30</v>
      </c>
      <c r="GS8" s="8" t="s">
        <v>30</v>
      </c>
      <c r="GT8" s="8" t="s">
        <v>30</v>
      </c>
      <c r="GU8" s="8" t="s">
        <v>31</v>
      </c>
      <c r="GV8" s="8" t="s">
        <v>31</v>
      </c>
      <c r="GW8" s="8" t="s">
        <v>31</v>
      </c>
      <c r="GX8" s="8" t="s">
        <v>31</v>
      </c>
      <c r="GY8" s="8" t="s">
        <v>31</v>
      </c>
      <c r="GZ8" s="8" t="s">
        <v>31</v>
      </c>
      <c r="HA8" s="8" t="s">
        <v>31</v>
      </c>
      <c r="HB8" s="8" t="s">
        <v>32</v>
      </c>
      <c r="HC8" s="8" t="s">
        <v>32</v>
      </c>
      <c r="HD8" s="8" t="s">
        <v>32</v>
      </c>
      <c r="HE8" s="8" t="s">
        <v>32</v>
      </c>
      <c r="HF8" s="8" t="s">
        <v>32</v>
      </c>
      <c r="HG8" s="8" t="s">
        <v>32</v>
      </c>
      <c r="HH8" s="8" t="s">
        <v>32</v>
      </c>
      <c r="HI8" s="8" t="s">
        <v>33</v>
      </c>
      <c r="HJ8" s="8" t="s">
        <v>33</v>
      </c>
      <c r="HK8" s="8" t="s">
        <v>33</v>
      </c>
      <c r="HL8" s="8" t="s">
        <v>33</v>
      </c>
      <c r="HM8" s="8" t="s">
        <v>33</v>
      </c>
      <c r="HN8" s="8" t="s">
        <v>33</v>
      </c>
      <c r="HO8" s="8" t="s">
        <v>33</v>
      </c>
      <c r="HP8" s="8" t="s">
        <v>34</v>
      </c>
      <c r="HQ8" s="8" t="s">
        <v>34</v>
      </c>
      <c r="HR8" s="8" t="s">
        <v>34</v>
      </c>
      <c r="HS8" s="8" t="s">
        <v>34</v>
      </c>
      <c r="HT8" s="8" t="s">
        <v>34</v>
      </c>
      <c r="HU8" s="8" t="s">
        <v>34</v>
      </c>
      <c r="HV8" s="8" t="s">
        <v>34</v>
      </c>
      <c r="HW8" s="8" t="s">
        <v>35</v>
      </c>
      <c r="HX8" s="8" t="s">
        <v>35</v>
      </c>
      <c r="HY8" s="8" t="s">
        <v>35</v>
      </c>
      <c r="HZ8" s="8" t="s">
        <v>35</v>
      </c>
      <c r="IA8" s="8" t="s">
        <v>35</v>
      </c>
      <c r="IB8" s="8" t="s">
        <v>35</v>
      </c>
      <c r="IC8" s="8" t="s">
        <v>35</v>
      </c>
      <c r="ID8" s="8" t="s">
        <v>36</v>
      </c>
      <c r="IE8" s="8" t="s">
        <v>36</v>
      </c>
      <c r="IF8" s="8" t="s">
        <v>36</v>
      </c>
      <c r="IG8" s="8" t="s">
        <v>36</v>
      </c>
      <c r="IH8" s="8" t="s">
        <v>36</v>
      </c>
      <c r="II8" s="8" t="s">
        <v>36</v>
      </c>
      <c r="IJ8" s="8" t="s">
        <v>36</v>
      </c>
      <c r="IK8" s="8" t="s">
        <v>37</v>
      </c>
      <c r="IL8" s="8" t="s">
        <v>37</v>
      </c>
      <c r="IM8" s="8" t="s">
        <v>37</v>
      </c>
      <c r="IN8" s="8" t="s">
        <v>37</v>
      </c>
      <c r="IO8" s="8" t="s">
        <v>37</v>
      </c>
      <c r="IP8" s="8" t="s">
        <v>37</v>
      </c>
      <c r="IQ8" s="8" t="s">
        <v>37</v>
      </c>
      <c r="IR8" s="8" t="s">
        <v>38</v>
      </c>
      <c r="IS8" s="8" t="s">
        <v>38</v>
      </c>
      <c r="IT8" s="8" t="s">
        <v>38</v>
      </c>
      <c r="IU8" s="8" t="s">
        <v>38</v>
      </c>
      <c r="IV8" s="8" t="s">
        <v>38</v>
      </c>
      <c r="IW8" s="8" t="s">
        <v>38</v>
      </c>
      <c r="IX8" s="8" t="s">
        <v>38</v>
      </c>
      <c r="IY8" s="8" t="s">
        <v>39</v>
      </c>
      <c r="IZ8" s="8" t="s">
        <v>39</v>
      </c>
      <c r="JA8" s="8" t="s">
        <v>39</v>
      </c>
      <c r="JB8" s="8" t="s">
        <v>39</v>
      </c>
      <c r="JC8" s="8" t="s">
        <v>39</v>
      </c>
      <c r="JD8" s="8" t="s">
        <v>39</v>
      </c>
      <c r="JE8" s="8" t="s">
        <v>39</v>
      </c>
      <c r="JF8" s="8" t="s">
        <v>40</v>
      </c>
      <c r="JG8" s="8" t="s">
        <v>40</v>
      </c>
      <c r="JH8" s="8" t="s">
        <v>40</v>
      </c>
      <c r="JI8" s="8" t="s">
        <v>40</v>
      </c>
      <c r="JJ8" s="8" t="s">
        <v>40</v>
      </c>
      <c r="JK8" s="8" t="s">
        <v>40</v>
      </c>
      <c r="JL8" s="8" t="s">
        <v>40</v>
      </c>
      <c r="JM8" s="8" t="s">
        <v>41</v>
      </c>
      <c r="JN8" s="8" t="s">
        <v>41</v>
      </c>
      <c r="JO8" s="8" t="s">
        <v>41</v>
      </c>
      <c r="JP8" s="8" t="s">
        <v>41</v>
      </c>
      <c r="JQ8" s="8" t="s">
        <v>41</v>
      </c>
      <c r="JR8" s="8" t="s">
        <v>41</v>
      </c>
      <c r="JS8" s="8" t="s">
        <v>41</v>
      </c>
      <c r="JT8" s="8" t="s">
        <v>42</v>
      </c>
      <c r="JU8" s="8" t="s">
        <v>42</v>
      </c>
      <c r="JV8" s="8" t="s">
        <v>42</v>
      </c>
      <c r="JW8" s="8" t="s">
        <v>42</v>
      </c>
      <c r="JX8" s="8" t="s">
        <v>42</v>
      </c>
      <c r="JY8" s="8" t="s">
        <v>42</v>
      </c>
      <c r="JZ8" s="8" t="s">
        <v>42</v>
      </c>
      <c r="KB8" s="20"/>
      <c r="KI8" s="20"/>
      <c r="KU8" s="36"/>
      <c r="LE8" s="20"/>
      <c r="LF8" s="20"/>
      <c r="LK8" s="20"/>
      <c r="LR8" s="20"/>
      <c r="LY8" s="20"/>
      <c r="LZ8" s="1"/>
      <c r="MA8" s="1"/>
      <c r="MB8" s="1"/>
      <c r="MC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34"/>
      <c r="MQ8" s="1"/>
      <c r="MR8" s="1"/>
      <c r="MS8" s="1"/>
      <c r="MT8" s="20"/>
    </row>
    <row r="9" spans="1:371">
      <c r="A9" s="13">
        <f>+SUM(C9:NC9)</f>
        <v>68678.333333333314</v>
      </c>
      <c r="B9" s="14" t="s">
        <v>427</v>
      </c>
      <c r="C9" s="2"/>
      <c r="D9" s="2">
        <v>320.66666666666669</v>
      </c>
      <c r="E9" s="2">
        <v>351</v>
      </c>
      <c r="F9" s="2"/>
      <c r="G9" s="7">
        <v>239.58333333333337</v>
      </c>
      <c r="H9" s="7">
        <v>259.41666666666669</v>
      </c>
      <c r="I9" s="7">
        <v>268.33333333333331</v>
      </c>
      <c r="J9" s="7">
        <v>244.25</v>
      </c>
      <c r="K9" s="7">
        <v>251.91666666666669</v>
      </c>
      <c r="L9" s="7">
        <v>239.08333333333337</v>
      </c>
      <c r="M9" s="7"/>
      <c r="N9" s="3">
        <v>244.16666666666666</v>
      </c>
      <c r="O9" s="3">
        <v>240</v>
      </c>
      <c r="P9" s="3">
        <v>255</v>
      </c>
      <c r="Q9" s="3">
        <v>217.5</v>
      </c>
      <c r="R9" s="3">
        <v>224</v>
      </c>
      <c r="S9" s="3">
        <v>165</v>
      </c>
      <c r="U9" s="2">
        <v>216.66666666666666</v>
      </c>
      <c r="V9" s="2">
        <v>305.41666666666669</v>
      </c>
      <c r="W9" s="2">
        <v>307.25</v>
      </c>
      <c r="X9" s="2">
        <v>252</v>
      </c>
      <c r="Y9" s="2">
        <v>262.5</v>
      </c>
      <c r="Z9" s="2">
        <v>247.5</v>
      </c>
      <c r="AB9" s="3">
        <v>231.16666666666669</v>
      </c>
      <c r="AC9" s="3">
        <v>262.5</v>
      </c>
      <c r="AD9" s="3">
        <v>232.5</v>
      </c>
      <c r="AE9" s="3">
        <v>243.5</v>
      </c>
      <c r="AF9" s="3">
        <v>247.5</v>
      </c>
      <c r="AG9" s="3">
        <v>221.08333333333334</v>
      </c>
      <c r="AI9" s="3">
        <v>300</v>
      </c>
      <c r="AJ9" s="3">
        <v>253.91666666666669</v>
      </c>
      <c r="AK9" s="3">
        <v>242.91666666666666</v>
      </c>
      <c r="AL9" s="3">
        <v>313.25</v>
      </c>
      <c r="AM9" s="3">
        <v>275.66666666666663</v>
      </c>
      <c r="AN9" s="3">
        <v>236.91666666666666</v>
      </c>
      <c r="AP9" s="7">
        <v>223.41666666666666</v>
      </c>
      <c r="AQ9" s="7">
        <v>240</v>
      </c>
      <c r="AR9" s="7">
        <v>255.41666666666663</v>
      </c>
      <c r="AS9" s="7">
        <v>261.91666666666669</v>
      </c>
      <c r="AT9" s="7">
        <v>245</v>
      </c>
      <c r="AU9" s="7">
        <v>245.58333333333334</v>
      </c>
      <c r="AV9" s="7"/>
      <c r="AW9" s="2">
        <v>260</v>
      </c>
      <c r="AX9" s="2">
        <v>275.41666666666663</v>
      </c>
      <c r="AY9" s="2">
        <v>259.5</v>
      </c>
      <c r="AZ9" s="7">
        <v>254.25</v>
      </c>
      <c r="BA9" s="7">
        <v>267.33333333333337</v>
      </c>
      <c r="BB9" s="7">
        <v>284.75</v>
      </c>
      <c r="BC9" s="2"/>
      <c r="BD9" s="2">
        <v>262.25</v>
      </c>
      <c r="BE9" s="2">
        <v>268.66666666666663</v>
      </c>
      <c r="BF9" s="2">
        <v>270</v>
      </c>
      <c r="BG9" s="2">
        <v>267.83333333333337</v>
      </c>
      <c r="BH9" s="7">
        <v>314.16666666666669</v>
      </c>
      <c r="BI9" s="7">
        <v>276.91666666666663</v>
      </c>
      <c r="BK9" s="7">
        <v>344.75</v>
      </c>
      <c r="BL9" s="7">
        <v>396.33333333333337</v>
      </c>
      <c r="BM9" s="7">
        <v>292.5</v>
      </c>
      <c r="BN9" s="7">
        <v>341.41666666666663</v>
      </c>
      <c r="BO9" s="7">
        <v>337.41666666666663</v>
      </c>
      <c r="BP9" s="7">
        <v>342.58333333333337</v>
      </c>
      <c r="BQ9" s="7"/>
      <c r="BR9" s="2">
        <v>329.66666666666663</v>
      </c>
      <c r="BS9" s="2">
        <v>329.16666666666669</v>
      </c>
      <c r="BT9" s="2">
        <v>348.66666666666669</v>
      </c>
      <c r="BU9" s="2">
        <v>362.66666666666663</v>
      </c>
      <c r="BV9" s="2">
        <v>358.08333333333331</v>
      </c>
      <c r="BW9" s="2">
        <v>351.41666666666663</v>
      </c>
      <c r="BX9" s="2">
        <v>260.33333333333337</v>
      </c>
      <c r="BY9" s="3">
        <v>343.75</v>
      </c>
      <c r="BZ9" s="3">
        <v>312.66666666666663</v>
      </c>
      <c r="CA9" s="3">
        <v>268.5</v>
      </c>
      <c r="CB9" s="3">
        <v>87.083333333333343</v>
      </c>
      <c r="CC9" s="3"/>
      <c r="CD9" s="3"/>
      <c r="CE9" s="3"/>
      <c r="CF9" s="3">
        <v>254.75</v>
      </c>
      <c r="CG9" s="3">
        <v>269.25</v>
      </c>
      <c r="CH9" s="3">
        <v>328.58333333333331</v>
      </c>
      <c r="CI9" s="3">
        <v>277.75</v>
      </c>
      <c r="CJ9" s="3">
        <v>316.58333333333337</v>
      </c>
      <c r="CK9" s="3">
        <v>284</v>
      </c>
      <c r="CL9" s="3"/>
      <c r="CM9" s="3">
        <v>285.25</v>
      </c>
      <c r="CN9" s="3">
        <v>299.5</v>
      </c>
      <c r="CO9" s="3">
        <v>320.75</v>
      </c>
      <c r="CP9" s="3">
        <v>373.16666666666663</v>
      </c>
      <c r="CQ9" s="3">
        <v>321.16666666666669</v>
      </c>
      <c r="CR9" s="3">
        <v>258.5</v>
      </c>
      <c r="CS9" s="3"/>
      <c r="CT9" s="3">
        <v>321.33333333333337</v>
      </c>
      <c r="CU9" s="3">
        <v>313.75</v>
      </c>
      <c r="CV9" s="3">
        <v>330.66666666666663</v>
      </c>
      <c r="CW9" s="3">
        <v>330</v>
      </c>
      <c r="CX9" s="3">
        <v>328.91666666666663</v>
      </c>
      <c r="CY9" s="3">
        <v>277.66666666666669</v>
      </c>
      <c r="CZ9" s="3"/>
      <c r="DA9" s="7">
        <v>276.16666666666663</v>
      </c>
      <c r="DB9" s="7">
        <v>260.08333333333337</v>
      </c>
      <c r="DC9" s="7">
        <v>253.5</v>
      </c>
      <c r="DD9" s="7">
        <v>247.25</v>
      </c>
      <c r="DE9" s="7">
        <v>260.33333333333337</v>
      </c>
      <c r="DF9" s="7">
        <v>266.33333333333331</v>
      </c>
      <c r="DG9" s="7">
        <v>205.91666666666669</v>
      </c>
      <c r="DH9" s="7">
        <v>277.08333333333337</v>
      </c>
      <c r="DI9" s="7">
        <v>269.75</v>
      </c>
      <c r="DJ9" s="7">
        <v>286.25</v>
      </c>
      <c r="DK9" s="46">
        <v>244.91666666666669</v>
      </c>
      <c r="DL9" s="46">
        <v>329.66666666666663</v>
      </c>
      <c r="DM9" s="7">
        <v>249.41666666666666</v>
      </c>
      <c r="DO9" s="7">
        <v>258</v>
      </c>
      <c r="DP9" s="7">
        <v>293.58333333333331</v>
      </c>
      <c r="DQ9" s="7">
        <v>284.66666666666663</v>
      </c>
      <c r="DR9" s="7">
        <v>280.5</v>
      </c>
      <c r="DS9" s="7"/>
      <c r="DT9" s="7">
        <v>237.41666666666666</v>
      </c>
      <c r="DU9" s="7">
        <v>232.5</v>
      </c>
      <c r="DV9" s="7">
        <v>271.25</v>
      </c>
      <c r="DW9" s="7">
        <v>271.75</v>
      </c>
      <c r="DX9" s="7">
        <v>293.91666666666663</v>
      </c>
      <c r="DY9" s="7">
        <v>293.58333333333337</v>
      </c>
      <c r="DZ9" s="7">
        <v>278.41666666666669</v>
      </c>
      <c r="EA9" s="7">
        <v>340.5</v>
      </c>
      <c r="EB9" s="7"/>
      <c r="EC9" s="7">
        <v>306.99999999999994</v>
      </c>
      <c r="ED9" s="7">
        <v>298.5</v>
      </c>
      <c r="EE9" s="7">
        <v>294.5</v>
      </c>
      <c r="EF9" s="7">
        <v>315.83333333333337</v>
      </c>
      <c r="EG9" s="7">
        <v>292.83333333333331</v>
      </c>
      <c r="EH9" s="7">
        <v>294.25</v>
      </c>
      <c r="EI9" s="7">
        <v>297.5</v>
      </c>
      <c r="EJ9" s="7">
        <v>332.75</v>
      </c>
      <c r="EK9" s="7">
        <v>285</v>
      </c>
      <c r="EL9" s="7">
        <v>370.75</v>
      </c>
      <c r="EM9" s="7">
        <v>403.91666666666663</v>
      </c>
      <c r="EN9" s="7">
        <v>362.66666666666669</v>
      </c>
      <c r="EO9" s="7">
        <v>337.5</v>
      </c>
      <c r="EP9" s="7"/>
      <c r="EQ9" s="7">
        <v>275.83333333333337</v>
      </c>
      <c r="ER9" s="7">
        <v>90</v>
      </c>
      <c r="ES9" s="7"/>
      <c r="ET9" s="7"/>
      <c r="EU9" s="7"/>
      <c r="EV9" s="7">
        <v>239.5</v>
      </c>
      <c r="EW9" s="7"/>
      <c r="EX9" s="7">
        <v>253.58333333333331</v>
      </c>
      <c r="EY9" s="7">
        <v>245.58333333333331</v>
      </c>
      <c r="EZ9" s="7">
        <v>245.5</v>
      </c>
      <c r="FA9" s="7">
        <v>283.41666666666663</v>
      </c>
      <c r="FB9" s="7">
        <v>330</v>
      </c>
      <c r="FC9" s="7">
        <v>262.25</v>
      </c>
      <c r="FD9" s="7"/>
      <c r="FE9" s="7">
        <v>278.66666666666663</v>
      </c>
      <c r="FF9" s="7">
        <v>277.08333333333331</v>
      </c>
      <c r="FG9" s="7">
        <v>286.08333333333337</v>
      </c>
      <c r="FH9" s="7">
        <v>297</v>
      </c>
      <c r="FI9" s="7">
        <v>305.25</v>
      </c>
      <c r="FJ9" s="7">
        <v>269</v>
      </c>
      <c r="FK9" s="7">
        <v>210</v>
      </c>
      <c r="FL9" s="7">
        <v>262.91666666666663</v>
      </c>
      <c r="FM9" s="7">
        <v>276.25</v>
      </c>
      <c r="FN9" s="7">
        <v>259.16666666666663</v>
      </c>
      <c r="FO9" s="7">
        <v>251.16666666666666</v>
      </c>
      <c r="FP9" s="7">
        <v>276</v>
      </c>
      <c r="FQ9" s="7">
        <v>240.08333333333334</v>
      </c>
      <c r="FS9" s="7">
        <v>269.41666666666669</v>
      </c>
      <c r="FT9" s="7">
        <v>265.16666666666663</v>
      </c>
      <c r="FU9" s="7">
        <v>288.41666666666669</v>
      </c>
      <c r="FV9" s="7">
        <v>296.83333333333337</v>
      </c>
      <c r="FW9" s="7">
        <v>269.91666666666663</v>
      </c>
      <c r="FX9" s="7">
        <v>266.41666666666663</v>
      </c>
      <c r="FY9" s="7">
        <v>224.75</v>
      </c>
      <c r="FZ9" s="7">
        <v>263</v>
      </c>
      <c r="GA9" s="7">
        <v>236.83333333333334</v>
      </c>
      <c r="GB9" s="7">
        <v>269.5</v>
      </c>
      <c r="GC9" s="2">
        <v>238.83333333333334</v>
      </c>
      <c r="GD9" s="2">
        <v>224.16666666666666</v>
      </c>
      <c r="GE9" s="2">
        <v>243.74999999999997</v>
      </c>
      <c r="GF9" s="2"/>
      <c r="GG9" s="2">
        <v>245.66666666666666</v>
      </c>
      <c r="GH9" s="2">
        <v>222.83333333333334</v>
      </c>
      <c r="GI9" s="2">
        <v>229.25</v>
      </c>
      <c r="GJ9" s="2">
        <v>239.5</v>
      </c>
      <c r="GK9" s="2">
        <v>247.5</v>
      </c>
      <c r="GL9" s="2">
        <v>232</v>
      </c>
      <c r="GM9" s="2">
        <v>194.75</v>
      </c>
      <c r="GN9" s="7">
        <v>255.5</v>
      </c>
      <c r="GO9" s="7">
        <v>244.75</v>
      </c>
      <c r="GP9" s="7">
        <v>277.25</v>
      </c>
      <c r="GQ9" s="7">
        <v>240.75</v>
      </c>
      <c r="GR9" s="7">
        <v>245.16666666666666</v>
      </c>
      <c r="GS9" s="7">
        <v>217.5</v>
      </c>
      <c r="GT9" s="7"/>
      <c r="GU9" s="7">
        <v>285</v>
      </c>
      <c r="GV9" s="7">
        <v>282</v>
      </c>
      <c r="GW9" s="7">
        <v>259.5</v>
      </c>
      <c r="GX9" s="7">
        <v>287.5</v>
      </c>
      <c r="GY9" s="7">
        <v>257.58333333333337</v>
      </c>
      <c r="GZ9" s="7">
        <v>211.91666666666669</v>
      </c>
      <c r="HA9" s="7">
        <v>180</v>
      </c>
      <c r="HB9" s="2">
        <v>260.25</v>
      </c>
      <c r="HC9" s="2">
        <v>286</v>
      </c>
      <c r="HD9" s="2">
        <v>279.83333333333337</v>
      </c>
      <c r="HE9" s="2">
        <v>267</v>
      </c>
      <c r="HF9" s="2">
        <v>270.75</v>
      </c>
      <c r="HG9" s="2">
        <v>217.5</v>
      </c>
      <c r="HI9" s="2">
        <v>234.16666666666666</v>
      </c>
      <c r="HJ9" s="2">
        <v>261</v>
      </c>
      <c r="HK9" s="2">
        <v>236.75</v>
      </c>
      <c r="HL9" s="2">
        <v>263.16666666666663</v>
      </c>
      <c r="HM9" s="2">
        <v>324</v>
      </c>
      <c r="HN9" s="2">
        <v>223.5</v>
      </c>
      <c r="HO9" s="2">
        <v>186.83333333333334</v>
      </c>
      <c r="HP9" s="2">
        <v>278.25</v>
      </c>
      <c r="HQ9" s="2">
        <v>233.66666666666669</v>
      </c>
      <c r="HR9" s="2">
        <v>241.5</v>
      </c>
      <c r="HS9" s="2">
        <v>363.83333333333337</v>
      </c>
      <c r="HT9" s="2">
        <v>394.75</v>
      </c>
      <c r="HU9" s="2">
        <v>433.75</v>
      </c>
      <c r="HV9" s="20"/>
      <c r="HW9" s="3">
        <v>331.5</v>
      </c>
      <c r="HX9" s="3">
        <v>244.5</v>
      </c>
      <c r="HY9" s="3">
        <v>262.08333333333331</v>
      </c>
      <c r="HZ9" s="3">
        <v>269.75</v>
      </c>
      <c r="IA9" s="3">
        <v>300.33333333333337</v>
      </c>
      <c r="IB9" s="3">
        <v>267.08333333333337</v>
      </c>
      <c r="IC9" s="3">
        <v>217.5</v>
      </c>
      <c r="ID9" s="3">
        <v>270</v>
      </c>
      <c r="IE9" s="3">
        <v>251.16666666666666</v>
      </c>
      <c r="IF9" s="3">
        <v>247.00000000000003</v>
      </c>
      <c r="IG9" s="3">
        <v>216.91666666666666</v>
      </c>
      <c r="IH9" s="3">
        <v>235.16666666666669</v>
      </c>
      <c r="II9" s="3">
        <v>224</v>
      </c>
      <c r="IK9" s="2">
        <v>277</v>
      </c>
      <c r="IL9" s="2">
        <v>220.5</v>
      </c>
      <c r="IM9" s="2">
        <v>216</v>
      </c>
      <c r="IN9" s="2">
        <v>282.41666666666663</v>
      </c>
      <c r="IO9" s="2">
        <v>274.66666666666669</v>
      </c>
      <c r="IP9" s="2">
        <v>244.08333333333331</v>
      </c>
      <c r="IQ9" s="2">
        <v>215.5</v>
      </c>
      <c r="IR9" s="7">
        <v>341.08333333333337</v>
      </c>
      <c r="IS9" s="7">
        <v>360</v>
      </c>
      <c r="IT9" s="7">
        <v>350.91666666666663</v>
      </c>
      <c r="IU9" s="7">
        <v>339</v>
      </c>
      <c r="IV9" s="7">
        <v>429.08333333333331</v>
      </c>
      <c r="IW9" s="7">
        <v>356.25</v>
      </c>
      <c r="IY9" s="3">
        <v>477.75</v>
      </c>
      <c r="IZ9" s="3">
        <v>371.33333333333337</v>
      </c>
      <c r="JA9" s="3">
        <v>427.33333333333337</v>
      </c>
      <c r="JB9" s="3">
        <v>359.75</v>
      </c>
      <c r="JC9" s="3">
        <v>428.91666666666663</v>
      </c>
      <c r="JD9" s="3">
        <v>266.83333333333337</v>
      </c>
      <c r="JF9" s="7">
        <v>264</v>
      </c>
      <c r="JG9" s="7">
        <v>267</v>
      </c>
      <c r="JH9" s="7">
        <v>272.16666666666663</v>
      </c>
      <c r="JI9" s="7">
        <v>325.5</v>
      </c>
      <c r="JJ9" s="7">
        <v>295.5</v>
      </c>
      <c r="JK9" s="7">
        <v>216.5</v>
      </c>
      <c r="JL9" s="7"/>
      <c r="JM9" s="3">
        <v>236.91666666666669</v>
      </c>
      <c r="JN9" s="3">
        <v>269.33333333333331</v>
      </c>
      <c r="JO9" s="3">
        <v>315</v>
      </c>
      <c r="JP9" s="3">
        <v>351.66666666666663</v>
      </c>
      <c r="JQ9" s="3">
        <v>261.75</v>
      </c>
      <c r="JR9" s="3">
        <v>269.08333333333337</v>
      </c>
      <c r="JT9" s="7">
        <v>281.08333333333331</v>
      </c>
      <c r="JU9" s="47">
        <v>298</v>
      </c>
      <c r="JV9" s="47">
        <v>313.5</v>
      </c>
      <c r="JW9" s="7">
        <v>318.75</v>
      </c>
      <c r="JX9" s="7">
        <v>337.25</v>
      </c>
      <c r="JY9" s="7">
        <v>267.25</v>
      </c>
      <c r="JZ9" s="7"/>
      <c r="KU9" s="36"/>
      <c r="LE9" s="20"/>
      <c r="LF9" s="20"/>
      <c r="LY9" s="20"/>
      <c r="LZ9" s="62"/>
      <c r="MA9" s="62"/>
      <c r="MB9" s="62"/>
      <c r="MC9" s="62"/>
      <c r="MF9"/>
      <c r="MG9"/>
      <c r="MH9"/>
      <c r="MI9"/>
      <c r="MJ9"/>
      <c r="MK9"/>
      <c r="ML9"/>
      <c r="MM9" s="62"/>
      <c r="MN9" s="62"/>
      <c r="MO9" s="62"/>
      <c r="MP9" s="34"/>
      <c r="MQ9" s="62"/>
      <c r="MR9" s="62"/>
      <c r="MS9" s="62"/>
    </row>
    <row r="10" spans="1:371">
      <c r="A10" s="15">
        <f>+SUM(C10:NC10)</f>
        <v>9034414</v>
      </c>
      <c r="B10" s="16" t="s">
        <v>423</v>
      </c>
      <c r="C10" s="2"/>
      <c r="D10" s="2">
        <v>36497</v>
      </c>
      <c r="E10" s="2">
        <v>41887</v>
      </c>
      <c r="F10" s="7"/>
      <c r="G10" s="2">
        <v>33533</v>
      </c>
      <c r="H10" s="2">
        <v>36163</v>
      </c>
      <c r="I10" s="2">
        <v>39544</v>
      </c>
      <c r="J10" s="2">
        <v>37365</v>
      </c>
      <c r="K10" s="2">
        <v>33689</v>
      </c>
      <c r="L10" s="2">
        <v>31676</v>
      </c>
      <c r="M10" s="7"/>
      <c r="N10" s="2">
        <v>36474</v>
      </c>
      <c r="O10" s="2">
        <v>39652</v>
      </c>
      <c r="P10" s="2">
        <v>34566</v>
      </c>
      <c r="Q10" s="2">
        <v>29720</v>
      </c>
      <c r="R10" s="2">
        <v>31176</v>
      </c>
      <c r="S10" s="2">
        <v>28606</v>
      </c>
      <c r="U10" s="2">
        <v>34987</v>
      </c>
      <c r="V10" s="2">
        <v>37389</v>
      </c>
      <c r="W10" s="2">
        <v>33293</v>
      </c>
      <c r="X10" s="2">
        <v>33678</v>
      </c>
      <c r="Y10" s="2">
        <v>35615</v>
      </c>
      <c r="Z10" s="2">
        <v>31346</v>
      </c>
      <c r="AB10" s="2">
        <v>39148</v>
      </c>
      <c r="AC10" s="2">
        <v>40631</v>
      </c>
      <c r="AD10" s="2">
        <v>39445</v>
      </c>
      <c r="AE10" s="2">
        <v>29810</v>
      </c>
      <c r="AF10" s="2">
        <v>30339</v>
      </c>
      <c r="AG10" s="2">
        <v>26501</v>
      </c>
      <c r="AI10" s="2">
        <v>36670</v>
      </c>
      <c r="AJ10" s="2">
        <v>37232</v>
      </c>
      <c r="AK10" s="2">
        <v>26268</v>
      </c>
      <c r="AL10" s="2">
        <v>37218</v>
      </c>
      <c r="AM10" s="2">
        <v>29337</v>
      </c>
      <c r="AN10" s="2">
        <v>22337</v>
      </c>
      <c r="AO10" s="2"/>
      <c r="AP10" s="2">
        <v>37667</v>
      </c>
      <c r="AQ10" s="2">
        <v>35679</v>
      </c>
      <c r="AR10" s="2">
        <v>30362</v>
      </c>
      <c r="AS10" s="2">
        <v>27385</v>
      </c>
      <c r="AT10" s="2">
        <v>25211</v>
      </c>
      <c r="AU10" s="2">
        <v>26243</v>
      </c>
      <c r="AV10" s="2"/>
      <c r="AW10" s="2">
        <v>30946</v>
      </c>
      <c r="AX10" s="2">
        <v>35223</v>
      </c>
      <c r="AY10" s="2">
        <v>30384</v>
      </c>
      <c r="AZ10" s="2">
        <v>31056</v>
      </c>
      <c r="BA10" s="2">
        <v>33243</v>
      </c>
      <c r="BB10" s="2">
        <v>34584</v>
      </c>
      <c r="BC10" s="2"/>
      <c r="BD10" s="2">
        <v>35097</v>
      </c>
      <c r="BE10" s="2">
        <v>36931</v>
      </c>
      <c r="BF10" s="2">
        <v>39301</v>
      </c>
      <c r="BG10" s="2">
        <v>35716</v>
      </c>
      <c r="BH10" s="2">
        <v>39005</v>
      </c>
      <c r="BI10" s="2">
        <v>34951</v>
      </c>
      <c r="BK10" s="7">
        <v>43598</v>
      </c>
      <c r="BL10" s="7">
        <v>49555</v>
      </c>
      <c r="BM10" s="7">
        <v>43282</v>
      </c>
      <c r="BN10" s="7">
        <v>45672</v>
      </c>
      <c r="BO10" s="7">
        <v>44223</v>
      </c>
      <c r="BP10" s="7">
        <v>46054</v>
      </c>
      <c r="BR10" s="7">
        <v>46564</v>
      </c>
      <c r="BS10" s="7">
        <v>54166</v>
      </c>
      <c r="BT10" s="7">
        <v>53798</v>
      </c>
      <c r="BU10" s="7">
        <v>62461</v>
      </c>
      <c r="BV10" s="7">
        <v>64560</v>
      </c>
      <c r="BW10" s="7">
        <v>70229</v>
      </c>
      <c r="BX10" s="7">
        <v>40302</v>
      </c>
      <c r="BY10" s="7">
        <v>55391</v>
      </c>
      <c r="BZ10" s="7">
        <v>54514</v>
      </c>
      <c r="CA10" s="7">
        <v>37308</v>
      </c>
      <c r="CB10" s="7">
        <v>7327</v>
      </c>
      <c r="CC10" s="7"/>
      <c r="CF10" s="7">
        <v>38772</v>
      </c>
      <c r="CG10" s="7">
        <v>46073</v>
      </c>
      <c r="CH10" s="7">
        <v>52526</v>
      </c>
      <c r="CI10" s="7">
        <v>38588</v>
      </c>
      <c r="CJ10" s="7">
        <v>33914</v>
      </c>
      <c r="CK10" s="7">
        <v>48750</v>
      </c>
      <c r="CM10" s="2">
        <v>33314</v>
      </c>
      <c r="CN10" s="2">
        <v>36239</v>
      </c>
      <c r="CO10" s="2">
        <v>38380</v>
      </c>
      <c r="CP10" s="2">
        <v>43205</v>
      </c>
      <c r="CQ10" s="2">
        <v>41767</v>
      </c>
      <c r="CR10" s="2">
        <v>35218</v>
      </c>
      <c r="CT10" s="7">
        <v>46697</v>
      </c>
      <c r="CU10" s="7">
        <v>37340</v>
      </c>
      <c r="CV10" s="7">
        <v>39559</v>
      </c>
      <c r="CW10" s="7">
        <v>41241</v>
      </c>
      <c r="CX10" s="7">
        <v>53552</v>
      </c>
      <c r="CY10" s="7">
        <v>34775</v>
      </c>
      <c r="DA10" s="7">
        <v>33148</v>
      </c>
      <c r="DB10" s="7">
        <v>31936</v>
      </c>
      <c r="DC10" s="7">
        <v>39071</v>
      </c>
      <c r="DD10" s="7">
        <v>43589</v>
      </c>
      <c r="DE10" s="7">
        <v>39423</v>
      </c>
      <c r="DF10" s="7">
        <v>35283</v>
      </c>
      <c r="DG10" s="7">
        <v>27577</v>
      </c>
      <c r="DH10" s="7">
        <v>35596</v>
      </c>
      <c r="DI10" s="7">
        <v>35497</v>
      </c>
      <c r="DJ10" s="7">
        <v>34932</v>
      </c>
      <c r="DK10" s="7">
        <v>32929</v>
      </c>
      <c r="DL10" s="7">
        <v>42942</v>
      </c>
      <c r="DM10" s="7">
        <v>28966</v>
      </c>
      <c r="DO10" s="7">
        <v>31812</v>
      </c>
      <c r="DP10" s="7">
        <v>36541</v>
      </c>
      <c r="DQ10" s="7">
        <v>30327</v>
      </c>
      <c r="DR10" s="7">
        <v>36615</v>
      </c>
      <c r="DS10" s="7"/>
      <c r="DT10" s="7">
        <v>36393</v>
      </c>
      <c r="DU10" s="7">
        <v>36261</v>
      </c>
      <c r="DV10" s="7">
        <v>35861</v>
      </c>
      <c r="DW10" s="7">
        <v>41753</v>
      </c>
      <c r="DX10" s="7">
        <v>39593</v>
      </c>
      <c r="DY10" s="7">
        <v>39310</v>
      </c>
      <c r="DZ10" s="7">
        <v>39151</v>
      </c>
      <c r="EA10" s="7">
        <v>46968</v>
      </c>
      <c r="EC10" s="7">
        <v>40668</v>
      </c>
      <c r="ED10" s="7">
        <v>47080</v>
      </c>
      <c r="EE10" s="7">
        <v>41297</v>
      </c>
      <c r="EF10" s="7">
        <v>46114</v>
      </c>
      <c r="EG10" s="7">
        <v>41572</v>
      </c>
      <c r="EH10" s="7">
        <v>36248</v>
      </c>
      <c r="EI10" s="7">
        <v>43256</v>
      </c>
      <c r="EJ10" s="7">
        <v>49404</v>
      </c>
      <c r="EK10" s="7">
        <v>36638</v>
      </c>
      <c r="EL10" s="7">
        <v>45658</v>
      </c>
      <c r="EM10" s="7">
        <v>54584</v>
      </c>
      <c r="EN10" s="7">
        <v>51452</v>
      </c>
      <c r="EO10" s="7">
        <v>50001</v>
      </c>
      <c r="EP10" s="7"/>
      <c r="EQ10" s="7">
        <v>41829</v>
      </c>
      <c r="ER10" s="7">
        <v>10963</v>
      </c>
      <c r="ES10" s="7"/>
      <c r="ET10" s="7"/>
      <c r="EU10" s="7"/>
      <c r="EV10" s="7">
        <v>32308</v>
      </c>
      <c r="EX10" s="7">
        <v>45139</v>
      </c>
      <c r="EY10" s="7">
        <v>38923</v>
      </c>
      <c r="EZ10" s="7">
        <v>42057</v>
      </c>
      <c r="FA10" s="7">
        <v>39526</v>
      </c>
      <c r="FB10" s="7">
        <v>38287</v>
      </c>
      <c r="FC10" s="7">
        <v>36883</v>
      </c>
      <c r="FE10" s="7">
        <v>37379</v>
      </c>
      <c r="FF10" s="7">
        <v>38849</v>
      </c>
      <c r="FG10" s="7">
        <v>40921</v>
      </c>
      <c r="FH10" s="7">
        <v>45196</v>
      </c>
      <c r="FI10" s="7">
        <v>40248</v>
      </c>
      <c r="FJ10" s="7">
        <v>40264</v>
      </c>
      <c r="FK10" s="7">
        <v>33129</v>
      </c>
      <c r="FL10" s="7">
        <v>38763</v>
      </c>
      <c r="FM10" s="7">
        <v>37164</v>
      </c>
      <c r="FN10" s="7">
        <v>32445</v>
      </c>
      <c r="FO10" s="7">
        <v>36931</v>
      </c>
      <c r="FP10" s="7">
        <v>40058</v>
      </c>
      <c r="FQ10" s="7">
        <v>33476</v>
      </c>
      <c r="FS10" s="7">
        <v>34801</v>
      </c>
      <c r="FT10" s="7">
        <v>38734</v>
      </c>
      <c r="FU10" s="7">
        <v>37340</v>
      </c>
      <c r="FV10" s="7">
        <v>37570</v>
      </c>
      <c r="FW10" s="7">
        <v>37459</v>
      </c>
      <c r="FX10" s="7">
        <v>39052</v>
      </c>
      <c r="FY10" s="7">
        <v>33892</v>
      </c>
      <c r="FZ10" s="2">
        <v>35097</v>
      </c>
      <c r="GA10" s="2">
        <v>35930</v>
      </c>
      <c r="GB10" s="2">
        <v>36510</v>
      </c>
      <c r="GC10" s="2">
        <v>32973</v>
      </c>
      <c r="GD10" s="2">
        <v>30748</v>
      </c>
      <c r="GE10" s="2">
        <v>26292</v>
      </c>
      <c r="GF10" s="2"/>
      <c r="GG10" s="2">
        <v>30357</v>
      </c>
      <c r="GH10" s="2">
        <v>39881</v>
      </c>
      <c r="GI10" s="2">
        <v>26022</v>
      </c>
      <c r="GJ10" s="2">
        <v>27362</v>
      </c>
      <c r="GK10" s="2">
        <v>29780</v>
      </c>
      <c r="GL10" s="2">
        <v>27246</v>
      </c>
      <c r="GM10" s="2">
        <v>28214</v>
      </c>
      <c r="GN10" s="2">
        <v>30663</v>
      </c>
      <c r="GO10" s="2">
        <v>28435</v>
      </c>
      <c r="GP10" s="2">
        <v>30380</v>
      </c>
      <c r="GQ10" s="2">
        <v>32081</v>
      </c>
      <c r="GR10" s="2">
        <v>23994</v>
      </c>
      <c r="GS10" s="2">
        <v>26849</v>
      </c>
      <c r="GU10" s="2">
        <v>27042</v>
      </c>
      <c r="GV10" s="2">
        <v>35296</v>
      </c>
      <c r="GW10" s="2">
        <v>31254</v>
      </c>
      <c r="GX10" s="2">
        <v>29917</v>
      </c>
      <c r="GY10" s="2">
        <v>29997</v>
      </c>
      <c r="GZ10" s="2">
        <v>28032</v>
      </c>
      <c r="HA10" s="2">
        <v>21807</v>
      </c>
      <c r="HB10" s="7">
        <v>47325</v>
      </c>
      <c r="HC10" s="7">
        <v>30235</v>
      </c>
      <c r="HD10" s="7">
        <v>26892</v>
      </c>
      <c r="HE10" s="7">
        <v>25130</v>
      </c>
      <c r="HF10" s="7">
        <v>34585</v>
      </c>
      <c r="HG10" s="7">
        <v>31115</v>
      </c>
      <c r="HI10" s="7">
        <v>39024</v>
      </c>
      <c r="HJ10" s="7">
        <v>30197</v>
      </c>
      <c r="HK10" s="7">
        <v>26999</v>
      </c>
      <c r="HL10" s="7">
        <v>31388</v>
      </c>
      <c r="HM10" s="7">
        <v>28082</v>
      </c>
      <c r="HN10" s="7">
        <v>29423</v>
      </c>
      <c r="HO10" s="7">
        <v>24177</v>
      </c>
      <c r="HP10" s="7">
        <v>29303</v>
      </c>
      <c r="HQ10" s="7">
        <v>30279</v>
      </c>
      <c r="HR10" s="7">
        <v>28181</v>
      </c>
      <c r="HS10" s="7">
        <v>39836</v>
      </c>
      <c r="HT10" s="7">
        <v>39524</v>
      </c>
      <c r="HU10" s="7">
        <v>36885</v>
      </c>
      <c r="HV10" s="7"/>
      <c r="HW10" s="7">
        <v>40818</v>
      </c>
      <c r="HX10" s="7">
        <v>31049</v>
      </c>
      <c r="HY10" s="7">
        <v>29283</v>
      </c>
      <c r="HZ10" s="7">
        <v>30842</v>
      </c>
      <c r="IA10" s="7">
        <v>29059</v>
      </c>
      <c r="IB10" s="7">
        <v>39154</v>
      </c>
      <c r="IC10" s="7">
        <v>37451</v>
      </c>
      <c r="ID10" s="7">
        <v>35331</v>
      </c>
      <c r="IE10" s="7">
        <v>27992</v>
      </c>
      <c r="IF10" s="7">
        <v>29450</v>
      </c>
      <c r="IG10" s="7">
        <v>26318</v>
      </c>
      <c r="IH10" s="7">
        <v>30074</v>
      </c>
      <c r="II10" s="7">
        <v>29139</v>
      </c>
      <c r="IK10" s="7">
        <v>29592</v>
      </c>
      <c r="IL10" s="7">
        <v>30612</v>
      </c>
      <c r="IM10" s="7">
        <v>29131</v>
      </c>
      <c r="IN10" s="7">
        <v>22593</v>
      </c>
      <c r="IO10" s="7">
        <v>35339</v>
      </c>
      <c r="IP10" s="7">
        <v>33104</v>
      </c>
      <c r="IQ10" s="7">
        <v>31750</v>
      </c>
      <c r="IR10" s="7">
        <v>31841</v>
      </c>
      <c r="IS10" s="7">
        <v>37494</v>
      </c>
      <c r="IT10" s="7">
        <v>26841</v>
      </c>
      <c r="IU10" s="7">
        <v>38681</v>
      </c>
      <c r="IV10" s="7">
        <v>41952</v>
      </c>
      <c r="IW10" s="7">
        <v>46050</v>
      </c>
      <c r="IY10" s="7">
        <v>42357</v>
      </c>
      <c r="IZ10" s="7">
        <v>52566</v>
      </c>
      <c r="JA10" s="7">
        <v>39984</v>
      </c>
      <c r="JB10" s="7">
        <v>38166</v>
      </c>
      <c r="JC10" s="7">
        <v>44444</v>
      </c>
      <c r="JD10" s="7">
        <v>34332</v>
      </c>
      <c r="JF10" s="7">
        <v>42574</v>
      </c>
      <c r="JG10" s="7">
        <v>34731</v>
      </c>
      <c r="JH10" s="7">
        <v>37442</v>
      </c>
      <c r="JI10" s="7">
        <v>38926</v>
      </c>
      <c r="JJ10" s="7">
        <v>34583</v>
      </c>
      <c r="JK10" s="7">
        <v>32472</v>
      </c>
      <c r="JL10" s="7"/>
      <c r="JM10" s="7">
        <v>36192</v>
      </c>
      <c r="JN10" s="7">
        <v>38905</v>
      </c>
      <c r="JO10" s="7">
        <v>46985</v>
      </c>
      <c r="JP10" s="7">
        <v>41425</v>
      </c>
      <c r="JQ10" s="7">
        <v>43035</v>
      </c>
      <c r="JR10" s="7">
        <v>36978</v>
      </c>
      <c r="JT10" s="7">
        <v>41407</v>
      </c>
      <c r="JU10" s="47">
        <v>49283</v>
      </c>
      <c r="JV10" s="47">
        <v>39154</v>
      </c>
      <c r="JW10" s="47">
        <v>44637</v>
      </c>
      <c r="JX10" s="47">
        <v>46085</v>
      </c>
      <c r="JY10" s="47">
        <v>31350</v>
      </c>
      <c r="KB10" s="20"/>
      <c r="LE10" s="20"/>
      <c r="LY10" s="2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V10" s="7"/>
    </row>
    <row r="11" spans="1:371">
      <c r="A11" s="17">
        <f>+A10/A9</f>
        <v>131.54678574028688</v>
      </c>
      <c r="B11" s="18" t="s">
        <v>424</v>
      </c>
      <c r="C11" s="7"/>
      <c r="D11" s="7">
        <f t="shared" ref="D11:BO11" si="15">+IFERROR(D10/D9,"")</f>
        <v>113.81600831600831</v>
      </c>
      <c r="E11" s="7">
        <f t="shared" si="15"/>
        <v>119.33618233618233</v>
      </c>
      <c r="F11" s="7"/>
      <c r="G11" s="7">
        <f t="shared" si="15"/>
        <v>139.96382608695649</v>
      </c>
      <c r="H11" s="7">
        <f t="shared" si="15"/>
        <v>139.40122068743975</v>
      </c>
      <c r="I11" s="7">
        <f t="shared" si="15"/>
        <v>147.36894409937889</v>
      </c>
      <c r="J11" s="7">
        <f t="shared" si="15"/>
        <v>152.97850562947801</v>
      </c>
      <c r="K11" s="7">
        <f t="shared" si="15"/>
        <v>133.73073106185907</v>
      </c>
      <c r="L11" s="7">
        <f t="shared" si="15"/>
        <v>132.48936911815963</v>
      </c>
      <c r="N11" s="7">
        <f t="shared" si="15"/>
        <v>149.38156996587031</v>
      </c>
      <c r="O11" s="7">
        <f t="shared" si="15"/>
        <v>165.21666666666667</v>
      </c>
      <c r="P11" s="7">
        <f t="shared" si="15"/>
        <v>135.5529411764706</v>
      </c>
      <c r="Q11" s="7">
        <f t="shared" si="15"/>
        <v>136.64367816091954</v>
      </c>
      <c r="R11" s="7">
        <f t="shared" si="15"/>
        <v>139.17857142857142</v>
      </c>
      <c r="S11" s="7">
        <f t="shared" si="15"/>
        <v>173.36969696969697</v>
      </c>
      <c r="T11" s="7" t="str">
        <f t="shared" si="15"/>
        <v/>
      </c>
      <c r="U11" s="7">
        <f t="shared" si="15"/>
        <v>161.47846153846154</v>
      </c>
      <c r="V11" s="7">
        <f t="shared" si="15"/>
        <v>122.41964529331514</v>
      </c>
      <c r="W11" s="7">
        <f t="shared" si="15"/>
        <v>108.3580146460537</v>
      </c>
      <c r="X11" s="7">
        <f t="shared" si="15"/>
        <v>133.64285714285714</v>
      </c>
      <c r="Y11" s="7">
        <f t="shared" si="15"/>
        <v>135.67619047619047</v>
      </c>
      <c r="Z11" s="7">
        <f t="shared" si="15"/>
        <v>126.65050505050505</v>
      </c>
      <c r="AA11" s="7" t="str">
        <f t="shared" si="15"/>
        <v/>
      </c>
      <c r="AB11" s="7">
        <f t="shared" si="15"/>
        <v>169.34967555875991</v>
      </c>
      <c r="AC11" s="7">
        <f t="shared" si="15"/>
        <v>154.78476190476189</v>
      </c>
      <c r="AD11" s="7">
        <f t="shared" si="15"/>
        <v>169.65591397849462</v>
      </c>
      <c r="AE11" s="7">
        <f t="shared" si="15"/>
        <v>122.42299794661191</v>
      </c>
      <c r="AF11" s="7">
        <f t="shared" si="15"/>
        <v>122.58181818181818</v>
      </c>
      <c r="AG11" s="7">
        <f t="shared" si="15"/>
        <v>119.86882774217867</v>
      </c>
      <c r="AH11" s="7" t="str">
        <f t="shared" si="15"/>
        <v/>
      </c>
      <c r="AI11" s="7">
        <f t="shared" si="15"/>
        <v>122.23333333333333</v>
      </c>
      <c r="AJ11" s="7">
        <f t="shared" si="15"/>
        <v>146.63078437807678</v>
      </c>
      <c r="AK11" s="7">
        <f t="shared" si="15"/>
        <v>108.13584905660377</v>
      </c>
      <c r="AL11" s="7">
        <f t="shared" si="15"/>
        <v>118.81245011971269</v>
      </c>
      <c r="AM11" s="7">
        <f t="shared" si="15"/>
        <v>106.42200725513908</v>
      </c>
      <c r="AN11" s="7">
        <f t="shared" si="15"/>
        <v>94.28209637706648</v>
      </c>
      <c r="AO11" s="7" t="str">
        <f t="shared" si="15"/>
        <v/>
      </c>
      <c r="AP11" s="7">
        <f t="shared" si="15"/>
        <v>168.59530026109661</v>
      </c>
      <c r="AQ11" s="7">
        <f t="shared" si="15"/>
        <v>148.66249999999999</v>
      </c>
      <c r="AR11" s="7">
        <f t="shared" si="15"/>
        <v>118.87243066884177</v>
      </c>
      <c r="AS11" s="7">
        <f t="shared" si="15"/>
        <v>104.55615653833915</v>
      </c>
      <c r="AT11" s="7">
        <f t="shared" si="15"/>
        <v>102.90204081632653</v>
      </c>
      <c r="AU11" s="7">
        <f t="shared" si="15"/>
        <v>106.85985748218526</v>
      </c>
      <c r="AV11" s="7" t="str">
        <f t="shared" si="15"/>
        <v/>
      </c>
      <c r="AW11" s="7">
        <f t="shared" si="15"/>
        <v>119.02307692307693</v>
      </c>
      <c r="AX11" s="7">
        <f t="shared" si="15"/>
        <v>127.88986384266265</v>
      </c>
      <c r="AY11" s="7">
        <f t="shared" si="15"/>
        <v>117.08670520231213</v>
      </c>
      <c r="AZ11" s="7">
        <f t="shared" si="15"/>
        <v>122.14749262536873</v>
      </c>
      <c r="BA11" s="7">
        <f t="shared" si="15"/>
        <v>124.35037406483789</v>
      </c>
      <c r="BB11" s="7">
        <f t="shared" si="15"/>
        <v>121.45390693590869</v>
      </c>
      <c r="BC11" s="7" t="str">
        <f t="shared" si="15"/>
        <v/>
      </c>
      <c r="BD11" s="7">
        <f t="shared" si="15"/>
        <v>133.83031458531934</v>
      </c>
      <c r="BE11" s="7">
        <f t="shared" si="15"/>
        <v>137.46029776674939</v>
      </c>
      <c r="BF11" s="7">
        <f t="shared" si="15"/>
        <v>145.55925925925925</v>
      </c>
      <c r="BG11" s="7">
        <f t="shared" si="15"/>
        <v>133.35158680771622</v>
      </c>
      <c r="BH11" s="7">
        <f t="shared" si="15"/>
        <v>124.15384615384615</v>
      </c>
      <c r="BI11" s="7">
        <f t="shared" si="15"/>
        <v>126.21486608486309</v>
      </c>
      <c r="BJ11" s="7" t="str">
        <f t="shared" si="15"/>
        <v/>
      </c>
      <c r="BK11" s="7">
        <f t="shared" si="15"/>
        <v>126.46265409717186</v>
      </c>
      <c r="BL11" s="7">
        <f t="shared" si="15"/>
        <v>125.03364171572748</v>
      </c>
      <c r="BM11" s="7">
        <f t="shared" si="15"/>
        <v>147.97264957264957</v>
      </c>
      <c r="BN11" s="7">
        <f t="shared" si="15"/>
        <v>133.77202831340006</v>
      </c>
      <c r="BO11" s="7">
        <f t="shared" si="15"/>
        <v>131.06347246233639</v>
      </c>
      <c r="BP11" s="7">
        <f t="shared" ref="BP11:EB11" si="16">+IFERROR(BP10/BP9,"")</f>
        <v>134.4315251763561</v>
      </c>
      <c r="BQ11" s="7" t="str">
        <f t="shared" si="16"/>
        <v/>
      </c>
      <c r="BR11" s="7">
        <f t="shared" si="16"/>
        <v>141.24570273003036</v>
      </c>
      <c r="BS11" s="7">
        <f t="shared" si="16"/>
        <v>164.55493670886074</v>
      </c>
      <c r="BT11" s="7">
        <f t="shared" si="16"/>
        <v>154.29636711281069</v>
      </c>
      <c r="BU11" s="7">
        <f t="shared" si="16"/>
        <v>172.22702205882354</v>
      </c>
      <c r="BV11" s="7">
        <f t="shared" si="16"/>
        <v>180.29322783337213</v>
      </c>
      <c r="BW11" s="7">
        <f t="shared" si="16"/>
        <v>199.84538771638609</v>
      </c>
      <c r="BX11" s="7">
        <f t="shared" si="16"/>
        <v>154.80921895006401</v>
      </c>
      <c r="BY11" s="7">
        <f t="shared" si="16"/>
        <v>161.13745454545455</v>
      </c>
      <c r="BZ11" s="7">
        <f t="shared" si="16"/>
        <v>174.35181236673776</v>
      </c>
      <c r="CA11" s="7">
        <f t="shared" si="16"/>
        <v>138.94972067039106</v>
      </c>
      <c r="CB11" s="7">
        <f t="shared" si="16"/>
        <v>84.137799043062188</v>
      </c>
      <c r="CC11" s="7" t="str">
        <f t="shared" si="16"/>
        <v/>
      </c>
      <c r="CD11" s="7" t="str">
        <f t="shared" si="16"/>
        <v/>
      </c>
      <c r="CE11" s="7" t="str">
        <f t="shared" si="16"/>
        <v/>
      </c>
      <c r="CF11" s="7">
        <f t="shared" si="16"/>
        <v>152.1962708537782</v>
      </c>
      <c r="CG11" s="7">
        <f t="shared" si="16"/>
        <v>171.11606313834727</v>
      </c>
      <c r="CH11" s="7">
        <f t="shared" si="16"/>
        <v>159.85594724828812</v>
      </c>
      <c r="CI11" s="7">
        <f t="shared" si="16"/>
        <v>138.93069306930693</v>
      </c>
      <c r="CJ11" s="7">
        <f t="shared" si="16"/>
        <v>107.12503290339562</v>
      </c>
      <c r="CK11" s="7">
        <f t="shared" si="16"/>
        <v>171.6549295774648</v>
      </c>
      <c r="CL11" s="7" t="str">
        <f t="shared" si="16"/>
        <v/>
      </c>
      <c r="CM11" s="7">
        <f t="shared" si="16"/>
        <v>116.78878177037686</v>
      </c>
      <c r="CN11" s="7">
        <f t="shared" si="16"/>
        <v>120.9983305509182</v>
      </c>
      <c r="CO11" s="7">
        <f t="shared" si="16"/>
        <v>119.65705378020265</v>
      </c>
      <c r="CP11" s="7">
        <f t="shared" si="16"/>
        <v>115.77936578829836</v>
      </c>
      <c r="CQ11" s="7">
        <f t="shared" si="16"/>
        <v>130.04774260508563</v>
      </c>
      <c r="CR11" s="7">
        <f t="shared" si="16"/>
        <v>136.23984526112184</v>
      </c>
      <c r="CS11" s="7" t="str">
        <f t="shared" si="16"/>
        <v/>
      </c>
      <c r="CT11" s="7">
        <f t="shared" si="16"/>
        <v>145.32261410788379</v>
      </c>
      <c r="CU11" s="7">
        <f t="shared" si="16"/>
        <v>119.01195219123505</v>
      </c>
      <c r="CV11" s="7">
        <f t="shared" si="16"/>
        <v>119.63407258064518</v>
      </c>
      <c r="CW11" s="7">
        <f t="shared" si="16"/>
        <v>124.97272727272727</v>
      </c>
      <c r="CX11" s="7">
        <f t="shared" si="16"/>
        <v>162.81327590575123</v>
      </c>
      <c r="CY11" s="7">
        <f t="shared" si="16"/>
        <v>125.24009603841536</v>
      </c>
      <c r="CZ11" s="7" t="str">
        <f t="shared" si="16"/>
        <v/>
      </c>
      <c r="DA11" s="7">
        <f t="shared" si="16"/>
        <v>120.02896801448402</v>
      </c>
      <c r="DB11" s="7">
        <f t="shared" si="16"/>
        <v>122.79141300865106</v>
      </c>
      <c r="DC11" s="7">
        <f t="shared" si="16"/>
        <v>154.12623274161734</v>
      </c>
      <c r="DD11" s="7">
        <f t="shared" si="16"/>
        <v>176.29524772497473</v>
      </c>
      <c r="DE11" s="7">
        <f t="shared" si="16"/>
        <v>151.43277848911649</v>
      </c>
      <c r="DF11" s="7">
        <f t="shared" si="16"/>
        <v>132.47684605757198</v>
      </c>
      <c r="DG11" s="7">
        <f t="shared" si="16"/>
        <v>133.92310805341967</v>
      </c>
      <c r="DH11" s="7">
        <f t="shared" si="16"/>
        <v>128.46676691729323</v>
      </c>
      <c r="DI11" s="7">
        <f t="shared" si="16"/>
        <v>131.59221501390175</v>
      </c>
      <c r="DJ11" s="7">
        <f t="shared" si="16"/>
        <v>122.03318777292577</v>
      </c>
      <c r="DK11" s="7">
        <f t="shared" si="16"/>
        <v>134.4498128615175</v>
      </c>
      <c r="DL11" s="7">
        <f t="shared" si="16"/>
        <v>130.2588473205258</v>
      </c>
      <c r="DM11" s="7">
        <f t="shared" si="16"/>
        <v>116.13498162378885</v>
      </c>
      <c r="DN11" s="7" t="str">
        <f t="shared" si="16"/>
        <v/>
      </c>
      <c r="DO11" s="7">
        <f t="shared" si="16"/>
        <v>123.30232558139535</v>
      </c>
      <c r="DP11" s="7">
        <f t="shared" si="16"/>
        <v>124.46551234743117</v>
      </c>
      <c r="DQ11" s="7">
        <f t="shared" si="16"/>
        <v>106.53512880562063</v>
      </c>
      <c r="DR11" s="7">
        <f t="shared" si="16"/>
        <v>130.53475935828877</v>
      </c>
      <c r="DS11" s="7" t="str">
        <f t="shared" si="16"/>
        <v/>
      </c>
      <c r="DT11" s="7">
        <f t="shared" si="16"/>
        <v>153.28746928746929</v>
      </c>
      <c r="DU11" s="7">
        <f t="shared" si="16"/>
        <v>155.96129032258065</v>
      </c>
      <c r="DV11" s="7">
        <f t="shared" si="16"/>
        <v>132.20645161290324</v>
      </c>
      <c r="DW11" s="7">
        <f t="shared" si="16"/>
        <v>153.64489420423183</v>
      </c>
      <c r="DX11" s="7">
        <f t="shared" si="16"/>
        <v>134.70825063793595</v>
      </c>
      <c r="DY11" s="7">
        <f t="shared" si="16"/>
        <v>133.89724666477431</v>
      </c>
      <c r="DZ11" s="7">
        <f t="shared" si="16"/>
        <v>140.62017360071835</v>
      </c>
      <c r="EA11" s="7">
        <f t="shared" si="16"/>
        <v>137.93832599118943</v>
      </c>
      <c r="EB11" s="7" t="str">
        <f t="shared" si="16"/>
        <v/>
      </c>
      <c r="EC11" s="7">
        <f t="shared" ref="EC11:GN11" si="17">+IFERROR(EC10/EC9,"")</f>
        <v>132.46905537459287</v>
      </c>
      <c r="ED11" s="7">
        <f t="shared" si="17"/>
        <v>157.72194304857621</v>
      </c>
      <c r="EE11" s="7">
        <f t="shared" si="17"/>
        <v>140.22750424448216</v>
      </c>
      <c r="EF11" s="7">
        <f t="shared" si="17"/>
        <v>146.0073878627968</v>
      </c>
      <c r="EG11" s="7">
        <f t="shared" si="17"/>
        <v>141.9647125782584</v>
      </c>
      <c r="EH11" s="7">
        <f t="shared" si="17"/>
        <v>123.18776550552252</v>
      </c>
      <c r="EI11" s="7">
        <f t="shared" si="17"/>
        <v>145.39831932773109</v>
      </c>
      <c r="EJ11" s="7">
        <f t="shared" si="17"/>
        <v>148.47182569496618</v>
      </c>
      <c r="EK11" s="7">
        <f t="shared" si="17"/>
        <v>128.55438596491229</v>
      </c>
      <c r="EL11" s="7">
        <f t="shared" si="17"/>
        <v>123.15037086985839</v>
      </c>
      <c r="EM11" s="7">
        <f t="shared" si="17"/>
        <v>135.13678564060245</v>
      </c>
      <c r="EN11" s="7">
        <f t="shared" si="17"/>
        <v>141.87132352941177</v>
      </c>
      <c r="EO11" s="7">
        <f t="shared" si="17"/>
        <v>148.15111111111111</v>
      </c>
      <c r="EP11" s="7" t="str">
        <f t="shared" si="17"/>
        <v/>
      </c>
      <c r="EQ11" s="7">
        <f t="shared" si="17"/>
        <v>151.64592145015104</v>
      </c>
      <c r="ER11" s="7">
        <f t="shared" si="17"/>
        <v>121.81111111111112</v>
      </c>
      <c r="ES11" s="7" t="str">
        <f t="shared" si="17"/>
        <v/>
      </c>
      <c r="ET11" s="7" t="str">
        <f t="shared" si="17"/>
        <v/>
      </c>
      <c r="EU11" s="7" t="str">
        <f t="shared" si="17"/>
        <v/>
      </c>
      <c r="EV11" s="7">
        <f t="shared" si="17"/>
        <v>134.89770354906054</v>
      </c>
      <c r="EW11" s="7" t="str">
        <f t="shared" si="17"/>
        <v/>
      </c>
      <c r="EX11" s="7">
        <f t="shared" si="17"/>
        <v>178.00460072297076</v>
      </c>
      <c r="EY11" s="7">
        <f t="shared" si="17"/>
        <v>158.49202578893792</v>
      </c>
      <c r="EZ11" s="7">
        <f t="shared" si="17"/>
        <v>171.31160896130345</v>
      </c>
      <c r="FA11" s="7">
        <f t="shared" si="17"/>
        <v>139.46251102616878</v>
      </c>
      <c r="FB11" s="7">
        <f t="shared" si="17"/>
        <v>116.02121212121212</v>
      </c>
      <c r="FC11" s="7">
        <f t="shared" si="17"/>
        <v>140.64061010486176</v>
      </c>
      <c r="FD11" s="7" t="str">
        <f t="shared" si="17"/>
        <v/>
      </c>
      <c r="FE11" s="7">
        <f t="shared" si="17"/>
        <v>134.13516746411486</v>
      </c>
      <c r="FF11" s="7">
        <f t="shared" si="17"/>
        <v>140.20691729323309</v>
      </c>
      <c r="FG11" s="7">
        <f t="shared" si="17"/>
        <v>143.03874162540052</v>
      </c>
      <c r="FH11" s="7">
        <f t="shared" si="17"/>
        <v>152.17508417508418</v>
      </c>
      <c r="FI11" s="7">
        <f t="shared" si="17"/>
        <v>131.85257985257985</v>
      </c>
      <c r="FJ11" s="7">
        <f t="shared" si="17"/>
        <v>149.68029739776952</v>
      </c>
      <c r="FK11" s="7">
        <f t="shared" si="17"/>
        <v>157.75714285714287</v>
      </c>
      <c r="FL11" s="7">
        <f t="shared" si="17"/>
        <v>147.43454833597465</v>
      </c>
      <c r="FM11" s="7">
        <f t="shared" si="17"/>
        <v>134.53031674208145</v>
      </c>
      <c r="FN11" s="7">
        <f t="shared" si="17"/>
        <v>125.18971061093249</v>
      </c>
      <c r="FO11" s="7">
        <f t="shared" si="17"/>
        <v>147.03782349037823</v>
      </c>
      <c r="FP11" s="7">
        <f t="shared" si="17"/>
        <v>145.13768115942028</v>
      </c>
      <c r="FQ11" s="7">
        <f t="shared" si="17"/>
        <v>139.4349184311003</v>
      </c>
      <c r="FR11" s="7" t="str">
        <f t="shared" si="17"/>
        <v/>
      </c>
      <c r="FS11" s="7">
        <f t="shared" si="17"/>
        <v>129.17166718218371</v>
      </c>
      <c r="FT11" s="7">
        <f t="shared" si="17"/>
        <v>146.07416719044627</v>
      </c>
      <c r="FU11" s="7">
        <f t="shared" si="17"/>
        <v>129.46547240681883</v>
      </c>
      <c r="FV11" s="7">
        <f t="shared" si="17"/>
        <v>126.56934306569342</v>
      </c>
      <c r="FW11" s="7">
        <f t="shared" si="17"/>
        <v>138.7798703303489</v>
      </c>
      <c r="FX11" s="7">
        <f t="shared" si="17"/>
        <v>146.582421019706</v>
      </c>
      <c r="FY11" s="7">
        <f t="shared" si="17"/>
        <v>150.79866518353725</v>
      </c>
      <c r="FZ11" s="7">
        <f t="shared" si="17"/>
        <v>133.44866920152091</v>
      </c>
      <c r="GA11" s="7">
        <f t="shared" si="17"/>
        <v>151.71006333567908</v>
      </c>
      <c r="GB11" s="7">
        <f t="shared" si="17"/>
        <v>135.47309833024119</v>
      </c>
      <c r="GC11" s="2">
        <f t="shared" si="17"/>
        <v>138.05861828332169</v>
      </c>
      <c r="GD11" s="2">
        <f t="shared" si="17"/>
        <v>137.16579925650558</v>
      </c>
      <c r="GE11" s="2">
        <f t="shared" si="17"/>
        <v>107.86461538461539</v>
      </c>
      <c r="GF11" s="2" t="str">
        <f t="shared" si="17"/>
        <v/>
      </c>
      <c r="GG11" s="2">
        <f t="shared" si="17"/>
        <v>123.56987788331072</v>
      </c>
      <c r="GH11" s="2">
        <f t="shared" si="17"/>
        <v>178.97232610321615</v>
      </c>
      <c r="GI11" s="2">
        <f t="shared" si="17"/>
        <v>113.5092693565976</v>
      </c>
      <c r="GJ11" s="2">
        <f t="shared" si="17"/>
        <v>114.2463465553236</v>
      </c>
      <c r="GK11" s="2">
        <f t="shared" si="17"/>
        <v>120.32323232323232</v>
      </c>
      <c r="GL11" s="2">
        <f t="shared" si="17"/>
        <v>117.43965517241379</v>
      </c>
      <c r="GM11" s="2">
        <f t="shared" si="17"/>
        <v>144.87291399229781</v>
      </c>
      <c r="GN11" s="2">
        <f t="shared" si="17"/>
        <v>120.01174168297456</v>
      </c>
      <c r="GO11" s="2">
        <f t="shared" ref="GO11:IZ11" si="18">+IFERROR(GO10/GO9,"")</f>
        <v>116.17977528089888</v>
      </c>
      <c r="GP11" s="2">
        <f t="shared" si="18"/>
        <v>109.57619477006313</v>
      </c>
      <c r="GQ11" s="2">
        <f t="shared" si="18"/>
        <v>133.25441329179648</v>
      </c>
      <c r="GR11" s="2">
        <f t="shared" si="18"/>
        <v>97.868116927260374</v>
      </c>
      <c r="GS11" s="2">
        <f t="shared" si="18"/>
        <v>123.44367816091955</v>
      </c>
      <c r="GT11" s="2" t="str">
        <f t="shared" si="18"/>
        <v/>
      </c>
      <c r="GU11" s="2">
        <f t="shared" si="18"/>
        <v>94.884210526315783</v>
      </c>
      <c r="GV11" s="2">
        <f t="shared" si="18"/>
        <v>125.16312056737588</v>
      </c>
      <c r="GW11" s="2">
        <f t="shared" si="18"/>
        <v>120.4393063583815</v>
      </c>
      <c r="GX11" s="2">
        <f t="shared" si="18"/>
        <v>104.0591304347826</v>
      </c>
      <c r="GY11" s="2">
        <f t="shared" si="18"/>
        <v>116.45551601423486</v>
      </c>
      <c r="GZ11" s="2">
        <f t="shared" si="18"/>
        <v>132.27841132520643</v>
      </c>
      <c r="HA11" s="2">
        <f t="shared" si="18"/>
        <v>121.15</v>
      </c>
      <c r="HB11" s="2">
        <f t="shared" si="18"/>
        <v>181.84438040345822</v>
      </c>
      <c r="HC11" s="2">
        <f t="shared" si="18"/>
        <v>105.71678321678321</v>
      </c>
      <c r="HD11" s="2">
        <f t="shared" si="18"/>
        <v>96.100059559261453</v>
      </c>
      <c r="HE11" s="2">
        <f t="shared" si="18"/>
        <v>94.119850187265911</v>
      </c>
      <c r="HF11" s="2">
        <f t="shared" si="18"/>
        <v>127.73776546629732</v>
      </c>
      <c r="HG11" s="2">
        <f t="shared" si="18"/>
        <v>143.05747126436782</v>
      </c>
      <c r="HH11" s="2" t="str">
        <f t="shared" si="18"/>
        <v/>
      </c>
      <c r="HI11" s="2">
        <f t="shared" si="18"/>
        <v>166.65053380782919</v>
      </c>
      <c r="HJ11" s="2">
        <f t="shared" si="18"/>
        <v>115.69731800766283</v>
      </c>
      <c r="HK11" s="2">
        <f t="shared" si="18"/>
        <v>114.04012671594509</v>
      </c>
      <c r="HL11" s="2">
        <f t="shared" si="18"/>
        <v>119.27042431918937</v>
      </c>
      <c r="HM11" s="2">
        <f t="shared" si="18"/>
        <v>86.672839506172835</v>
      </c>
      <c r="HN11" s="2">
        <f t="shared" si="18"/>
        <v>131.64653243847874</v>
      </c>
      <c r="HO11" s="2">
        <f t="shared" si="18"/>
        <v>129.40410347903656</v>
      </c>
      <c r="HP11" s="2">
        <f t="shared" si="18"/>
        <v>105.31176999101527</v>
      </c>
      <c r="HQ11" s="2">
        <f t="shared" si="18"/>
        <v>129.58202567760341</v>
      </c>
      <c r="HR11" s="2">
        <f t="shared" si="18"/>
        <v>116.69151138716356</v>
      </c>
      <c r="HS11" s="2">
        <f t="shared" si="18"/>
        <v>109.4896930829134</v>
      </c>
      <c r="HT11" s="2">
        <f t="shared" si="18"/>
        <v>100.12412919569347</v>
      </c>
      <c r="HU11" s="2">
        <f t="shared" si="18"/>
        <v>85.037463976945247</v>
      </c>
      <c r="HV11" s="2" t="str">
        <f t="shared" si="18"/>
        <v/>
      </c>
      <c r="HW11" s="2">
        <f t="shared" si="18"/>
        <v>123.13122171945702</v>
      </c>
      <c r="HX11" s="2">
        <f t="shared" si="18"/>
        <v>126.98977505112474</v>
      </c>
      <c r="HY11" s="2">
        <f t="shared" si="18"/>
        <v>111.73163751987282</v>
      </c>
      <c r="HZ11" s="2">
        <f t="shared" si="18"/>
        <v>114.33549582947174</v>
      </c>
      <c r="IA11" s="2">
        <f t="shared" si="18"/>
        <v>96.755826859045499</v>
      </c>
      <c r="IB11" s="2">
        <f t="shared" si="18"/>
        <v>146.59843993759748</v>
      </c>
      <c r="IC11" s="2">
        <f t="shared" si="18"/>
        <v>172.18850574712644</v>
      </c>
      <c r="ID11" s="2">
        <f t="shared" si="18"/>
        <v>130.85555555555555</v>
      </c>
      <c r="IE11" s="2">
        <f t="shared" si="18"/>
        <v>111.4479097544791</v>
      </c>
      <c r="IF11" s="2">
        <f t="shared" si="18"/>
        <v>119.23076923076921</v>
      </c>
      <c r="IG11" s="2">
        <f t="shared" si="18"/>
        <v>121.32769880906646</v>
      </c>
      <c r="IH11" s="2">
        <f t="shared" si="18"/>
        <v>127.88377037562012</v>
      </c>
      <c r="II11" s="2">
        <f t="shared" si="18"/>
        <v>130.08482142857142</v>
      </c>
      <c r="IJ11" s="2" t="str">
        <f t="shared" si="18"/>
        <v/>
      </c>
      <c r="IK11" s="2">
        <f t="shared" si="18"/>
        <v>106.83032490974729</v>
      </c>
      <c r="IL11" s="2">
        <f t="shared" si="18"/>
        <v>138.82993197278913</v>
      </c>
      <c r="IM11" s="2">
        <f t="shared" si="18"/>
        <v>134.86574074074073</v>
      </c>
      <c r="IN11" s="2">
        <f t="shared" si="18"/>
        <v>79.998819710829167</v>
      </c>
      <c r="IO11" s="2">
        <f t="shared" si="18"/>
        <v>128.66140776699029</v>
      </c>
      <c r="IP11" s="2">
        <f t="shared" si="18"/>
        <v>135.62581085694777</v>
      </c>
      <c r="IQ11" s="2">
        <f t="shared" si="18"/>
        <v>147.33178654292342</v>
      </c>
      <c r="IR11" s="2">
        <f t="shared" si="18"/>
        <v>93.352553139506469</v>
      </c>
      <c r="IS11" s="2">
        <f t="shared" si="18"/>
        <v>104.15</v>
      </c>
      <c r="IT11" s="2">
        <f t="shared" si="18"/>
        <v>76.488245072429365</v>
      </c>
      <c r="IU11" s="2">
        <f t="shared" si="18"/>
        <v>114.10324483775811</v>
      </c>
      <c r="IV11" s="2">
        <f t="shared" si="18"/>
        <v>97.771217712177119</v>
      </c>
      <c r="IW11" s="2">
        <f t="shared" si="18"/>
        <v>129.26315789473685</v>
      </c>
      <c r="IX11" s="2" t="str">
        <f t="shared" si="18"/>
        <v/>
      </c>
      <c r="IY11" s="2">
        <f t="shared" si="18"/>
        <v>88.659340659340657</v>
      </c>
      <c r="IZ11" s="2">
        <f t="shared" si="18"/>
        <v>141.56014362657089</v>
      </c>
      <c r="JA11" s="2">
        <f t="shared" ref="JA11:JZ11" si="19">+IFERROR(JA10/JA9,"")</f>
        <v>93.566302652106074</v>
      </c>
      <c r="JB11" s="2">
        <f t="shared" si="19"/>
        <v>106.09034051424601</v>
      </c>
      <c r="JC11" s="2">
        <f t="shared" si="19"/>
        <v>103.61919564795028</v>
      </c>
      <c r="JD11" s="2">
        <f t="shared" si="19"/>
        <v>128.66458463460336</v>
      </c>
      <c r="JE11" s="2" t="str">
        <f t="shared" si="19"/>
        <v/>
      </c>
      <c r="JF11" s="2">
        <f t="shared" si="19"/>
        <v>161.2651515151515</v>
      </c>
      <c r="JG11" s="2">
        <f t="shared" si="19"/>
        <v>130.07865168539325</v>
      </c>
      <c r="JH11" s="2">
        <f t="shared" si="19"/>
        <v>137.57011635027558</v>
      </c>
      <c r="JI11" s="2">
        <f t="shared" si="19"/>
        <v>119.58832565284179</v>
      </c>
      <c r="JJ11" s="2">
        <f t="shared" si="19"/>
        <v>117.0321489001692</v>
      </c>
      <c r="JK11" s="2">
        <f t="shared" si="19"/>
        <v>149.98614318706697</v>
      </c>
      <c r="JL11" s="2" t="str">
        <f t="shared" si="19"/>
        <v/>
      </c>
      <c r="JM11" s="2">
        <f t="shared" si="19"/>
        <v>152.76257474498769</v>
      </c>
      <c r="JN11" s="2">
        <f t="shared" si="19"/>
        <v>144.44925742574259</v>
      </c>
      <c r="JO11" s="2">
        <f t="shared" si="19"/>
        <v>149.15873015873015</v>
      </c>
      <c r="JP11" s="2">
        <f t="shared" si="19"/>
        <v>117.7962085308057</v>
      </c>
      <c r="JQ11" s="2">
        <f t="shared" si="19"/>
        <v>164.41260744985672</v>
      </c>
      <c r="JR11" s="2">
        <f t="shared" si="19"/>
        <v>137.42211210901206</v>
      </c>
      <c r="JS11" s="2" t="str">
        <f t="shared" si="19"/>
        <v/>
      </c>
      <c r="JT11" s="2">
        <f t="shared" si="19"/>
        <v>147.31218499851764</v>
      </c>
      <c r="JU11" s="2">
        <f t="shared" si="19"/>
        <v>165.37919463087249</v>
      </c>
      <c r="JV11" s="2">
        <f t="shared" si="19"/>
        <v>124.89314194577352</v>
      </c>
      <c r="JW11" s="2">
        <f t="shared" si="19"/>
        <v>140.03764705882352</v>
      </c>
      <c r="JX11" s="2">
        <f t="shared" si="19"/>
        <v>136.64936990363233</v>
      </c>
      <c r="JY11" s="2">
        <f t="shared" si="19"/>
        <v>117.30589335827877</v>
      </c>
      <c r="JZ11" s="2" t="str">
        <f t="shared" si="19"/>
        <v/>
      </c>
      <c r="LY11" s="83"/>
      <c r="LZ11" s="34"/>
      <c r="MA11" s="34"/>
      <c r="MB11" s="34"/>
      <c r="MC11" s="34"/>
      <c r="MD11" s="34"/>
      <c r="ME11" s="34"/>
      <c r="MF11" s="34"/>
      <c r="MG11" s="34"/>
      <c r="MH11" s="34"/>
      <c r="MI11" s="34"/>
      <c r="MJ11" s="34"/>
      <c r="MK11" s="34"/>
      <c r="ML11" s="34"/>
      <c r="MM11" s="34"/>
      <c r="MN11" s="34"/>
      <c r="MO11" s="34"/>
      <c r="MP11" s="34"/>
      <c r="MQ11" s="34"/>
      <c r="MR11" s="34"/>
      <c r="MS11" s="34"/>
      <c r="MV11" s="7"/>
    </row>
    <row r="12" spans="1:371">
      <c r="G12" s="20"/>
      <c r="N12" s="20"/>
      <c r="AB12" s="20"/>
      <c r="AI12" s="20"/>
      <c r="AJ12" s="20"/>
      <c r="AP12" s="20"/>
      <c r="BY12" s="20"/>
      <c r="CF12" s="20"/>
      <c r="CM12" s="20"/>
      <c r="CT12" s="20"/>
      <c r="DA12" s="20"/>
      <c r="DH12" s="20"/>
      <c r="DO12" s="20"/>
      <c r="EC12" s="20"/>
      <c r="EJ12" s="20"/>
      <c r="EQ12" s="20"/>
      <c r="EX12" s="20"/>
      <c r="FS12" s="20"/>
      <c r="FZ12" s="20"/>
      <c r="GC12" s="2"/>
      <c r="GD12" s="2"/>
      <c r="GE12" s="2"/>
      <c r="GF12" s="2"/>
      <c r="GG12" s="20"/>
      <c r="GN12" s="20"/>
      <c r="GU12" s="20"/>
      <c r="HB12" s="20"/>
      <c r="HI12" s="20"/>
      <c r="HP12" s="20"/>
      <c r="HW12" s="20"/>
      <c r="ID12" s="20"/>
      <c r="IK12" s="20"/>
      <c r="IR12" s="20"/>
      <c r="IY12" s="20"/>
      <c r="JF12" s="20"/>
      <c r="JM12" s="20"/>
      <c r="JT12" s="20"/>
      <c r="LD12" s="71"/>
      <c r="LE12" s="93"/>
    </row>
    <row r="13" spans="1:371">
      <c r="G13" s="20"/>
      <c r="N13" s="20"/>
      <c r="U13" s="20"/>
      <c r="AB13" s="20"/>
      <c r="AI13" s="20"/>
      <c r="AP13" s="20"/>
      <c r="BD13" s="20"/>
      <c r="BK13" s="20"/>
      <c r="BY13" s="20"/>
      <c r="CF13" s="20"/>
      <c r="CM13" s="20"/>
      <c r="CT13" s="20"/>
      <c r="DA13" s="20"/>
      <c r="DH13" s="20"/>
      <c r="DO13" s="20"/>
      <c r="EC13" s="20"/>
      <c r="EJ13" s="20"/>
      <c r="EQ13" s="20"/>
      <c r="EX13" s="20"/>
      <c r="FS13" s="20"/>
      <c r="FZ13" s="20"/>
      <c r="GG13" s="20"/>
      <c r="GN13" s="20"/>
      <c r="GU13" s="20"/>
      <c r="HB13" s="20"/>
      <c r="HI13" s="20"/>
      <c r="HP13" s="20"/>
      <c r="HW13" s="20"/>
      <c r="ID13" s="20"/>
      <c r="IK13" s="20"/>
      <c r="IR13" s="20"/>
      <c r="IY13" s="20"/>
      <c r="JF13" s="20"/>
      <c r="JM13" s="20"/>
      <c r="JT13" s="20"/>
      <c r="LD13" s="71"/>
      <c r="LE13" s="93"/>
    </row>
    <row r="14" spans="1:371">
      <c r="N14" s="20"/>
      <c r="U14" s="20"/>
      <c r="AB14" s="20"/>
      <c r="AI14" s="20"/>
      <c r="AP14" s="20"/>
      <c r="AW14" s="20"/>
      <c r="BD14" s="20"/>
      <c r="BK14" s="20"/>
      <c r="BY14" s="20"/>
      <c r="CF14" s="20"/>
      <c r="CM14" s="20"/>
      <c r="CT14" s="20"/>
      <c r="DA14" s="20"/>
      <c r="DH14" s="20"/>
      <c r="DO14" s="20"/>
      <c r="EC14" s="20"/>
      <c r="EJ14" s="20"/>
      <c r="EQ14" s="20"/>
      <c r="EX14" s="20"/>
      <c r="FE14" s="6"/>
      <c r="FL14" s="6"/>
      <c r="FS14" s="20"/>
      <c r="FZ14" s="20"/>
      <c r="GG14" s="20"/>
      <c r="GN14" s="20"/>
      <c r="GP14" s="63"/>
      <c r="GU14" s="20"/>
      <c r="HB14" s="20"/>
      <c r="HI14" s="20"/>
      <c r="HP14" s="20"/>
      <c r="HW14" s="20"/>
      <c r="HZ14" s="20"/>
      <c r="ID14" s="20"/>
      <c r="IK14" s="20"/>
      <c r="IR14" s="20"/>
      <c r="IY14" s="20"/>
      <c r="JF14" s="20"/>
      <c r="JM14" s="20"/>
      <c r="JT14" s="20"/>
      <c r="LD14" s="71"/>
      <c r="LE14" s="93"/>
    </row>
    <row r="15" spans="1:371">
      <c r="U15" s="20"/>
      <c r="AW15" s="20"/>
      <c r="BD15" s="20"/>
      <c r="BK15" s="20"/>
      <c r="LD15" s="71"/>
      <c r="LE15" s="93"/>
    </row>
    <row r="16" spans="1:371">
      <c r="AW16" s="20"/>
      <c r="JR16"/>
      <c r="LD16" s="71"/>
      <c r="LE16" s="93"/>
    </row>
    <row r="17" spans="9:317">
      <c r="I17" s="163"/>
      <c r="J17"/>
      <c r="LD17" s="93"/>
      <c r="LE17" s="93"/>
    </row>
    <row r="18" spans="9:317">
      <c r="I18"/>
      <c r="J18"/>
      <c r="JT18"/>
    </row>
    <row r="19" spans="9:317" ht="16.8">
      <c r="I19" s="164"/>
      <c r="J19" s="164"/>
    </row>
    <row r="20" spans="9:317" ht="16.8">
      <c r="I20" s="165"/>
      <c r="J20" s="164"/>
    </row>
    <row r="21" spans="9:317" ht="16.8">
      <c r="I21" s="165"/>
      <c r="J21" s="164"/>
    </row>
    <row r="22" spans="9:317" ht="16.8">
      <c r="I22" s="165"/>
      <c r="J22" s="164"/>
    </row>
    <row r="23" spans="9:317" ht="16.8">
      <c r="I23" s="165"/>
      <c r="J23" s="164"/>
    </row>
    <row r="24" spans="9:317" ht="16.8">
      <c r="I24" s="165"/>
      <c r="J24" s="164"/>
    </row>
    <row r="25" spans="9:317" ht="16.8">
      <c r="I25" s="165"/>
      <c r="J25" s="164"/>
    </row>
    <row r="26" spans="9:317" ht="16.8">
      <c r="I26" s="165"/>
      <c r="J26" s="164"/>
    </row>
    <row r="27" spans="9:317" ht="16.8">
      <c r="I27" s="164"/>
      <c r="J27" s="164"/>
    </row>
    <row r="28" spans="9:317">
      <c r="I28"/>
      <c r="J28"/>
    </row>
    <row r="29" spans="9:317">
      <c r="I29" s="163"/>
      <c r="J29"/>
    </row>
    <row r="30" spans="9:317">
      <c r="I30" s="162"/>
      <c r="J30"/>
    </row>
    <row r="31" spans="9:317">
      <c r="I31" s="162"/>
      <c r="J31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CEC59-E4A7-466D-B339-CA10C8543AE0}">
  <dimension ref="A1:NC28"/>
  <sheetViews>
    <sheetView showGridLines="0" topLeftCell="JM1" workbookViewId="0">
      <selection activeCell="JT12" sqref="JT12:JT19"/>
    </sheetView>
  </sheetViews>
  <sheetFormatPr defaultColWidth="8.88671875" defaultRowHeight="14.4"/>
  <cols>
    <col min="1" max="1" width="11.44140625" style="8" bestFit="1" customWidth="1"/>
    <col min="2" max="2" width="22.44140625" style="8" bestFit="1" customWidth="1"/>
    <col min="3" max="3" width="11.44140625" style="8" customWidth="1"/>
    <col min="4" max="4" width="11.33203125" style="8" customWidth="1"/>
    <col min="5" max="5" width="12.33203125" style="8" customWidth="1"/>
    <col min="6" max="6" width="12" style="8" customWidth="1"/>
    <col min="7" max="7" width="11.44140625" style="8" customWidth="1"/>
    <col min="8" max="8" width="11.109375" style="8" customWidth="1"/>
    <col min="9" max="9" width="11" style="8" customWidth="1"/>
    <col min="10" max="10" width="11.44140625" style="8" customWidth="1"/>
    <col min="11" max="11" width="11.33203125" style="8" customWidth="1"/>
    <col min="12" max="12" width="12.33203125" style="8" customWidth="1"/>
    <col min="13" max="13" width="12" style="8" customWidth="1"/>
    <col min="14" max="14" width="11.44140625" style="8" customWidth="1"/>
    <col min="15" max="15" width="11.109375" style="8" customWidth="1"/>
    <col min="16" max="16" width="11" style="8" customWidth="1"/>
    <col min="17" max="17" width="11.44140625" style="8" customWidth="1"/>
    <col min="18" max="18" width="11.33203125" style="8" customWidth="1"/>
    <col min="19" max="19" width="12.33203125" style="8" customWidth="1"/>
    <col min="20" max="20" width="12" style="8" customWidth="1"/>
    <col min="21" max="21" width="11.44140625" style="8" customWidth="1"/>
    <col min="22" max="22" width="11.109375" style="8" customWidth="1"/>
    <col min="23" max="23" width="11" style="8" customWidth="1"/>
    <col min="24" max="24" width="11.44140625" style="8" customWidth="1"/>
    <col min="25" max="25" width="11.33203125" style="8" customWidth="1"/>
    <col min="26" max="26" width="12.33203125" style="8" customWidth="1"/>
    <col min="27" max="27" width="12" style="8" customWidth="1"/>
    <col min="28" max="28" width="11.44140625" style="8" customWidth="1"/>
    <col min="29" max="29" width="11.109375" style="8" customWidth="1"/>
    <col min="30" max="30" width="11" style="8" customWidth="1"/>
    <col min="31" max="31" width="11.44140625" style="8" customWidth="1"/>
    <col min="32" max="32" width="11.33203125" style="8" customWidth="1"/>
    <col min="33" max="33" width="12.33203125" style="8" customWidth="1"/>
    <col min="34" max="34" width="12" style="8" customWidth="1"/>
    <col min="35" max="35" width="11.44140625" style="8" customWidth="1"/>
    <col min="36" max="36" width="11.109375" style="8" customWidth="1"/>
    <col min="37" max="37" width="11" style="8" customWidth="1"/>
    <col min="38" max="38" width="11.44140625" style="8" customWidth="1"/>
    <col min="39" max="39" width="11.33203125" style="8" customWidth="1"/>
    <col min="40" max="40" width="12.33203125" style="8" customWidth="1"/>
    <col min="41" max="41" width="12" style="8" customWidth="1"/>
    <col min="42" max="42" width="11.44140625" style="8" customWidth="1"/>
    <col min="43" max="43" width="11.109375" style="8" customWidth="1"/>
    <col min="44" max="44" width="11" style="8" customWidth="1"/>
    <col min="45" max="45" width="11.44140625" style="8" customWidth="1"/>
    <col min="46" max="46" width="11.33203125" style="8" customWidth="1"/>
    <col min="47" max="47" width="12.33203125" style="8" customWidth="1"/>
    <col min="48" max="48" width="12" style="8" customWidth="1"/>
    <col min="49" max="49" width="11.44140625" style="8" customWidth="1"/>
    <col min="50" max="50" width="11.109375" style="8" customWidth="1"/>
    <col min="51" max="51" width="11" style="8" customWidth="1"/>
    <col min="52" max="52" width="11.44140625" style="8" customWidth="1"/>
    <col min="53" max="53" width="11.33203125" style="8" customWidth="1"/>
    <col min="54" max="54" width="12.33203125" style="8" customWidth="1"/>
    <col min="55" max="55" width="12" style="8" customWidth="1"/>
    <col min="56" max="56" width="11.44140625" style="8" customWidth="1"/>
    <col min="57" max="57" width="11.109375" style="8" customWidth="1"/>
    <col min="58" max="58" width="11" style="8" customWidth="1"/>
    <col min="59" max="59" width="11.44140625" style="8" customWidth="1"/>
    <col min="60" max="60" width="11.33203125" style="8" customWidth="1"/>
    <col min="61" max="61" width="12.33203125" style="8" customWidth="1"/>
    <col min="62" max="62" width="12" style="8" customWidth="1"/>
    <col min="63" max="63" width="11.44140625" style="8" customWidth="1"/>
    <col min="64" max="64" width="12.109375" style="8" customWidth="1"/>
    <col min="65" max="65" width="12" style="8" customWidth="1"/>
    <col min="66" max="66" width="12.44140625" style="8" customWidth="1"/>
    <col min="67" max="67" width="12.33203125" style="8" customWidth="1"/>
    <col min="68" max="68" width="13.44140625" style="8" customWidth="1"/>
    <col min="69" max="69" width="13.109375" style="8" customWidth="1"/>
    <col min="70" max="70" width="12.44140625" style="8" customWidth="1"/>
    <col min="71" max="71" width="12.109375" style="8" customWidth="1"/>
    <col min="72" max="72" width="12" style="8" customWidth="1"/>
    <col min="73" max="73" width="12.44140625" style="8" customWidth="1"/>
    <col min="74" max="74" width="12.33203125" style="8" customWidth="1"/>
    <col min="75" max="75" width="13.44140625" style="8" customWidth="1"/>
    <col min="76" max="76" width="13.109375" style="8" customWidth="1"/>
    <col min="77" max="77" width="12.44140625" style="8" customWidth="1"/>
    <col min="78" max="78" width="12.109375" style="8" customWidth="1"/>
    <col min="79" max="79" width="12" style="8" customWidth="1"/>
    <col min="80" max="80" width="12.44140625" style="8" customWidth="1"/>
    <col min="81" max="81" width="12.33203125" style="8" customWidth="1"/>
    <col min="82" max="82" width="13.44140625" style="8" customWidth="1"/>
    <col min="83" max="83" width="13.109375" style="8" customWidth="1"/>
    <col min="84" max="84" width="12.44140625" style="8" customWidth="1"/>
    <col min="85" max="85" width="12.109375" style="8" customWidth="1"/>
    <col min="86" max="86" width="12" style="8" customWidth="1"/>
    <col min="87" max="87" width="12.44140625" style="8" customWidth="1"/>
    <col min="88" max="88" width="12.33203125" style="8" customWidth="1"/>
    <col min="89" max="89" width="13.44140625" style="8" customWidth="1"/>
    <col min="90" max="90" width="13.109375" style="8" customWidth="1"/>
    <col min="91" max="91" width="12.44140625" style="8" customWidth="1"/>
    <col min="92" max="92" width="12.109375" style="8" customWidth="1"/>
    <col min="93" max="93" width="12" style="8" customWidth="1"/>
    <col min="94" max="94" width="12.44140625" style="8" customWidth="1"/>
    <col min="95" max="95" width="12.33203125" style="8" customWidth="1"/>
    <col min="96" max="96" width="13.44140625" style="8" customWidth="1"/>
    <col min="97" max="97" width="13.109375" style="8" customWidth="1"/>
    <col min="98" max="98" width="12.44140625" style="8" customWidth="1"/>
    <col min="99" max="99" width="12.109375" style="8" customWidth="1"/>
    <col min="100" max="100" width="12" style="8" customWidth="1"/>
    <col min="101" max="101" width="12.44140625" style="8" customWidth="1"/>
    <col min="102" max="102" width="12.33203125" style="8" customWidth="1"/>
    <col min="103" max="103" width="13.44140625" style="8" customWidth="1"/>
    <col min="104" max="104" width="13.109375" style="8" customWidth="1"/>
    <col min="105" max="105" width="12.44140625" style="8" customWidth="1"/>
    <col min="106" max="106" width="12.109375" style="8" customWidth="1"/>
    <col min="107" max="107" width="12" style="8" customWidth="1"/>
    <col min="108" max="108" width="12.44140625" style="8" customWidth="1"/>
    <col min="109" max="109" width="12.33203125" style="8" customWidth="1"/>
    <col min="110" max="110" width="13.44140625" style="8" customWidth="1"/>
    <col min="111" max="111" width="13.109375" style="8" customWidth="1"/>
    <col min="112" max="112" width="12.44140625" style="8" customWidth="1"/>
    <col min="113" max="113" width="12.109375" style="8" customWidth="1"/>
    <col min="114" max="114" width="12" style="8" customWidth="1"/>
    <col min="115" max="115" width="12.44140625" style="8" customWidth="1"/>
    <col min="116" max="116" width="12.33203125" style="8" customWidth="1"/>
    <col min="117" max="117" width="13.44140625" style="8" customWidth="1"/>
    <col min="118" max="118" width="13.109375" style="8" customWidth="1"/>
    <col min="119" max="119" width="12.44140625" style="8" customWidth="1"/>
    <col min="120" max="120" width="12.109375" style="8" customWidth="1"/>
    <col min="121" max="121" width="12" style="8" customWidth="1"/>
    <col min="122" max="122" width="12.44140625" style="8" customWidth="1"/>
    <col min="123" max="123" width="12.33203125" style="8" customWidth="1"/>
    <col min="124" max="124" width="13.44140625" style="8" customWidth="1"/>
    <col min="125" max="125" width="13.109375" style="8" customWidth="1"/>
    <col min="126" max="126" width="12.44140625" style="8" customWidth="1"/>
    <col min="127" max="127" width="12.109375" style="8" customWidth="1"/>
    <col min="128" max="128" width="12" style="8" customWidth="1"/>
    <col min="129" max="129" width="12.44140625" style="8" customWidth="1"/>
    <col min="130" max="130" width="12.33203125" style="8" customWidth="1"/>
    <col min="131" max="131" width="13.44140625" style="8" customWidth="1"/>
    <col min="132" max="132" width="13.109375" style="8" customWidth="1"/>
    <col min="133" max="133" width="12.44140625" style="8" customWidth="1"/>
    <col min="134" max="134" width="12.109375" style="8" customWidth="1"/>
    <col min="135" max="135" width="12" style="8" customWidth="1"/>
    <col min="136" max="136" width="12.44140625" style="8" customWidth="1"/>
    <col min="137" max="137" width="12.33203125" style="8" customWidth="1"/>
    <col min="138" max="138" width="13.44140625" style="8" customWidth="1"/>
    <col min="139" max="139" width="13.109375" style="8" customWidth="1"/>
    <col min="140" max="140" width="12.44140625" style="8" customWidth="1"/>
    <col min="141" max="141" width="12.109375" style="8" customWidth="1"/>
    <col min="142" max="142" width="12" style="8" customWidth="1"/>
    <col min="143" max="143" width="12.44140625" style="8" customWidth="1"/>
    <col min="144" max="144" width="12.33203125" style="8" customWidth="1"/>
    <col min="145" max="145" width="13.44140625" style="8" customWidth="1"/>
    <col min="146" max="146" width="13.109375" style="8" customWidth="1"/>
    <col min="147" max="147" width="12.44140625" style="8" customWidth="1"/>
    <col min="148" max="148" width="12.109375" style="8" customWidth="1"/>
    <col min="149" max="149" width="12" style="8" customWidth="1"/>
    <col min="150" max="150" width="12.44140625" style="8" customWidth="1"/>
    <col min="151" max="151" width="12.33203125" style="8" customWidth="1"/>
    <col min="152" max="152" width="13.44140625" style="8" customWidth="1"/>
    <col min="153" max="153" width="13.109375" style="8" customWidth="1"/>
    <col min="154" max="154" width="12.44140625" style="8" customWidth="1"/>
    <col min="155" max="155" width="12.109375" style="8" customWidth="1"/>
    <col min="156" max="156" width="12" style="8" customWidth="1"/>
    <col min="157" max="157" width="12.44140625" style="8" customWidth="1"/>
    <col min="158" max="158" width="12.33203125" style="8" customWidth="1"/>
    <col min="159" max="159" width="13.44140625" style="8" customWidth="1"/>
    <col min="160" max="160" width="13.109375" style="8" customWidth="1"/>
    <col min="161" max="161" width="12.44140625" style="8" customWidth="1"/>
    <col min="162" max="162" width="12.109375" style="8" customWidth="1"/>
    <col min="163" max="163" width="12" style="8" customWidth="1"/>
    <col min="164" max="164" width="12.44140625" style="8" customWidth="1"/>
    <col min="165" max="165" width="12.33203125" style="8" customWidth="1"/>
    <col min="166" max="166" width="13.44140625" style="8" customWidth="1"/>
    <col min="167" max="167" width="13.109375" style="8" customWidth="1"/>
    <col min="168" max="168" width="12.44140625" style="8" customWidth="1"/>
    <col min="169" max="169" width="12.109375" style="8" customWidth="1"/>
    <col min="170" max="170" width="12" style="8" customWidth="1"/>
    <col min="171" max="171" width="12.44140625" style="8" customWidth="1"/>
    <col min="172" max="172" width="12.33203125" style="8" customWidth="1"/>
    <col min="173" max="173" width="13.44140625" style="8" customWidth="1"/>
    <col min="174" max="174" width="13.109375" style="8" customWidth="1"/>
    <col min="175" max="175" width="12.44140625" style="8" customWidth="1"/>
    <col min="176" max="176" width="12.109375" style="8" customWidth="1"/>
    <col min="177" max="177" width="12" style="8" customWidth="1"/>
    <col min="178" max="178" width="12.44140625" style="8" customWidth="1"/>
    <col min="179" max="179" width="12.33203125" style="8" customWidth="1"/>
    <col min="180" max="180" width="13.44140625" style="8" customWidth="1"/>
    <col min="181" max="181" width="13.109375" style="8" customWidth="1"/>
    <col min="182" max="182" width="12.44140625" style="8" customWidth="1"/>
    <col min="183" max="183" width="12.109375" style="8" customWidth="1"/>
    <col min="184" max="184" width="12" style="8" customWidth="1"/>
    <col min="185" max="185" width="12.44140625" style="8" customWidth="1"/>
    <col min="186" max="186" width="12.33203125" style="8" customWidth="1"/>
    <col min="187" max="187" width="13.44140625" style="8" customWidth="1"/>
    <col min="188" max="188" width="13.109375" style="8" customWidth="1"/>
    <col min="189" max="189" width="12.44140625" style="8" customWidth="1"/>
    <col min="190" max="190" width="12.109375" style="8" customWidth="1"/>
    <col min="191" max="191" width="12" style="8" customWidth="1"/>
    <col min="192" max="192" width="12.44140625" style="8" customWidth="1"/>
    <col min="193" max="193" width="12.33203125" style="8" customWidth="1"/>
    <col min="194" max="194" width="13.44140625" style="8" customWidth="1"/>
    <col min="195" max="195" width="13.109375" style="8" customWidth="1"/>
    <col min="196" max="196" width="12.44140625" style="8" customWidth="1"/>
    <col min="197" max="197" width="12.109375" style="8" customWidth="1"/>
    <col min="198" max="198" width="12" style="8" customWidth="1"/>
    <col min="199" max="199" width="12.44140625" style="8" customWidth="1"/>
    <col min="200" max="200" width="12.33203125" style="8" customWidth="1"/>
    <col min="201" max="201" width="13.44140625" style="8" customWidth="1"/>
    <col min="202" max="202" width="13.109375" style="8" customWidth="1"/>
    <col min="203" max="203" width="12.44140625" style="8" customWidth="1"/>
    <col min="204" max="204" width="12.109375" style="8" customWidth="1"/>
    <col min="205" max="205" width="12" style="8" customWidth="1"/>
    <col min="206" max="206" width="12.44140625" style="8" customWidth="1"/>
    <col min="207" max="207" width="12.33203125" style="8" customWidth="1"/>
    <col min="208" max="208" width="13.44140625" style="8" customWidth="1"/>
    <col min="209" max="209" width="13.109375" style="8" customWidth="1"/>
    <col min="210" max="210" width="12.44140625" style="8" customWidth="1"/>
    <col min="211" max="211" width="12.109375" style="8" customWidth="1"/>
    <col min="212" max="212" width="12" style="8" customWidth="1"/>
    <col min="213" max="213" width="12.44140625" style="8" customWidth="1"/>
    <col min="214" max="214" width="12.33203125" style="8" customWidth="1"/>
    <col min="215" max="215" width="13.44140625" style="8" customWidth="1"/>
    <col min="216" max="216" width="13.109375" style="8" customWidth="1"/>
    <col min="217" max="217" width="12.44140625" style="8" customWidth="1"/>
    <col min="218" max="218" width="12.109375" style="8" customWidth="1"/>
    <col min="219" max="219" width="12" style="8" customWidth="1"/>
    <col min="220" max="220" width="12.44140625" style="8" customWidth="1"/>
    <col min="221" max="221" width="12.33203125" style="8" customWidth="1"/>
    <col min="222" max="222" width="13.44140625" style="8" customWidth="1"/>
    <col min="223" max="223" width="13.109375" style="8" customWidth="1"/>
    <col min="224" max="224" width="12.44140625" style="8" customWidth="1"/>
    <col min="225" max="225" width="12.109375" style="8" customWidth="1"/>
    <col min="226" max="226" width="12" style="8" customWidth="1"/>
    <col min="227" max="227" width="12.44140625" style="8" customWidth="1"/>
    <col min="228" max="228" width="12.33203125" style="8" customWidth="1"/>
    <col min="229" max="229" width="13.44140625" style="8" customWidth="1"/>
    <col min="230" max="230" width="13.109375" style="8" customWidth="1"/>
    <col min="231" max="231" width="12.44140625" style="8" customWidth="1"/>
    <col min="232" max="232" width="12.109375" style="8" customWidth="1"/>
    <col min="233" max="233" width="12" style="8" customWidth="1"/>
    <col min="234" max="234" width="12.44140625" style="8" customWidth="1"/>
    <col min="235" max="235" width="12.33203125" style="8" customWidth="1"/>
    <col min="236" max="236" width="13.44140625" style="8" customWidth="1"/>
    <col min="237" max="237" width="13.109375" style="8" customWidth="1"/>
    <col min="238" max="238" width="12.44140625" style="8" customWidth="1"/>
    <col min="239" max="239" width="12.109375" style="8" customWidth="1"/>
    <col min="240" max="240" width="12" style="8" customWidth="1"/>
    <col min="241" max="241" width="12.44140625" style="8" customWidth="1"/>
    <col min="242" max="242" width="12.33203125" style="8" customWidth="1"/>
    <col min="243" max="243" width="13.44140625" style="8" customWidth="1"/>
    <col min="244" max="244" width="13.109375" style="8" customWidth="1"/>
    <col min="245" max="245" width="12.44140625" style="8" customWidth="1"/>
    <col min="246" max="246" width="12.109375" style="8" customWidth="1"/>
    <col min="247" max="247" width="12" style="8" customWidth="1"/>
    <col min="248" max="248" width="12.44140625" style="8" customWidth="1"/>
    <col min="249" max="249" width="12.33203125" style="8" customWidth="1"/>
    <col min="250" max="250" width="13.44140625" style="8" customWidth="1"/>
    <col min="251" max="251" width="13.109375" style="8" customWidth="1"/>
    <col min="252" max="252" width="12.44140625" style="8" customWidth="1"/>
    <col min="253" max="253" width="12.109375" style="8" customWidth="1"/>
    <col min="254" max="254" width="12" style="8" customWidth="1"/>
    <col min="255" max="255" width="12.44140625" style="8" customWidth="1"/>
    <col min="256" max="256" width="12.33203125" style="8" customWidth="1"/>
    <col min="257" max="257" width="13.44140625" style="8" customWidth="1"/>
    <col min="258" max="258" width="13.109375" style="8" customWidth="1"/>
    <col min="259" max="259" width="12.44140625" style="8" customWidth="1"/>
    <col min="260" max="260" width="12.109375" style="8" customWidth="1"/>
    <col min="261" max="261" width="12" style="8" customWidth="1"/>
    <col min="262" max="262" width="12.44140625" style="8" customWidth="1"/>
    <col min="263" max="263" width="12.33203125" style="8" customWidth="1"/>
    <col min="264" max="264" width="13.44140625" style="8" customWidth="1"/>
    <col min="265" max="265" width="13.109375" style="8" customWidth="1"/>
    <col min="266" max="266" width="12.44140625" style="8" customWidth="1"/>
    <col min="267" max="267" width="12.109375" style="8" customWidth="1"/>
    <col min="268" max="268" width="12" style="8" customWidth="1"/>
    <col min="269" max="269" width="12.44140625" style="8" customWidth="1"/>
    <col min="270" max="270" width="12.33203125" style="8" customWidth="1"/>
    <col min="271" max="271" width="13.44140625" style="8" customWidth="1"/>
    <col min="272" max="272" width="13.109375" style="8" customWidth="1"/>
    <col min="273" max="273" width="12.44140625" style="8" customWidth="1"/>
    <col min="274" max="274" width="12.109375" style="8" customWidth="1"/>
    <col min="275" max="275" width="12" style="8" customWidth="1"/>
    <col min="276" max="276" width="12.44140625" style="8" customWidth="1"/>
    <col min="277" max="277" width="12.33203125" style="8" customWidth="1"/>
    <col min="278" max="278" width="13.44140625" style="8" customWidth="1"/>
    <col min="279" max="279" width="13.109375" style="8" customWidth="1"/>
    <col min="280" max="280" width="12.44140625" style="8" customWidth="1"/>
    <col min="281" max="281" width="12.109375" style="8" customWidth="1"/>
    <col min="282" max="282" width="12" style="8" customWidth="1"/>
    <col min="283" max="283" width="12.44140625" style="8" customWidth="1"/>
    <col min="284" max="284" width="12.33203125" style="8" customWidth="1"/>
    <col min="285" max="285" width="13.44140625" style="8" customWidth="1"/>
    <col min="286" max="286" width="13.109375" style="8" customWidth="1"/>
    <col min="287" max="287" width="12.44140625" style="8" customWidth="1"/>
    <col min="288" max="288" width="12.109375" style="8" customWidth="1"/>
    <col min="289" max="289" width="12" style="8" customWidth="1"/>
    <col min="290" max="290" width="12.44140625" style="8" customWidth="1"/>
    <col min="291" max="291" width="12.33203125" style="8" customWidth="1"/>
    <col min="292" max="292" width="13.44140625" style="8" customWidth="1"/>
    <col min="293" max="293" width="13.109375" style="8" customWidth="1"/>
    <col min="294" max="294" width="12.44140625" style="8" customWidth="1"/>
    <col min="295" max="295" width="12.109375" style="8" customWidth="1"/>
    <col min="296" max="296" width="12" style="8" customWidth="1"/>
    <col min="297" max="297" width="12.44140625" style="8" customWidth="1"/>
    <col min="298" max="298" width="12.33203125" style="8" customWidth="1"/>
    <col min="299" max="299" width="13.44140625" style="8" customWidth="1"/>
    <col min="300" max="300" width="13.109375" style="8" customWidth="1"/>
    <col min="301" max="301" width="12.44140625" style="8" customWidth="1"/>
    <col min="302" max="302" width="12.109375" style="8" customWidth="1"/>
    <col min="303" max="303" width="12" style="8" customWidth="1"/>
    <col min="304" max="304" width="12.44140625" style="8" customWidth="1"/>
    <col min="305" max="305" width="12.33203125" style="8" customWidth="1"/>
    <col min="306" max="306" width="13.44140625" style="8" customWidth="1"/>
    <col min="307" max="307" width="13.109375" style="8" customWidth="1"/>
    <col min="308" max="308" width="12.44140625" style="8" customWidth="1"/>
    <col min="309" max="309" width="12.109375" style="8" customWidth="1"/>
    <col min="310" max="310" width="12" style="8" customWidth="1"/>
    <col min="311" max="311" width="12.44140625" style="8" customWidth="1"/>
    <col min="312" max="312" width="12.33203125" style="8" customWidth="1"/>
    <col min="313" max="313" width="13.44140625" style="8" customWidth="1"/>
    <col min="314" max="314" width="13.109375" style="8" customWidth="1"/>
    <col min="315" max="315" width="12.44140625" style="8" customWidth="1"/>
    <col min="316" max="316" width="12.109375" style="8" customWidth="1"/>
    <col min="317" max="317" width="12" style="8" customWidth="1"/>
    <col min="318" max="318" width="12.44140625" style="8" customWidth="1"/>
    <col min="319" max="319" width="12.33203125" style="8" customWidth="1"/>
    <col min="320" max="320" width="13.44140625" style="8" customWidth="1"/>
    <col min="321" max="321" width="13.109375" style="8" customWidth="1"/>
    <col min="322" max="322" width="12.44140625" style="8" customWidth="1"/>
    <col min="323" max="323" width="12.109375" style="8" customWidth="1"/>
    <col min="324" max="324" width="12" style="8" customWidth="1"/>
    <col min="325" max="325" width="12.44140625" style="8" customWidth="1"/>
    <col min="326" max="326" width="12.33203125" style="8" customWidth="1"/>
    <col min="327" max="327" width="13.44140625" style="8" customWidth="1"/>
    <col min="328" max="328" width="13.109375" style="8" customWidth="1"/>
    <col min="329" max="329" width="12.44140625" style="8" customWidth="1"/>
    <col min="330" max="330" width="12.109375" style="8" customWidth="1"/>
    <col min="331" max="331" width="12" style="8" customWidth="1"/>
    <col min="332" max="332" width="12.44140625" style="8" customWidth="1"/>
    <col min="333" max="333" width="12.33203125" style="8" customWidth="1"/>
    <col min="334" max="334" width="13.44140625" style="8" customWidth="1"/>
    <col min="335" max="335" width="13.109375" style="8" customWidth="1"/>
    <col min="336" max="336" width="12.44140625" style="8" customWidth="1"/>
    <col min="337" max="337" width="12.109375" style="8" customWidth="1"/>
    <col min="338" max="338" width="12" style="8" customWidth="1"/>
    <col min="339" max="339" width="12.44140625" style="8" customWidth="1"/>
    <col min="340" max="340" width="12.33203125" style="8" customWidth="1"/>
    <col min="341" max="341" width="13.44140625" style="8" customWidth="1"/>
    <col min="342" max="342" width="13.109375" style="8" customWidth="1"/>
    <col min="343" max="343" width="12.44140625" style="8" customWidth="1"/>
    <col min="344" max="344" width="12.109375" style="8" customWidth="1"/>
    <col min="345" max="345" width="12" style="8" customWidth="1"/>
    <col min="346" max="346" width="12.44140625" style="8" customWidth="1"/>
    <col min="347" max="347" width="12.33203125" style="8" customWidth="1"/>
    <col min="348" max="348" width="13.44140625" style="8" customWidth="1"/>
    <col min="349" max="349" width="13.109375" style="8" customWidth="1"/>
    <col min="350" max="350" width="12.44140625" style="8" customWidth="1"/>
    <col min="351" max="351" width="12.109375" style="8" bestFit="1" customWidth="1"/>
    <col min="352" max="352" width="12" style="8" bestFit="1" customWidth="1"/>
    <col min="353" max="353" width="12.44140625" style="8" bestFit="1" customWidth="1"/>
    <col min="354" max="354" width="12.33203125" style="8" bestFit="1" customWidth="1"/>
    <col min="355" max="355" width="13.44140625" style="8" bestFit="1" customWidth="1"/>
    <col min="356" max="356" width="13.109375" style="8" bestFit="1" customWidth="1"/>
    <col min="357" max="357" width="12.44140625" style="8" bestFit="1" customWidth="1"/>
    <col min="358" max="358" width="12.109375" style="8" bestFit="1" customWidth="1"/>
    <col min="359" max="359" width="12" style="8" bestFit="1" customWidth="1"/>
    <col min="360" max="360" width="12.44140625" style="8" bestFit="1" customWidth="1"/>
    <col min="361" max="361" width="12.33203125" style="8" bestFit="1" customWidth="1"/>
    <col min="362" max="362" width="13.44140625" style="8" bestFit="1" customWidth="1"/>
    <col min="363" max="363" width="13.109375" style="8" bestFit="1" customWidth="1"/>
    <col min="364" max="364" width="12.44140625" style="8" bestFit="1" customWidth="1"/>
    <col min="365" max="365" width="11.109375" style="8" bestFit="1" customWidth="1"/>
    <col min="366" max="366" width="11" style="8" bestFit="1" customWidth="1"/>
    <col min="367" max="367" width="11.44140625" style="8" bestFit="1" customWidth="1"/>
    <col min="368" max="16384" width="8.88671875" style="8"/>
  </cols>
  <sheetData>
    <row r="1" spans="1:367">
      <c r="A1" s="10" t="s">
        <v>57</v>
      </c>
      <c r="B1" s="10" t="s">
        <v>56</v>
      </c>
      <c r="C1" s="11">
        <v>45658</v>
      </c>
      <c r="D1" s="11">
        <v>45659</v>
      </c>
      <c r="E1" s="11">
        <v>45660</v>
      </c>
      <c r="F1" s="11">
        <v>45661</v>
      </c>
      <c r="G1" s="11">
        <v>45662</v>
      </c>
      <c r="H1" s="11">
        <v>45663</v>
      </c>
      <c r="I1" s="11">
        <v>45664</v>
      </c>
      <c r="J1" s="11">
        <v>45665</v>
      </c>
      <c r="K1" s="11">
        <v>45666</v>
      </c>
      <c r="L1" s="11">
        <v>45667</v>
      </c>
      <c r="M1" s="11">
        <v>45668</v>
      </c>
      <c r="N1" s="11">
        <v>45669</v>
      </c>
      <c r="O1" s="11">
        <v>45670</v>
      </c>
      <c r="P1" s="11">
        <v>45671</v>
      </c>
      <c r="Q1" s="11">
        <v>45672</v>
      </c>
      <c r="R1" s="11">
        <v>45673</v>
      </c>
      <c r="S1" s="11">
        <v>45674</v>
      </c>
      <c r="T1" s="11">
        <v>45675</v>
      </c>
      <c r="U1" s="11">
        <v>45676</v>
      </c>
      <c r="V1" s="11">
        <v>45677</v>
      </c>
      <c r="W1" s="11">
        <v>45678</v>
      </c>
      <c r="X1" s="11">
        <v>45679</v>
      </c>
      <c r="Y1" s="11">
        <v>45680</v>
      </c>
      <c r="Z1" s="11">
        <v>45681</v>
      </c>
      <c r="AA1" s="11">
        <v>45682</v>
      </c>
      <c r="AB1" s="11">
        <v>45683</v>
      </c>
      <c r="AC1" s="11">
        <v>45684</v>
      </c>
      <c r="AD1" s="11">
        <v>45685</v>
      </c>
      <c r="AE1" s="11">
        <v>45686</v>
      </c>
      <c r="AF1" s="11">
        <v>45687</v>
      </c>
      <c r="AG1" s="11">
        <v>45688</v>
      </c>
      <c r="AH1" s="11">
        <v>45689</v>
      </c>
      <c r="AI1" s="11">
        <v>45690</v>
      </c>
      <c r="AJ1" s="11">
        <v>45691</v>
      </c>
      <c r="AK1" s="11">
        <v>45692</v>
      </c>
      <c r="AL1" s="11">
        <v>45693</v>
      </c>
      <c r="AM1" s="11">
        <v>45694</v>
      </c>
      <c r="AN1" s="11">
        <v>45695</v>
      </c>
      <c r="AO1" s="11">
        <v>45696</v>
      </c>
      <c r="AP1" s="11">
        <v>45697</v>
      </c>
      <c r="AQ1" s="11">
        <v>45698</v>
      </c>
      <c r="AR1" s="11">
        <v>45699</v>
      </c>
      <c r="AS1" s="11">
        <v>45700</v>
      </c>
      <c r="AT1" s="11">
        <v>45701</v>
      </c>
      <c r="AU1" s="11">
        <v>45702</v>
      </c>
      <c r="AV1" s="11">
        <v>45703</v>
      </c>
      <c r="AW1" s="11">
        <v>45704</v>
      </c>
      <c r="AX1" s="11">
        <v>45705</v>
      </c>
      <c r="AY1" s="11">
        <v>45706</v>
      </c>
      <c r="AZ1" s="11">
        <v>45707</v>
      </c>
      <c r="BA1" s="11">
        <v>45708</v>
      </c>
      <c r="BB1" s="11">
        <v>45709</v>
      </c>
      <c r="BC1" s="11">
        <v>45710</v>
      </c>
      <c r="BD1" s="11">
        <v>45711</v>
      </c>
      <c r="BE1" s="11">
        <v>45712</v>
      </c>
      <c r="BF1" s="11">
        <v>45713</v>
      </c>
      <c r="BG1" s="11">
        <v>45714</v>
      </c>
      <c r="BH1" s="11">
        <v>45715</v>
      </c>
      <c r="BI1" s="11">
        <v>45716</v>
      </c>
      <c r="BJ1" s="11">
        <v>45717</v>
      </c>
      <c r="BK1" s="11">
        <v>45718</v>
      </c>
      <c r="BL1" s="11">
        <v>45719</v>
      </c>
      <c r="BM1" s="11">
        <v>45720</v>
      </c>
      <c r="BN1" s="11">
        <v>45721</v>
      </c>
      <c r="BO1" s="11">
        <v>45722</v>
      </c>
      <c r="BP1" s="11">
        <v>45723</v>
      </c>
      <c r="BQ1" s="11">
        <v>45724</v>
      </c>
      <c r="BR1" s="11">
        <v>45725</v>
      </c>
      <c r="BS1" s="11">
        <v>45726</v>
      </c>
      <c r="BT1" s="11">
        <v>45727</v>
      </c>
      <c r="BU1" s="11">
        <v>45728</v>
      </c>
      <c r="BV1" s="11">
        <v>45729</v>
      </c>
      <c r="BW1" s="11">
        <v>45730</v>
      </c>
      <c r="BX1" s="11">
        <v>45731</v>
      </c>
      <c r="BY1" s="11">
        <v>45732</v>
      </c>
      <c r="BZ1" s="11">
        <v>45733</v>
      </c>
      <c r="CA1" s="11">
        <v>45734</v>
      </c>
      <c r="CB1" s="11">
        <v>45735</v>
      </c>
      <c r="CC1" s="11">
        <v>45736</v>
      </c>
      <c r="CD1" s="11">
        <v>45737</v>
      </c>
      <c r="CE1" s="11">
        <v>45738</v>
      </c>
      <c r="CF1" s="11">
        <v>45739</v>
      </c>
      <c r="CG1" s="11">
        <v>45740</v>
      </c>
      <c r="CH1" s="11">
        <v>45741</v>
      </c>
      <c r="CI1" s="11">
        <v>45742</v>
      </c>
      <c r="CJ1" s="11">
        <v>45743</v>
      </c>
      <c r="CK1" s="11">
        <v>45744</v>
      </c>
      <c r="CL1" s="11">
        <v>45745</v>
      </c>
      <c r="CM1" s="11">
        <v>45746</v>
      </c>
      <c r="CN1" s="11">
        <v>45747</v>
      </c>
      <c r="CO1" s="11">
        <v>45748</v>
      </c>
      <c r="CP1" s="11">
        <v>45749</v>
      </c>
      <c r="CQ1" s="11">
        <v>45750</v>
      </c>
      <c r="CR1" s="11">
        <v>45751</v>
      </c>
      <c r="CS1" s="11">
        <v>45752</v>
      </c>
      <c r="CT1" s="11">
        <v>45753</v>
      </c>
      <c r="CU1" s="11">
        <v>45754</v>
      </c>
      <c r="CV1" s="11">
        <v>45755</v>
      </c>
      <c r="CW1" s="11">
        <v>45756</v>
      </c>
      <c r="CX1" s="11">
        <v>45757</v>
      </c>
      <c r="CY1" s="11">
        <v>45758</v>
      </c>
      <c r="CZ1" s="11">
        <v>45759</v>
      </c>
      <c r="DA1" s="11">
        <v>45760</v>
      </c>
      <c r="DB1" s="11">
        <v>45761</v>
      </c>
      <c r="DC1" s="11">
        <v>45762</v>
      </c>
      <c r="DD1" s="11">
        <v>45763</v>
      </c>
      <c r="DE1" s="11">
        <v>45764</v>
      </c>
      <c r="DF1" s="11">
        <v>45765</v>
      </c>
      <c r="DG1" s="11">
        <v>45766</v>
      </c>
      <c r="DH1" s="11">
        <v>45767</v>
      </c>
      <c r="DI1" s="11">
        <v>45768</v>
      </c>
      <c r="DJ1" s="11">
        <v>45769</v>
      </c>
      <c r="DK1" s="11">
        <v>45770</v>
      </c>
      <c r="DL1" s="11">
        <v>45771</v>
      </c>
      <c r="DM1" s="11">
        <v>45772</v>
      </c>
      <c r="DN1" s="11">
        <v>45773</v>
      </c>
      <c r="DO1" s="11">
        <v>45774</v>
      </c>
      <c r="DP1" s="11">
        <v>45775</v>
      </c>
      <c r="DQ1" s="11">
        <v>45776</v>
      </c>
      <c r="DR1" s="11">
        <v>45777</v>
      </c>
      <c r="DS1" s="11">
        <v>45778</v>
      </c>
      <c r="DT1" s="11">
        <v>45779</v>
      </c>
      <c r="DU1" s="11">
        <v>45780</v>
      </c>
      <c r="DV1" s="11">
        <v>45781</v>
      </c>
      <c r="DW1" s="11">
        <v>45782</v>
      </c>
      <c r="DX1" s="11">
        <v>45783</v>
      </c>
      <c r="DY1" s="11">
        <v>45784</v>
      </c>
      <c r="DZ1" s="11">
        <v>45785</v>
      </c>
      <c r="EA1" s="11">
        <v>45786</v>
      </c>
      <c r="EB1" s="11">
        <v>45787</v>
      </c>
      <c r="EC1" s="11">
        <v>45788</v>
      </c>
      <c r="ED1" s="11">
        <v>45789</v>
      </c>
      <c r="EE1" s="11">
        <v>45790</v>
      </c>
      <c r="EF1" s="11">
        <v>45791</v>
      </c>
      <c r="EG1" s="11">
        <v>45792</v>
      </c>
      <c r="EH1" s="11">
        <v>45793</v>
      </c>
      <c r="EI1" s="11">
        <v>45794</v>
      </c>
      <c r="EJ1" s="11">
        <v>45795</v>
      </c>
      <c r="EK1" s="11">
        <v>45796</v>
      </c>
      <c r="EL1" s="11">
        <v>45797</v>
      </c>
      <c r="EM1" s="11">
        <v>45798</v>
      </c>
      <c r="EN1" s="11">
        <v>45799</v>
      </c>
      <c r="EO1" s="11">
        <v>45800</v>
      </c>
      <c r="EP1" s="11">
        <v>45801</v>
      </c>
      <c r="EQ1" s="11">
        <v>45802</v>
      </c>
      <c r="ER1" s="11">
        <v>45803</v>
      </c>
      <c r="ES1" s="11">
        <v>45804</v>
      </c>
      <c r="ET1" s="11">
        <v>45805</v>
      </c>
      <c r="EU1" s="11">
        <v>45806</v>
      </c>
      <c r="EV1" s="11">
        <v>45807</v>
      </c>
      <c r="EW1" s="11">
        <v>45808</v>
      </c>
      <c r="EX1" s="11">
        <v>45809</v>
      </c>
      <c r="EY1" s="11">
        <v>45810</v>
      </c>
      <c r="EZ1" s="11">
        <v>45811</v>
      </c>
      <c r="FA1" s="11">
        <v>45812</v>
      </c>
      <c r="FB1" s="11">
        <v>45813</v>
      </c>
      <c r="FC1" s="11">
        <v>45814</v>
      </c>
      <c r="FD1" s="11">
        <v>45815</v>
      </c>
      <c r="FE1" s="11">
        <v>45816</v>
      </c>
      <c r="FF1" s="11">
        <v>45817</v>
      </c>
      <c r="FG1" s="11">
        <v>45818</v>
      </c>
      <c r="FH1" s="11">
        <v>45819</v>
      </c>
      <c r="FI1" s="11">
        <v>45820</v>
      </c>
      <c r="FJ1" s="11">
        <v>45821</v>
      </c>
      <c r="FK1" s="11">
        <v>45822</v>
      </c>
      <c r="FL1" s="11">
        <v>45823</v>
      </c>
      <c r="FM1" s="11">
        <v>45824</v>
      </c>
      <c r="FN1" s="11">
        <v>45825</v>
      </c>
      <c r="FO1" s="11">
        <v>45826</v>
      </c>
      <c r="FP1" s="11">
        <v>45827</v>
      </c>
      <c r="FQ1" s="11">
        <v>45828</v>
      </c>
      <c r="FR1" s="11">
        <v>45829</v>
      </c>
      <c r="FS1" s="11">
        <v>45830</v>
      </c>
      <c r="FT1" s="11">
        <v>45831</v>
      </c>
      <c r="FU1" s="11">
        <v>45832</v>
      </c>
      <c r="FV1" s="11">
        <v>45833</v>
      </c>
      <c r="FW1" s="11">
        <v>45834</v>
      </c>
      <c r="FX1" s="11">
        <v>45835</v>
      </c>
      <c r="FY1" s="11">
        <v>45836</v>
      </c>
      <c r="FZ1" s="11">
        <v>45837</v>
      </c>
      <c r="GA1" s="11">
        <v>45838</v>
      </c>
      <c r="GB1" s="11">
        <v>45839</v>
      </c>
      <c r="GC1" s="11">
        <v>45840</v>
      </c>
      <c r="GD1" s="11">
        <v>45841</v>
      </c>
      <c r="GE1" s="11">
        <v>45842</v>
      </c>
      <c r="GF1" s="11">
        <v>45843</v>
      </c>
      <c r="GG1" s="11">
        <v>45844</v>
      </c>
      <c r="GH1" s="11">
        <v>45845</v>
      </c>
      <c r="GI1" s="11">
        <v>45846</v>
      </c>
      <c r="GJ1" s="11">
        <v>45847</v>
      </c>
      <c r="GK1" s="11">
        <v>45848</v>
      </c>
      <c r="GL1" s="11">
        <v>45849</v>
      </c>
      <c r="GM1" s="11">
        <v>45850</v>
      </c>
      <c r="GN1" s="11">
        <v>45851</v>
      </c>
      <c r="GO1" s="11">
        <v>45852</v>
      </c>
      <c r="GP1" s="11">
        <v>45853</v>
      </c>
      <c r="GQ1" s="11">
        <v>45854</v>
      </c>
      <c r="GR1" s="11">
        <v>45855</v>
      </c>
      <c r="GS1" s="11">
        <v>45856</v>
      </c>
      <c r="GT1" s="11">
        <v>45857</v>
      </c>
      <c r="GU1" s="11">
        <v>45858</v>
      </c>
      <c r="GV1" s="11">
        <v>45859</v>
      </c>
      <c r="GW1" s="11">
        <v>45860</v>
      </c>
      <c r="GX1" s="11">
        <v>45861</v>
      </c>
      <c r="GY1" s="11">
        <v>45862</v>
      </c>
      <c r="GZ1" s="11">
        <v>45863</v>
      </c>
      <c r="HA1" s="11">
        <v>45864</v>
      </c>
      <c r="HB1" s="11">
        <v>45865</v>
      </c>
      <c r="HC1" s="11">
        <v>45866</v>
      </c>
      <c r="HD1" s="11">
        <v>45867</v>
      </c>
      <c r="HE1" s="11">
        <v>45868</v>
      </c>
      <c r="HF1" s="11">
        <v>45869</v>
      </c>
      <c r="HG1" s="11">
        <v>45870</v>
      </c>
      <c r="HH1" s="11">
        <v>45871</v>
      </c>
      <c r="HI1" s="11">
        <v>45872</v>
      </c>
      <c r="HJ1" s="11">
        <v>45873</v>
      </c>
      <c r="HK1" s="11">
        <v>45874</v>
      </c>
      <c r="HL1" s="11">
        <v>45875</v>
      </c>
      <c r="HM1" s="11">
        <v>45876</v>
      </c>
      <c r="HN1" s="11">
        <v>45877</v>
      </c>
      <c r="HO1" s="11">
        <v>45878</v>
      </c>
      <c r="HP1" s="11">
        <v>45879</v>
      </c>
      <c r="HQ1" s="11">
        <v>45880</v>
      </c>
      <c r="HR1" s="11">
        <v>45881</v>
      </c>
      <c r="HS1" s="11">
        <v>45882</v>
      </c>
      <c r="HT1" s="11">
        <v>45883</v>
      </c>
      <c r="HU1" s="11">
        <v>45884</v>
      </c>
      <c r="HV1" s="11">
        <v>45885</v>
      </c>
      <c r="HW1" s="11">
        <v>45886</v>
      </c>
      <c r="HX1" s="11">
        <v>45887</v>
      </c>
      <c r="HY1" s="11">
        <v>45888</v>
      </c>
      <c r="HZ1" s="11">
        <v>45889</v>
      </c>
      <c r="IA1" s="11">
        <v>45890</v>
      </c>
      <c r="IB1" s="11">
        <v>45891</v>
      </c>
      <c r="IC1" s="11">
        <v>45892</v>
      </c>
      <c r="ID1" s="11">
        <v>45893</v>
      </c>
      <c r="IE1" s="11">
        <v>45894</v>
      </c>
      <c r="IF1" s="11">
        <v>45895</v>
      </c>
      <c r="IG1" s="11">
        <v>45896</v>
      </c>
      <c r="IH1" s="11">
        <v>45897</v>
      </c>
      <c r="II1" s="11">
        <v>45898</v>
      </c>
      <c r="IJ1" s="11">
        <v>45899</v>
      </c>
      <c r="IK1" s="11">
        <v>45900</v>
      </c>
      <c r="IL1" s="11">
        <v>45901</v>
      </c>
      <c r="IM1" s="11">
        <v>45902</v>
      </c>
      <c r="IN1" s="11">
        <v>45903</v>
      </c>
      <c r="IO1" s="11">
        <v>45904</v>
      </c>
      <c r="IP1" s="11">
        <v>45905</v>
      </c>
      <c r="IQ1" s="11">
        <v>45906</v>
      </c>
      <c r="IR1" s="11">
        <v>45907</v>
      </c>
      <c r="IS1" s="11">
        <v>45908</v>
      </c>
      <c r="IT1" s="11">
        <v>45909</v>
      </c>
      <c r="IU1" s="11">
        <v>45910</v>
      </c>
      <c r="IV1" s="11">
        <v>45911</v>
      </c>
      <c r="IW1" s="11">
        <v>45912</v>
      </c>
      <c r="IX1" s="11">
        <v>45913</v>
      </c>
      <c r="IY1" s="11">
        <v>45914</v>
      </c>
      <c r="IZ1" s="11">
        <v>45915</v>
      </c>
      <c r="JA1" s="11">
        <v>45916</v>
      </c>
      <c r="JB1" s="11">
        <v>45917</v>
      </c>
      <c r="JC1" s="11">
        <v>45918</v>
      </c>
      <c r="JD1" s="11">
        <v>45919</v>
      </c>
      <c r="JE1" s="11">
        <v>45920</v>
      </c>
      <c r="JF1" s="11">
        <v>45921</v>
      </c>
      <c r="JG1" s="11">
        <v>45922</v>
      </c>
      <c r="JH1" s="11">
        <v>45923</v>
      </c>
      <c r="JI1" s="11">
        <v>45924</v>
      </c>
      <c r="JJ1" s="11">
        <v>45925</v>
      </c>
      <c r="JK1" s="11">
        <v>45926</v>
      </c>
      <c r="JL1" s="11">
        <v>45927</v>
      </c>
      <c r="JM1" s="11">
        <v>45928</v>
      </c>
      <c r="JN1" s="11">
        <v>45929</v>
      </c>
      <c r="JO1" s="11">
        <v>45930</v>
      </c>
      <c r="JP1" s="11">
        <v>45931</v>
      </c>
      <c r="JQ1" s="11">
        <v>45932</v>
      </c>
      <c r="JR1" s="11">
        <v>45933</v>
      </c>
      <c r="JS1" s="11">
        <v>45934</v>
      </c>
      <c r="JT1" s="11">
        <v>45935</v>
      </c>
      <c r="JU1" s="11">
        <v>45936</v>
      </c>
      <c r="JV1" s="11">
        <v>45937</v>
      </c>
      <c r="JW1" s="11">
        <v>45938</v>
      </c>
      <c r="JX1" s="11">
        <v>45939</v>
      </c>
      <c r="JY1" s="11">
        <v>45940</v>
      </c>
      <c r="JZ1" s="11">
        <v>45941</v>
      </c>
      <c r="KA1" s="11">
        <v>45942</v>
      </c>
      <c r="KB1" s="11">
        <v>45943</v>
      </c>
      <c r="KC1" s="11">
        <v>45944</v>
      </c>
      <c r="KD1" s="11">
        <v>45945</v>
      </c>
      <c r="KE1" s="11">
        <v>45946</v>
      </c>
      <c r="KF1" s="11">
        <v>45947</v>
      </c>
      <c r="KG1" s="11">
        <v>45948</v>
      </c>
      <c r="KH1" s="11">
        <v>45949</v>
      </c>
      <c r="KI1" s="11">
        <v>45950</v>
      </c>
      <c r="KJ1" s="11">
        <v>45951</v>
      </c>
      <c r="KK1" s="11">
        <v>45952</v>
      </c>
      <c r="KL1" s="11">
        <v>45953</v>
      </c>
      <c r="KM1" s="11">
        <v>45954</v>
      </c>
      <c r="KN1" s="11">
        <v>45955</v>
      </c>
      <c r="KO1" s="11">
        <v>45956</v>
      </c>
      <c r="KP1" s="11">
        <v>45957</v>
      </c>
      <c r="KQ1" s="11">
        <v>45958</v>
      </c>
      <c r="KR1" s="11">
        <v>45959</v>
      </c>
      <c r="KS1" s="11">
        <v>45960</v>
      </c>
      <c r="KT1" s="11">
        <v>45961</v>
      </c>
      <c r="KU1" s="11">
        <v>45962</v>
      </c>
      <c r="KV1" s="11">
        <v>45963</v>
      </c>
      <c r="KW1" s="11">
        <v>45964</v>
      </c>
      <c r="KX1" s="11">
        <v>45965</v>
      </c>
      <c r="KY1" s="11">
        <v>45966</v>
      </c>
      <c r="KZ1" s="11">
        <v>45967</v>
      </c>
      <c r="LA1" s="11">
        <v>45968</v>
      </c>
      <c r="LB1" s="11">
        <v>45969</v>
      </c>
      <c r="LC1" s="11">
        <v>45970</v>
      </c>
      <c r="LD1" s="11">
        <v>45971</v>
      </c>
      <c r="LE1" s="11">
        <v>45972</v>
      </c>
      <c r="LF1" s="11">
        <v>45973</v>
      </c>
      <c r="LG1" s="11">
        <v>45974</v>
      </c>
      <c r="LH1" s="11">
        <v>45975</v>
      </c>
      <c r="LI1" s="11">
        <v>45976</v>
      </c>
      <c r="LJ1" s="11">
        <v>45977</v>
      </c>
      <c r="LK1" s="11">
        <v>45978</v>
      </c>
      <c r="LL1" s="11">
        <v>45979</v>
      </c>
      <c r="LM1" s="11">
        <v>45980</v>
      </c>
      <c r="LN1" s="11">
        <v>45981</v>
      </c>
      <c r="LO1" s="11">
        <v>45982</v>
      </c>
      <c r="LP1" s="11">
        <v>45983</v>
      </c>
      <c r="LQ1" s="11">
        <v>45984</v>
      </c>
      <c r="LR1" s="11">
        <v>45985</v>
      </c>
      <c r="LS1" s="11">
        <v>45986</v>
      </c>
      <c r="LT1" s="11">
        <v>45987</v>
      </c>
      <c r="LU1" s="11">
        <v>45988</v>
      </c>
      <c r="LV1" s="11">
        <v>45989</v>
      </c>
      <c r="LW1" s="11">
        <v>45990</v>
      </c>
      <c r="LX1" s="11">
        <v>45991</v>
      </c>
      <c r="LY1" s="11">
        <v>45992</v>
      </c>
      <c r="LZ1" s="11">
        <v>45993</v>
      </c>
      <c r="MA1" s="11">
        <v>45994</v>
      </c>
      <c r="MB1" s="11">
        <v>45995</v>
      </c>
      <c r="MC1" s="11">
        <v>45996</v>
      </c>
      <c r="MD1" s="11">
        <v>45997</v>
      </c>
      <c r="ME1" s="11">
        <v>45998</v>
      </c>
      <c r="MF1" s="11">
        <v>45999</v>
      </c>
      <c r="MG1" s="11">
        <v>46000</v>
      </c>
      <c r="MH1" s="11">
        <v>46001</v>
      </c>
      <c r="MI1" s="11">
        <v>46002</v>
      </c>
      <c r="MJ1" s="11">
        <v>46003</v>
      </c>
      <c r="MK1" s="11">
        <v>46004</v>
      </c>
      <c r="ML1" s="11">
        <v>46005</v>
      </c>
      <c r="MM1" s="11">
        <v>46006</v>
      </c>
      <c r="MN1" s="11">
        <v>46007</v>
      </c>
      <c r="MO1" s="11">
        <v>46008</v>
      </c>
      <c r="MP1" s="11">
        <v>46009</v>
      </c>
      <c r="MQ1" s="11">
        <v>46010</v>
      </c>
      <c r="MR1" s="11">
        <v>46011</v>
      </c>
      <c r="MS1" s="11">
        <v>46012</v>
      </c>
      <c r="MT1" s="11">
        <v>46013</v>
      </c>
      <c r="MU1" s="11">
        <v>46014</v>
      </c>
      <c r="MV1" s="11">
        <v>46015</v>
      </c>
      <c r="MW1" s="11">
        <v>46016</v>
      </c>
      <c r="MX1" s="11">
        <v>46017</v>
      </c>
      <c r="MY1" s="11">
        <v>46018</v>
      </c>
      <c r="MZ1" s="11">
        <v>46019</v>
      </c>
      <c r="NA1" s="11">
        <v>46020</v>
      </c>
      <c r="NB1" s="11">
        <v>46021</v>
      </c>
      <c r="NC1" s="11">
        <v>46022</v>
      </c>
    </row>
    <row r="2" spans="1:367">
      <c r="B2" s="12" t="s">
        <v>10</v>
      </c>
      <c r="C2" s="8" t="s">
        <v>54</v>
      </c>
      <c r="D2" s="8" t="s">
        <v>54</v>
      </c>
      <c r="E2" s="8" t="s">
        <v>54</v>
      </c>
      <c r="F2" s="8" t="s">
        <v>54</v>
      </c>
      <c r="G2" s="8" t="s">
        <v>54</v>
      </c>
      <c r="H2" s="8" t="s">
        <v>425</v>
      </c>
      <c r="I2" s="8" t="s">
        <v>425</v>
      </c>
      <c r="J2" s="8" t="s">
        <v>425</v>
      </c>
      <c r="K2" s="8" t="s">
        <v>425</v>
      </c>
      <c r="L2" s="8" t="s">
        <v>425</v>
      </c>
      <c r="M2" s="8" t="s">
        <v>425</v>
      </c>
      <c r="N2" s="8" t="s">
        <v>425</v>
      </c>
      <c r="O2" s="8" t="s">
        <v>2</v>
      </c>
      <c r="P2" s="8" t="s">
        <v>2</v>
      </c>
      <c r="Q2" s="8" t="s">
        <v>2</v>
      </c>
      <c r="R2" s="8" t="s">
        <v>2</v>
      </c>
      <c r="S2" s="8" t="s">
        <v>2</v>
      </c>
      <c r="T2" s="8" t="s">
        <v>2</v>
      </c>
      <c r="U2" s="8" t="s">
        <v>2</v>
      </c>
      <c r="V2" s="8" t="s">
        <v>3</v>
      </c>
      <c r="W2" s="8" t="s">
        <v>3</v>
      </c>
      <c r="X2" s="8" t="s">
        <v>3</v>
      </c>
      <c r="Y2" s="8" t="s">
        <v>3</v>
      </c>
      <c r="Z2" s="8" t="s">
        <v>3</v>
      </c>
      <c r="AA2" s="8" t="s">
        <v>3</v>
      </c>
      <c r="AB2" s="8" t="s">
        <v>3</v>
      </c>
      <c r="AC2" s="8" t="s">
        <v>4</v>
      </c>
      <c r="AD2" s="8" t="s">
        <v>4</v>
      </c>
      <c r="AE2" s="8" t="s">
        <v>4</v>
      </c>
      <c r="AF2" s="8" t="s">
        <v>4</v>
      </c>
      <c r="AG2" s="8" t="s">
        <v>4</v>
      </c>
      <c r="AH2" s="8" t="s">
        <v>4</v>
      </c>
      <c r="AI2" s="8" t="s">
        <v>4</v>
      </c>
      <c r="AJ2" s="8" t="s">
        <v>5</v>
      </c>
      <c r="AK2" s="8" t="s">
        <v>5</v>
      </c>
      <c r="AL2" s="8" t="s">
        <v>5</v>
      </c>
      <c r="AM2" s="8" t="s">
        <v>5</v>
      </c>
      <c r="AN2" s="8" t="s">
        <v>5</v>
      </c>
      <c r="AO2" s="8" t="s">
        <v>5</v>
      </c>
      <c r="AP2" s="8" t="s">
        <v>5</v>
      </c>
      <c r="AQ2" s="8" t="s">
        <v>6</v>
      </c>
      <c r="AR2" s="8" t="s">
        <v>6</v>
      </c>
      <c r="AS2" s="8" t="s">
        <v>6</v>
      </c>
      <c r="AT2" s="8" t="s">
        <v>6</v>
      </c>
      <c r="AU2" s="8" t="s">
        <v>6</v>
      </c>
      <c r="AV2" s="8" t="s">
        <v>6</v>
      </c>
      <c r="AW2" s="8" t="s">
        <v>6</v>
      </c>
      <c r="AX2" s="8" t="s">
        <v>7</v>
      </c>
      <c r="AY2" s="8" t="s">
        <v>7</v>
      </c>
      <c r="AZ2" s="8" t="s">
        <v>7</v>
      </c>
      <c r="BA2" s="8" t="s">
        <v>7</v>
      </c>
      <c r="BB2" s="8" t="s">
        <v>7</v>
      </c>
      <c r="BC2" s="8" t="s">
        <v>7</v>
      </c>
      <c r="BD2" s="8" t="s">
        <v>7</v>
      </c>
      <c r="BE2" s="8" t="s">
        <v>8</v>
      </c>
      <c r="BF2" s="8" t="s">
        <v>8</v>
      </c>
      <c r="BG2" s="8" t="s">
        <v>8</v>
      </c>
      <c r="BH2" s="8" t="s">
        <v>8</v>
      </c>
      <c r="BI2" s="8" t="s">
        <v>8</v>
      </c>
      <c r="BJ2" s="8" t="s">
        <v>8</v>
      </c>
      <c r="BK2" s="8" t="s">
        <v>8</v>
      </c>
      <c r="BL2" s="8" t="s">
        <v>11</v>
      </c>
      <c r="BM2" s="8" t="s">
        <v>11</v>
      </c>
      <c r="BN2" s="8" t="s">
        <v>11</v>
      </c>
      <c r="BO2" s="8" t="s">
        <v>11</v>
      </c>
      <c r="BP2" s="8" t="s">
        <v>11</v>
      </c>
      <c r="BQ2" s="8" t="s">
        <v>11</v>
      </c>
      <c r="BR2" s="8" t="s">
        <v>11</v>
      </c>
      <c r="BS2" s="8" t="s">
        <v>12</v>
      </c>
      <c r="BT2" s="8" t="s">
        <v>12</v>
      </c>
      <c r="BU2" s="8" t="s">
        <v>12</v>
      </c>
      <c r="BV2" s="8" t="s">
        <v>12</v>
      </c>
      <c r="BW2" s="8" t="s">
        <v>12</v>
      </c>
      <c r="BX2" s="8" t="s">
        <v>12</v>
      </c>
      <c r="BY2" s="8" t="s">
        <v>12</v>
      </c>
      <c r="BZ2" s="8" t="s">
        <v>13</v>
      </c>
      <c r="CA2" s="8" t="s">
        <v>13</v>
      </c>
      <c r="CB2" s="8" t="s">
        <v>13</v>
      </c>
      <c r="CC2" s="8" t="s">
        <v>13</v>
      </c>
      <c r="CD2" s="8" t="s">
        <v>13</v>
      </c>
      <c r="CE2" s="8" t="s">
        <v>13</v>
      </c>
      <c r="CF2" s="8" t="s">
        <v>13</v>
      </c>
      <c r="CG2" s="8" t="s">
        <v>14</v>
      </c>
      <c r="CH2" s="8" t="s">
        <v>14</v>
      </c>
      <c r="CI2" s="8" t="s">
        <v>14</v>
      </c>
      <c r="CJ2" s="8" t="s">
        <v>14</v>
      </c>
      <c r="CK2" s="8" t="s">
        <v>14</v>
      </c>
      <c r="CL2" s="8" t="s">
        <v>14</v>
      </c>
      <c r="CM2" s="8" t="s">
        <v>14</v>
      </c>
      <c r="CN2" s="8" t="s">
        <v>15</v>
      </c>
      <c r="CO2" s="8" t="s">
        <v>15</v>
      </c>
      <c r="CP2" s="8" t="s">
        <v>15</v>
      </c>
      <c r="CQ2" s="8" t="s">
        <v>15</v>
      </c>
      <c r="CR2" s="8" t="s">
        <v>15</v>
      </c>
      <c r="CS2" s="8" t="s">
        <v>15</v>
      </c>
      <c r="CT2" s="8" t="s">
        <v>15</v>
      </c>
      <c r="CU2" s="8" t="s">
        <v>16</v>
      </c>
      <c r="CV2" s="8" t="s">
        <v>16</v>
      </c>
      <c r="CW2" s="8" t="s">
        <v>16</v>
      </c>
      <c r="CX2" s="8" t="s">
        <v>16</v>
      </c>
      <c r="CY2" s="8" t="s">
        <v>16</v>
      </c>
      <c r="CZ2" s="8" t="s">
        <v>16</v>
      </c>
      <c r="DA2" s="8" t="s">
        <v>16</v>
      </c>
      <c r="DB2" s="8" t="s">
        <v>17</v>
      </c>
      <c r="DC2" s="8" t="s">
        <v>17</v>
      </c>
      <c r="DD2" s="8" t="s">
        <v>17</v>
      </c>
      <c r="DE2" s="8" t="s">
        <v>17</v>
      </c>
      <c r="DF2" s="8" t="s">
        <v>17</v>
      </c>
      <c r="DG2" s="8" t="s">
        <v>17</v>
      </c>
      <c r="DH2" s="8" t="s">
        <v>17</v>
      </c>
      <c r="DI2" s="8" t="s">
        <v>18</v>
      </c>
      <c r="DJ2" s="8" t="s">
        <v>18</v>
      </c>
      <c r="DK2" s="8" t="s">
        <v>18</v>
      </c>
      <c r="DL2" s="8" t="s">
        <v>18</v>
      </c>
      <c r="DM2" s="8" t="s">
        <v>18</v>
      </c>
      <c r="DN2" s="8" t="s">
        <v>18</v>
      </c>
      <c r="DO2" s="8" t="s">
        <v>18</v>
      </c>
      <c r="DP2" s="8" t="s">
        <v>19</v>
      </c>
      <c r="DQ2" s="8" t="s">
        <v>19</v>
      </c>
      <c r="DR2" s="8" t="s">
        <v>19</v>
      </c>
      <c r="DS2" s="8" t="s">
        <v>19</v>
      </c>
      <c r="DT2" s="8" t="s">
        <v>19</v>
      </c>
      <c r="DU2" s="8" t="s">
        <v>19</v>
      </c>
      <c r="DV2" s="8" t="s">
        <v>19</v>
      </c>
      <c r="DW2" s="8" t="s">
        <v>20</v>
      </c>
      <c r="DX2" s="8" t="s">
        <v>20</v>
      </c>
      <c r="DY2" s="8" t="s">
        <v>20</v>
      </c>
      <c r="DZ2" s="8" t="s">
        <v>20</v>
      </c>
      <c r="EA2" s="8" t="s">
        <v>20</v>
      </c>
      <c r="EB2" s="8" t="s">
        <v>20</v>
      </c>
      <c r="EC2" s="8" t="s">
        <v>20</v>
      </c>
      <c r="ED2" s="8" t="s">
        <v>21</v>
      </c>
      <c r="EE2" s="8" t="s">
        <v>21</v>
      </c>
      <c r="EF2" s="8" t="s">
        <v>21</v>
      </c>
      <c r="EG2" s="8" t="s">
        <v>21</v>
      </c>
      <c r="EH2" s="8" t="s">
        <v>21</v>
      </c>
      <c r="EI2" s="8" t="s">
        <v>21</v>
      </c>
      <c r="EJ2" s="8" t="s">
        <v>21</v>
      </c>
      <c r="EK2" s="8" t="s">
        <v>22</v>
      </c>
      <c r="EL2" s="8" t="s">
        <v>22</v>
      </c>
      <c r="EM2" s="8" t="s">
        <v>22</v>
      </c>
      <c r="EN2" s="8" t="s">
        <v>22</v>
      </c>
      <c r="EO2" s="8" t="s">
        <v>22</v>
      </c>
      <c r="EP2" s="8" t="s">
        <v>22</v>
      </c>
      <c r="EQ2" s="8" t="s">
        <v>22</v>
      </c>
      <c r="ER2" s="8" t="s">
        <v>23</v>
      </c>
      <c r="ES2" s="8" t="s">
        <v>23</v>
      </c>
      <c r="ET2" s="8" t="s">
        <v>23</v>
      </c>
      <c r="EU2" s="8" t="s">
        <v>23</v>
      </c>
      <c r="EV2" s="8" t="s">
        <v>23</v>
      </c>
      <c r="EW2" s="8" t="s">
        <v>23</v>
      </c>
      <c r="EX2" s="8" t="s">
        <v>23</v>
      </c>
      <c r="EY2" s="8" t="s">
        <v>24</v>
      </c>
      <c r="EZ2" s="8" t="s">
        <v>24</v>
      </c>
      <c r="FA2" s="8" t="s">
        <v>24</v>
      </c>
      <c r="FB2" s="8" t="s">
        <v>24</v>
      </c>
      <c r="FC2" s="8" t="s">
        <v>24</v>
      </c>
      <c r="FD2" s="8" t="s">
        <v>24</v>
      </c>
      <c r="FE2" s="8" t="s">
        <v>24</v>
      </c>
      <c r="FF2" s="8" t="s">
        <v>25</v>
      </c>
      <c r="FG2" s="8" t="s">
        <v>25</v>
      </c>
      <c r="FH2" s="8" t="s">
        <v>25</v>
      </c>
      <c r="FI2" s="8" t="s">
        <v>25</v>
      </c>
      <c r="FJ2" s="8" t="s">
        <v>25</v>
      </c>
      <c r="FK2" s="8" t="s">
        <v>25</v>
      </c>
      <c r="FL2" s="8" t="s">
        <v>25</v>
      </c>
      <c r="FM2" s="8" t="s">
        <v>26</v>
      </c>
      <c r="FN2" s="8" t="s">
        <v>26</v>
      </c>
      <c r="FO2" s="8" t="s">
        <v>26</v>
      </c>
      <c r="FP2" s="8" t="s">
        <v>26</v>
      </c>
      <c r="FQ2" s="8" t="s">
        <v>26</v>
      </c>
      <c r="FR2" s="8" t="s">
        <v>26</v>
      </c>
      <c r="FS2" s="8" t="s">
        <v>26</v>
      </c>
      <c r="FT2" s="8" t="s">
        <v>27</v>
      </c>
      <c r="FU2" s="8" t="s">
        <v>27</v>
      </c>
      <c r="FV2" s="8" t="s">
        <v>27</v>
      </c>
      <c r="FW2" s="8" t="s">
        <v>27</v>
      </c>
      <c r="FX2" s="8" t="s">
        <v>27</v>
      </c>
      <c r="FY2" s="8" t="s">
        <v>27</v>
      </c>
      <c r="FZ2" s="8" t="s">
        <v>27</v>
      </c>
      <c r="GA2" s="8" t="s">
        <v>28</v>
      </c>
      <c r="GB2" s="8" t="s">
        <v>28</v>
      </c>
      <c r="GC2" s="8" t="s">
        <v>28</v>
      </c>
      <c r="GD2" s="8" t="s">
        <v>28</v>
      </c>
      <c r="GE2" s="8" t="s">
        <v>28</v>
      </c>
      <c r="GF2" s="8" t="s">
        <v>28</v>
      </c>
      <c r="GG2" s="8" t="s">
        <v>28</v>
      </c>
      <c r="GH2" s="8" t="s">
        <v>29</v>
      </c>
      <c r="GI2" s="8" t="s">
        <v>29</v>
      </c>
      <c r="GJ2" s="8" t="s">
        <v>29</v>
      </c>
      <c r="GK2" s="8" t="s">
        <v>29</v>
      </c>
      <c r="GL2" s="8" t="s">
        <v>29</v>
      </c>
      <c r="GM2" s="8" t="s">
        <v>29</v>
      </c>
      <c r="GN2" s="8" t="s">
        <v>29</v>
      </c>
      <c r="GO2" s="8" t="s">
        <v>30</v>
      </c>
      <c r="GP2" s="8" t="s">
        <v>30</v>
      </c>
      <c r="GQ2" s="8" t="s">
        <v>30</v>
      </c>
      <c r="GR2" s="8" t="s">
        <v>30</v>
      </c>
      <c r="GS2" s="8" t="s">
        <v>30</v>
      </c>
      <c r="GT2" s="8" t="s">
        <v>30</v>
      </c>
      <c r="GU2" s="8" t="s">
        <v>30</v>
      </c>
      <c r="GV2" s="8" t="s">
        <v>31</v>
      </c>
      <c r="GW2" s="8" t="s">
        <v>31</v>
      </c>
      <c r="GX2" s="8" t="s">
        <v>31</v>
      </c>
      <c r="GY2" s="8" t="s">
        <v>31</v>
      </c>
      <c r="GZ2" s="8" t="s">
        <v>31</v>
      </c>
      <c r="HA2" s="8" t="s">
        <v>31</v>
      </c>
      <c r="HB2" s="8" t="s">
        <v>31</v>
      </c>
      <c r="HC2" s="8" t="s">
        <v>32</v>
      </c>
      <c r="HD2" s="8" t="s">
        <v>32</v>
      </c>
      <c r="HE2" s="8" t="s">
        <v>32</v>
      </c>
      <c r="HF2" s="8" t="s">
        <v>32</v>
      </c>
      <c r="HG2" s="8" t="s">
        <v>32</v>
      </c>
      <c r="HH2" s="8" t="s">
        <v>32</v>
      </c>
      <c r="HI2" s="8" t="s">
        <v>32</v>
      </c>
      <c r="HJ2" s="8" t="s">
        <v>33</v>
      </c>
      <c r="HK2" s="8" t="s">
        <v>33</v>
      </c>
      <c r="HL2" s="8" t="s">
        <v>33</v>
      </c>
      <c r="HM2" s="8" t="s">
        <v>33</v>
      </c>
      <c r="HN2" s="8" t="s">
        <v>33</v>
      </c>
      <c r="HO2" s="8" t="s">
        <v>33</v>
      </c>
      <c r="HP2" s="8" t="s">
        <v>33</v>
      </c>
      <c r="HQ2" s="8" t="s">
        <v>34</v>
      </c>
      <c r="HR2" s="8" t="s">
        <v>34</v>
      </c>
      <c r="HS2" s="8" t="s">
        <v>34</v>
      </c>
      <c r="HT2" s="8" t="s">
        <v>34</v>
      </c>
      <c r="HU2" s="8" t="s">
        <v>34</v>
      </c>
      <c r="HV2" s="8" t="s">
        <v>34</v>
      </c>
      <c r="HW2" s="8" t="s">
        <v>34</v>
      </c>
      <c r="HX2" s="8" t="s">
        <v>35</v>
      </c>
      <c r="HY2" s="8" t="s">
        <v>35</v>
      </c>
      <c r="HZ2" s="8" t="s">
        <v>35</v>
      </c>
      <c r="IA2" s="8" t="s">
        <v>35</v>
      </c>
      <c r="IB2" s="8" t="s">
        <v>35</v>
      </c>
      <c r="IC2" s="8" t="s">
        <v>35</v>
      </c>
      <c r="ID2" s="8" t="s">
        <v>35</v>
      </c>
      <c r="IE2" s="8" t="s">
        <v>36</v>
      </c>
      <c r="IF2" s="8" t="s">
        <v>36</v>
      </c>
      <c r="IG2" s="8" t="s">
        <v>36</v>
      </c>
      <c r="IH2" s="8" t="s">
        <v>36</v>
      </c>
      <c r="II2" s="8" t="s">
        <v>36</v>
      </c>
      <c r="IJ2" s="8" t="s">
        <v>36</v>
      </c>
      <c r="IK2" s="8" t="s">
        <v>36</v>
      </c>
      <c r="IL2" s="8" t="s">
        <v>37</v>
      </c>
      <c r="IM2" s="8" t="s">
        <v>37</v>
      </c>
      <c r="IN2" s="8" t="s">
        <v>37</v>
      </c>
      <c r="IO2" s="8" t="s">
        <v>37</v>
      </c>
      <c r="IP2" s="8" t="s">
        <v>37</v>
      </c>
      <c r="IQ2" s="8" t="s">
        <v>37</v>
      </c>
      <c r="IR2" s="8" t="s">
        <v>37</v>
      </c>
      <c r="IS2" s="8" t="s">
        <v>38</v>
      </c>
      <c r="IT2" s="8" t="s">
        <v>38</v>
      </c>
      <c r="IU2" s="8" t="s">
        <v>38</v>
      </c>
      <c r="IV2" s="8" t="s">
        <v>38</v>
      </c>
      <c r="IW2" s="8" t="s">
        <v>38</v>
      </c>
      <c r="IX2" s="8" t="s">
        <v>38</v>
      </c>
      <c r="IY2" s="8" t="s">
        <v>38</v>
      </c>
      <c r="IZ2" s="8" t="s">
        <v>39</v>
      </c>
      <c r="JA2" s="8" t="s">
        <v>39</v>
      </c>
      <c r="JB2" s="8" t="s">
        <v>39</v>
      </c>
      <c r="JC2" s="8" t="s">
        <v>39</v>
      </c>
      <c r="JD2" s="8" t="s">
        <v>39</v>
      </c>
      <c r="JE2" s="8" t="s">
        <v>39</v>
      </c>
      <c r="JF2" s="8" t="s">
        <v>39</v>
      </c>
      <c r="JG2" s="8" t="s">
        <v>40</v>
      </c>
      <c r="JH2" s="8" t="s">
        <v>40</v>
      </c>
      <c r="JI2" s="8" t="s">
        <v>40</v>
      </c>
      <c r="JJ2" s="8" t="s">
        <v>40</v>
      </c>
      <c r="JK2" s="8" t="s">
        <v>40</v>
      </c>
      <c r="JL2" s="8" t="s">
        <v>40</v>
      </c>
      <c r="JM2" s="8" t="s">
        <v>40</v>
      </c>
      <c r="JN2" s="8" t="s">
        <v>41</v>
      </c>
      <c r="JO2" s="8" t="s">
        <v>41</v>
      </c>
      <c r="JP2" s="8" t="s">
        <v>41</v>
      </c>
      <c r="JQ2" s="8" t="s">
        <v>41</v>
      </c>
      <c r="JR2" s="8" t="s">
        <v>41</v>
      </c>
      <c r="JS2" s="8" t="s">
        <v>41</v>
      </c>
      <c r="JT2" s="8" t="s">
        <v>41</v>
      </c>
      <c r="JU2" s="8" t="s">
        <v>42</v>
      </c>
      <c r="JV2" s="8" t="s">
        <v>42</v>
      </c>
      <c r="JW2" s="8" t="s">
        <v>42</v>
      </c>
      <c r="JX2" s="8" t="s">
        <v>42</v>
      </c>
      <c r="JY2" s="8" t="s">
        <v>42</v>
      </c>
      <c r="JZ2" s="8" t="s">
        <v>42</v>
      </c>
      <c r="KA2" s="8" t="s">
        <v>42</v>
      </c>
      <c r="KB2" s="8" t="s">
        <v>43</v>
      </c>
      <c r="KC2" s="8" t="s">
        <v>43</v>
      </c>
      <c r="KD2" s="8" t="s">
        <v>43</v>
      </c>
      <c r="KE2" s="8" t="s">
        <v>43</v>
      </c>
      <c r="KF2" s="8" t="s">
        <v>43</v>
      </c>
      <c r="KG2" s="8" t="s">
        <v>43</v>
      </c>
      <c r="KH2" s="8" t="s">
        <v>43</v>
      </c>
      <c r="KI2" s="8" t="s">
        <v>44</v>
      </c>
      <c r="KJ2" s="8" t="s">
        <v>44</v>
      </c>
      <c r="KK2" s="8" t="s">
        <v>44</v>
      </c>
      <c r="KL2" s="8" t="s">
        <v>44</v>
      </c>
      <c r="KM2" s="8" t="s">
        <v>44</v>
      </c>
      <c r="KN2" s="8" t="s">
        <v>44</v>
      </c>
      <c r="KO2" s="8" t="s">
        <v>44</v>
      </c>
      <c r="KP2" s="8" t="s">
        <v>45</v>
      </c>
      <c r="KQ2" s="8" t="s">
        <v>45</v>
      </c>
      <c r="KR2" s="8" t="s">
        <v>45</v>
      </c>
      <c r="KS2" s="8" t="s">
        <v>45</v>
      </c>
      <c r="KT2" s="8" t="s">
        <v>45</v>
      </c>
      <c r="KU2" s="8" t="s">
        <v>45</v>
      </c>
      <c r="KV2" s="8" t="s">
        <v>45</v>
      </c>
      <c r="KW2" s="8" t="s">
        <v>46</v>
      </c>
      <c r="KX2" s="8" t="s">
        <v>46</v>
      </c>
      <c r="KY2" s="8" t="s">
        <v>46</v>
      </c>
      <c r="KZ2" s="8" t="s">
        <v>46</v>
      </c>
      <c r="LA2" s="8" t="s">
        <v>46</v>
      </c>
      <c r="LB2" s="8" t="s">
        <v>46</v>
      </c>
      <c r="LC2" s="8" t="s">
        <v>46</v>
      </c>
      <c r="LD2" s="8" t="s">
        <v>47</v>
      </c>
      <c r="LE2" s="8" t="s">
        <v>47</v>
      </c>
      <c r="LF2" s="8" t="s">
        <v>47</v>
      </c>
      <c r="LG2" s="8" t="s">
        <v>47</v>
      </c>
      <c r="LH2" s="8" t="s">
        <v>47</v>
      </c>
      <c r="LI2" s="8" t="s">
        <v>47</v>
      </c>
      <c r="LJ2" s="8" t="s">
        <v>47</v>
      </c>
      <c r="LK2" s="8" t="s">
        <v>48</v>
      </c>
      <c r="LL2" s="8" t="s">
        <v>48</v>
      </c>
      <c r="LM2" s="8" t="s">
        <v>48</v>
      </c>
      <c r="LN2" s="8" t="s">
        <v>48</v>
      </c>
      <c r="LO2" s="8" t="s">
        <v>48</v>
      </c>
      <c r="LP2" s="8" t="s">
        <v>48</v>
      </c>
      <c r="LQ2" s="8" t="s">
        <v>48</v>
      </c>
      <c r="LR2" s="8" t="s">
        <v>49</v>
      </c>
      <c r="LS2" s="8" t="s">
        <v>49</v>
      </c>
      <c r="LT2" s="8" t="s">
        <v>49</v>
      </c>
      <c r="LU2" s="8" t="s">
        <v>49</v>
      </c>
      <c r="LV2" s="8" t="s">
        <v>49</v>
      </c>
      <c r="LW2" s="8" t="s">
        <v>49</v>
      </c>
      <c r="LX2" s="8" t="s">
        <v>49</v>
      </c>
      <c r="LY2" s="8" t="s">
        <v>50</v>
      </c>
      <c r="LZ2" s="8" t="s">
        <v>50</v>
      </c>
      <c r="MA2" s="8" t="s">
        <v>50</v>
      </c>
      <c r="MB2" s="8" t="s">
        <v>50</v>
      </c>
      <c r="MC2" s="8" t="s">
        <v>50</v>
      </c>
      <c r="MD2" s="8" t="s">
        <v>50</v>
      </c>
      <c r="ME2" s="8" t="s">
        <v>50</v>
      </c>
      <c r="MF2" s="8" t="s">
        <v>51</v>
      </c>
      <c r="MG2" s="8" t="s">
        <v>51</v>
      </c>
      <c r="MH2" s="8" t="s">
        <v>51</v>
      </c>
      <c r="MI2" s="8" t="s">
        <v>51</v>
      </c>
      <c r="MJ2" s="8" t="s">
        <v>51</v>
      </c>
      <c r="MK2" s="8" t="s">
        <v>51</v>
      </c>
      <c r="ML2" s="8" t="s">
        <v>51</v>
      </c>
      <c r="MM2" s="8" t="s">
        <v>52</v>
      </c>
      <c r="MN2" s="8" t="s">
        <v>52</v>
      </c>
      <c r="MO2" s="8" t="s">
        <v>52</v>
      </c>
      <c r="MP2" s="8" t="s">
        <v>52</v>
      </c>
      <c r="MQ2" s="8" t="s">
        <v>52</v>
      </c>
      <c r="MR2" s="8" t="s">
        <v>52</v>
      </c>
      <c r="MS2" s="8" t="s">
        <v>52</v>
      </c>
      <c r="MT2" s="8" t="s">
        <v>53</v>
      </c>
      <c r="MU2" s="8" t="s">
        <v>53</v>
      </c>
      <c r="MV2" s="8" t="s">
        <v>53</v>
      </c>
      <c r="MW2" s="8" t="s">
        <v>53</v>
      </c>
      <c r="MX2" s="8" t="s">
        <v>53</v>
      </c>
      <c r="MY2" s="8" t="s">
        <v>53</v>
      </c>
      <c r="MZ2" s="8" t="s">
        <v>53</v>
      </c>
      <c r="NA2" s="8" t="s">
        <v>54</v>
      </c>
      <c r="NB2" s="8" t="s">
        <v>54</v>
      </c>
      <c r="NC2" s="8" t="s">
        <v>54</v>
      </c>
    </row>
    <row r="3" spans="1:367">
      <c r="A3" s="13">
        <f>+SUM(C3:NC3)</f>
        <v>41289.68333333332</v>
      </c>
      <c r="B3" s="14" t="s">
        <v>427</v>
      </c>
      <c r="C3" s="103"/>
      <c r="D3" s="2">
        <v>142.5</v>
      </c>
      <c r="E3" s="2">
        <v>147.08333333333334</v>
      </c>
      <c r="F3" s="2">
        <v>135</v>
      </c>
      <c r="G3" s="2"/>
      <c r="H3" s="2">
        <v>157.5</v>
      </c>
      <c r="I3" s="2">
        <v>260</v>
      </c>
      <c r="J3" s="2">
        <v>225</v>
      </c>
      <c r="K3" s="2">
        <v>260</v>
      </c>
      <c r="L3" s="2">
        <v>247</v>
      </c>
      <c r="M3" s="2">
        <v>267</v>
      </c>
      <c r="N3" s="2"/>
      <c r="O3" s="7">
        <v>307.08333333333331</v>
      </c>
      <c r="P3" s="7">
        <v>240</v>
      </c>
      <c r="Q3" s="7">
        <v>283.91666666666663</v>
      </c>
      <c r="R3" s="7">
        <v>270.5</v>
      </c>
      <c r="S3" s="7">
        <v>218</v>
      </c>
      <c r="T3" s="7">
        <v>186.58333333333334</v>
      </c>
      <c r="U3" s="7"/>
      <c r="V3" s="7">
        <v>232.5</v>
      </c>
      <c r="W3" s="7">
        <v>240</v>
      </c>
      <c r="X3" s="7">
        <v>247.5</v>
      </c>
      <c r="Y3" s="7">
        <v>246.91666666666669</v>
      </c>
      <c r="Z3" s="7">
        <v>217.58333333333334</v>
      </c>
      <c r="AA3" s="7">
        <v>177.08333333333331</v>
      </c>
      <c r="AB3" s="7"/>
      <c r="AC3" s="7">
        <v>210</v>
      </c>
      <c r="AD3" s="7">
        <v>342.66666666666669</v>
      </c>
      <c r="AE3" s="7">
        <v>262.5</v>
      </c>
      <c r="AF3" s="6">
        <v>300.83333333333331</v>
      </c>
      <c r="AG3" s="6">
        <v>195.5</v>
      </c>
      <c r="AH3" s="6">
        <v>185</v>
      </c>
      <c r="AI3" s="6"/>
      <c r="AJ3" s="6">
        <v>192.08333333333334</v>
      </c>
      <c r="AK3" s="6">
        <v>195</v>
      </c>
      <c r="AL3" s="6">
        <v>201.25</v>
      </c>
      <c r="AM3" s="6">
        <v>60</v>
      </c>
      <c r="AN3" s="6">
        <v>67.5</v>
      </c>
      <c r="AO3" s="6">
        <v>88.666666666666686</v>
      </c>
      <c r="AP3" s="6"/>
      <c r="AQ3" s="6">
        <v>15</v>
      </c>
      <c r="AR3" s="6">
        <v>7</v>
      </c>
      <c r="AS3" s="6">
        <v>177.5</v>
      </c>
      <c r="AT3" s="6">
        <v>172.5</v>
      </c>
      <c r="AU3" s="6">
        <v>164.66666666666669</v>
      </c>
      <c r="AV3" s="6">
        <v>145.75</v>
      </c>
      <c r="AW3" s="6"/>
      <c r="AX3" s="6">
        <v>180</v>
      </c>
      <c r="AY3" s="6">
        <v>180</v>
      </c>
      <c r="AZ3" s="6">
        <v>180</v>
      </c>
      <c r="BA3" s="6">
        <v>177.5</v>
      </c>
      <c r="BB3" s="6">
        <v>180</v>
      </c>
      <c r="BC3" s="6">
        <v>102.16666666666667</v>
      </c>
      <c r="BD3" s="6"/>
      <c r="BE3" s="6">
        <v>21</v>
      </c>
      <c r="BF3" s="6">
        <v>35</v>
      </c>
      <c r="BG3" s="6">
        <v>165</v>
      </c>
      <c r="BH3" s="6">
        <v>164.33333333333331</v>
      </c>
      <c r="BI3" s="6">
        <v>172.5</v>
      </c>
      <c r="BJ3" s="6">
        <v>160</v>
      </c>
      <c r="BK3" s="6"/>
      <c r="BL3" s="7">
        <v>120</v>
      </c>
      <c r="BM3" s="7">
        <v>83.916666666666686</v>
      </c>
      <c r="BN3" s="7">
        <v>30</v>
      </c>
      <c r="BO3" s="7">
        <v>15</v>
      </c>
      <c r="BP3" s="7">
        <v>30</v>
      </c>
      <c r="BQ3" s="7">
        <v>25</v>
      </c>
      <c r="BR3" s="7"/>
      <c r="BS3" s="6">
        <v>21.5</v>
      </c>
      <c r="BT3" s="6">
        <v>30</v>
      </c>
      <c r="BU3" s="6">
        <v>20</v>
      </c>
      <c r="BV3" s="6">
        <v>27.5</v>
      </c>
      <c r="BW3" s="6">
        <v>22.5</v>
      </c>
      <c r="BX3" s="6">
        <v>21.833333333333314</v>
      </c>
      <c r="BY3" s="6"/>
      <c r="BZ3" s="6">
        <v>52.5</v>
      </c>
      <c r="CA3" s="6">
        <v>65</v>
      </c>
      <c r="CB3" s="6">
        <v>70</v>
      </c>
      <c r="CC3" s="6">
        <v>75</v>
      </c>
      <c r="CD3" s="6">
        <v>45</v>
      </c>
      <c r="CE3" s="6">
        <v>65</v>
      </c>
      <c r="CF3" s="6">
        <v>60</v>
      </c>
      <c r="CG3" s="6">
        <v>65</v>
      </c>
      <c r="CH3" s="6">
        <v>120</v>
      </c>
      <c r="CI3" s="6">
        <v>190</v>
      </c>
      <c r="CJ3" s="6">
        <v>187.5</v>
      </c>
      <c r="CK3" s="6">
        <v>187.5</v>
      </c>
      <c r="CL3" s="6">
        <v>27.75</v>
      </c>
      <c r="CM3" s="102"/>
      <c r="CN3" s="102"/>
      <c r="CO3" s="102"/>
      <c r="CP3" s="6">
        <v>165</v>
      </c>
      <c r="CQ3" s="6">
        <v>170.08333333333331</v>
      </c>
      <c r="CR3" s="6">
        <v>417.5</v>
      </c>
      <c r="CS3" s="6">
        <v>136</v>
      </c>
      <c r="CT3" s="6"/>
      <c r="CU3" s="6">
        <v>240</v>
      </c>
      <c r="CV3" s="6">
        <v>239.58333333333331</v>
      </c>
      <c r="CW3" s="6">
        <v>225.5</v>
      </c>
      <c r="CX3" s="6">
        <v>207.5</v>
      </c>
      <c r="CY3" s="6">
        <v>211</v>
      </c>
      <c r="CZ3" s="6">
        <v>198.49999999999997</v>
      </c>
      <c r="DA3" s="6"/>
      <c r="DB3" s="6">
        <v>232.5</v>
      </c>
      <c r="DC3" s="6">
        <v>240</v>
      </c>
      <c r="DD3" s="6">
        <v>240</v>
      </c>
      <c r="DE3" s="6">
        <v>214.25</v>
      </c>
      <c r="DF3" s="6">
        <v>244.5</v>
      </c>
      <c r="DG3" s="6">
        <v>202.16666666666666</v>
      </c>
      <c r="DH3" s="6"/>
      <c r="DI3" s="6">
        <v>240</v>
      </c>
      <c r="DJ3" s="6">
        <v>240</v>
      </c>
      <c r="DK3" s="6">
        <v>58.100000000000009</v>
      </c>
      <c r="DL3" s="6"/>
      <c r="DM3" s="6">
        <v>118.66666666666666</v>
      </c>
      <c r="DN3" s="6">
        <v>142.5</v>
      </c>
      <c r="DO3" s="6">
        <v>239.25</v>
      </c>
      <c r="DP3" s="4">
        <v>247.5</v>
      </c>
      <c r="DQ3" s="4">
        <v>233.75</v>
      </c>
      <c r="DR3" s="4">
        <v>222.91666666666666</v>
      </c>
      <c r="DS3" s="4"/>
      <c r="DT3" s="4">
        <v>127.5</v>
      </c>
      <c r="DU3" s="4">
        <v>45</v>
      </c>
      <c r="DV3" s="4"/>
      <c r="DW3" s="2">
        <v>35</v>
      </c>
      <c r="DX3" s="2">
        <v>37.5</v>
      </c>
      <c r="DY3" s="2">
        <v>44.75</v>
      </c>
      <c r="DZ3" s="2">
        <v>52.166666666666629</v>
      </c>
      <c r="EA3" s="2">
        <v>41.833333333333343</v>
      </c>
      <c r="EB3" s="2">
        <v>184.08333333333331</v>
      </c>
      <c r="EC3" s="51"/>
      <c r="ED3" s="4">
        <v>66.25</v>
      </c>
      <c r="EE3" s="4">
        <v>67.5</v>
      </c>
      <c r="EF3" s="4">
        <v>73.5</v>
      </c>
      <c r="EG3" s="4">
        <v>74.583333333333343</v>
      </c>
      <c r="EH3" s="4">
        <v>74.75</v>
      </c>
      <c r="EI3" s="4">
        <v>59.666666666666671</v>
      </c>
      <c r="EJ3" s="4"/>
      <c r="EK3" s="4">
        <v>105</v>
      </c>
      <c r="EL3" s="4">
        <v>102.08333333333331</v>
      </c>
      <c r="EM3" s="4">
        <v>112.5</v>
      </c>
      <c r="EN3" s="4">
        <v>105</v>
      </c>
      <c r="EO3" s="4">
        <v>75</v>
      </c>
      <c r="EP3" s="4">
        <v>97.5</v>
      </c>
      <c r="EQ3" s="4"/>
      <c r="ER3" s="4">
        <v>157.5</v>
      </c>
      <c r="ES3" s="4">
        <v>172.5</v>
      </c>
      <c r="ET3" s="4">
        <v>170.33333333333337</v>
      </c>
      <c r="EU3" s="4">
        <v>178.41666666666663</v>
      </c>
      <c r="EV3" s="4">
        <v>165</v>
      </c>
      <c r="EW3" s="4">
        <v>150</v>
      </c>
      <c r="EX3" s="4">
        <v>210</v>
      </c>
      <c r="EY3" s="4">
        <v>247.5</v>
      </c>
      <c r="EZ3" s="4">
        <v>255</v>
      </c>
      <c r="FA3" s="4">
        <v>142.5</v>
      </c>
      <c r="FB3" s="4">
        <v>42.5</v>
      </c>
      <c r="FC3" s="4"/>
      <c r="FD3" s="4"/>
      <c r="FE3" s="4"/>
      <c r="FF3"/>
      <c r="FG3" s="4">
        <v>85.583333333333314</v>
      </c>
      <c r="FH3" s="4">
        <v>112.5</v>
      </c>
      <c r="FI3" s="4">
        <v>157.5</v>
      </c>
      <c r="FJ3" s="4">
        <v>181.5</v>
      </c>
      <c r="FK3" s="4">
        <v>157.5</v>
      </c>
      <c r="FL3" s="4">
        <v>123.25</v>
      </c>
      <c r="FM3" s="4">
        <v>187.5</v>
      </c>
      <c r="FN3" s="4">
        <v>202.5</v>
      </c>
      <c r="FO3" s="4">
        <v>197.33333333333334</v>
      </c>
      <c r="FP3" s="4">
        <v>187.5</v>
      </c>
      <c r="FQ3" s="4">
        <v>194.66666666666666</v>
      </c>
      <c r="FR3" s="4">
        <v>177</v>
      </c>
      <c r="FS3" s="4"/>
      <c r="FT3" s="4">
        <v>210</v>
      </c>
      <c r="FU3" s="4">
        <v>250</v>
      </c>
      <c r="FV3" s="4">
        <v>187.5</v>
      </c>
      <c r="FW3" s="4">
        <v>193.75</v>
      </c>
      <c r="FX3" s="4">
        <v>187.5</v>
      </c>
      <c r="FY3" s="4">
        <v>194.08333333333331</v>
      </c>
      <c r="FZ3" s="4"/>
      <c r="GA3" s="4">
        <v>231.5</v>
      </c>
      <c r="GB3" s="4">
        <v>250</v>
      </c>
      <c r="GC3" s="4">
        <v>280</v>
      </c>
      <c r="GD3" s="4">
        <v>245</v>
      </c>
      <c r="GE3" s="4">
        <v>225</v>
      </c>
      <c r="GF3" s="4">
        <v>216.58333333333334</v>
      </c>
      <c r="GG3" s="4"/>
      <c r="GH3" s="3">
        <v>206.41666666666669</v>
      </c>
      <c r="GI3" s="3">
        <v>217.5</v>
      </c>
      <c r="GJ3" s="3">
        <v>210</v>
      </c>
      <c r="GK3" s="3">
        <v>210</v>
      </c>
      <c r="GL3" s="3">
        <v>217.5</v>
      </c>
      <c r="GM3" s="3">
        <v>217</v>
      </c>
      <c r="GN3" s="3"/>
      <c r="GO3" s="3">
        <v>280</v>
      </c>
      <c r="GP3" s="3"/>
      <c r="GQ3" s="3">
        <v>245</v>
      </c>
      <c r="GR3" s="3">
        <v>215</v>
      </c>
      <c r="GS3" s="3">
        <v>102.5</v>
      </c>
      <c r="GT3" s="3">
        <v>107.5</v>
      </c>
      <c r="GU3" s="3">
        <v>112.41666666666667</v>
      </c>
      <c r="GV3" s="3">
        <v>202.5</v>
      </c>
      <c r="GW3" s="3">
        <v>194.75</v>
      </c>
      <c r="GX3" s="3">
        <v>127.5</v>
      </c>
      <c r="GY3" s="3">
        <v>23</v>
      </c>
      <c r="GZ3" s="3">
        <v>37.5</v>
      </c>
      <c r="HA3" s="3">
        <v>105</v>
      </c>
      <c r="HB3" s="3"/>
      <c r="HC3" s="3">
        <v>195</v>
      </c>
      <c r="HD3" s="3">
        <v>217.5</v>
      </c>
      <c r="HE3" s="3">
        <v>207.5</v>
      </c>
      <c r="HF3" s="3">
        <v>217.5</v>
      </c>
      <c r="HG3" s="3">
        <v>225</v>
      </c>
      <c r="HH3" s="3">
        <v>224.5</v>
      </c>
      <c r="HI3" s="3"/>
      <c r="HJ3" s="3">
        <v>120</v>
      </c>
      <c r="HK3" s="3">
        <v>180</v>
      </c>
      <c r="HL3" s="3">
        <v>194</v>
      </c>
      <c r="HM3" s="3">
        <v>187.5</v>
      </c>
      <c r="HN3" s="3">
        <v>180</v>
      </c>
      <c r="HO3" s="3">
        <v>21</v>
      </c>
      <c r="HP3" s="3"/>
      <c r="HQ3" s="3">
        <v>35</v>
      </c>
      <c r="HR3" s="3">
        <v>28</v>
      </c>
      <c r="HS3" s="3">
        <v>35</v>
      </c>
      <c r="HT3" s="3">
        <v>21</v>
      </c>
      <c r="HU3" s="3">
        <v>35</v>
      </c>
      <c r="HV3" s="3">
        <v>35</v>
      </c>
      <c r="HW3" s="3"/>
      <c r="HX3" s="3">
        <v>35</v>
      </c>
      <c r="HY3" s="3">
        <v>42</v>
      </c>
      <c r="HZ3" s="3">
        <v>38</v>
      </c>
      <c r="IA3" s="3">
        <v>42</v>
      </c>
      <c r="IB3" s="3">
        <v>38</v>
      </c>
      <c r="IC3" s="3">
        <v>35</v>
      </c>
      <c r="ID3" s="3">
        <v>25</v>
      </c>
      <c r="IE3" s="3">
        <v>42</v>
      </c>
      <c r="IF3" s="3">
        <v>42</v>
      </c>
      <c r="IG3" s="3">
        <v>60</v>
      </c>
      <c r="IH3" s="3">
        <v>55</v>
      </c>
      <c r="II3" s="3">
        <v>35</v>
      </c>
      <c r="IJ3" s="3">
        <v>42</v>
      </c>
      <c r="IK3" s="3"/>
      <c r="IL3" s="3">
        <v>97.5</v>
      </c>
      <c r="IM3" s="3">
        <v>50</v>
      </c>
      <c r="IN3" s="3">
        <v>41.833333333333314</v>
      </c>
      <c r="IO3" s="3">
        <v>46.666666666666657</v>
      </c>
      <c r="IP3" s="3">
        <v>45</v>
      </c>
      <c r="IQ3" s="3">
        <v>49.5</v>
      </c>
      <c r="IR3" s="3">
        <v>45</v>
      </c>
      <c r="IS3" s="3">
        <v>45</v>
      </c>
      <c r="IT3" s="3">
        <v>75</v>
      </c>
      <c r="IU3" s="3">
        <v>74.583333333333343</v>
      </c>
      <c r="IV3" s="3">
        <v>52.5</v>
      </c>
      <c r="IW3" s="3">
        <v>45</v>
      </c>
      <c r="IX3" s="3">
        <v>52.5</v>
      </c>
      <c r="IY3" s="3"/>
      <c r="IZ3" s="3">
        <v>67.5</v>
      </c>
      <c r="JA3" s="3">
        <v>35</v>
      </c>
      <c r="JB3" s="3">
        <v>57.916666666666657</v>
      </c>
      <c r="JC3" s="3">
        <v>82</v>
      </c>
      <c r="JD3" s="3">
        <v>120</v>
      </c>
      <c r="JE3" s="3">
        <v>52.5</v>
      </c>
      <c r="JF3" s="3"/>
      <c r="JG3" s="3">
        <v>60</v>
      </c>
      <c r="JH3" s="3">
        <v>51.916666666666686</v>
      </c>
      <c r="JI3" s="3">
        <v>70.5</v>
      </c>
      <c r="JJ3" s="3">
        <v>60</v>
      </c>
      <c r="JK3" s="3">
        <v>67.5</v>
      </c>
      <c r="JL3" s="3">
        <v>30</v>
      </c>
      <c r="JM3" s="3"/>
      <c r="JN3" s="3">
        <v>73.5</v>
      </c>
      <c r="JO3" s="3">
        <v>112.5</v>
      </c>
      <c r="JP3" s="3">
        <v>102</v>
      </c>
      <c r="JQ3" s="3">
        <v>82.5</v>
      </c>
      <c r="JR3" s="3">
        <v>75</v>
      </c>
      <c r="JS3" s="3">
        <v>37.5</v>
      </c>
      <c r="JT3" s="3"/>
      <c r="JU3" s="3">
        <v>52.5</v>
      </c>
      <c r="JV3" s="3">
        <v>43.333333333333314</v>
      </c>
      <c r="JW3" s="3">
        <v>93</v>
      </c>
      <c r="JX3" s="3">
        <v>65</v>
      </c>
      <c r="JY3" s="3">
        <v>93</v>
      </c>
      <c r="JZ3" s="3">
        <v>52.083333333333343</v>
      </c>
      <c r="KA3" s="3"/>
      <c r="KB3" s="3">
        <v>115</v>
      </c>
      <c r="KC3" s="3">
        <v>90</v>
      </c>
      <c r="KD3" s="3">
        <v>150</v>
      </c>
      <c r="KE3" s="3">
        <v>119.5</v>
      </c>
      <c r="KF3" s="3">
        <v>81.75</v>
      </c>
      <c r="KG3" s="3">
        <v>120</v>
      </c>
      <c r="KH3" s="3">
        <v>62</v>
      </c>
      <c r="KI3" s="3">
        <v>90</v>
      </c>
      <c r="KJ3" s="3">
        <v>90</v>
      </c>
      <c r="KK3" s="3">
        <v>97</v>
      </c>
      <c r="KL3" s="3">
        <v>120</v>
      </c>
      <c r="KM3" s="3">
        <v>120</v>
      </c>
      <c r="KN3" s="3">
        <v>67.166666666666657</v>
      </c>
      <c r="KO3" s="3"/>
      <c r="KP3" s="2">
        <v>184</v>
      </c>
      <c r="KQ3" s="2">
        <v>173.66666666666669</v>
      </c>
      <c r="KR3" s="2">
        <v>172.16666666666666</v>
      </c>
      <c r="KS3" s="2">
        <v>100</v>
      </c>
      <c r="KT3" s="2">
        <v>120</v>
      </c>
      <c r="KU3" s="2">
        <v>145</v>
      </c>
      <c r="KV3" s="2"/>
      <c r="KW3" s="3">
        <v>140</v>
      </c>
      <c r="KX3" s="3">
        <v>120</v>
      </c>
      <c r="KY3" s="3">
        <v>140</v>
      </c>
      <c r="KZ3" s="3">
        <v>164.33333333333331</v>
      </c>
      <c r="LA3" s="3">
        <v>164.33333333333331</v>
      </c>
      <c r="LB3" s="3">
        <v>105</v>
      </c>
      <c r="LC3" s="3"/>
      <c r="LD3" s="3">
        <v>142.5</v>
      </c>
      <c r="LE3" s="3">
        <v>140.75</v>
      </c>
      <c r="LF3" s="3">
        <v>172.25</v>
      </c>
      <c r="LG3" s="3">
        <v>142.5</v>
      </c>
      <c r="LH3" s="3">
        <v>134.75</v>
      </c>
      <c r="LI3" s="3">
        <v>74.666666666666657</v>
      </c>
      <c r="LJ3" s="3"/>
      <c r="LK3" s="3">
        <v>153.91666666666666</v>
      </c>
      <c r="LL3" s="3">
        <v>85.5</v>
      </c>
      <c r="LM3" s="3">
        <v>79.333333333333314</v>
      </c>
      <c r="LN3" s="3">
        <v>78.75</v>
      </c>
      <c r="LO3" s="3">
        <v>41.25</v>
      </c>
      <c r="LP3" s="3">
        <v>34.25</v>
      </c>
      <c r="LQ3" s="3"/>
      <c r="LR3" s="3">
        <v>104.66666666666666</v>
      </c>
      <c r="LS3" s="3">
        <v>67.166666666666657</v>
      </c>
      <c r="LT3" s="3">
        <v>82.166666666666657</v>
      </c>
      <c r="LU3" s="3">
        <v>59.75</v>
      </c>
      <c r="LV3" s="3">
        <v>82.5</v>
      </c>
      <c r="LW3" s="3">
        <v>127.5</v>
      </c>
      <c r="LX3" s="3"/>
      <c r="LY3" s="3">
        <v>126.58333333333331</v>
      </c>
      <c r="LZ3" s="3">
        <v>104.08333333333331</v>
      </c>
      <c r="MA3" s="3">
        <v>81.833333333333314</v>
      </c>
      <c r="MB3" s="3">
        <v>89.583333333333314</v>
      </c>
      <c r="MC3" s="3">
        <v>74.666666666666686</v>
      </c>
      <c r="MD3" s="3">
        <v>66.75</v>
      </c>
      <c r="ME3" s="3"/>
      <c r="MF3" s="3">
        <v>131.66666666666669</v>
      </c>
      <c r="MG3" s="3">
        <v>95.166666666666686</v>
      </c>
      <c r="MH3" s="3">
        <v>109.5</v>
      </c>
      <c r="MI3" s="3">
        <v>90</v>
      </c>
      <c r="MJ3" s="3">
        <v>37.5</v>
      </c>
      <c r="MK3" s="3">
        <v>52.083333333333343</v>
      </c>
      <c r="ML3" s="3"/>
      <c r="MM3" s="3">
        <v>82.5</v>
      </c>
      <c r="MN3" s="3">
        <v>105</v>
      </c>
      <c r="MO3" s="3">
        <v>165</v>
      </c>
      <c r="MP3" s="3">
        <v>154.33333333333331</v>
      </c>
      <c r="MQ3" s="3">
        <v>154.5</v>
      </c>
      <c r="MR3" s="3">
        <v>120</v>
      </c>
      <c r="MS3" s="3">
        <v>105</v>
      </c>
      <c r="MT3" s="3">
        <v>160</v>
      </c>
      <c r="MU3" s="3">
        <v>195</v>
      </c>
      <c r="MV3" s="3">
        <v>162.91666666666669</v>
      </c>
      <c r="MW3" s="3">
        <v>225.83333333333331</v>
      </c>
      <c r="MX3" s="3">
        <v>253.66666666666666</v>
      </c>
      <c r="MY3" s="3">
        <v>140.5</v>
      </c>
      <c r="MZ3" s="3"/>
      <c r="NA3" s="3">
        <v>225</v>
      </c>
      <c r="NB3" s="3">
        <v>190</v>
      </c>
      <c r="NC3" s="3">
        <v>156.91666666666669</v>
      </c>
    </row>
    <row r="4" spans="1:367">
      <c r="A4" s="15">
        <f>+SUM(C4:NC4)</f>
        <v>28651176</v>
      </c>
      <c r="B4" s="16" t="s">
        <v>423</v>
      </c>
      <c r="C4" s="7"/>
      <c r="D4" s="78">
        <v>24212</v>
      </c>
      <c r="E4" s="78">
        <v>125989</v>
      </c>
      <c r="F4" s="78">
        <v>99334</v>
      </c>
      <c r="G4" s="62"/>
      <c r="H4" s="78">
        <v>130170</v>
      </c>
      <c r="I4" s="78">
        <v>181736</v>
      </c>
      <c r="J4" s="78">
        <v>180940</v>
      </c>
      <c r="K4" s="78">
        <v>203985</v>
      </c>
      <c r="L4" s="78">
        <v>164350</v>
      </c>
      <c r="M4" s="78">
        <v>142402</v>
      </c>
      <c r="N4" s="62"/>
      <c r="O4" s="7">
        <v>90017</v>
      </c>
      <c r="P4" s="7">
        <v>157148</v>
      </c>
      <c r="Q4" s="7">
        <v>157947</v>
      </c>
      <c r="R4" s="7">
        <v>147684</v>
      </c>
      <c r="S4" s="7">
        <v>114113</v>
      </c>
      <c r="T4" s="7">
        <v>128407</v>
      </c>
      <c r="U4" s="7"/>
      <c r="V4" s="7">
        <v>140098</v>
      </c>
      <c r="W4" s="7">
        <v>139813</v>
      </c>
      <c r="X4" s="7">
        <v>154192</v>
      </c>
      <c r="Y4" s="7">
        <v>162686</v>
      </c>
      <c r="Z4" s="7">
        <v>131257</v>
      </c>
      <c r="AA4" s="7">
        <v>128145</v>
      </c>
      <c r="AB4" s="7"/>
      <c r="AC4" s="7">
        <v>134959</v>
      </c>
      <c r="AD4" s="7">
        <v>186765</v>
      </c>
      <c r="AE4" s="7">
        <v>171511</v>
      </c>
      <c r="AF4" s="7">
        <v>188686</v>
      </c>
      <c r="AG4" s="7">
        <v>124491</v>
      </c>
      <c r="AH4" s="7">
        <v>132844</v>
      </c>
      <c r="AI4" s="7"/>
      <c r="AJ4" s="7">
        <v>136808</v>
      </c>
      <c r="AK4" s="7">
        <v>135020</v>
      </c>
      <c r="AL4" s="7">
        <v>143343</v>
      </c>
      <c r="AM4" s="7">
        <v>6595</v>
      </c>
      <c r="AN4" s="7">
        <v>9335</v>
      </c>
      <c r="AO4" s="7">
        <v>9888</v>
      </c>
      <c r="AP4" s="7"/>
      <c r="AQ4" s="7">
        <v>9342</v>
      </c>
      <c r="AR4" s="7">
        <v>5888</v>
      </c>
      <c r="AS4" s="7">
        <v>126967</v>
      </c>
      <c r="AT4" s="7">
        <v>124920</v>
      </c>
      <c r="AU4" s="7">
        <v>113133</v>
      </c>
      <c r="AV4" s="7">
        <v>120482</v>
      </c>
      <c r="AW4" s="7"/>
      <c r="AX4" s="7">
        <v>130046</v>
      </c>
      <c r="AY4" s="7">
        <v>132640</v>
      </c>
      <c r="AZ4" s="7">
        <v>155408</v>
      </c>
      <c r="BA4" s="7">
        <v>152540</v>
      </c>
      <c r="BB4" s="7">
        <v>159869</v>
      </c>
      <c r="BC4" s="7">
        <v>76067</v>
      </c>
      <c r="BD4" s="7"/>
      <c r="BE4" s="7">
        <v>11112</v>
      </c>
      <c r="BF4" s="7">
        <v>17037</v>
      </c>
      <c r="BG4" s="7">
        <v>148326</v>
      </c>
      <c r="BH4" s="7">
        <v>140506</v>
      </c>
      <c r="BI4" s="7">
        <v>133611</v>
      </c>
      <c r="BJ4" s="7">
        <v>137674</v>
      </c>
      <c r="BK4" s="7"/>
      <c r="BL4" s="7">
        <v>67779</v>
      </c>
      <c r="BM4" s="7">
        <v>74738</v>
      </c>
      <c r="BN4" s="7">
        <v>13664</v>
      </c>
      <c r="BO4" s="7">
        <v>7231</v>
      </c>
      <c r="BP4" s="7">
        <v>12540</v>
      </c>
      <c r="BQ4" s="7">
        <v>13565</v>
      </c>
      <c r="BR4" s="7"/>
      <c r="BS4" s="7">
        <v>19149</v>
      </c>
      <c r="BT4" s="7">
        <v>16559</v>
      </c>
      <c r="BU4" s="7">
        <v>18837</v>
      </c>
      <c r="BV4" s="7">
        <v>22344</v>
      </c>
      <c r="BW4" s="7">
        <v>18501</v>
      </c>
      <c r="BX4" s="7">
        <v>18722</v>
      </c>
      <c r="BY4" s="7"/>
      <c r="BZ4" s="7">
        <v>40563</v>
      </c>
      <c r="CA4" s="7">
        <v>42807</v>
      </c>
      <c r="CB4" s="7">
        <v>41713</v>
      </c>
      <c r="CC4" s="7">
        <v>47205</v>
      </c>
      <c r="CD4" s="7">
        <v>39900</v>
      </c>
      <c r="CE4" s="7">
        <v>33471</v>
      </c>
      <c r="CF4" s="7">
        <v>33204</v>
      </c>
      <c r="CG4" s="7">
        <v>37971</v>
      </c>
      <c r="CH4" s="7">
        <v>100342</v>
      </c>
      <c r="CI4" s="7">
        <v>163111</v>
      </c>
      <c r="CJ4" s="7">
        <v>163230</v>
      </c>
      <c r="CK4" s="7">
        <v>152435</v>
      </c>
      <c r="CL4" s="7">
        <v>24077</v>
      </c>
      <c r="CP4" s="7">
        <v>36163</v>
      </c>
      <c r="CQ4" s="7">
        <v>146933</v>
      </c>
      <c r="CR4" s="7">
        <v>101282</v>
      </c>
      <c r="CS4" s="7">
        <v>69758</v>
      </c>
      <c r="CU4" s="25">
        <v>155627</v>
      </c>
      <c r="CV4" s="25">
        <v>118057</v>
      </c>
      <c r="CW4" s="25">
        <v>129485</v>
      </c>
      <c r="CX4" s="25">
        <v>141786</v>
      </c>
      <c r="CY4" s="25">
        <v>145686</v>
      </c>
      <c r="CZ4" s="7">
        <v>129520</v>
      </c>
      <c r="DB4" s="7">
        <v>179072</v>
      </c>
      <c r="DC4" s="7">
        <v>205586</v>
      </c>
      <c r="DD4" s="7">
        <v>190431</v>
      </c>
      <c r="DE4" s="7">
        <v>177574</v>
      </c>
      <c r="DF4" s="7">
        <v>190750</v>
      </c>
      <c r="DG4" s="7">
        <v>167989</v>
      </c>
      <c r="DH4" s="7"/>
      <c r="DI4" s="7">
        <v>150205</v>
      </c>
      <c r="DJ4" s="7">
        <v>193266</v>
      </c>
      <c r="DK4" s="7">
        <v>49232</v>
      </c>
      <c r="DM4" s="7">
        <v>77750</v>
      </c>
      <c r="DN4" s="7">
        <v>116197</v>
      </c>
      <c r="DO4" s="7">
        <v>173586</v>
      </c>
      <c r="DP4" s="7">
        <v>172785</v>
      </c>
      <c r="DQ4" s="7">
        <v>170723</v>
      </c>
      <c r="DR4" s="7">
        <v>179894</v>
      </c>
      <c r="DS4" s="7"/>
      <c r="DT4" s="7">
        <v>13633</v>
      </c>
      <c r="DU4" s="7">
        <v>23222</v>
      </c>
      <c r="DW4" s="7">
        <v>25018</v>
      </c>
      <c r="DX4" s="7">
        <v>25549</v>
      </c>
      <c r="DY4" s="7">
        <v>33084</v>
      </c>
      <c r="DZ4" s="7">
        <v>26947</v>
      </c>
      <c r="EA4" s="7">
        <v>29151</v>
      </c>
      <c r="EB4" s="7">
        <v>61624</v>
      </c>
      <c r="ED4" s="90">
        <v>37067</v>
      </c>
      <c r="EE4" s="90">
        <v>38501</v>
      </c>
      <c r="EF4" s="90">
        <v>45107</v>
      </c>
      <c r="EG4" s="90">
        <v>41297</v>
      </c>
      <c r="EH4" s="90">
        <v>44478</v>
      </c>
      <c r="EI4" s="90">
        <v>39952</v>
      </c>
      <c r="EK4" s="90">
        <v>80588</v>
      </c>
      <c r="EL4" s="90">
        <v>62907</v>
      </c>
      <c r="EM4" s="90">
        <v>85289</v>
      </c>
      <c r="EN4" s="90">
        <v>76812</v>
      </c>
      <c r="EO4" s="90">
        <v>45215</v>
      </c>
      <c r="EP4" s="90">
        <v>75700</v>
      </c>
      <c r="ER4" s="90">
        <v>77403</v>
      </c>
      <c r="ES4" s="90">
        <v>117869</v>
      </c>
      <c r="ET4" s="90">
        <v>119626</v>
      </c>
      <c r="EU4" s="90">
        <v>127557</v>
      </c>
      <c r="EV4" s="90">
        <v>114518</v>
      </c>
      <c r="EW4" s="90">
        <v>107686</v>
      </c>
      <c r="EX4" s="90">
        <v>84895</v>
      </c>
      <c r="EY4" s="90">
        <v>200130</v>
      </c>
      <c r="EZ4" s="90">
        <v>203550</v>
      </c>
      <c r="FA4" s="90">
        <v>103602</v>
      </c>
      <c r="FB4" s="90">
        <v>14280</v>
      </c>
      <c r="FG4" s="90">
        <v>76559</v>
      </c>
      <c r="FH4" s="90">
        <v>95853</v>
      </c>
      <c r="FI4" s="90">
        <v>120800</v>
      </c>
      <c r="FJ4" s="90">
        <v>108557</v>
      </c>
      <c r="FK4" s="90">
        <v>119078</v>
      </c>
      <c r="FL4" s="90">
        <v>88094</v>
      </c>
      <c r="FM4" s="90">
        <v>147872</v>
      </c>
      <c r="FN4" s="90">
        <v>157572</v>
      </c>
      <c r="FO4" s="90">
        <v>166500</v>
      </c>
      <c r="FP4" s="90">
        <v>140854</v>
      </c>
      <c r="FQ4" s="90">
        <v>168920</v>
      </c>
      <c r="FR4" s="90">
        <v>151129</v>
      </c>
      <c r="FT4" s="97">
        <v>180720</v>
      </c>
      <c r="FU4" s="97">
        <v>189577</v>
      </c>
      <c r="FV4" s="97">
        <v>164142</v>
      </c>
      <c r="FW4" s="97">
        <v>161265</v>
      </c>
      <c r="FX4" s="97">
        <v>138291</v>
      </c>
      <c r="FY4" s="97">
        <v>145494</v>
      </c>
      <c r="GA4" s="97">
        <v>181363</v>
      </c>
      <c r="GB4" s="97">
        <v>211644</v>
      </c>
      <c r="GC4" s="97">
        <v>230659</v>
      </c>
      <c r="GD4" s="97">
        <v>222069</v>
      </c>
      <c r="GE4" s="97">
        <v>192285</v>
      </c>
      <c r="GF4" s="97">
        <v>171933</v>
      </c>
      <c r="GH4" s="97">
        <v>178058</v>
      </c>
      <c r="GI4" s="97">
        <v>194783</v>
      </c>
      <c r="GJ4" s="97">
        <v>190853</v>
      </c>
      <c r="GK4" s="97">
        <v>194243</v>
      </c>
      <c r="GL4" s="97">
        <v>215923</v>
      </c>
      <c r="GM4" s="97">
        <v>189657</v>
      </c>
      <c r="GN4" s="97"/>
      <c r="GO4" s="97">
        <v>215211</v>
      </c>
      <c r="GP4" s="97"/>
      <c r="GQ4" s="97">
        <v>189515</v>
      </c>
      <c r="GR4" s="97">
        <v>157822</v>
      </c>
      <c r="GS4" s="97">
        <v>75700</v>
      </c>
      <c r="GT4" s="97">
        <v>83842</v>
      </c>
      <c r="GU4" s="98">
        <v>69816</v>
      </c>
      <c r="GV4" s="90">
        <v>157704</v>
      </c>
      <c r="GW4" s="90">
        <v>170792</v>
      </c>
      <c r="GX4" s="90">
        <v>106916</v>
      </c>
      <c r="GY4" s="90">
        <v>22147</v>
      </c>
      <c r="GZ4" s="90">
        <v>32278</v>
      </c>
      <c r="HA4" s="90">
        <v>90648</v>
      </c>
      <c r="HC4" s="90">
        <v>149858</v>
      </c>
      <c r="HD4" s="90">
        <v>172373</v>
      </c>
      <c r="HE4" s="90">
        <v>167965</v>
      </c>
      <c r="HF4" s="90">
        <v>185015</v>
      </c>
      <c r="HG4" s="90">
        <v>199560</v>
      </c>
      <c r="HH4" s="90">
        <v>167805</v>
      </c>
      <c r="HJ4" s="97">
        <v>69563</v>
      </c>
      <c r="HK4" s="97">
        <v>162770</v>
      </c>
      <c r="HL4" s="97">
        <v>160337</v>
      </c>
      <c r="HM4" s="97">
        <v>139162</v>
      </c>
      <c r="HN4" s="97">
        <v>128163</v>
      </c>
      <c r="HO4" s="97">
        <v>13954</v>
      </c>
      <c r="HQ4" s="97">
        <v>21303</v>
      </c>
      <c r="HR4" s="97">
        <v>21778</v>
      </c>
      <c r="HS4" s="97">
        <v>19231</v>
      </c>
      <c r="HT4" s="97">
        <v>15704</v>
      </c>
      <c r="HU4" s="97">
        <v>16468</v>
      </c>
      <c r="HV4" s="97">
        <v>16230</v>
      </c>
      <c r="HX4" s="20">
        <v>25229</v>
      </c>
      <c r="HY4" s="20">
        <v>20497</v>
      </c>
      <c r="HZ4" s="20">
        <v>19140</v>
      </c>
      <c r="IA4" s="20">
        <v>20621</v>
      </c>
      <c r="IB4" s="20">
        <v>20227</v>
      </c>
      <c r="IC4" s="20">
        <v>20609</v>
      </c>
      <c r="ID4" s="20">
        <v>20430</v>
      </c>
      <c r="IE4" s="20">
        <v>28952</v>
      </c>
      <c r="IF4" s="20">
        <v>21028</v>
      </c>
      <c r="IG4" s="20">
        <v>31136</v>
      </c>
      <c r="IH4" s="20">
        <v>43932</v>
      </c>
      <c r="II4" s="20">
        <v>25981</v>
      </c>
      <c r="IJ4" s="20">
        <v>34716</v>
      </c>
      <c r="IL4" s="90">
        <v>62605</v>
      </c>
      <c r="IM4" s="90">
        <v>21185</v>
      </c>
      <c r="IN4" s="90">
        <v>28883</v>
      </c>
      <c r="IO4" s="90">
        <v>29999</v>
      </c>
      <c r="IP4" s="90">
        <v>24280</v>
      </c>
      <c r="IQ4" s="90">
        <v>26123</v>
      </c>
      <c r="IR4" s="90">
        <v>34965</v>
      </c>
      <c r="IS4" s="90">
        <v>35967</v>
      </c>
      <c r="IT4" s="90">
        <v>42562</v>
      </c>
      <c r="IU4" s="90">
        <v>57006</v>
      </c>
      <c r="IV4" s="90">
        <v>43467</v>
      </c>
      <c r="IW4" s="90">
        <v>34889</v>
      </c>
      <c r="IX4" s="90">
        <v>39483</v>
      </c>
      <c r="IY4" s="90"/>
      <c r="IZ4" s="90">
        <v>50086</v>
      </c>
      <c r="JA4" s="90">
        <v>30340</v>
      </c>
      <c r="JB4" s="90">
        <v>30387</v>
      </c>
      <c r="JC4" s="90">
        <v>25542</v>
      </c>
      <c r="JD4" s="90">
        <v>44711</v>
      </c>
      <c r="JE4" s="90">
        <v>18330</v>
      </c>
      <c r="JF4" s="90"/>
      <c r="JG4" s="97">
        <v>39021</v>
      </c>
      <c r="JH4" s="97">
        <v>32041</v>
      </c>
      <c r="JI4" s="97">
        <v>46250</v>
      </c>
      <c r="JJ4" s="97">
        <v>38018</v>
      </c>
      <c r="JK4" s="97">
        <v>40688</v>
      </c>
      <c r="JL4" s="97">
        <v>19751</v>
      </c>
      <c r="JN4" s="97">
        <v>45334</v>
      </c>
      <c r="JO4" s="97">
        <v>48271</v>
      </c>
      <c r="JP4" s="97">
        <v>71968</v>
      </c>
      <c r="JQ4" s="97">
        <v>56977</v>
      </c>
      <c r="JR4" s="97">
        <v>47237</v>
      </c>
      <c r="JS4" s="97">
        <v>24314</v>
      </c>
      <c r="JU4" s="90">
        <v>36687</v>
      </c>
      <c r="JV4" s="90">
        <v>30444</v>
      </c>
      <c r="JW4" s="90">
        <v>62025</v>
      </c>
      <c r="JX4" s="90">
        <v>33948</v>
      </c>
      <c r="JY4" s="90">
        <v>60633</v>
      </c>
      <c r="JZ4" s="90">
        <v>38411</v>
      </c>
      <c r="KB4" s="90">
        <v>78114</v>
      </c>
      <c r="KC4" s="90">
        <v>80283</v>
      </c>
      <c r="KD4" s="90">
        <v>84960</v>
      </c>
      <c r="KE4" s="90">
        <v>88076</v>
      </c>
      <c r="KF4" s="90">
        <v>68667</v>
      </c>
      <c r="KG4" s="90">
        <v>72550</v>
      </c>
      <c r="KH4" s="90">
        <v>41846</v>
      </c>
      <c r="KI4" s="90">
        <v>71866</v>
      </c>
      <c r="KJ4" s="90">
        <v>76518</v>
      </c>
      <c r="KK4" s="90">
        <v>69011</v>
      </c>
      <c r="KL4" s="90">
        <v>89452</v>
      </c>
      <c r="KM4" s="90">
        <v>81476</v>
      </c>
      <c r="KN4" s="90">
        <v>56721</v>
      </c>
      <c r="KP4" s="90">
        <v>112946</v>
      </c>
      <c r="KQ4" s="90">
        <v>96047</v>
      </c>
      <c r="KR4" s="90">
        <v>135941</v>
      </c>
      <c r="KS4" s="90">
        <v>97451</v>
      </c>
      <c r="KT4" s="90">
        <v>69528</v>
      </c>
      <c r="KU4" s="90">
        <v>83554</v>
      </c>
      <c r="KW4" s="19">
        <v>120692</v>
      </c>
      <c r="KX4" s="19">
        <v>75082</v>
      </c>
      <c r="KY4" s="19">
        <v>101267</v>
      </c>
      <c r="KZ4" s="19">
        <v>127687</v>
      </c>
      <c r="LA4" s="19">
        <v>96464</v>
      </c>
      <c r="LB4" s="19">
        <v>49141</v>
      </c>
      <c r="LD4" s="97">
        <v>77803</v>
      </c>
      <c r="LE4" s="97">
        <v>58198</v>
      </c>
      <c r="LF4" s="97">
        <v>111407</v>
      </c>
      <c r="LG4" s="97">
        <v>88364</v>
      </c>
      <c r="LH4" s="97">
        <v>83101</v>
      </c>
      <c r="LI4" s="97">
        <v>44416</v>
      </c>
      <c r="LK4" s="19">
        <v>102392</v>
      </c>
      <c r="LL4" s="19">
        <v>57389</v>
      </c>
      <c r="LM4" s="19">
        <v>47232</v>
      </c>
      <c r="LN4" s="19">
        <v>35999</v>
      </c>
      <c r="LO4" s="19">
        <v>25404</v>
      </c>
      <c r="LP4" s="19">
        <v>28700</v>
      </c>
      <c r="LQ4" s="19"/>
      <c r="LR4" s="19">
        <v>69198</v>
      </c>
      <c r="LS4" s="19">
        <v>44355</v>
      </c>
      <c r="LT4" s="19">
        <v>46502</v>
      </c>
      <c r="LU4" s="19">
        <v>45871</v>
      </c>
      <c r="LV4" s="19">
        <v>52882</v>
      </c>
      <c r="LW4" s="19">
        <v>49580</v>
      </c>
      <c r="LY4" s="19">
        <v>67358</v>
      </c>
      <c r="LZ4" s="19">
        <v>66413</v>
      </c>
      <c r="MA4" s="19">
        <v>53946</v>
      </c>
      <c r="MB4" s="19">
        <v>55860</v>
      </c>
      <c r="MC4" s="19">
        <v>40829</v>
      </c>
      <c r="MD4" s="19">
        <v>34258</v>
      </c>
      <c r="MF4" s="19">
        <v>71093</v>
      </c>
      <c r="MG4" s="19">
        <v>47608</v>
      </c>
      <c r="MH4" s="19">
        <v>45653</v>
      </c>
      <c r="MI4" s="19">
        <v>40625</v>
      </c>
      <c r="MJ4" s="19">
        <v>16614</v>
      </c>
      <c r="MK4" s="19">
        <v>33599</v>
      </c>
      <c r="MM4" s="19">
        <v>38002</v>
      </c>
      <c r="MN4" s="19">
        <v>70174</v>
      </c>
      <c r="MO4" s="19">
        <v>122438</v>
      </c>
      <c r="MP4" s="19">
        <v>120872</v>
      </c>
      <c r="MQ4" s="19">
        <v>123977</v>
      </c>
      <c r="MR4" s="19">
        <v>97733</v>
      </c>
      <c r="MS4" s="19">
        <v>87436</v>
      </c>
      <c r="MT4" s="19">
        <v>122080</v>
      </c>
      <c r="MU4" s="19">
        <v>154314</v>
      </c>
      <c r="MV4" s="19">
        <v>130030</v>
      </c>
      <c r="MW4" s="19">
        <v>151195</v>
      </c>
      <c r="MX4" s="19">
        <v>151335</v>
      </c>
      <c r="MY4" s="19">
        <v>95818</v>
      </c>
      <c r="NA4" s="19">
        <v>142547</v>
      </c>
      <c r="NB4" s="19">
        <v>145114</v>
      </c>
      <c r="NC4" s="19">
        <v>94729</v>
      </c>
    </row>
    <row r="5" spans="1:367">
      <c r="A5" s="17">
        <f>+A4/A3</f>
        <v>693.90641165004513</v>
      </c>
      <c r="B5" s="18" t="s">
        <v>424</v>
      </c>
      <c r="C5" s="7"/>
      <c r="D5" s="7">
        <f t="shared" ref="D5:M5" si="0">+D4/D3</f>
        <v>169.90877192982455</v>
      </c>
      <c r="E5" s="7">
        <f t="shared" si="0"/>
        <v>856.58243626062313</v>
      </c>
      <c r="F5" s="7">
        <f t="shared" si="0"/>
        <v>735.80740740740737</v>
      </c>
      <c r="G5" s="7"/>
      <c r="H5" s="7">
        <f t="shared" si="0"/>
        <v>826.47619047619048</v>
      </c>
      <c r="I5" s="7">
        <f t="shared" si="0"/>
        <v>698.98461538461538</v>
      </c>
      <c r="J5" s="7">
        <f t="shared" si="0"/>
        <v>804.17777777777781</v>
      </c>
      <c r="K5" s="7">
        <f t="shared" si="0"/>
        <v>784.55769230769226</v>
      </c>
      <c r="L5" s="7">
        <f t="shared" si="0"/>
        <v>665.38461538461536</v>
      </c>
      <c r="M5" s="7">
        <f t="shared" si="0"/>
        <v>533.34082397003749</v>
      </c>
      <c r="N5" s="7"/>
      <c r="O5" s="7">
        <f t="shared" ref="O5:AO5" si="1">+O4/O3</f>
        <v>293.13541383989144</v>
      </c>
      <c r="P5" s="7">
        <f t="shared" si="1"/>
        <v>654.7833333333333</v>
      </c>
      <c r="Q5" s="7">
        <f t="shared" si="1"/>
        <v>556.31464631640745</v>
      </c>
      <c r="R5" s="7">
        <f t="shared" si="1"/>
        <v>545.96672828096121</v>
      </c>
      <c r="S5" s="7">
        <f t="shared" si="1"/>
        <v>523.45412844036696</v>
      </c>
      <c r="T5" s="7">
        <f t="shared" si="1"/>
        <v>688.20187583742734</v>
      </c>
      <c r="U5" s="7"/>
      <c r="V5" s="7">
        <f t="shared" si="1"/>
        <v>602.57204301075274</v>
      </c>
      <c r="W5" s="7">
        <f t="shared" si="1"/>
        <v>582.55416666666667</v>
      </c>
      <c r="X5" s="7">
        <f t="shared" si="1"/>
        <v>622.99797979797984</v>
      </c>
      <c r="Y5" s="7">
        <f t="shared" si="1"/>
        <v>658.87006412419839</v>
      </c>
      <c r="Z5" s="7">
        <f t="shared" si="1"/>
        <v>603.24932975871309</v>
      </c>
      <c r="AA5" s="7">
        <f t="shared" si="1"/>
        <v>723.64235294117657</v>
      </c>
      <c r="AB5" s="7"/>
      <c r="AC5" s="7">
        <f t="shared" si="1"/>
        <v>642.66190476190479</v>
      </c>
      <c r="AD5" s="7">
        <f t="shared" si="1"/>
        <v>545.03404669260692</v>
      </c>
      <c r="AE5" s="7">
        <f t="shared" si="1"/>
        <v>653.37523809523805</v>
      </c>
      <c r="AF5" s="7">
        <f t="shared" si="1"/>
        <v>627.21108033241001</v>
      </c>
      <c r="AG5" s="7">
        <f t="shared" si="1"/>
        <v>636.78260869565213</v>
      </c>
      <c r="AH5" s="7">
        <f t="shared" si="1"/>
        <v>718.07567567567571</v>
      </c>
      <c r="AI5" s="7"/>
      <c r="AJ5" s="7">
        <f t="shared" si="1"/>
        <v>712.23253796095446</v>
      </c>
      <c r="AK5" s="7">
        <f t="shared" si="1"/>
        <v>692.41025641025647</v>
      </c>
      <c r="AL5" s="7">
        <f t="shared" si="1"/>
        <v>712.26335403726705</v>
      </c>
      <c r="AM5" s="7">
        <f t="shared" si="1"/>
        <v>109.91666666666667</v>
      </c>
      <c r="AN5" s="7">
        <f t="shared" si="1"/>
        <v>138.2962962962963</v>
      </c>
      <c r="AO5" s="7">
        <f t="shared" si="1"/>
        <v>111.51879699248119</v>
      </c>
      <c r="AP5" s="7"/>
      <c r="AQ5" s="7">
        <f t="shared" ref="AQ5:AV5" si="2">+AQ4/AQ3</f>
        <v>622.79999999999995</v>
      </c>
      <c r="AR5" s="7">
        <f t="shared" si="2"/>
        <v>841.14285714285711</v>
      </c>
      <c r="AS5" s="7">
        <f t="shared" si="2"/>
        <v>715.3070422535211</v>
      </c>
      <c r="AT5" s="7">
        <f t="shared" si="2"/>
        <v>724.17391304347825</v>
      </c>
      <c r="AU5" s="7">
        <f t="shared" si="2"/>
        <v>687.04251012145744</v>
      </c>
      <c r="AV5" s="7">
        <f t="shared" si="2"/>
        <v>826.63464837049742</v>
      </c>
      <c r="AW5" s="7"/>
      <c r="AX5" s="7">
        <f t="shared" ref="AX5:BC5" si="3">+AX4/AX3</f>
        <v>722.47777777777776</v>
      </c>
      <c r="AY5" s="7">
        <f t="shared" si="3"/>
        <v>736.88888888888891</v>
      </c>
      <c r="AZ5" s="7">
        <f t="shared" si="3"/>
        <v>863.37777777777774</v>
      </c>
      <c r="BA5" s="7">
        <f t="shared" si="3"/>
        <v>859.38028169014081</v>
      </c>
      <c r="BB5" s="7">
        <f t="shared" si="3"/>
        <v>888.16111111111115</v>
      </c>
      <c r="BC5" s="7">
        <f t="shared" si="3"/>
        <v>744.53833605220223</v>
      </c>
      <c r="BD5" s="7"/>
      <c r="BE5" s="7">
        <f t="shared" ref="BE5:CL5" si="4">+BE4/BE3</f>
        <v>529.14285714285711</v>
      </c>
      <c r="BF5" s="7">
        <f t="shared" si="4"/>
        <v>486.77142857142854</v>
      </c>
      <c r="BG5" s="7">
        <f t="shared" si="4"/>
        <v>898.9454545454546</v>
      </c>
      <c r="BH5" s="7">
        <f t="shared" si="4"/>
        <v>855.00608519269792</v>
      </c>
      <c r="BI5" s="7">
        <f t="shared" si="4"/>
        <v>774.5565217391304</v>
      </c>
      <c r="BJ5" s="7">
        <f t="shared" si="4"/>
        <v>860.46249999999998</v>
      </c>
      <c r="BK5" s="7"/>
      <c r="BL5" s="7">
        <f t="shared" si="4"/>
        <v>564.82500000000005</v>
      </c>
      <c r="BM5" s="7">
        <f t="shared" si="4"/>
        <v>890.6216484607744</v>
      </c>
      <c r="BN5" s="7">
        <f t="shared" si="4"/>
        <v>455.46666666666664</v>
      </c>
      <c r="BO5" s="7">
        <f t="shared" si="4"/>
        <v>482.06666666666666</v>
      </c>
      <c r="BP5" s="7">
        <f t="shared" si="4"/>
        <v>418</v>
      </c>
      <c r="BQ5" s="7">
        <f t="shared" si="4"/>
        <v>542.6</v>
      </c>
      <c r="BR5" s="7"/>
      <c r="BS5" s="7">
        <f t="shared" si="4"/>
        <v>890.65116279069764</v>
      </c>
      <c r="BT5" s="7">
        <f t="shared" si="4"/>
        <v>551.9666666666667</v>
      </c>
      <c r="BU5" s="7">
        <f t="shared" si="4"/>
        <v>941.85</v>
      </c>
      <c r="BV5" s="7">
        <f t="shared" si="4"/>
        <v>812.5090909090909</v>
      </c>
      <c r="BW5" s="7">
        <f t="shared" si="4"/>
        <v>822.26666666666665</v>
      </c>
      <c r="BX5" s="7">
        <f t="shared" si="4"/>
        <v>857.49618320610762</v>
      </c>
      <c r="BY5" s="7"/>
      <c r="BZ5" s="7">
        <f t="shared" si="4"/>
        <v>772.62857142857138</v>
      </c>
      <c r="CA5" s="7">
        <f t="shared" si="4"/>
        <v>658.56923076923078</v>
      </c>
      <c r="CB5" s="7">
        <f t="shared" si="4"/>
        <v>595.9</v>
      </c>
      <c r="CC5" s="7">
        <f t="shared" si="4"/>
        <v>629.4</v>
      </c>
      <c r="CD5" s="7">
        <f t="shared" si="4"/>
        <v>886.66666666666663</v>
      </c>
      <c r="CE5" s="7">
        <f t="shared" si="4"/>
        <v>514.93846153846152</v>
      </c>
      <c r="CF5" s="7">
        <f t="shared" si="4"/>
        <v>553.4</v>
      </c>
      <c r="CG5" s="7">
        <f t="shared" si="4"/>
        <v>584.16923076923081</v>
      </c>
      <c r="CH5" s="7">
        <f t="shared" si="4"/>
        <v>836.18333333333328</v>
      </c>
      <c r="CI5" s="7">
        <f t="shared" si="4"/>
        <v>858.47894736842102</v>
      </c>
      <c r="CJ5" s="7">
        <f t="shared" si="4"/>
        <v>870.56</v>
      </c>
      <c r="CK5" s="7">
        <f t="shared" si="4"/>
        <v>812.98666666666668</v>
      </c>
      <c r="CL5" s="7">
        <f t="shared" si="4"/>
        <v>867.63963963963965</v>
      </c>
      <c r="CP5" s="7">
        <f t="shared" ref="CP5:EP5" si="5">+CP4/CP3</f>
        <v>219.16969696969696</v>
      </c>
      <c r="CQ5" s="7">
        <f t="shared" si="5"/>
        <v>863.88829005389528</v>
      </c>
      <c r="CR5" s="7">
        <f t="shared" si="5"/>
        <v>242.59161676646707</v>
      </c>
      <c r="CS5" s="7">
        <f t="shared" si="5"/>
        <v>512.92647058823525</v>
      </c>
      <c r="CU5" s="7">
        <f t="shared" si="5"/>
        <v>648.44583333333333</v>
      </c>
      <c r="CV5" s="7">
        <f t="shared" si="5"/>
        <v>492.75965217391308</v>
      </c>
      <c r="CW5" s="7">
        <f t="shared" si="5"/>
        <v>574.21286031042132</v>
      </c>
      <c r="CX5" s="7">
        <f t="shared" si="5"/>
        <v>683.3060240963855</v>
      </c>
      <c r="CY5" s="7">
        <f t="shared" si="5"/>
        <v>690.45497630331749</v>
      </c>
      <c r="CZ5" s="7">
        <f t="shared" si="5"/>
        <v>652.49370277078094</v>
      </c>
      <c r="DB5" s="7">
        <f t="shared" si="5"/>
        <v>770.20215053763445</v>
      </c>
      <c r="DC5" s="7">
        <f t="shared" si="5"/>
        <v>856.60833333333335</v>
      </c>
      <c r="DD5" s="7">
        <f t="shared" si="5"/>
        <v>793.46249999999998</v>
      </c>
      <c r="DE5" s="7">
        <f t="shared" si="5"/>
        <v>828.81680280046669</v>
      </c>
      <c r="DF5" s="7">
        <f t="shared" si="5"/>
        <v>780.16359918200408</v>
      </c>
      <c r="DG5" s="7">
        <f t="shared" si="5"/>
        <v>830.94311624072554</v>
      </c>
      <c r="DI5" s="7">
        <f t="shared" si="5"/>
        <v>625.85416666666663</v>
      </c>
      <c r="DJ5" s="7">
        <f t="shared" si="5"/>
        <v>805.27499999999998</v>
      </c>
      <c r="DK5" s="7">
        <f t="shared" si="5"/>
        <v>847.36660929432003</v>
      </c>
      <c r="DL5" s="7"/>
      <c r="DM5" s="7">
        <f t="shared" si="5"/>
        <v>655.19662921348322</v>
      </c>
      <c r="DN5" s="7">
        <f t="shared" si="5"/>
        <v>815.41754385964907</v>
      </c>
      <c r="DO5" s="7">
        <f t="shared" si="5"/>
        <v>725.54231974921629</v>
      </c>
      <c r="DP5" s="7">
        <f t="shared" si="5"/>
        <v>698.12121212121212</v>
      </c>
      <c r="DQ5" s="7">
        <f t="shared" si="5"/>
        <v>730.36577540106953</v>
      </c>
      <c r="DR5" s="7">
        <f t="shared" si="5"/>
        <v>807.00112149532708</v>
      </c>
      <c r="DS5" s="7"/>
      <c r="DT5" s="7">
        <f t="shared" si="5"/>
        <v>106.92549019607843</v>
      </c>
      <c r="DU5" s="7">
        <f t="shared" si="5"/>
        <v>516.04444444444448</v>
      </c>
      <c r="DW5" s="7">
        <f t="shared" si="5"/>
        <v>714.8</v>
      </c>
      <c r="DX5" s="7">
        <f t="shared" si="5"/>
        <v>681.30666666666662</v>
      </c>
      <c r="DY5" s="7">
        <f t="shared" si="5"/>
        <v>739.30726256983235</v>
      </c>
      <c r="DZ5" s="7">
        <f t="shared" si="5"/>
        <v>516.5559105431314</v>
      </c>
      <c r="EA5" s="7">
        <f t="shared" si="5"/>
        <v>696.83665338645403</v>
      </c>
      <c r="EB5" s="7">
        <f t="shared" si="5"/>
        <v>334.76143051154372</v>
      </c>
      <c r="ED5" s="7">
        <f t="shared" si="5"/>
        <v>559.50188679245286</v>
      </c>
      <c r="EE5" s="7">
        <f t="shared" si="5"/>
        <v>570.38518518518515</v>
      </c>
      <c r="EF5" s="7">
        <f t="shared" si="5"/>
        <v>613.7006802721088</v>
      </c>
      <c r="EG5" s="7">
        <f t="shared" si="5"/>
        <v>553.70279329608934</v>
      </c>
      <c r="EH5" s="7">
        <f t="shared" si="5"/>
        <v>595.02341137123744</v>
      </c>
      <c r="EI5" s="7">
        <f t="shared" si="5"/>
        <v>669.58659217877084</v>
      </c>
      <c r="EJ5" s="7"/>
      <c r="EK5" s="7">
        <f t="shared" si="5"/>
        <v>767.50476190476195</v>
      </c>
      <c r="EL5" s="7">
        <f t="shared" si="5"/>
        <v>616.23183673469396</v>
      </c>
      <c r="EM5" s="7">
        <f t="shared" si="5"/>
        <v>758.12444444444441</v>
      </c>
      <c r="EN5" s="7">
        <f t="shared" si="5"/>
        <v>731.54285714285709</v>
      </c>
      <c r="EO5" s="7">
        <f t="shared" si="5"/>
        <v>602.86666666666667</v>
      </c>
      <c r="EP5" s="7">
        <f t="shared" si="5"/>
        <v>776.41025641025647</v>
      </c>
      <c r="ER5" s="7">
        <f>+ER4/ER3</f>
        <v>491.44761904761907</v>
      </c>
      <c r="ES5" s="7">
        <f t="shared" ref="ES5:FB5" si="6">+ES4/ES3</f>
        <v>683.29855072463772</v>
      </c>
      <c r="ET5" s="7">
        <f t="shared" si="6"/>
        <v>702.30528375733843</v>
      </c>
      <c r="EU5" s="7">
        <f t="shared" si="6"/>
        <v>714.93881363848686</v>
      </c>
      <c r="EV5" s="7">
        <f t="shared" si="6"/>
        <v>694.0484848484848</v>
      </c>
      <c r="EW5" s="7">
        <f t="shared" si="6"/>
        <v>717.90666666666664</v>
      </c>
      <c r="EX5" s="7">
        <f t="shared" si="6"/>
        <v>404.26190476190476</v>
      </c>
      <c r="EY5" s="7">
        <f t="shared" si="6"/>
        <v>808.60606060606062</v>
      </c>
      <c r="EZ5" s="7">
        <f t="shared" si="6"/>
        <v>798.23529411764707</v>
      </c>
      <c r="FA5" s="7">
        <f t="shared" si="6"/>
        <v>727.03157894736842</v>
      </c>
      <c r="FB5" s="7">
        <f t="shared" si="6"/>
        <v>336</v>
      </c>
      <c r="FG5" s="7">
        <f>+FG4/FG3</f>
        <v>894.55501460564767</v>
      </c>
      <c r="FH5" s="7">
        <f t="shared" ref="FH5:GU5" si="7">+FH4/FH3</f>
        <v>852.02666666666664</v>
      </c>
      <c r="FI5" s="7">
        <f t="shared" si="7"/>
        <v>766.98412698412699</v>
      </c>
      <c r="FJ5" s="7">
        <f t="shared" si="7"/>
        <v>598.11019283746555</v>
      </c>
      <c r="FK5" s="7">
        <f t="shared" si="7"/>
        <v>756.05079365079371</v>
      </c>
      <c r="FL5" s="7">
        <f t="shared" si="7"/>
        <v>714.75862068965512</v>
      </c>
      <c r="FM5" s="7">
        <f t="shared" si="7"/>
        <v>788.65066666666667</v>
      </c>
      <c r="FN5" s="7">
        <f t="shared" si="7"/>
        <v>778.13333333333333</v>
      </c>
      <c r="FO5" s="7">
        <f t="shared" si="7"/>
        <v>843.75</v>
      </c>
      <c r="FP5" s="7">
        <f t="shared" si="7"/>
        <v>751.22133333333329</v>
      </c>
      <c r="FQ5" s="7">
        <f t="shared" si="7"/>
        <v>867.7397260273973</v>
      </c>
      <c r="FR5" s="7">
        <f t="shared" si="7"/>
        <v>853.83615819209035</v>
      </c>
      <c r="FT5" s="7">
        <f t="shared" si="7"/>
        <v>860.57142857142856</v>
      </c>
      <c r="FU5" s="7">
        <f t="shared" si="7"/>
        <v>758.30799999999999</v>
      </c>
      <c r="FV5" s="7">
        <f t="shared" si="7"/>
        <v>875.42399999999998</v>
      </c>
      <c r="FW5" s="7">
        <f t="shared" si="7"/>
        <v>832.33548387096778</v>
      </c>
      <c r="FX5" s="7">
        <f t="shared" si="7"/>
        <v>737.55200000000002</v>
      </c>
      <c r="FY5" s="7">
        <f t="shared" si="7"/>
        <v>749.64705882352951</v>
      </c>
      <c r="FZ5" s="7"/>
      <c r="GA5" s="7">
        <f t="shared" si="7"/>
        <v>783.42548596112306</v>
      </c>
      <c r="GB5" s="7">
        <f t="shared" si="7"/>
        <v>846.57600000000002</v>
      </c>
      <c r="GC5" s="7">
        <f t="shared" si="7"/>
        <v>823.78214285714284</v>
      </c>
      <c r="GD5" s="7">
        <f t="shared" si="7"/>
        <v>906.40408163265306</v>
      </c>
      <c r="GE5" s="7">
        <f t="shared" si="7"/>
        <v>854.6</v>
      </c>
      <c r="GF5" s="7">
        <f t="shared" si="7"/>
        <v>793.84224701808387</v>
      </c>
      <c r="GG5" s="7"/>
      <c r="GH5" s="7">
        <f t="shared" si="7"/>
        <v>862.61445296729903</v>
      </c>
      <c r="GI5" s="7">
        <f t="shared" si="7"/>
        <v>895.55402298850572</v>
      </c>
      <c r="GJ5" s="7">
        <f t="shared" si="7"/>
        <v>908.82380952380947</v>
      </c>
      <c r="GK5" s="7">
        <f t="shared" si="7"/>
        <v>924.9666666666667</v>
      </c>
      <c r="GL5" s="7">
        <f t="shared" si="7"/>
        <v>992.7494252873563</v>
      </c>
      <c r="GM5" s="7">
        <f t="shared" si="7"/>
        <v>873.9953917050691</v>
      </c>
      <c r="GO5" s="7">
        <f t="shared" si="7"/>
        <v>768.61071428571427</v>
      </c>
      <c r="GP5" s="7"/>
      <c r="GQ5" s="7">
        <f t="shared" si="7"/>
        <v>773.53061224489795</v>
      </c>
      <c r="GR5" s="7">
        <f t="shared" si="7"/>
        <v>734.05581395348838</v>
      </c>
      <c r="GS5" s="7">
        <f t="shared" si="7"/>
        <v>738.53658536585363</v>
      </c>
      <c r="GT5" s="7">
        <f t="shared" si="7"/>
        <v>779.92558139534879</v>
      </c>
      <c r="GU5" s="7">
        <f t="shared" si="7"/>
        <v>621.04670126019266</v>
      </c>
      <c r="GV5" s="47">
        <f>+GV4/GV3</f>
        <v>778.78518518518524</v>
      </c>
      <c r="GW5" s="47">
        <f t="shared" ref="GW5:IR5" si="8">+GW4/GW3</f>
        <v>876.98074454428752</v>
      </c>
      <c r="GX5" s="47">
        <f t="shared" si="8"/>
        <v>838.55686274509799</v>
      </c>
      <c r="GY5" s="47">
        <f t="shared" si="8"/>
        <v>962.91304347826087</v>
      </c>
      <c r="GZ5" s="47">
        <f t="shared" si="8"/>
        <v>860.74666666666667</v>
      </c>
      <c r="HA5" s="47">
        <f t="shared" si="8"/>
        <v>863.31428571428569</v>
      </c>
      <c r="HC5" s="47">
        <f t="shared" si="8"/>
        <v>768.50256410256407</v>
      </c>
      <c r="HD5" s="47">
        <f t="shared" si="8"/>
        <v>792.51954022988502</v>
      </c>
      <c r="HE5" s="47">
        <f t="shared" si="8"/>
        <v>809.46987951807228</v>
      </c>
      <c r="HF5" s="47">
        <f t="shared" si="8"/>
        <v>850.64367816091954</v>
      </c>
      <c r="HG5" s="47">
        <f t="shared" si="8"/>
        <v>886.93333333333328</v>
      </c>
      <c r="HH5" s="47">
        <f t="shared" si="8"/>
        <v>747.46102449888645</v>
      </c>
      <c r="HJ5" s="47">
        <f t="shared" si="8"/>
        <v>579.69166666666672</v>
      </c>
      <c r="HK5" s="47">
        <f t="shared" si="8"/>
        <v>904.27777777777783</v>
      </c>
      <c r="HL5" s="47">
        <f t="shared" si="8"/>
        <v>826.47938144329896</v>
      </c>
      <c r="HM5" s="47">
        <f t="shared" si="8"/>
        <v>742.19733333333329</v>
      </c>
      <c r="HN5" s="47">
        <f t="shared" si="8"/>
        <v>712.01666666666665</v>
      </c>
      <c r="HO5" s="47">
        <f t="shared" si="8"/>
        <v>664.47619047619048</v>
      </c>
      <c r="HQ5" s="47">
        <f t="shared" si="8"/>
        <v>608.65714285714284</v>
      </c>
      <c r="HR5" s="47">
        <f t="shared" si="8"/>
        <v>777.78571428571433</v>
      </c>
      <c r="HS5" s="47">
        <f t="shared" si="8"/>
        <v>549.45714285714291</v>
      </c>
      <c r="HT5" s="47">
        <f t="shared" si="8"/>
        <v>747.80952380952385</v>
      </c>
      <c r="HU5" s="47">
        <f t="shared" si="8"/>
        <v>470.51428571428573</v>
      </c>
      <c r="HV5" s="47">
        <f t="shared" si="8"/>
        <v>463.71428571428572</v>
      </c>
      <c r="HX5" s="47">
        <f t="shared" si="8"/>
        <v>720.82857142857142</v>
      </c>
      <c r="HY5" s="47">
        <f t="shared" si="8"/>
        <v>488.02380952380952</v>
      </c>
      <c r="HZ5" s="47">
        <f t="shared" si="8"/>
        <v>503.68421052631578</v>
      </c>
      <c r="IA5" s="47">
        <f t="shared" si="8"/>
        <v>490.97619047619048</v>
      </c>
      <c r="IB5" s="47">
        <f t="shared" si="8"/>
        <v>532.28947368421052</v>
      </c>
      <c r="IC5" s="47">
        <f t="shared" si="8"/>
        <v>588.82857142857142</v>
      </c>
      <c r="ID5" s="47">
        <f t="shared" si="8"/>
        <v>817.2</v>
      </c>
      <c r="IE5" s="47">
        <f t="shared" si="8"/>
        <v>689.33333333333337</v>
      </c>
      <c r="IF5" s="47">
        <f t="shared" si="8"/>
        <v>500.66666666666669</v>
      </c>
      <c r="IG5" s="47">
        <f t="shared" si="8"/>
        <v>518.93333333333328</v>
      </c>
      <c r="IH5" s="47">
        <f t="shared" si="8"/>
        <v>798.76363636363635</v>
      </c>
      <c r="II5" s="47">
        <f t="shared" si="8"/>
        <v>742.31428571428569</v>
      </c>
      <c r="IJ5" s="47">
        <f t="shared" si="8"/>
        <v>826.57142857142856</v>
      </c>
      <c r="IL5" s="47">
        <f t="shared" si="8"/>
        <v>642.10256410256409</v>
      </c>
      <c r="IM5" s="47">
        <f t="shared" si="8"/>
        <v>423.7</v>
      </c>
      <c r="IN5" s="47">
        <f t="shared" si="8"/>
        <v>690.4302788844625</v>
      </c>
      <c r="IO5" s="47">
        <f t="shared" si="8"/>
        <v>642.8357142857144</v>
      </c>
      <c r="IP5" s="47">
        <f t="shared" si="8"/>
        <v>539.55555555555554</v>
      </c>
      <c r="IQ5" s="47">
        <f t="shared" si="8"/>
        <v>527.73737373737379</v>
      </c>
      <c r="IR5" s="47">
        <f t="shared" si="8"/>
        <v>777</v>
      </c>
      <c r="IS5" s="47">
        <f t="shared" ref="IS5:IX5" si="9">+IS4/IS3</f>
        <v>799.26666666666665</v>
      </c>
      <c r="IT5" s="47">
        <f t="shared" si="9"/>
        <v>567.49333333333334</v>
      </c>
      <c r="IU5" s="47">
        <f t="shared" si="9"/>
        <v>764.32625698324011</v>
      </c>
      <c r="IV5" s="47">
        <f t="shared" si="9"/>
        <v>827.94285714285718</v>
      </c>
      <c r="IW5" s="47">
        <f t="shared" si="9"/>
        <v>775.31111111111113</v>
      </c>
      <c r="IX5" s="47">
        <f t="shared" si="9"/>
        <v>752.05714285714282</v>
      </c>
      <c r="IZ5" s="47">
        <f t="shared" ref="IZ5:JL5" si="10">+IZ4/IZ3</f>
        <v>742.01481481481483</v>
      </c>
      <c r="JA5" s="47">
        <f t="shared" si="10"/>
        <v>866.85714285714289</v>
      </c>
      <c r="JB5" s="47">
        <f t="shared" si="10"/>
        <v>524.66762589928067</v>
      </c>
      <c r="JC5" s="47">
        <f t="shared" si="10"/>
        <v>311.48780487804879</v>
      </c>
      <c r="JD5" s="47">
        <f t="shared" si="10"/>
        <v>372.59166666666664</v>
      </c>
      <c r="JE5" s="47">
        <f t="shared" si="10"/>
        <v>349.14285714285717</v>
      </c>
      <c r="JF5" s="47"/>
      <c r="JG5" s="47">
        <f t="shared" si="10"/>
        <v>650.35</v>
      </c>
      <c r="JH5" s="47">
        <f t="shared" si="10"/>
        <v>617.16211878009608</v>
      </c>
      <c r="JI5" s="47">
        <f t="shared" si="10"/>
        <v>656.0283687943263</v>
      </c>
      <c r="JJ5" s="47">
        <f t="shared" si="10"/>
        <v>633.63333333333333</v>
      </c>
      <c r="JK5" s="47">
        <f t="shared" si="10"/>
        <v>602.78518518518524</v>
      </c>
      <c r="JL5" s="47">
        <f t="shared" si="10"/>
        <v>658.36666666666667</v>
      </c>
      <c r="JN5" s="97">
        <f>+JN4/JN3</f>
        <v>616.78911564625855</v>
      </c>
      <c r="JO5" s="97">
        <f t="shared" ref="JO5:KU5" si="11">+JO4/JO3</f>
        <v>429.07555555555558</v>
      </c>
      <c r="JP5" s="97">
        <f t="shared" si="11"/>
        <v>705.56862745098044</v>
      </c>
      <c r="JQ5" s="97">
        <f t="shared" si="11"/>
        <v>690.63030303030303</v>
      </c>
      <c r="JR5" s="97">
        <f t="shared" si="11"/>
        <v>629.82666666666671</v>
      </c>
      <c r="JS5" s="97">
        <f t="shared" si="11"/>
        <v>648.37333333333333</v>
      </c>
      <c r="JU5" s="97">
        <f t="shared" si="11"/>
        <v>698.8</v>
      </c>
      <c r="JV5" s="97">
        <f t="shared" si="11"/>
        <v>702.55384615384651</v>
      </c>
      <c r="JW5" s="97">
        <f t="shared" si="11"/>
        <v>666.93548387096769</v>
      </c>
      <c r="JX5" s="97">
        <f t="shared" si="11"/>
        <v>522.27692307692303</v>
      </c>
      <c r="JY5" s="97">
        <f t="shared" si="11"/>
        <v>651.9677419354839</v>
      </c>
      <c r="JZ5" s="97">
        <f t="shared" si="11"/>
        <v>737.49119999999982</v>
      </c>
      <c r="KB5" s="97">
        <f t="shared" si="11"/>
        <v>679.25217391304352</v>
      </c>
      <c r="KC5" s="97">
        <f t="shared" si="11"/>
        <v>892.0333333333333</v>
      </c>
      <c r="KD5" s="97">
        <f t="shared" si="11"/>
        <v>566.4</v>
      </c>
      <c r="KE5" s="97">
        <f t="shared" si="11"/>
        <v>737.03765690376565</v>
      </c>
      <c r="KF5" s="97">
        <f t="shared" si="11"/>
        <v>839.96330275229354</v>
      </c>
      <c r="KG5" s="97">
        <f t="shared" si="11"/>
        <v>604.58333333333337</v>
      </c>
      <c r="KH5" s="97">
        <f t="shared" si="11"/>
        <v>674.93548387096769</v>
      </c>
      <c r="KI5" s="97">
        <f t="shared" si="11"/>
        <v>798.51111111111106</v>
      </c>
      <c r="KJ5" s="97">
        <f t="shared" si="11"/>
        <v>850.2</v>
      </c>
      <c r="KK5" s="97">
        <f t="shared" si="11"/>
        <v>711.45360824742272</v>
      </c>
      <c r="KL5" s="97">
        <f t="shared" si="11"/>
        <v>745.43333333333328</v>
      </c>
      <c r="KM5" s="97">
        <f t="shared" si="11"/>
        <v>678.9666666666667</v>
      </c>
      <c r="KN5" s="97">
        <f t="shared" si="11"/>
        <v>844.48138957816388</v>
      </c>
      <c r="KP5" s="97">
        <f t="shared" si="11"/>
        <v>613.83695652173913</v>
      </c>
      <c r="KQ5" s="97">
        <f t="shared" si="11"/>
        <v>553.05374280230319</v>
      </c>
      <c r="KR5" s="97">
        <f t="shared" si="11"/>
        <v>789.58954501452081</v>
      </c>
      <c r="KS5" s="97">
        <f t="shared" si="11"/>
        <v>974.51</v>
      </c>
      <c r="KT5" s="97">
        <f t="shared" si="11"/>
        <v>579.4</v>
      </c>
      <c r="KU5" s="97">
        <f t="shared" si="11"/>
        <v>576.23448275862074</v>
      </c>
      <c r="KW5" s="20">
        <f>+KW4/KW3</f>
        <v>862.08571428571429</v>
      </c>
      <c r="KX5" s="20">
        <f t="shared" ref="KX5:LB5" si="12">+KX4/KX3</f>
        <v>625.68333333333328</v>
      </c>
      <c r="KY5" s="20">
        <f t="shared" si="12"/>
        <v>723.33571428571429</v>
      </c>
      <c r="KZ5" s="20">
        <f t="shared" si="12"/>
        <v>777.00000000000011</v>
      </c>
      <c r="LA5" s="20">
        <f t="shared" si="12"/>
        <v>587.00202839756594</v>
      </c>
      <c r="LB5" s="20">
        <f t="shared" si="12"/>
        <v>468.00952380952378</v>
      </c>
      <c r="LC5" s="20"/>
      <c r="LD5" s="9">
        <f>+LD4/LD3</f>
        <v>545.98596491228068</v>
      </c>
      <c r="LE5" s="9">
        <f t="shared" ref="LE5:LI5" si="13">+LE4/LE3</f>
        <v>413.48490230905861</v>
      </c>
      <c r="LF5" s="9">
        <f t="shared" si="13"/>
        <v>646.77503628447027</v>
      </c>
      <c r="LG5" s="9">
        <f t="shared" si="13"/>
        <v>620.09824561403514</v>
      </c>
      <c r="LH5" s="9">
        <f t="shared" si="13"/>
        <v>616.70500927643786</v>
      </c>
      <c r="LI5" s="9">
        <f t="shared" si="13"/>
        <v>594.85714285714289</v>
      </c>
      <c r="LK5" s="20">
        <f>+LK4/LK3</f>
        <v>665.24309691391454</v>
      </c>
      <c r="LL5" s="20">
        <f t="shared" ref="LL5:NC5" si="14">+LL4/LL3</f>
        <v>671.21637426900588</v>
      </c>
      <c r="LM5" s="20">
        <f t="shared" si="14"/>
        <v>595.36134453781528</v>
      </c>
      <c r="LN5" s="20">
        <f t="shared" si="14"/>
        <v>457.13015873015871</v>
      </c>
      <c r="LO5" s="20">
        <f t="shared" si="14"/>
        <v>615.85454545454547</v>
      </c>
      <c r="LP5" s="20">
        <f t="shared" si="14"/>
        <v>837.956204379562</v>
      </c>
      <c r="LR5" s="20">
        <f t="shared" si="14"/>
        <v>661.12738853503186</v>
      </c>
      <c r="LS5" s="20">
        <f t="shared" si="14"/>
        <v>660.37220843672469</v>
      </c>
      <c r="LT5" s="20">
        <f t="shared" si="14"/>
        <v>565.9472616632861</v>
      </c>
      <c r="LU5" s="20">
        <f t="shared" si="14"/>
        <v>767.71548117154816</v>
      </c>
      <c r="LV5" s="20">
        <f t="shared" si="14"/>
        <v>640.9939393939394</v>
      </c>
      <c r="LW5" s="20">
        <f t="shared" si="14"/>
        <v>388.86274509803923</v>
      </c>
      <c r="LY5" s="20">
        <f t="shared" si="14"/>
        <v>532.12376563528642</v>
      </c>
      <c r="LZ5" s="20">
        <f t="shared" si="14"/>
        <v>638.0752602081667</v>
      </c>
      <c r="MA5" s="20">
        <f t="shared" si="14"/>
        <v>659.21792260692484</v>
      </c>
      <c r="MB5" s="20">
        <f t="shared" si="14"/>
        <v>623.55348837209317</v>
      </c>
      <c r="MC5" s="20">
        <f t="shared" si="14"/>
        <v>546.81696428571411</v>
      </c>
      <c r="MD5" s="20">
        <f t="shared" si="14"/>
        <v>513.2284644194757</v>
      </c>
      <c r="MF5" s="20">
        <f t="shared" si="14"/>
        <v>539.94683544303791</v>
      </c>
      <c r="MG5" s="20">
        <f t="shared" si="14"/>
        <v>500.25919439579673</v>
      </c>
      <c r="MH5" s="20">
        <f t="shared" si="14"/>
        <v>416.92237442922374</v>
      </c>
      <c r="MI5" s="20">
        <f t="shared" si="14"/>
        <v>451.38888888888891</v>
      </c>
      <c r="MJ5" s="20">
        <f t="shared" si="14"/>
        <v>443.04</v>
      </c>
      <c r="MK5" s="20">
        <f t="shared" si="14"/>
        <v>645.10079999999994</v>
      </c>
      <c r="MM5" s="20">
        <f t="shared" si="14"/>
        <v>460.63030303030303</v>
      </c>
      <c r="MN5" s="20">
        <f t="shared" si="14"/>
        <v>668.32380952380947</v>
      </c>
      <c r="MO5" s="20">
        <f t="shared" si="14"/>
        <v>742.0484848484848</v>
      </c>
      <c r="MP5" s="20">
        <f t="shared" si="14"/>
        <v>783.18790496760266</v>
      </c>
      <c r="MQ5" s="20">
        <f t="shared" si="14"/>
        <v>802.4401294498382</v>
      </c>
      <c r="MR5" s="20">
        <f t="shared" si="14"/>
        <v>814.44166666666672</v>
      </c>
      <c r="MS5" s="20">
        <f t="shared" si="14"/>
        <v>832.72380952380956</v>
      </c>
      <c r="MT5" s="20">
        <f t="shared" si="14"/>
        <v>763</v>
      </c>
      <c r="MU5" s="20">
        <f t="shared" si="14"/>
        <v>791.35384615384612</v>
      </c>
      <c r="MV5" s="20">
        <f t="shared" si="14"/>
        <v>798.13810741687973</v>
      </c>
      <c r="MW5" s="20">
        <f t="shared" si="14"/>
        <v>669.49815498154987</v>
      </c>
      <c r="MX5" s="20">
        <f t="shared" si="14"/>
        <v>596.59001314060447</v>
      </c>
      <c r="MY5" s="20">
        <f t="shared" si="14"/>
        <v>681.97864768683269</v>
      </c>
      <c r="NA5" s="20">
        <f t="shared" si="14"/>
        <v>633.54222222222222</v>
      </c>
      <c r="NB5" s="20">
        <f t="shared" si="14"/>
        <v>763.7578947368421</v>
      </c>
      <c r="NC5" s="20">
        <f t="shared" si="14"/>
        <v>603.68985661178965</v>
      </c>
    </row>
    <row r="6" spans="1:367">
      <c r="CU6" s="6"/>
      <c r="CV6" s="6"/>
      <c r="CW6" s="6"/>
      <c r="CX6" s="6"/>
      <c r="CY6" s="6"/>
      <c r="CZ6" s="6"/>
      <c r="DW6" s="20"/>
      <c r="HX6" s="7"/>
      <c r="HY6" s="7"/>
      <c r="HZ6" s="7"/>
      <c r="IA6" s="7"/>
      <c r="IB6" s="7"/>
      <c r="IC6" s="7"/>
      <c r="ID6" s="7"/>
      <c r="IL6" s="20"/>
      <c r="KI6" s="20"/>
      <c r="LK6" s="20"/>
      <c r="MT6" s="20"/>
    </row>
    <row r="7" spans="1:367">
      <c r="A7" s="10" t="s">
        <v>57</v>
      </c>
      <c r="B7" s="10" t="s">
        <v>56</v>
      </c>
      <c r="C7" s="11">
        <v>46023</v>
      </c>
      <c r="D7" s="11">
        <f>+C7+1</f>
        <v>46024</v>
      </c>
      <c r="E7" s="11">
        <f t="shared" ref="E7:BP7" si="15">+D7+1</f>
        <v>46025</v>
      </c>
      <c r="F7" s="11">
        <f t="shared" si="15"/>
        <v>46026</v>
      </c>
      <c r="G7" s="11">
        <f t="shared" si="15"/>
        <v>46027</v>
      </c>
      <c r="H7" s="11">
        <f t="shared" si="15"/>
        <v>46028</v>
      </c>
      <c r="I7" s="11">
        <f t="shared" si="15"/>
        <v>46029</v>
      </c>
      <c r="J7" s="11">
        <f t="shared" si="15"/>
        <v>46030</v>
      </c>
      <c r="K7" s="11">
        <f t="shared" si="15"/>
        <v>46031</v>
      </c>
      <c r="L7" s="11">
        <f t="shared" si="15"/>
        <v>46032</v>
      </c>
      <c r="M7" s="11">
        <f t="shared" si="15"/>
        <v>46033</v>
      </c>
      <c r="N7" s="11">
        <f t="shared" si="15"/>
        <v>46034</v>
      </c>
      <c r="O7" s="11">
        <f t="shared" si="15"/>
        <v>46035</v>
      </c>
      <c r="P7" s="11">
        <f t="shared" si="15"/>
        <v>46036</v>
      </c>
      <c r="Q7" s="11">
        <f t="shared" si="15"/>
        <v>46037</v>
      </c>
      <c r="R7" s="11">
        <f t="shared" si="15"/>
        <v>46038</v>
      </c>
      <c r="S7" s="11">
        <f t="shared" si="15"/>
        <v>46039</v>
      </c>
      <c r="T7" s="11">
        <f t="shared" si="15"/>
        <v>46040</v>
      </c>
      <c r="U7" s="11">
        <f t="shared" si="15"/>
        <v>46041</v>
      </c>
      <c r="V7" s="11">
        <f t="shared" si="15"/>
        <v>46042</v>
      </c>
      <c r="W7" s="11">
        <f t="shared" si="15"/>
        <v>46043</v>
      </c>
      <c r="X7" s="11">
        <f t="shared" si="15"/>
        <v>46044</v>
      </c>
      <c r="Y7" s="11">
        <f t="shared" si="15"/>
        <v>46045</v>
      </c>
      <c r="Z7" s="11">
        <f t="shared" si="15"/>
        <v>46046</v>
      </c>
      <c r="AA7" s="11">
        <f t="shared" si="15"/>
        <v>46047</v>
      </c>
      <c r="AB7" s="11">
        <f t="shared" si="15"/>
        <v>46048</v>
      </c>
      <c r="AC7" s="11">
        <f t="shared" si="15"/>
        <v>46049</v>
      </c>
      <c r="AD7" s="11">
        <f t="shared" si="15"/>
        <v>46050</v>
      </c>
      <c r="AE7" s="11">
        <f t="shared" si="15"/>
        <v>46051</v>
      </c>
      <c r="AF7" s="11">
        <f t="shared" si="15"/>
        <v>46052</v>
      </c>
      <c r="AG7" s="11">
        <f t="shared" si="15"/>
        <v>46053</v>
      </c>
      <c r="AH7" s="11">
        <f t="shared" si="15"/>
        <v>46054</v>
      </c>
      <c r="AI7" s="11">
        <f t="shared" si="15"/>
        <v>46055</v>
      </c>
      <c r="AJ7" s="11">
        <f t="shared" si="15"/>
        <v>46056</v>
      </c>
      <c r="AK7" s="11">
        <f t="shared" si="15"/>
        <v>46057</v>
      </c>
      <c r="AL7" s="11">
        <f t="shared" si="15"/>
        <v>46058</v>
      </c>
      <c r="AM7" s="11">
        <f t="shared" si="15"/>
        <v>46059</v>
      </c>
      <c r="AN7" s="11">
        <f t="shared" si="15"/>
        <v>46060</v>
      </c>
      <c r="AO7" s="11">
        <f t="shared" si="15"/>
        <v>46061</v>
      </c>
      <c r="AP7" s="11">
        <f t="shared" si="15"/>
        <v>46062</v>
      </c>
      <c r="AQ7" s="11">
        <f t="shared" si="15"/>
        <v>46063</v>
      </c>
      <c r="AR7" s="11">
        <f t="shared" si="15"/>
        <v>46064</v>
      </c>
      <c r="AS7" s="11">
        <f t="shared" si="15"/>
        <v>46065</v>
      </c>
      <c r="AT7" s="11">
        <f t="shared" si="15"/>
        <v>46066</v>
      </c>
      <c r="AU7" s="11">
        <f t="shared" si="15"/>
        <v>46067</v>
      </c>
      <c r="AV7" s="11">
        <f t="shared" si="15"/>
        <v>46068</v>
      </c>
      <c r="AW7" s="11">
        <f t="shared" si="15"/>
        <v>46069</v>
      </c>
      <c r="AX7" s="11">
        <f t="shared" si="15"/>
        <v>46070</v>
      </c>
      <c r="AY7" s="11">
        <f t="shared" si="15"/>
        <v>46071</v>
      </c>
      <c r="AZ7" s="11">
        <f t="shared" si="15"/>
        <v>46072</v>
      </c>
      <c r="BA7" s="11">
        <f t="shared" si="15"/>
        <v>46073</v>
      </c>
      <c r="BB7" s="11">
        <f t="shared" si="15"/>
        <v>46074</v>
      </c>
      <c r="BC7" s="11">
        <f t="shared" si="15"/>
        <v>46075</v>
      </c>
      <c r="BD7" s="11">
        <f t="shared" si="15"/>
        <v>46076</v>
      </c>
      <c r="BE7" s="11">
        <f t="shared" si="15"/>
        <v>46077</v>
      </c>
      <c r="BF7" s="11">
        <f t="shared" si="15"/>
        <v>46078</v>
      </c>
      <c r="BG7" s="11">
        <f t="shared" si="15"/>
        <v>46079</v>
      </c>
      <c r="BH7" s="11">
        <f t="shared" si="15"/>
        <v>46080</v>
      </c>
      <c r="BI7" s="11">
        <f t="shared" si="15"/>
        <v>46081</v>
      </c>
      <c r="BJ7" s="11">
        <f t="shared" si="15"/>
        <v>46082</v>
      </c>
      <c r="BK7" s="11">
        <f t="shared" si="15"/>
        <v>46083</v>
      </c>
      <c r="BL7" s="11">
        <f t="shared" si="15"/>
        <v>46084</v>
      </c>
      <c r="BM7" s="11">
        <f t="shared" si="15"/>
        <v>46085</v>
      </c>
      <c r="BN7" s="11">
        <f t="shared" si="15"/>
        <v>46086</v>
      </c>
      <c r="BO7" s="11">
        <f t="shared" si="15"/>
        <v>46087</v>
      </c>
      <c r="BP7" s="11">
        <f t="shared" si="15"/>
        <v>46088</v>
      </c>
      <c r="BQ7" s="11">
        <f t="shared" ref="BQ7:EB7" si="16">+BP7+1</f>
        <v>46089</v>
      </c>
      <c r="BR7" s="11">
        <f t="shared" si="16"/>
        <v>46090</v>
      </c>
      <c r="BS7" s="11">
        <f t="shared" si="16"/>
        <v>46091</v>
      </c>
      <c r="BT7" s="11">
        <f t="shared" si="16"/>
        <v>46092</v>
      </c>
      <c r="BU7" s="11">
        <f t="shared" si="16"/>
        <v>46093</v>
      </c>
      <c r="BV7" s="11">
        <f t="shared" si="16"/>
        <v>46094</v>
      </c>
      <c r="BW7" s="11">
        <f t="shared" si="16"/>
        <v>46095</v>
      </c>
      <c r="BX7" s="11">
        <f t="shared" si="16"/>
        <v>46096</v>
      </c>
      <c r="BY7" s="11">
        <f t="shared" si="16"/>
        <v>46097</v>
      </c>
      <c r="BZ7" s="11">
        <f t="shared" si="16"/>
        <v>46098</v>
      </c>
      <c r="CA7" s="11">
        <f t="shared" si="16"/>
        <v>46099</v>
      </c>
      <c r="CB7" s="11">
        <f t="shared" si="16"/>
        <v>46100</v>
      </c>
      <c r="CC7" s="11">
        <f t="shared" si="16"/>
        <v>46101</v>
      </c>
      <c r="CD7" s="11">
        <f t="shared" si="16"/>
        <v>46102</v>
      </c>
      <c r="CE7" s="11">
        <f t="shared" si="16"/>
        <v>46103</v>
      </c>
      <c r="CF7" s="11">
        <f t="shared" si="16"/>
        <v>46104</v>
      </c>
      <c r="CG7" s="11">
        <f t="shared" si="16"/>
        <v>46105</v>
      </c>
      <c r="CH7" s="11">
        <f t="shared" si="16"/>
        <v>46106</v>
      </c>
      <c r="CI7" s="11">
        <f t="shared" si="16"/>
        <v>46107</v>
      </c>
      <c r="CJ7" s="11">
        <f t="shared" si="16"/>
        <v>46108</v>
      </c>
      <c r="CK7" s="11">
        <f t="shared" si="16"/>
        <v>46109</v>
      </c>
      <c r="CL7" s="11">
        <f t="shared" si="16"/>
        <v>46110</v>
      </c>
      <c r="CM7" s="11">
        <f t="shared" si="16"/>
        <v>46111</v>
      </c>
      <c r="CN7" s="11">
        <f t="shared" si="16"/>
        <v>46112</v>
      </c>
      <c r="CO7" s="11">
        <f t="shared" si="16"/>
        <v>46113</v>
      </c>
      <c r="CP7" s="11">
        <f t="shared" si="16"/>
        <v>46114</v>
      </c>
      <c r="CQ7" s="11">
        <f t="shared" si="16"/>
        <v>46115</v>
      </c>
      <c r="CR7" s="11">
        <f t="shared" si="16"/>
        <v>46116</v>
      </c>
      <c r="CS7" s="11">
        <f t="shared" si="16"/>
        <v>46117</v>
      </c>
      <c r="CT7" s="11">
        <f t="shared" si="16"/>
        <v>46118</v>
      </c>
      <c r="CU7" s="11">
        <f t="shared" si="16"/>
        <v>46119</v>
      </c>
      <c r="CV7" s="11">
        <f t="shared" si="16"/>
        <v>46120</v>
      </c>
      <c r="CW7" s="11">
        <f t="shared" si="16"/>
        <v>46121</v>
      </c>
      <c r="CX7" s="11">
        <f t="shared" si="16"/>
        <v>46122</v>
      </c>
      <c r="CY7" s="11">
        <f t="shared" si="16"/>
        <v>46123</v>
      </c>
      <c r="CZ7" s="11">
        <f t="shared" si="16"/>
        <v>46124</v>
      </c>
      <c r="DA7" s="11">
        <f t="shared" si="16"/>
        <v>46125</v>
      </c>
      <c r="DB7" s="11">
        <f t="shared" si="16"/>
        <v>46126</v>
      </c>
      <c r="DC7" s="11">
        <f t="shared" si="16"/>
        <v>46127</v>
      </c>
      <c r="DD7" s="11">
        <f t="shared" si="16"/>
        <v>46128</v>
      </c>
      <c r="DE7" s="11">
        <f t="shared" si="16"/>
        <v>46129</v>
      </c>
      <c r="DF7" s="11">
        <f t="shared" si="16"/>
        <v>46130</v>
      </c>
      <c r="DG7" s="11">
        <f t="shared" si="16"/>
        <v>46131</v>
      </c>
      <c r="DH7" s="11">
        <f t="shared" si="16"/>
        <v>46132</v>
      </c>
      <c r="DI7" s="11">
        <f t="shared" si="16"/>
        <v>46133</v>
      </c>
      <c r="DJ7" s="11">
        <f t="shared" si="16"/>
        <v>46134</v>
      </c>
      <c r="DK7" s="11">
        <f t="shared" si="16"/>
        <v>46135</v>
      </c>
      <c r="DL7" s="11">
        <f t="shared" si="16"/>
        <v>46136</v>
      </c>
      <c r="DM7" s="11">
        <f t="shared" si="16"/>
        <v>46137</v>
      </c>
      <c r="DN7" s="11">
        <f t="shared" si="16"/>
        <v>46138</v>
      </c>
      <c r="DO7" s="11">
        <f t="shared" si="16"/>
        <v>46139</v>
      </c>
      <c r="DP7" s="11">
        <f t="shared" si="16"/>
        <v>46140</v>
      </c>
      <c r="DQ7" s="11">
        <f t="shared" si="16"/>
        <v>46141</v>
      </c>
      <c r="DR7" s="11">
        <f t="shared" si="16"/>
        <v>46142</v>
      </c>
      <c r="DS7" s="11">
        <f t="shared" si="16"/>
        <v>46143</v>
      </c>
      <c r="DT7" s="11">
        <f t="shared" si="16"/>
        <v>46144</v>
      </c>
      <c r="DU7" s="11">
        <f t="shared" si="16"/>
        <v>46145</v>
      </c>
      <c r="DV7" s="11">
        <f t="shared" si="16"/>
        <v>46146</v>
      </c>
      <c r="DW7" s="11">
        <f t="shared" si="16"/>
        <v>46147</v>
      </c>
      <c r="DX7" s="11">
        <f t="shared" si="16"/>
        <v>46148</v>
      </c>
      <c r="DY7" s="11">
        <f t="shared" si="16"/>
        <v>46149</v>
      </c>
      <c r="DZ7" s="11">
        <f t="shared" si="16"/>
        <v>46150</v>
      </c>
      <c r="EA7" s="11">
        <f t="shared" si="16"/>
        <v>46151</v>
      </c>
      <c r="EB7" s="11">
        <f t="shared" si="16"/>
        <v>46152</v>
      </c>
      <c r="EC7" s="11">
        <f t="shared" ref="EC7:GN7" si="17">+EB7+1</f>
        <v>46153</v>
      </c>
      <c r="ED7" s="11">
        <f t="shared" si="17"/>
        <v>46154</v>
      </c>
      <c r="EE7" s="11">
        <f t="shared" si="17"/>
        <v>46155</v>
      </c>
      <c r="EF7" s="11">
        <f t="shared" si="17"/>
        <v>46156</v>
      </c>
      <c r="EG7" s="11">
        <f t="shared" si="17"/>
        <v>46157</v>
      </c>
      <c r="EH7" s="11">
        <f t="shared" si="17"/>
        <v>46158</v>
      </c>
      <c r="EI7" s="11">
        <f t="shared" si="17"/>
        <v>46159</v>
      </c>
      <c r="EJ7" s="11">
        <f t="shared" si="17"/>
        <v>46160</v>
      </c>
      <c r="EK7" s="11">
        <f t="shared" si="17"/>
        <v>46161</v>
      </c>
      <c r="EL7" s="11">
        <f t="shared" si="17"/>
        <v>46162</v>
      </c>
      <c r="EM7" s="11">
        <f t="shared" si="17"/>
        <v>46163</v>
      </c>
      <c r="EN7" s="11">
        <f t="shared" si="17"/>
        <v>46164</v>
      </c>
      <c r="EO7" s="11">
        <f t="shared" si="17"/>
        <v>46165</v>
      </c>
      <c r="EP7" s="11">
        <f t="shared" si="17"/>
        <v>46166</v>
      </c>
      <c r="EQ7" s="11">
        <f t="shared" si="17"/>
        <v>46167</v>
      </c>
      <c r="ER7" s="11">
        <f t="shared" si="17"/>
        <v>46168</v>
      </c>
      <c r="ES7" s="11">
        <f t="shared" si="17"/>
        <v>46169</v>
      </c>
      <c r="ET7" s="11">
        <f t="shared" si="17"/>
        <v>46170</v>
      </c>
      <c r="EU7" s="11">
        <f t="shared" si="17"/>
        <v>46171</v>
      </c>
      <c r="EV7" s="11">
        <f t="shared" si="17"/>
        <v>46172</v>
      </c>
      <c r="EW7" s="11">
        <f t="shared" si="17"/>
        <v>46173</v>
      </c>
      <c r="EX7" s="11">
        <f t="shared" si="17"/>
        <v>46174</v>
      </c>
      <c r="EY7" s="11">
        <f t="shared" si="17"/>
        <v>46175</v>
      </c>
      <c r="EZ7" s="11">
        <f t="shared" si="17"/>
        <v>46176</v>
      </c>
      <c r="FA7" s="11">
        <f t="shared" si="17"/>
        <v>46177</v>
      </c>
      <c r="FB7" s="11">
        <f t="shared" si="17"/>
        <v>46178</v>
      </c>
      <c r="FC7" s="11">
        <f t="shared" si="17"/>
        <v>46179</v>
      </c>
      <c r="FD7" s="11">
        <f t="shared" si="17"/>
        <v>46180</v>
      </c>
      <c r="FE7" s="11">
        <f t="shared" si="17"/>
        <v>46181</v>
      </c>
      <c r="FF7" s="11">
        <f t="shared" si="17"/>
        <v>46182</v>
      </c>
      <c r="FG7" s="11">
        <f t="shared" si="17"/>
        <v>46183</v>
      </c>
      <c r="FH7" s="11">
        <f t="shared" si="17"/>
        <v>46184</v>
      </c>
      <c r="FI7" s="11">
        <f t="shared" si="17"/>
        <v>46185</v>
      </c>
      <c r="FJ7" s="11">
        <f t="shared" si="17"/>
        <v>46186</v>
      </c>
      <c r="FK7" s="11">
        <f t="shared" si="17"/>
        <v>46187</v>
      </c>
      <c r="FL7" s="11">
        <f t="shared" si="17"/>
        <v>46188</v>
      </c>
      <c r="FM7" s="11">
        <f t="shared" si="17"/>
        <v>46189</v>
      </c>
      <c r="FN7" s="11">
        <f t="shared" si="17"/>
        <v>46190</v>
      </c>
      <c r="FO7" s="11">
        <f t="shared" si="17"/>
        <v>46191</v>
      </c>
      <c r="FP7" s="11">
        <f t="shared" si="17"/>
        <v>46192</v>
      </c>
      <c r="FQ7" s="11">
        <f t="shared" si="17"/>
        <v>46193</v>
      </c>
      <c r="FR7" s="11">
        <f t="shared" si="17"/>
        <v>46194</v>
      </c>
      <c r="FS7" s="11">
        <f t="shared" si="17"/>
        <v>46195</v>
      </c>
      <c r="FT7" s="11">
        <f t="shared" si="17"/>
        <v>46196</v>
      </c>
      <c r="FU7" s="11">
        <f t="shared" si="17"/>
        <v>46197</v>
      </c>
      <c r="FV7" s="11">
        <f t="shared" si="17"/>
        <v>46198</v>
      </c>
      <c r="FW7" s="11">
        <f t="shared" si="17"/>
        <v>46199</v>
      </c>
      <c r="FX7" s="11">
        <f t="shared" si="17"/>
        <v>46200</v>
      </c>
      <c r="FY7" s="11">
        <f t="shared" si="17"/>
        <v>46201</v>
      </c>
      <c r="FZ7" s="11">
        <f t="shared" si="17"/>
        <v>46202</v>
      </c>
      <c r="GA7" s="11">
        <f t="shared" si="17"/>
        <v>46203</v>
      </c>
      <c r="GB7" s="11">
        <f t="shared" si="17"/>
        <v>46204</v>
      </c>
      <c r="GC7" s="11">
        <f t="shared" si="17"/>
        <v>46205</v>
      </c>
      <c r="GD7" s="11">
        <f t="shared" si="17"/>
        <v>46206</v>
      </c>
      <c r="GE7" s="11">
        <f t="shared" si="17"/>
        <v>46207</v>
      </c>
      <c r="GF7" s="11">
        <f t="shared" si="17"/>
        <v>46208</v>
      </c>
      <c r="GG7" s="11">
        <f t="shared" si="17"/>
        <v>46209</v>
      </c>
      <c r="GH7" s="11">
        <f t="shared" si="17"/>
        <v>46210</v>
      </c>
      <c r="GI7" s="11">
        <f t="shared" si="17"/>
        <v>46211</v>
      </c>
      <c r="GJ7" s="11">
        <f t="shared" si="17"/>
        <v>46212</v>
      </c>
      <c r="GK7" s="11">
        <f t="shared" si="17"/>
        <v>46213</v>
      </c>
      <c r="GL7" s="11">
        <f t="shared" si="17"/>
        <v>46214</v>
      </c>
      <c r="GM7" s="11">
        <f t="shared" si="17"/>
        <v>46215</v>
      </c>
      <c r="GN7" s="11">
        <f t="shared" si="17"/>
        <v>46216</v>
      </c>
      <c r="GO7" s="11">
        <f t="shared" ref="GO7:IZ7" si="18">+GN7+1</f>
        <v>46217</v>
      </c>
      <c r="GP7" s="11">
        <f t="shared" si="18"/>
        <v>46218</v>
      </c>
      <c r="GQ7" s="11">
        <f t="shared" si="18"/>
        <v>46219</v>
      </c>
      <c r="GR7" s="11">
        <f t="shared" si="18"/>
        <v>46220</v>
      </c>
      <c r="GS7" s="11">
        <f t="shared" si="18"/>
        <v>46221</v>
      </c>
      <c r="GT7" s="11">
        <f t="shared" si="18"/>
        <v>46222</v>
      </c>
      <c r="GU7" s="11">
        <f t="shared" si="18"/>
        <v>46223</v>
      </c>
      <c r="GV7" s="11">
        <f t="shared" si="18"/>
        <v>46224</v>
      </c>
      <c r="GW7" s="11">
        <f t="shared" si="18"/>
        <v>46225</v>
      </c>
      <c r="GX7" s="11">
        <f t="shared" si="18"/>
        <v>46226</v>
      </c>
      <c r="GY7" s="11">
        <f t="shared" si="18"/>
        <v>46227</v>
      </c>
      <c r="GZ7" s="11">
        <f t="shared" si="18"/>
        <v>46228</v>
      </c>
      <c r="HA7" s="11">
        <f t="shared" si="18"/>
        <v>46229</v>
      </c>
      <c r="HB7" s="11">
        <f t="shared" si="18"/>
        <v>46230</v>
      </c>
      <c r="HC7" s="11">
        <f t="shared" si="18"/>
        <v>46231</v>
      </c>
      <c r="HD7" s="11">
        <f t="shared" si="18"/>
        <v>46232</v>
      </c>
      <c r="HE7" s="11">
        <f t="shared" si="18"/>
        <v>46233</v>
      </c>
      <c r="HF7" s="11">
        <f t="shared" si="18"/>
        <v>46234</v>
      </c>
      <c r="HG7" s="11">
        <f t="shared" si="18"/>
        <v>46235</v>
      </c>
      <c r="HH7" s="11">
        <f t="shared" si="18"/>
        <v>46236</v>
      </c>
      <c r="HI7" s="11">
        <f t="shared" si="18"/>
        <v>46237</v>
      </c>
      <c r="HJ7" s="11">
        <f t="shared" si="18"/>
        <v>46238</v>
      </c>
      <c r="HK7" s="11">
        <f t="shared" si="18"/>
        <v>46239</v>
      </c>
      <c r="HL7" s="11">
        <f t="shared" si="18"/>
        <v>46240</v>
      </c>
      <c r="HM7" s="11">
        <f t="shared" si="18"/>
        <v>46241</v>
      </c>
      <c r="HN7" s="11">
        <f t="shared" si="18"/>
        <v>46242</v>
      </c>
      <c r="HO7" s="11">
        <f t="shared" si="18"/>
        <v>46243</v>
      </c>
      <c r="HP7" s="11">
        <f t="shared" si="18"/>
        <v>46244</v>
      </c>
      <c r="HQ7" s="11">
        <f t="shared" si="18"/>
        <v>46245</v>
      </c>
      <c r="HR7" s="11">
        <f t="shared" si="18"/>
        <v>46246</v>
      </c>
      <c r="HS7" s="11">
        <f t="shared" si="18"/>
        <v>46247</v>
      </c>
      <c r="HT7" s="11">
        <f t="shared" si="18"/>
        <v>46248</v>
      </c>
      <c r="HU7" s="11">
        <f t="shared" si="18"/>
        <v>46249</v>
      </c>
      <c r="HV7" s="11">
        <f t="shared" si="18"/>
        <v>46250</v>
      </c>
      <c r="HW7" s="11">
        <f t="shared" si="18"/>
        <v>46251</v>
      </c>
      <c r="HX7" s="11">
        <f t="shared" si="18"/>
        <v>46252</v>
      </c>
      <c r="HY7" s="11">
        <f t="shared" si="18"/>
        <v>46253</v>
      </c>
      <c r="HZ7" s="11">
        <f t="shared" si="18"/>
        <v>46254</v>
      </c>
      <c r="IA7" s="11">
        <f t="shared" si="18"/>
        <v>46255</v>
      </c>
      <c r="IB7" s="11">
        <f t="shared" si="18"/>
        <v>46256</v>
      </c>
      <c r="IC7" s="11">
        <f t="shared" si="18"/>
        <v>46257</v>
      </c>
      <c r="ID7" s="11">
        <f t="shared" si="18"/>
        <v>46258</v>
      </c>
      <c r="IE7" s="11">
        <f t="shared" si="18"/>
        <v>46259</v>
      </c>
      <c r="IF7" s="11">
        <f t="shared" si="18"/>
        <v>46260</v>
      </c>
      <c r="IG7" s="11">
        <f t="shared" si="18"/>
        <v>46261</v>
      </c>
      <c r="IH7" s="11">
        <f t="shared" si="18"/>
        <v>46262</v>
      </c>
      <c r="II7" s="11">
        <f t="shared" si="18"/>
        <v>46263</v>
      </c>
      <c r="IJ7" s="11">
        <f t="shared" si="18"/>
        <v>46264</v>
      </c>
      <c r="IK7" s="11">
        <f t="shared" si="18"/>
        <v>46265</v>
      </c>
      <c r="IL7" s="11">
        <f t="shared" si="18"/>
        <v>46266</v>
      </c>
      <c r="IM7" s="11">
        <f t="shared" si="18"/>
        <v>46267</v>
      </c>
      <c r="IN7" s="11">
        <f t="shared" si="18"/>
        <v>46268</v>
      </c>
      <c r="IO7" s="11">
        <f t="shared" si="18"/>
        <v>46269</v>
      </c>
      <c r="IP7" s="11">
        <f t="shared" si="18"/>
        <v>46270</v>
      </c>
      <c r="IQ7" s="11">
        <f t="shared" si="18"/>
        <v>46271</v>
      </c>
      <c r="IR7" s="11">
        <f t="shared" si="18"/>
        <v>46272</v>
      </c>
      <c r="IS7" s="11">
        <f t="shared" si="18"/>
        <v>46273</v>
      </c>
      <c r="IT7" s="11">
        <f t="shared" si="18"/>
        <v>46274</v>
      </c>
      <c r="IU7" s="11">
        <f t="shared" si="18"/>
        <v>46275</v>
      </c>
      <c r="IV7" s="11">
        <f t="shared" si="18"/>
        <v>46276</v>
      </c>
      <c r="IW7" s="11">
        <f t="shared" si="18"/>
        <v>46277</v>
      </c>
      <c r="IX7" s="11">
        <f t="shared" si="18"/>
        <v>46278</v>
      </c>
      <c r="IY7" s="11">
        <f t="shared" si="18"/>
        <v>46279</v>
      </c>
      <c r="IZ7" s="11">
        <f t="shared" si="18"/>
        <v>46280</v>
      </c>
      <c r="JA7" s="11">
        <f t="shared" ref="JA7:LL7" si="19">+IZ7+1</f>
        <v>46281</v>
      </c>
      <c r="JB7" s="11">
        <f t="shared" si="19"/>
        <v>46282</v>
      </c>
      <c r="JC7" s="11">
        <f t="shared" si="19"/>
        <v>46283</v>
      </c>
      <c r="JD7" s="11">
        <f t="shared" si="19"/>
        <v>46284</v>
      </c>
      <c r="JE7" s="11">
        <f t="shared" si="19"/>
        <v>46285</v>
      </c>
      <c r="JF7" s="11">
        <f t="shared" si="19"/>
        <v>46286</v>
      </c>
      <c r="JG7" s="11">
        <f t="shared" si="19"/>
        <v>46287</v>
      </c>
      <c r="JH7" s="11">
        <f t="shared" si="19"/>
        <v>46288</v>
      </c>
      <c r="JI7" s="11">
        <f t="shared" si="19"/>
        <v>46289</v>
      </c>
      <c r="JJ7" s="11">
        <f t="shared" si="19"/>
        <v>46290</v>
      </c>
      <c r="JK7" s="11">
        <f t="shared" si="19"/>
        <v>46291</v>
      </c>
      <c r="JL7" s="11">
        <f t="shared" si="19"/>
        <v>46292</v>
      </c>
      <c r="JM7" s="11">
        <f t="shared" si="19"/>
        <v>46293</v>
      </c>
      <c r="JN7" s="11">
        <f t="shared" si="19"/>
        <v>46294</v>
      </c>
      <c r="JO7" s="11">
        <f t="shared" si="19"/>
        <v>46295</v>
      </c>
      <c r="JP7" s="11">
        <f t="shared" si="19"/>
        <v>46296</v>
      </c>
      <c r="JQ7" s="11">
        <f t="shared" si="19"/>
        <v>46297</v>
      </c>
      <c r="JR7" s="11">
        <f t="shared" si="19"/>
        <v>46298</v>
      </c>
      <c r="JS7" s="11">
        <f t="shared" si="19"/>
        <v>46299</v>
      </c>
      <c r="JT7" s="11">
        <f t="shared" si="19"/>
        <v>46300</v>
      </c>
      <c r="JU7" s="11">
        <f t="shared" si="19"/>
        <v>46301</v>
      </c>
      <c r="JV7" s="11">
        <f t="shared" si="19"/>
        <v>46302</v>
      </c>
      <c r="JW7" s="11">
        <f t="shared" si="19"/>
        <v>46303</v>
      </c>
      <c r="JX7" s="11">
        <f t="shared" si="19"/>
        <v>46304</v>
      </c>
      <c r="JY7" s="11">
        <f t="shared" si="19"/>
        <v>46305</v>
      </c>
      <c r="JZ7" s="11">
        <f t="shared" si="19"/>
        <v>46306</v>
      </c>
      <c r="KA7" s="11">
        <f t="shared" si="19"/>
        <v>46307</v>
      </c>
      <c r="KB7" s="11">
        <f t="shared" si="19"/>
        <v>46308</v>
      </c>
      <c r="KC7" s="11">
        <f t="shared" si="19"/>
        <v>46309</v>
      </c>
      <c r="KD7" s="11">
        <f t="shared" si="19"/>
        <v>46310</v>
      </c>
      <c r="KE7" s="11">
        <f t="shared" si="19"/>
        <v>46311</v>
      </c>
      <c r="KF7" s="11">
        <f t="shared" si="19"/>
        <v>46312</v>
      </c>
      <c r="KG7" s="11">
        <f t="shared" si="19"/>
        <v>46313</v>
      </c>
      <c r="KH7" s="11">
        <f t="shared" si="19"/>
        <v>46314</v>
      </c>
      <c r="KI7" s="11">
        <f t="shared" si="19"/>
        <v>46315</v>
      </c>
      <c r="KJ7" s="11">
        <f t="shared" si="19"/>
        <v>46316</v>
      </c>
      <c r="KK7" s="11">
        <f t="shared" si="19"/>
        <v>46317</v>
      </c>
      <c r="KL7" s="11">
        <f t="shared" si="19"/>
        <v>46318</v>
      </c>
      <c r="KM7" s="11">
        <f t="shared" si="19"/>
        <v>46319</v>
      </c>
      <c r="KN7" s="11">
        <f t="shared" si="19"/>
        <v>46320</v>
      </c>
      <c r="KO7" s="11">
        <f t="shared" si="19"/>
        <v>46321</v>
      </c>
      <c r="KP7" s="11">
        <f t="shared" si="19"/>
        <v>46322</v>
      </c>
      <c r="KQ7" s="11">
        <f t="shared" si="19"/>
        <v>46323</v>
      </c>
      <c r="KR7" s="11">
        <f t="shared" si="19"/>
        <v>46324</v>
      </c>
      <c r="KS7" s="11">
        <f t="shared" si="19"/>
        <v>46325</v>
      </c>
      <c r="KT7" s="11">
        <f t="shared" si="19"/>
        <v>46326</v>
      </c>
      <c r="KU7" s="11">
        <f t="shared" si="19"/>
        <v>46327</v>
      </c>
      <c r="KV7" s="11">
        <f t="shared" si="19"/>
        <v>46328</v>
      </c>
      <c r="KW7" s="11">
        <f t="shared" si="19"/>
        <v>46329</v>
      </c>
      <c r="KX7" s="11">
        <f t="shared" si="19"/>
        <v>46330</v>
      </c>
      <c r="KY7" s="11">
        <f t="shared" si="19"/>
        <v>46331</v>
      </c>
      <c r="KZ7" s="11">
        <f t="shared" si="19"/>
        <v>46332</v>
      </c>
      <c r="LA7" s="11">
        <f t="shared" si="19"/>
        <v>46333</v>
      </c>
      <c r="LB7" s="11">
        <f t="shared" si="19"/>
        <v>46334</v>
      </c>
      <c r="LC7" s="11">
        <f t="shared" si="19"/>
        <v>46335</v>
      </c>
      <c r="LD7" s="11">
        <f t="shared" si="19"/>
        <v>46336</v>
      </c>
      <c r="LE7" s="11">
        <f t="shared" si="19"/>
        <v>46337</v>
      </c>
      <c r="LF7" s="11">
        <f t="shared" si="19"/>
        <v>46338</v>
      </c>
      <c r="LG7" s="11">
        <f t="shared" si="19"/>
        <v>46339</v>
      </c>
      <c r="LH7" s="11">
        <f t="shared" si="19"/>
        <v>46340</v>
      </c>
      <c r="LI7" s="11">
        <f t="shared" si="19"/>
        <v>46341</v>
      </c>
      <c r="LJ7" s="11">
        <f t="shared" si="19"/>
        <v>46342</v>
      </c>
      <c r="LK7" s="11">
        <f t="shared" si="19"/>
        <v>46343</v>
      </c>
      <c r="LL7" s="11">
        <f t="shared" si="19"/>
        <v>46344</v>
      </c>
      <c r="LM7" s="11">
        <f t="shared" ref="LM7:NC7" si="20">+LL7+1</f>
        <v>46345</v>
      </c>
      <c r="LN7" s="11">
        <f t="shared" si="20"/>
        <v>46346</v>
      </c>
      <c r="LO7" s="11">
        <f t="shared" si="20"/>
        <v>46347</v>
      </c>
      <c r="LP7" s="11">
        <f t="shared" si="20"/>
        <v>46348</v>
      </c>
      <c r="LQ7" s="11">
        <f t="shared" si="20"/>
        <v>46349</v>
      </c>
      <c r="LR7" s="11">
        <f t="shared" si="20"/>
        <v>46350</v>
      </c>
      <c r="LS7" s="11">
        <f t="shared" si="20"/>
        <v>46351</v>
      </c>
      <c r="LT7" s="11">
        <f t="shared" si="20"/>
        <v>46352</v>
      </c>
      <c r="LU7" s="11">
        <f t="shared" si="20"/>
        <v>46353</v>
      </c>
      <c r="LV7" s="11">
        <f t="shared" si="20"/>
        <v>46354</v>
      </c>
      <c r="LW7" s="11">
        <f t="shared" si="20"/>
        <v>46355</v>
      </c>
      <c r="LX7" s="11">
        <f t="shared" si="20"/>
        <v>46356</v>
      </c>
      <c r="LY7" s="11">
        <f t="shared" si="20"/>
        <v>46357</v>
      </c>
      <c r="LZ7" s="11">
        <f t="shared" si="20"/>
        <v>46358</v>
      </c>
      <c r="MA7" s="11">
        <f t="shared" si="20"/>
        <v>46359</v>
      </c>
      <c r="MB7" s="11">
        <f t="shared" si="20"/>
        <v>46360</v>
      </c>
      <c r="MC7" s="11">
        <f t="shared" si="20"/>
        <v>46361</v>
      </c>
      <c r="MD7" s="11">
        <f t="shared" si="20"/>
        <v>46362</v>
      </c>
      <c r="ME7" s="11">
        <f t="shared" si="20"/>
        <v>46363</v>
      </c>
      <c r="MF7" s="11">
        <f t="shared" si="20"/>
        <v>46364</v>
      </c>
      <c r="MG7" s="11">
        <f t="shared" si="20"/>
        <v>46365</v>
      </c>
      <c r="MH7" s="11">
        <f t="shared" si="20"/>
        <v>46366</v>
      </c>
      <c r="MI7" s="11">
        <f t="shared" si="20"/>
        <v>46367</v>
      </c>
      <c r="MJ7" s="11">
        <f t="shared" si="20"/>
        <v>46368</v>
      </c>
      <c r="MK7" s="11">
        <f t="shared" si="20"/>
        <v>46369</v>
      </c>
      <c r="ML7" s="11">
        <f t="shared" si="20"/>
        <v>46370</v>
      </c>
      <c r="MM7" s="11">
        <f t="shared" si="20"/>
        <v>46371</v>
      </c>
      <c r="MN7" s="11">
        <f t="shared" si="20"/>
        <v>46372</v>
      </c>
      <c r="MO7" s="11">
        <f t="shared" si="20"/>
        <v>46373</v>
      </c>
      <c r="MP7" s="11">
        <f t="shared" si="20"/>
        <v>46374</v>
      </c>
      <c r="MQ7" s="11">
        <f t="shared" si="20"/>
        <v>46375</v>
      </c>
      <c r="MR7" s="11">
        <f t="shared" si="20"/>
        <v>46376</v>
      </c>
      <c r="MS7" s="11">
        <f t="shared" si="20"/>
        <v>46377</v>
      </c>
      <c r="MT7" s="11">
        <f t="shared" si="20"/>
        <v>46378</v>
      </c>
      <c r="MU7" s="11">
        <f t="shared" si="20"/>
        <v>46379</v>
      </c>
      <c r="MV7" s="11">
        <f t="shared" si="20"/>
        <v>46380</v>
      </c>
      <c r="MW7" s="11">
        <f t="shared" si="20"/>
        <v>46381</v>
      </c>
      <c r="MX7" s="11">
        <f t="shared" si="20"/>
        <v>46382</v>
      </c>
      <c r="MY7" s="11">
        <f t="shared" si="20"/>
        <v>46383</v>
      </c>
      <c r="MZ7" s="11">
        <f t="shared" si="20"/>
        <v>46384</v>
      </c>
      <c r="NA7" s="11">
        <f t="shared" si="20"/>
        <v>46385</v>
      </c>
      <c r="NB7" s="11">
        <f t="shared" si="20"/>
        <v>46386</v>
      </c>
      <c r="NC7" s="11">
        <f t="shared" si="20"/>
        <v>46387</v>
      </c>
    </row>
    <row r="8" spans="1:367">
      <c r="A8" s="12"/>
      <c r="B8" s="12" t="s">
        <v>10</v>
      </c>
      <c r="C8" s="8" t="s">
        <v>54</v>
      </c>
      <c r="D8" s="8" t="s">
        <v>54</v>
      </c>
      <c r="E8" s="8" t="s">
        <v>54</v>
      </c>
      <c r="F8" s="8" t="s">
        <v>54</v>
      </c>
      <c r="G8" s="8" t="s">
        <v>425</v>
      </c>
      <c r="H8" s="8" t="s">
        <v>425</v>
      </c>
      <c r="I8" s="8" t="s">
        <v>425</v>
      </c>
      <c r="J8" s="8" t="s">
        <v>425</v>
      </c>
      <c r="K8" s="8" t="s">
        <v>425</v>
      </c>
      <c r="L8" s="8" t="s">
        <v>425</v>
      </c>
      <c r="M8" s="8" t="s">
        <v>425</v>
      </c>
      <c r="N8" s="8" t="s">
        <v>2</v>
      </c>
      <c r="O8" s="8" t="s">
        <v>2</v>
      </c>
      <c r="P8" s="8" t="s">
        <v>2</v>
      </c>
      <c r="Q8" s="8" t="s">
        <v>2</v>
      </c>
      <c r="R8" s="8" t="s">
        <v>2</v>
      </c>
      <c r="S8" s="8" t="s">
        <v>2</v>
      </c>
      <c r="T8" s="8" t="s">
        <v>2</v>
      </c>
      <c r="U8" s="8" t="s">
        <v>3</v>
      </c>
      <c r="V8" s="8" t="s">
        <v>3</v>
      </c>
      <c r="W8" s="8" t="s">
        <v>3</v>
      </c>
      <c r="X8" s="8" t="s">
        <v>3</v>
      </c>
      <c r="Y8" s="8" t="s">
        <v>3</v>
      </c>
      <c r="Z8" s="8" t="s">
        <v>3</v>
      </c>
      <c r="AA8" s="8" t="s">
        <v>3</v>
      </c>
      <c r="AB8" s="8" t="s">
        <v>4</v>
      </c>
      <c r="AC8" s="8" t="s">
        <v>4</v>
      </c>
      <c r="AD8" s="8" t="s">
        <v>4</v>
      </c>
      <c r="AE8" s="8" t="s">
        <v>4</v>
      </c>
      <c r="AF8" s="8" t="s">
        <v>4</v>
      </c>
      <c r="AG8" s="8" t="s">
        <v>4</v>
      </c>
      <c r="AH8" s="8" t="s">
        <v>4</v>
      </c>
      <c r="AI8" s="8" t="s">
        <v>5</v>
      </c>
      <c r="AJ8" s="8" t="s">
        <v>5</v>
      </c>
      <c r="AK8" s="8" t="s">
        <v>5</v>
      </c>
      <c r="AL8" s="8" t="s">
        <v>5</v>
      </c>
      <c r="AM8" s="8" t="s">
        <v>5</v>
      </c>
      <c r="AN8" s="8" t="s">
        <v>5</v>
      </c>
      <c r="AO8" s="8" t="s">
        <v>5</v>
      </c>
      <c r="AP8" s="8" t="s">
        <v>6</v>
      </c>
      <c r="AQ8" s="8" t="s">
        <v>6</v>
      </c>
      <c r="AR8" s="8" t="s">
        <v>6</v>
      </c>
      <c r="AS8" s="8" t="s">
        <v>6</v>
      </c>
      <c r="AT8" s="8" t="s">
        <v>6</v>
      </c>
      <c r="AU8" s="8" t="s">
        <v>6</v>
      </c>
      <c r="AV8" s="8" t="s">
        <v>6</v>
      </c>
      <c r="AW8" s="8" t="s">
        <v>7</v>
      </c>
      <c r="AX8" s="8" t="s">
        <v>7</v>
      </c>
      <c r="AY8" s="8" t="s">
        <v>7</v>
      </c>
      <c r="AZ8" s="8" t="s">
        <v>7</v>
      </c>
      <c r="BA8" s="8" t="s">
        <v>7</v>
      </c>
      <c r="BB8" s="8" t="s">
        <v>7</v>
      </c>
      <c r="BC8" s="8" t="s">
        <v>7</v>
      </c>
      <c r="BD8" s="8" t="s">
        <v>8</v>
      </c>
      <c r="BE8" s="8" t="s">
        <v>8</v>
      </c>
      <c r="BF8" s="8" t="s">
        <v>8</v>
      </c>
      <c r="BG8" s="8" t="s">
        <v>8</v>
      </c>
      <c r="BH8" s="8" t="s">
        <v>8</v>
      </c>
      <c r="BI8" s="8" t="s">
        <v>8</v>
      </c>
      <c r="BJ8" s="8" t="s">
        <v>8</v>
      </c>
      <c r="BK8" s="8" t="s">
        <v>11</v>
      </c>
      <c r="BL8" s="8" t="s">
        <v>11</v>
      </c>
      <c r="BM8" s="8" t="s">
        <v>11</v>
      </c>
      <c r="BN8" s="8" t="s">
        <v>11</v>
      </c>
      <c r="BO8" s="8" t="s">
        <v>11</v>
      </c>
      <c r="BP8" s="8" t="s">
        <v>11</v>
      </c>
      <c r="BQ8" s="8" t="s">
        <v>11</v>
      </c>
      <c r="BR8" s="8" t="s">
        <v>12</v>
      </c>
      <c r="BS8" s="8" t="s">
        <v>12</v>
      </c>
      <c r="BT8" s="8" t="s">
        <v>12</v>
      </c>
      <c r="BU8" s="8" t="s">
        <v>12</v>
      </c>
      <c r="BV8" s="8" t="s">
        <v>12</v>
      </c>
      <c r="BW8" s="8" t="s">
        <v>12</v>
      </c>
      <c r="BX8" s="8" t="s">
        <v>12</v>
      </c>
      <c r="BY8" s="8" t="s">
        <v>13</v>
      </c>
      <c r="BZ8" s="8" t="s">
        <v>13</v>
      </c>
      <c r="CA8" s="8" t="s">
        <v>13</v>
      </c>
      <c r="CB8" s="8" t="s">
        <v>13</v>
      </c>
      <c r="CC8" s="8" t="s">
        <v>13</v>
      </c>
      <c r="CD8" s="8" t="s">
        <v>13</v>
      </c>
      <c r="CE8" s="8" t="s">
        <v>13</v>
      </c>
      <c r="CF8" s="8" t="s">
        <v>14</v>
      </c>
      <c r="CG8" s="8" t="s">
        <v>14</v>
      </c>
      <c r="CH8" s="8" t="s">
        <v>14</v>
      </c>
      <c r="CI8" s="8" t="s">
        <v>14</v>
      </c>
      <c r="CJ8" s="8" t="s">
        <v>14</v>
      </c>
      <c r="CK8" s="8" t="s">
        <v>14</v>
      </c>
      <c r="CL8" s="8" t="s">
        <v>14</v>
      </c>
      <c r="CM8" s="8" t="s">
        <v>15</v>
      </c>
      <c r="CN8" s="8" t="s">
        <v>15</v>
      </c>
      <c r="CO8" s="8" t="s">
        <v>15</v>
      </c>
      <c r="CP8" s="8" t="s">
        <v>15</v>
      </c>
      <c r="CQ8" s="8" t="s">
        <v>15</v>
      </c>
      <c r="CR8" s="8" t="s">
        <v>15</v>
      </c>
      <c r="CS8" s="8" t="s">
        <v>15</v>
      </c>
      <c r="CT8" s="8" t="s">
        <v>16</v>
      </c>
      <c r="CU8" s="8" t="s">
        <v>16</v>
      </c>
      <c r="CV8" s="8" t="s">
        <v>16</v>
      </c>
      <c r="CW8" s="8" t="s">
        <v>16</v>
      </c>
      <c r="CX8" s="8" t="s">
        <v>16</v>
      </c>
      <c r="CY8" s="8" t="s">
        <v>16</v>
      </c>
      <c r="CZ8" s="8" t="s">
        <v>16</v>
      </c>
      <c r="DA8" s="8" t="s">
        <v>17</v>
      </c>
      <c r="DB8" s="8" t="s">
        <v>17</v>
      </c>
      <c r="DC8" s="8" t="s">
        <v>17</v>
      </c>
      <c r="DD8" s="8" t="s">
        <v>17</v>
      </c>
      <c r="DE8" s="8" t="s">
        <v>17</v>
      </c>
      <c r="DF8" s="8" t="s">
        <v>17</v>
      </c>
      <c r="DG8" s="8" t="s">
        <v>17</v>
      </c>
      <c r="DH8" s="8" t="s">
        <v>18</v>
      </c>
      <c r="DI8" s="8" t="s">
        <v>18</v>
      </c>
      <c r="DJ8" s="8" t="s">
        <v>18</v>
      </c>
      <c r="DK8" s="8" t="s">
        <v>18</v>
      </c>
      <c r="DL8" s="8" t="s">
        <v>18</v>
      </c>
      <c r="DM8" s="8" t="s">
        <v>18</v>
      </c>
      <c r="DN8" s="8" t="s">
        <v>18</v>
      </c>
      <c r="DO8" s="8" t="s">
        <v>19</v>
      </c>
      <c r="DP8" s="8" t="s">
        <v>19</v>
      </c>
      <c r="DQ8" s="8" t="s">
        <v>19</v>
      </c>
      <c r="DR8" s="8" t="s">
        <v>19</v>
      </c>
      <c r="DS8" s="8" t="s">
        <v>19</v>
      </c>
      <c r="DT8" s="8" t="s">
        <v>19</v>
      </c>
      <c r="DU8" s="8" t="s">
        <v>19</v>
      </c>
      <c r="DV8" s="8" t="s">
        <v>20</v>
      </c>
      <c r="DW8" s="8" t="s">
        <v>20</v>
      </c>
      <c r="DX8" s="8" t="s">
        <v>20</v>
      </c>
      <c r="DY8" s="8" t="s">
        <v>20</v>
      </c>
      <c r="DZ8" s="8" t="s">
        <v>20</v>
      </c>
      <c r="EA8" s="8" t="s">
        <v>20</v>
      </c>
      <c r="EB8" s="8" t="s">
        <v>20</v>
      </c>
      <c r="EC8" s="8" t="s">
        <v>21</v>
      </c>
      <c r="ED8" s="8" t="s">
        <v>21</v>
      </c>
      <c r="EE8" s="8" t="s">
        <v>21</v>
      </c>
      <c r="EF8" s="8" t="s">
        <v>21</v>
      </c>
      <c r="EG8" s="8" t="s">
        <v>21</v>
      </c>
      <c r="EH8" s="8" t="s">
        <v>21</v>
      </c>
      <c r="EI8" s="8" t="s">
        <v>21</v>
      </c>
      <c r="EJ8" s="8" t="s">
        <v>22</v>
      </c>
      <c r="EK8" s="8" t="s">
        <v>22</v>
      </c>
      <c r="EL8" s="8" t="s">
        <v>22</v>
      </c>
      <c r="EM8" s="8" t="s">
        <v>22</v>
      </c>
      <c r="EN8" s="8" t="s">
        <v>22</v>
      </c>
      <c r="EO8" s="8" t="s">
        <v>22</v>
      </c>
      <c r="EP8" s="8" t="s">
        <v>22</v>
      </c>
      <c r="EQ8" s="8" t="s">
        <v>23</v>
      </c>
      <c r="ER8" s="8" t="s">
        <v>23</v>
      </c>
      <c r="ES8" s="8" t="s">
        <v>23</v>
      </c>
      <c r="ET8" s="8" t="s">
        <v>23</v>
      </c>
      <c r="EU8" s="8" t="s">
        <v>23</v>
      </c>
      <c r="EV8" s="8" t="s">
        <v>23</v>
      </c>
      <c r="EW8" s="8" t="s">
        <v>23</v>
      </c>
      <c r="EX8" s="8" t="s">
        <v>24</v>
      </c>
      <c r="EY8" s="8" t="s">
        <v>24</v>
      </c>
      <c r="EZ8" s="8" t="s">
        <v>24</v>
      </c>
      <c r="FA8" s="8" t="s">
        <v>24</v>
      </c>
      <c r="FB8" s="8" t="s">
        <v>24</v>
      </c>
      <c r="FC8" s="8" t="s">
        <v>24</v>
      </c>
      <c r="FD8" s="8" t="s">
        <v>24</v>
      </c>
      <c r="FE8" s="8" t="s">
        <v>25</v>
      </c>
      <c r="FF8" s="8" t="s">
        <v>25</v>
      </c>
      <c r="FG8" s="8" t="s">
        <v>25</v>
      </c>
      <c r="FH8" s="8" t="s">
        <v>25</v>
      </c>
      <c r="FI8" s="8" t="s">
        <v>25</v>
      </c>
      <c r="FJ8" s="8" t="s">
        <v>25</v>
      </c>
      <c r="FK8" s="8" t="s">
        <v>25</v>
      </c>
      <c r="FL8" s="8" t="s">
        <v>26</v>
      </c>
      <c r="FM8" s="8" t="s">
        <v>26</v>
      </c>
      <c r="FN8" s="8" t="s">
        <v>26</v>
      </c>
      <c r="FO8" s="8" t="s">
        <v>26</v>
      </c>
      <c r="FP8" s="8" t="s">
        <v>26</v>
      </c>
      <c r="FQ8" s="8" t="s">
        <v>26</v>
      </c>
      <c r="FR8" s="8" t="s">
        <v>26</v>
      </c>
      <c r="FS8" s="8" t="s">
        <v>27</v>
      </c>
      <c r="FT8" s="8" t="s">
        <v>27</v>
      </c>
      <c r="FU8" s="8" t="s">
        <v>27</v>
      </c>
      <c r="FV8" s="8" t="s">
        <v>27</v>
      </c>
      <c r="FW8" s="8" t="s">
        <v>27</v>
      </c>
      <c r="FX8" s="8" t="s">
        <v>27</v>
      </c>
      <c r="FY8" s="8" t="s">
        <v>27</v>
      </c>
      <c r="FZ8" s="8" t="s">
        <v>28</v>
      </c>
      <c r="GA8" s="8" t="s">
        <v>28</v>
      </c>
      <c r="GB8" s="8" t="s">
        <v>28</v>
      </c>
      <c r="GC8" s="8" t="s">
        <v>28</v>
      </c>
      <c r="GD8" s="8" t="s">
        <v>28</v>
      </c>
      <c r="GE8" s="8" t="s">
        <v>28</v>
      </c>
      <c r="GF8" s="8" t="s">
        <v>28</v>
      </c>
      <c r="GG8" s="8" t="s">
        <v>29</v>
      </c>
      <c r="GH8" s="8" t="s">
        <v>29</v>
      </c>
      <c r="GI8" s="8" t="s">
        <v>29</v>
      </c>
      <c r="GJ8" s="8" t="s">
        <v>29</v>
      </c>
      <c r="GK8" s="8" t="s">
        <v>29</v>
      </c>
      <c r="GL8" s="8" t="s">
        <v>29</v>
      </c>
      <c r="GM8" s="8" t="s">
        <v>29</v>
      </c>
      <c r="GN8" s="8" t="s">
        <v>30</v>
      </c>
      <c r="GO8" s="8" t="s">
        <v>30</v>
      </c>
      <c r="GP8" s="8" t="s">
        <v>30</v>
      </c>
      <c r="GQ8" s="8" t="s">
        <v>30</v>
      </c>
      <c r="GR8" s="8" t="s">
        <v>30</v>
      </c>
      <c r="GS8" s="8" t="s">
        <v>30</v>
      </c>
      <c r="GT8" s="8" t="s">
        <v>30</v>
      </c>
      <c r="GU8" s="8" t="s">
        <v>31</v>
      </c>
      <c r="GV8" s="8" t="s">
        <v>31</v>
      </c>
      <c r="GW8" s="8" t="s">
        <v>31</v>
      </c>
      <c r="GX8" s="8" t="s">
        <v>31</v>
      </c>
      <c r="GY8" s="8" t="s">
        <v>31</v>
      </c>
      <c r="GZ8" s="8" t="s">
        <v>31</v>
      </c>
      <c r="HA8" s="8" t="s">
        <v>31</v>
      </c>
      <c r="HB8" s="8" t="s">
        <v>32</v>
      </c>
      <c r="HC8" s="8" t="s">
        <v>32</v>
      </c>
      <c r="HD8" s="8" t="s">
        <v>32</v>
      </c>
      <c r="HE8" s="8" t="s">
        <v>32</v>
      </c>
      <c r="HF8" s="8" t="s">
        <v>32</v>
      </c>
      <c r="HG8" s="8" t="s">
        <v>32</v>
      </c>
      <c r="HH8" s="8" t="s">
        <v>32</v>
      </c>
      <c r="HI8" s="8" t="s">
        <v>33</v>
      </c>
      <c r="HJ8" s="8" t="s">
        <v>33</v>
      </c>
      <c r="HK8" s="8" t="s">
        <v>33</v>
      </c>
      <c r="HL8" s="8" t="s">
        <v>33</v>
      </c>
      <c r="HM8" s="8" t="s">
        <v>33</v>
      </c>
      <c r="HN8" s="8" t="s">
        <v>33</v>
      </c>
      <c r="HO8" s="8" t="s">
        <v>33</v>
      </c>
      <c r="HP8" s="8" t="s">
        <v>34</v>
      </c>
      <c r="HQ8" s="8" t="s">
        <v>34</v>
      </c>
      <c r="HR8" s="8" t="s">
        <v>34</v>
      </c>
      <c r="HS8" s="8" t="s">
        <v>34</v>
      </c>
      <c r="HT8" s="8" t="s">
        <v>34</v>
      </c>
      <c r="HU8" s="8" t="s">
        <v>34</v>
      </c>
      <c r="HV8" s="8" t="s">
        <v>34</v>
      </c>
      <c r="HW8" s="8" t="s">
        <v>35</v>
      </c>
      <c r="HX8" s="8" t="s">
        <v>35</v>
      </c>
      <c r="HY8" s="8" t="s">
        <v>35</v>
      </c>
      <c r="HZ8" s="8" t="s">
        <v>35</v>
      </c>
      <c r="IA8" s="8" t="s">
        <v>35</v>
      </c>
      <c r="IB8" s="8" t="s">
        <v>35</v>
      </c>
      <c r="IC8" s="8" t="s">
        <v>35</v>
      </c>
      <c r="ID8" s="8" t="s">
        <v>36</v>
      </c>
      <c r="IE8" s="8" t="s">
        <v>36</v>
      </c>
      <c r="IF8" s="8" t="s">
        <v>36</v>
      </c>
      <c r="IG8" s="8" t="s">
        <v>36</v>
      </c>
      <c r="IH8" s="8" t="s">
        <v>36</v>
      </c>
      <c r="II8" s="8" t="s">
        <v>36</v>
      </c>
      <c r="IJ8" s="8" t="s">
        <v>36</v>
      </c>
      <c r="IK8" s="8" t="s">
        <v>37</v>
      </c>
      <c r="IL8" s="8" t="s">
        <v>37</v>
      </c>
      <c r="IM8" s="8" t="s">
        <v>37</v>
      </c>
      <c r="IN8" s="8" t="s">
        <v>37</v>
      </c>
      <c r="IO8" s="8" t="s">
        <v>37</v>
      </c>
      <c r="IP8" s="8" t="s">
        <v>37</v>
      </c>
      <c r="IQ8" s="8" t="s">
        <v>37</v>
      </c>
      <c r="IR8" s="8" t="s">
        <v>38</v>
      </c>
      <c r="IS8" s="8" t="s">
        <v>38</v>
      </c>
      <c r="IT8" s="8" t="s">
        <v>38</v>
      </c>
      <c r="IU8" s="8" t="s">
        <v>38</v>
      </c>
      <c r="IV8" s="8" t="s">
        <v>38</v>
      </c>
      <c r="IW8" s="8" t="s">
        <v>38</v>
      </c>
      <c r="IX8" s="8" t="s">
        <v>38</v>
      </c>
      <c r="IY8" s="8" t="s">
        <v>39</v>
      </c>
      <c r="IZ8" s="8" t="s">
        <v>39</v>
      </c>
      <c r="JA8" s="8" t="s">
        <v>39</v>
      </c>
      <c r="JB8" s="8" t="s">
        <v>39</v>
      </c>
      <c r="JC8" s="8" t="s">
        <v>39</v>
      </c>
      <c r="JD8" s="8" t="s">
        <v>39</v>
      </c>
      <c r="JE8" s="8" t="s">
        <v>39</v>
      </c>
      <c r="JF8" s="8" t="s">
        <v>40</v>
      </c>
      <c r="JG8" s="8" t="s">
        <v>40</v>
      </c>
      <c r="JH8" s="8" t="s">
        <v>40</v>
      </c>
      <c r="JI8" s="8" t="s">
        <v>40</v>
      </c>
      <c r="JJ8" s="8" t="s">
        <v>40</v>
      </c>
      <c r="JK8" s="8" t="s">
        <v>40</v>
      </c>
      <c r="JL8" s="8" t="s">
        <v>40</v>
      </c>
      <c r="JM8" s="8" t="s">
        <v>41</v>
      </c>
      <c r="JN8" s="8" t="s">
        <v>41</v>
      </c>
      <c r="JO8" s="8" t="s">
        <v>41</v>
      </c>
      <c r="JP8" s="8" t="s">
        <v>41</v>
      </c>
      <c r="JQ8" s="8" t="s">
        <v>41</v>
      </c>
      <c r="JR8" s="8" t="s">
        <v>41</v>
      </c>
      <c r="JS8" s="8" t="s">
        <v>41</v>
      </c>
      <c r="JT8" s="8" t="s">
        <v>42</v>
      </c>
      <c r="JU8" s="8" t="s">
        <v>42</v>
      </c>
      <c r="JV8" s="8" t="s">
        <v>42</v>
      </c>
      <c r="JW8" s="8" t="s">
        <v>42</v>
      </c>
      <c r="JX8" s="8" t="s">
        <v>42</v>
      </c>
      <c r="JY8" s="8" t="s">
        <v>42</v>
      </c>
      <c r="JZ8" s="8" t="s">
        <v>42</v>
      </c>
      <c r="KB8" s="20"/>
      <c r="KI8" s="20"/>
      <c r="KU8" s="36"/>
      <c r="LE8" s="20"/>
      <c r="LF8" s="20"/>
      <c r="LK8" s="20"/>
      <c r="LR8" s="20"/>
      <c r="LY8" s="20"/>
      <c r="LZ8" s="1"/>
      <c r="MA8" s="1"/>
      <c r="MB8" s="1"/>
      <c r="MC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34"/>
      <c r="MQ8" s="1"/>
      <c r="MR8" s="1"/>
      <c r="MS8" s="1"/>
      <c r="MT8" s="20"/>
    </row>
    <row r="9" spans="1:367">
      <c r="A9" s="13">
        <f>+SUM(C9:NC9)</f>
        <v>44956.416666666664</v>
      </c>
      <c r="B9" s="14" t="s">
        <v>427</v>
      </c>
      <c r="C9" s="7"/>
      <c r="D9" s="2">
        <v>240</v>
      </c>
      <c r="E9" s="2">
        <v>202.5</v>
      </c>
      <c r="F9" s="7"/>
      <c r="G9" s="7">
        <v>315</v>
      </c>
      <c r="H9" s="7">
        <v>202.5</v>
      </c>
      <c r="I9" s="7">
        <v>224.5</v>
      </c>
      <c r="J9" s="7">
        <v>217.5</v>
      </c>
      <c r="K9" s="7">
        <v>217.08333333333331</v>
      </c>
      <c r="L9" s="7">
        <v>157.5</v>
      </c>
      <c r="M9" s="7"/>
      <c r="N9" s="3">
        <v>255</v>
      </c>
      <c r="O9" s="3">
        <v>297</v>
      </c>
      <c r="P9" s="3">
        <v>238.5</v>
      </c>
      <c r="Q9" s="3">
        <v>270</v>
      </c>
      <c r="R9" s="3">
        <v>312</v>
      </c>
      <c r="S9" s="3">
        <v>345</v>
      </c>
      <c r="U9" s="7">
        <v>262.5</v>
      </c>
      <c r="V9" s="7">
        <v>390</v>
      </c>
      <c r="W9" s="7">
        <v>277.5</v>
      </c>
      <c r="X9" s="7">
        <v>308.5</v>
      </c>
      <c r="Y9" s="7">
        <v>172.5</v>
      </c>
      <c r="Z9" s="7">
        <v>142.5</v>
      </c>
      <c r="AB9" s="3">
        <v>172.5</v>
      </c>
      <c r="AC9" s="3">
        <v>165</v>
      </c>
      <c r="AD9" s="3">
        <v>165</v>
      </c>
      <c r="AE9" s="3">
        <v>147</v>
      </c>
      <c r="AF9" s="3">
        <v>165</v>
      </c>
      <c r="AG9" s="3">
        <v>202.5</v>
      </c>
      <c r="AI9" s="3">
        <v>300.16666666666663</v>
      </c>
      <c r="AJ9" s="3">
        <v>300</v>
      </c>
      <c r="AK9" s="3">
        <v>285</v>
      </c>
      <c r="AL9" s="3">
        <v>307.5</v>
      </c>
      <c r="AM9" s="3">
        <v>307</v>
      </c>
      <c r="AN9" s="3">
        <v>292.5</v>
      </c>
      <c r="AP9" s="2">
        <v>300</v>
      </c>
      <c r="AQ9" s="2">
        <v>307.5</v>
      </c>
      <c r="AR9" s="2">
        <v>315</v>
      </c>
      <c r="AS9" s="2">
        <v>315</v>
      </c>
      <c r="AT9" s="2">
        <v>330</v>
      </c>
      <c r="AU9" s="2">
        <v>307.5</v>
      </c>
      <c r="AV9" s="2"/>
      <c r="AW9" s="3">
        <v>181.66666666666663</v>
      </c>
      <c r="AX9" s="3">
        <v>210</v>
      </c>
      <c r="AY9" s="3">
        <v>300</v>
      </c>
      <c r="AZ9" s="3">
        <v>291.41666666666663</v>
      </c>
      <c r="BA9" s="3">
        <v>292.25</v>
      </c>
      <c r="BB9" s="3">
        <v>299.75</v>
      </c>
      <c r="BC9" s="3"/>
      <c r="BD9" s="2">
        <v>292.16666666666669</v>
      </c>
      <c r="BE9" s="2">
        <v>187.16666666666669</v>
      </c>
      <c r="BF9" s="2">
        <v>192.49999999999994</v>
      </c>
      <c r="BG9" s="7">
        <v>157</v>
      </c>
      <c r="BH9" s="7">
        <v>135</v>
      </c>
      <c r="BI9" s="7">
        <v>37.5</v>
      </c>
      <c r="BK9" s="3">
        <v>255</v>
      </c>
      <c r="BL9" s="3">
        <v>274.5</v>
      </c>
      <c r="BM9" s="3">
        <v>262.5</v>
      </c>
      <c r="BN9" s="3">
        <v>270</v>
      </c>
      <c r="BO9" s="3">
        <v>207.83333333333331</v>
      </c>
      <c r="BP9" s="3">
        <v>90</v>
      </c>
      <c r="BQ9" s="3"/>
      <c r="BR9" s="2">
        <v>172</v>
      </c>
      <c r="BS9" s="2">
        <v>217.5</v>
      </c>
      <c r="BT9" s="2">
        <v>202.5</v>
      </c>
      <c r="BU9" s="2">
        <v>97.5</v>
      </c>
      <c r="BV9" s="2">
        <v>75</v>
      </c>
      <c r="BW9" s="2">
        <v>66.916666666666629</v>
      </c>
      <c r="BX9" s="2">
        <v>277</v>
      </c>
      <c r="BY9" s="3">
        <v>277.75</v>
      </c>
      <c r="BZ9" s="3">
        <v>285</v>
      </c>
      <c r="CA9" s="3">
        <v>292.25</v>
      </c>
      <c r="CB9" s="3">
        <v>105</v>
      </c>
      <c r="CC9" s="3"/>
      <c r="CD9" s="3"/>
      <c r="CE9" s="3"/>
      <c r="CF9" s="3">
        <v>262.16666666666663</v>
      </c>
      <c r="CG9" s="3">
        <v>269.16666666666669</v>
      </c>
      <c r="CH9" s="3">
        <v>270</v>
      </c>
      <c r="CI9" s="3">
        <v>268.66666666666663</v>
      </c>
      <c r="CJ9" s="3">
        <v>290.08333333333337</v>
      </c>
      <c r="CK9" s="3">
        <v>276.83333333333331</v>
      </c>
      <c r="CM9" s="3">
        <v>277.5</v>
      </c>
      <c r="CN9" s="3">
        <v>269.33333333333337</v>
      </c>
      <c r="CO9" s="3">
        <v>278.33333333333337</v>
      </c>
      <c r="CP9" s="3">
        <v>199.5</v>
      </c>
      <c r="CQ9" s="3">
        <v>243</v>
      </c>
      <c r="CR9" s="3">
        <v>244.16666666666666</v>
      </c>
      <c r="CS9" s="3"/>
      <c r="CT9" s="3">
        <v>208.66666666666663</v>
      </c>
      <c r="CU9" s="3">
        <v>180</v>
      </c>
      <c r="CV9" s="3">
        <v>161.41666666666669</v>
      </c>
      <c r="CW9" s="3">
        <v>127.5</v>
      </c>
      <c r="CX9" s="3">
        <v>133.33333333333331</v>
      </c>
      <c r="CY9" s="3">
        <v>147.08333333333337</v>
      </c>
      <c r="CZ9" s="3"/>
      <c r="DA9" s="7">
        <v>232.5</v>
      </c>
      <c r="DB9" s="7">
        <v>141.58333333333331</v>
      </c>
      <c r="DC9" s="7">
        <v>135</v>
      </c>
      <c r="DD9" s="7">
        <v>157.5</v>
      </c>
      <c r="DE9" s="7">
        <v>148.41666666666663</v>
      </c>
      <c r="DF9" s="7">
        <v>127.5</v>
      </c>
      <c r="DG9" s="7">
        <v>103.25</v>
      </c>
      <c r="DH9" s="7">
        <v>412.5</v>
      </c>
      <c r="DI9" s="7">
        <v>119.33333333333337</v>
      </c>
      <c r="DJ9" s="7">
        <v>36.416666666666629</v>
      </c>
      <c r="DK9" s="7">
        <v>82.25</v>
      </c>
      <c r="DL9" s="7">
        <v>294.08333333333331</v>
      </c>
      <c r="DM9" s="7">
        <v>20.25</v>
      </c>
      <c r="DN9" s="7"/>
      <c r="DO9" s="7">
        <v>74.416666666666629</v>
      </c>
      <c r="DP9" s="7">
        <v>30</v>
      </c>
      <c r="DQ9" s="7">
        <v>52.5</v>
      </c>
      <c r="DR9" s="7">
        <v>37.5</v>
      </c>
      <c r="DS9" s="7"/>
      <c r="DT9" s="7">
        <v>82.5</v>
      </c>
      <c r="DU9" s="7">
        <v>97.5</v>
      </c>
      <c r="DV9" s="2">
        <v>36.25</v>
      </c>
      <c r="DW9" s="2">
        <v>51.5</v>
      </c>
      <c r="DX9" s="2">
        <v>53.583333333333314</v>
      </c>
      <c r="DY9" s="2">
        <v>50.083333333333371</v>
      </c>
      <c r="DZ9" s="2">
        <v>51.5</v>
      </c>
      <c r="EA9" s="2">
        <v>45.25</v>
      </c>
      <c r="EB9" s="2"/>
      <c r="EC9" s="7">
        <v>52.5</v>
      </c>
      <c r="ED9" s="7">
        <v>52.5</v>
      </c>
      <c r="EE9" s="7">
        <v>60</v>
      </c>
      <c r="EF9" s="7">
        <v>60</v>
      </c>
      <c r="EG9" s="7">
        <v>66.916666666666629</v>
      </c>
      <c r="EH9" s="7">
        <v>73.75</v>
      </c>
      <c r="EI9" s="7">
        <v>75</v>
      </c>
      <c r="EJ9" s="7">
        <v>82.5</v>
      </c>
      <c r="EK9" s="7">
        <v>90</v>
      </c>
      <c r="EL9" s="7">
        <v>64.416666666666629</v>
      </c>
      <c r="EM9" s="7">
        <v>66.916666666666686</v>
      </c>
      <c r="EN9" s="7">
        <v>58.416666666666686</v>
      </c>
      <c r="EO9" s="7">
        <v>37.166666666666629</v>
      </c>
      <c r="EP9" s="7"/>
      <c r="EQ9" s="7">
        <v>217.08333333333331</v>
      </c>
      <c r="ER9" s="7">
        <v>89</v>
      </c>
      <c r="ES9" s="7"/>
      <c r="ET9" s="7"/>
      <c r="EU9" s="7"/>
      <c r="EV9" s="7">
        <v>150</v>
      </c>
      <c r="EW9" s="7"/>
      <c r="EX9" s="7">
        <v>191</v>
      </c>
      <c r="EY9" s="7">
        <v>187.33333333333334</v>
      </c>
      <c r="EZ9" s="7">
        <v>112.5</v>
      </c>
      <c r="FA9" s="7">
        <v>60</v>
      </c>
      <c r="FB9" s="7">
        <v>60</v>
      </c>
      <c r="FC9" s="7">
        <v>64.833333333333314</v>
      </c>
      <c r="FD9" s="7"/>
      <c r="FE9" s="2">
        <v>66.333333333333314</v>
      </c>
      <c r="FF9" s="2">
        <v>56.416666666666686</v>
      </c>
      <c r="FG9" s="2">
        <v>104.66666666666666</v>
      </c>
      <c r="FH9" s="2">
        <v>52.25</v>
      </c>
      <c r="FI9" s="2">
        <v>59.75</v>
      </c>
      <c r="FJ9" s="2">
        <v>59.75</v>
      </c>
      <c r="FK9" s="2">
        <v>90</v>
      </c>
      <c r="FL9" s="7">
        <v>75</v>
      </c>
      <c r="FM9" s="7">
        <v>66.25</v>
      </c>
      <c r="FN9" s="7">
        <v>65.333333333333314</v>
      </c>
      <c r="FO9" s="7">
        <v>72.25</v>
      </c>
      <c r="FP9" s="7">
        <v>59.833333333333314</v>
      </c>
      <c r="FQ9" s="7">
        <v>58.916666666666657</v>
      </c>
      <c r="FR9" s="7"/>
      <c r="FS9" s="7">
        <v>63</v>
      </c>
      <c r="FT9" s="7">
        <v>66.833333333333343</v>
      </c>
      <c r="FU9" s="7">
        <v>97.5</v>
      </c>
      <c r="FV9" s="7">
        <v>73.333333333333343</v>
      </c>
      <c r="FW9" s="7">
        <v>111.66666666666663</v>
      </c>
      <c r="FX9" s="7">
        <v>89.583333333333343</v>
      </c>
      <c r="FY9" s="7">
        <v>82.5</v>
      </c>
      <c r="FZ9" s="7">
        <v>74.25</v>
      </c>
      <c r="GA9" s="7">
        <v>82.5</v>
      </c>
      <c r="GB9" s="7">
        <v>78.916666666666686</v>
      </c>
      <c r="GC9" s="7">
        <v>66.25</v>
      </c>
      <c r="GD9" s="7">
        <v>82.5</v>
      </c>
      <c r="GE9" s="7">
        <v>80.083333333333343</v>
      </c>
      <c r="GF9" s="7"/>
      <c r="GG9" s="2">
        <v>78</v>
      </c>
      <c r="GH9" s="2">
        <v>93</v>
      </c>
      <c r="GI9" s="2">
        <v>103</v>
      </c>
      <c r="GJ9" s="2">
        <v>82.5</v>
      </c>
      <c r="GK9" s="2">
        <v>75</v>
      </c>
      <c r="GL9" s="2">
        <v>82.5</v>
      </c>
      <c r="GM9" s="2">
        <v>81.75</v>
      </c>
      <c r="GN9" s="3">
        <v>67.5</v>
      </c>
      <c r="GO9" s="3">
        <v>79.916666666666686</v>
      </c>
      <c r="GP9" s="3">
        <v>67</v>
      </c>
      <c r="GQ9" s="3">
        <v>134.66666666666666</v>
      </c>
      <c r="GR9" s="3">
        <v>118.5</v>
      </c>
      <c r="GS9" s="3">
        <v>59.333333333333314</v>
      </c>
      <c r="GT9" s="3"/>
      <c r="GU9" s="3">
        <v>127.5</v>
      </c>
      <c r="GV9" s="3">
        <v>210</v>
      </c>
      <c r="GW9" s="3">
        <v>201.08333333333334</v>
      </c>
      <c r="GX9" s="3">
        <v>202.5</v>
      </c>
      <c r="GY9" s="3">
        <v>217</v>
      </c>
      <c r="GZ9" s="3">
        <v>206.75000000000003</v>
      </c>
      <c r="HA9" s="3">
        <v>165</v>
      </c>
      <c r="HB9" s="7">
        <v>225</v>
      </c>
      <c r="HC9" s="7">
        <v>202.5</v>
      </c>
      <c r="HD9" s="7">
        <v>135</v>
      </c>
      <c r="HE9" s="7">
        <v>212.91666666666669</v>
      </c>
      <c r="HF9" s="7">
        <v>139.91666666666666</v>
      </c>
      <c r="HG9" s="7">
        <v>135.99999999999997</v>
      </c>
      <c r="HI9" s="2">
        <v>195</v>
      </c>
      <c r="HJ9" s="2">
        <v>225</v>
      </c>
      <c r="HK9" s="2">
        <v>217.5</v>
      </c>
      <c r="HL9" s="2">
        <v>207.66666666666666</v>
      </c>
      <c r="HM9" s="2">
        <v>209.25</v>
      </c>
      <c r="HN9" s="2">
        <v>202.5</v>
      </c>
      <c r="HO9" s="2">
        <v>150</v>
      </c>
      <c r="HP9" s="2">
        <v>225</v>
      </c>
      <c r="HQ9" s="2">
        <v>223.75000000000003</v>
      </c>
      <c r="HR9" s="2">
        <v>202.5</v>
      </c>
      <c r="HS9" s="2">
        <v>202.5</v>
      </c>
      <c r="HT9" s="2">
        <v>217.5</v>
      </c>
      <c r="HU9" s="2">
        <v>210</v>
      </c>
      <c r="HV9" s="20"/>
      <c r="HW9" s="3">
        <v>195</v>
      </c>
      <c r="HX9" s="3">
        <v>180</v>
      </c>
      <c r="HY9" s="3">
        <v>200.33333333333331</v>
      </c>
      <c r="HZ9" s="3">
        <v>157.5</v>
      </c>
      <c r="IA9" s="3">
        <v>187.5</v>
      </c>
      <c r="IB9" s="3">
        <v>180</v>
      </c>
      <c r="IC9" s="3">
        <v>150</v>
      </c>
      <c r="ID9" s="3">
        <v>198</v>
      </c>
      <c r="IE9" s="3">
        <v>193.5</v>
      </c>
      <c r="IF9" s="3">
        <v>201</v>
      </c>
      <c r="IG9" s="3">
        <v>189</v>
      </c>
      <c r="IH9" s="3">
        <v>295.5</v>
      </c>
      <c r="II9" s="3">
        <v>180</v>
      </c>
      <c r="IK9" s="2">
        <v>210.08333333333334</v>
      </c>
      <c r="IL9" s="2">
        <v>179.24999999999997</v>
      </c>
      <c r="IM9" s="2">
        <v>195</v>
      </c>
      <c r="IN9" s="2">
        <v>202.5</v>
      </c>
      <c r="IO9" s="2">
        <v>180</v>
      </c>
      <c r="IP9" s="2">
        <v>184.5</v>
      </c>
      <c r="IQ9" s="2">
        <v>127.5</v>
      </c>
      <c r="IR9" s="7">
        <v>195</v>
      </c>
      <c r="IS9" s="7">
        <v>187.5</v>
      </c>
      <c r="IT9" s="7">
        <v>187.5</v>
      </c>
      <c r="IU9" s="7">
        <v>202.5</v>
      </c>
      <c r="IV9" s="7">
        <v>207</v>
      </c>
      <c r="IW9" s="7">
        <v>202.5</v>
      </c>
      <c r="IY9" s="7">
        <v>195</v>
      </c>
      <c r="IZ9" s="7">
        <v>187.5</v>
      </c>
      <c r="JA9" s="7">
        <v>194.58333333333334</v>
      </c>
      <c r="JB9" s="7">
        <v>376</v>
      </c>
      <c r="JC9" s="7">
        <v>329.66666666666663</v>
      </c>
      <c r="JD9" s="7">
        <v>217.5</v>
      </c>
      <c r="JF9" s="3">
        <v>244.41666666666669</v>
      </c>
      <c r="JG9" s="3">
        <v>270</v>
      </c>
      <c r="JH9" s="3">
        <v>392.58333333333331</v>
      </c>
      <c r="JI9" s="3">
        <v>373.41666666666663</v>
      </c>
      <c r="JJ9" s="3">
        <v>297</v>
      </c>
      <c r="JK9" s="3">
        <v>257.5</v>
      </c>
      <c r="JM9" s="3">
        <v>328.25</v>
      </c>
      <c r="JN9" s="3">
        <v>304</v>
      </c>
      <c r="JO9" s="3">
        <v>307.5</v>
      </c>
      <c r="JP9" s="3">
        <v>287.91666666666663</v>
      </c>
      <c r="JQ9" s="3">
        <v>247.5</v>
      </c>
      <c r="JR9" s="3">
        <v>352.25</v>
      </c>
      <c r="JT9" s="2">
        <v>209</v>
      </c>
      <c r="JU9" s="2">
        <v>360</v>
      </c>
      <c r="JV9" s="2">
        <v>337.5</v>
      </c>
      <c r="JW9" s="7">
        <v>442.5</v>
      </c>
      <c r="JX9" s="7">
        <v>450</v>
      </c>
      <c r="JY9" s="7">
        <v>410.83333333333337</v>
      </c>
      <c r="KU9" s="36"/>
      <c r="LE9" s="20"/>
      <c r="LF9" s="20"/>
      <c r="LY9" s="20"/>
      <c r="LZ9" s="62"/>
      <c r="MA9" s="62"/>
      <c r="MB9" s="62"/>
      <c r="MC9" s="62"/>
      <c r="MF9"/>
      <c r="MG9"/>
      <c r="MH9"/>
      <c r="MI9"/>
      <c r="MJ9"/>
      <c r="MK9"/>
      <c r="ML9"/>
      <c r="MM9" s="62"/>
      <c r="MN9" s="62"/>
      <c r="MO9" s="62"/>
      <c r="MP9" s="34"/>
      <c r="MQ9" s="62"/>
      <c r="MR9" s="62"/>
      <c r="MS9" s="62"/>
    </row>
    <row r="10" spans="1:367" ht="14.4" customHeight="1">
      <c r="A10" s="15">
        <f>+SUM(C10:NC10)</f>
        <v>25732528</v>
      </c>
      <c r="B10" s="16" t="s">
        <v>423</v>
      </c>
      <c r="C10" s="2"/>
      <c r="D10" s="101">
        <v>137319</v>
      </c>
      <c r="E10" s="101">
        <v>166111</v>
      </c>
      <c r="F10" s="7"/>
      <c r="G10" s="101">
        <v>154355</v>
      </c>
      <c r="H10" s="101">
        <v>124443</v>
      </c>
      <c r="I10" s="101">
        <v>138883</v>
      </c>
      <c r="J10" s="101">
        <v>127380</v>
      </c>
      <c r="K10" s="101">
        <v>120022</v>
      </c>
      <c r="L10" s="101">
        <v>94570</v>
      </c>
      <c r="M10" s="101"/>
      <c r="N10" s="101">
        <v>114865</v>
      </c>
      <c r="O10" s="101">
        <v>137777</v>
      </c>
      <c r="P10" s="101">
        <v>117658</v>
      </c>
      <c r="Q10" s="101">
        <v>160469</v>
      </c>
      <c r="R10" s="101">
        <v>155643</v>
      </c>
      <c r="S10" s="101">
        <v>168641</v>
      </c>
      <c r="U10" s="7">
        <v>98425</v>
      </c>
      <c r="V10" s="7">
        <v>195576</v>
      </c>
      <c r="W10" s="7">
        <v>180806</v>
      </c>
      <c r="X10" s="7">
        <v>178264</v>
      </c>
      <c r="Y10" s="7">
        <v>94633</v>
      </c>
      <c r="Z10" s="7">
        <v>76341</v>
      </c>
      <c r="AB10" s="7">
        <v>95207</v>
      </c>
      <c r="AC10" s="7">
        <v>114059</v>
      </c>
      <c r="AD10" s="7">
        <v>121097</v>
      </c>
      <c r="AE10" s="7">
        <v>91540</v>
      </c>
      <c r="AF10" s="7">
        <v>99351</v>
      </c>
      <c r="AG10" s="7">
        <v>126454</v>
      </c>
      <c r="AI10" s="7">
        <v>200683</v>
      </c>
      <c r="AJ10" s="7">
        <v>193029</v>
      </c>
      <c r="AK10" s="7">
        <v>177432</v>
      </c>
      <c r="AL10" s="7">
        <v>177524</v>
      </c>
      <c r="AM10" s="7">
        <v>198198</v>
      </c>
      <c r="AN10" s="7">
        <v>197158</v>
      </c>
      <c r="AP10" s="7">
        <v>212615</v>
      </c>
      <c r="AQ10" s="7">
        <v>215122</v>
      </c>
      <c r="AR10" s="7">
        <v>216131</v>
      </c>
      <c r="AS10" s="7">
        <v>210207</v>
      </c>
      <c r="AT10" s="7">
        <v>211298</v>
      </c>
      <c r="AU10" s="7">
        <v>212997</v>
      </c>
      <c r="AW10" s="7">
        <v>107714</v>
      </c>
      <c r="AX10" s="7">
        <v>154154</v>
      </c>
      <c r="AY10" s="7">
        <v>213431</v>
      </c>
      <c r="AZ10" s="7">
        <v>200659</v>
      </c>
      <c r="BA10" s="7">
        <v>202569</v>
      </c>
      <c r="BB10" s="7">
        <v>204479</v>
      </c>
      <c r="BC10" s="7"/>
      <c r="BD10" s="7">
        <v>217818</v>
      </c>
      <c r="BE10" s="7">
        <v>136318</v>
      </c>
      <c r="BF10" s="7">
        <v>136968</v>
      </c>
      <c r="BG10" s="7">
        <v>99810</v>
      </c>
      <c r="BH10" s="7">
        <v>75786</v>
      </c>
      <c r="BI10" s="7">
        <v>11536</v>
      </c>
      <c r="BK10" s="7">
        <v>164023</v>
      </c>
      <c r="BL10" s="7">
        <v>181896</v>
      </c>
      <c r="BM10" s="7">
        <v>169903</v>
      </c>
      <c r="BN10" s="7">
        <v>167235</v>
      </c>
      <c r="BO10" s="7">
        <v>127884</v>
      </c>
      <c r="BP10" s="7">
        <v>49825</v>
      </c>
      <c r="BR10" s="7">
        <v>83407</v>
      </c>
      <c r="BS10" s="7">
        <v>139042</v>
      </c>
      <c r="BT10" s="7">
        <v>123420</v>
      </c>
      <c r="BU10" s="7">
        <v>75706</v>
      </c>
      <c r="BV10" s="7">
        <v>37854</v>
      </c>
      <c r="BW10" s="7">
        <v>34669</v>
      </c>
      <c r="BX10" s="47">
        <v>140287</v>
      </c>
      <c r="BY10" s="47">
        <v>163418</v>
      </c>
      <c r="BZ10" s="47">
        <v>180149</v>
      </c>
      <c r="CA10" s="47">
        <v>178448</v>
      </c>
      <c r="CB10" s="47">
        <v>63707</v>
      </c>
      <c r="CF10" s="7">
        <v>138742</v>
      </c>
      <c r="CG10" s="7">
        <v>168695</v>
      </c>
      <c r="CH10" s="7">
        <v>162153</v>
      </c>
      <c r="CI10" s="7">
        <v>170580</v>
      </c>
      <c r="CJ10" s="7">
        <v>170068</v>
      </c>
      <c r="CK10" s="7">
        <v>183152</v>
      </c>
      <c r="CM10" s="7">
        <v>177873</v>
      </c>
      <c r="CN10" s="7">
        <v>182120</v>
      </c>
      <c r="CO10" s="7">
        <v>187200</v>
      </c>
      <c r="CP10" s="7">
        <v>134907</v>
      </c>
      <c r="CQ10" s="7">
        <v>151294</v>
      </c>
      <c r="CR10" s="7">
        <v>183833</v>
      </c>
      <c r="CT10" s="25">
        <v>129354</v>
      </c>
      <c r="CU10" s="25">
        <v>112922</v>
      </c>
      <c r="CV10" s="25">
        <v>99751</v>
      </c>
      <c r="CW10" s="25">
        <v>68463</v>
      </c>
      <c r="CX10" s="25">
        <v>64702</v>
      </c>
      <c r="CY10" s="25">
        <v>83021</v>
      </c>
      <c r="DA10" s="7">
        <v>148384</v>
      </c>
      <c r="DB10" s="7">
        <v>83731</v>
      </c>
      <c r="DC10" s="7">
        <v>84896</v>
      </c>
      <c r="DD10" s="7">
        <v>103525</v>
      </c>
      <c r="DE10" s="7">
        <v>94147</v>
      </c>
      <c r="DF10" s="7">
        <v>50594</v>
      </c>
      <c r="DG10" s="7">
        <v>61727</v>
      </c>
      <c r="DH10" s="7">
        <v>202626</v>
      </c>
      <c r="DI10" s="7">
        <v>54178</v>
      </c>
      <c r="DJ10" s="7">
        <v>17453</v>
      </c>
      <c r="DK10" s="7">
        <v>50694</v>
      </c>
      <c r="DL10" s="7">
        <v>152422</v>
      </c>
      <c r="DM10" s="7">
        <v>11562</v>
      </c>
      <c r="DO10" s="7">
        <v>38189</v>
      </c>
      <c r="DP10" s="7">
        <v>12556</v>
      </c>
      <c r="DQ10" s="7">
        <v>26342</v>
      </c>
      <c r="DR10" s="7">
        <v>17493</v>
      </c>
      <c r="DS10" s="7"/>
      <c r="DT10" s="7">
        <v>51789</v>
      </c>
      <c r="DU10" s="7">
        <v>64515</v>
      </c>
      <c r="DV10" s="7">
        <v>21832</v>
      </c>
      <c r="DW10" s="7">
        <v>30793</v>
      </c>
      <c r="DX10" s="7">
        <v>27705</v>
      </c>
      <c r="DY10" s="7">
        <v>29816</v>
      </c>
      <c r="DZ10" s="7">
        <v>29787</v>
      </c>
      <c r="EA10" s="7">
        <v>20160</v>
      </c>
      <c r="EC10" s="90">
        <v>23890</v>
      </c>
      <c r="ED10" s="90">
        <v>27101</v>
      </c>
      <c r="EE10" s="90">
        <v>32283</v>
      </c>
      <c r="EF10" s="90">
        <v>32443</v>
      </c>
      <c r="EG10" s="90">
        <v>36174</v>
      </c>
      <c r="EH10" s="90">
        <v>41986</v>
      </c>
      <c r="EI10" s="90">
        <v>47196</v>
      </c>
      <c r="EJ10" s="90">
        <v>46479</v>
      </c>
      <c r="EK10" s="90">
        <v>51207</v>
      </c>
      <c r="EL10" s="90">
        <v>33736</v>
      </c>
      <c r="EM10" s="90">
        <v>35377</v>
      </c>
      <c r="EN10" s="90">
        <v>30712</v>
      </c>
      <c r="EO10" s="90">
        <v>14306</v>
      </c>
      <c r="EP10" s="90"/>
      <c r="EQ10" s="90">
        <v>128447</v>
      </c>
      <c r="ER10" s="90">
        <v>36185</v>
      </c>
      <c r="ES10" s="90"/>
      <c r="ET10" s="90"/>
      <c r="EU10" s="90"/>
      <c r="EV10" s="90">
        <v>89565</v>
      </c>
      <c r="EW10" s="90"/>
      <c r="EX10" s="90">
        <v>112270</v>
      </c>
      <c r="EY10" s="90">
        <v>107869</v>
      </c>
      <c r="EZ10" s="90">
        <v>59370</v>
      </c>
      <c r="FA10" s="90">
        <v>19609</v>
      </c>
      <c r="FB10" s="90">
        <v>27789</v>
      </c>
      <c r="FC10" s="90">
        <v>26340</v>
      </c>
      <c r="FE10" s="90">
        <v>30882</v>
      </c>
      <c r="FF10" s="90">
        <v>17074</v>
      </c>
      <c r="FG10" s="90">
        <v>61679</v>
      </c>
      <c r="FH10" s="90">
        <v>21938</v>
      </c>
      <c r="FI10" s="90">
        <v>30082</v>
      </c>
      <c r="FJ10" s="90">
        <v>37727</v>
      </c>
      <c r="FK10" s="90">
        <v>44485</v>
      </c>
      <c r="FL10" s="90">
        <v>27829</v>
      </c>
      <c r="FM10" s="90">
        <v>28609</v>
      </c>
      <c r="FN10" s="90">
        <v>35021</v>
      </c>
      <c r="FO10" s="90">
        <v>28650</v>
      </c>
      <c r="FP10" s="90">
        <v>25737</v>
      </c>
      <c r="FQ10" s="90">
        <v>25594</v>
      </c>
      <c r="FS10" s="7">
        <v>25906</v>
      </c>
      <c r="FT10" s="7">
        <v>33734</v>
      </c>
      <c r="FU10" s="7">
        <v>48979</v>
      </c>
      <c r="FV10" s="7">
        <v>35322</v>
      </c>
      <c r="FW10" s="7">
        <v>37119</v>
      </c>
      <c r="FX10" s="7">
        <v>37074</v>
      </c>
      <c r="FY10" s="7">
        <v>46148</v>
      </c>
      <c r="FZ10" s="7">
        <v>29621</v>
      </c>
      <c r="GA10" s="7">
        <v>36964</v>
      </c>
      <c r="GB10" s="7">
        <v>37559</v>
      </c>
      <c r="GC10" s="7">
        <v>34044</v>
      </c>
      <c r="GD10" s="7">
        <v>38505</v>
      </c>
      <c r="GE10" s="7">
        <v>25952</v>
      </c>
      <c r="GG10" s="7">
        <v>41978</v>
      </c>
      <c r="GH10" s="7">
        <v>44326</v>
      </c>
      <c r="GI10" s="7">
        <v>56674</v>
      </c>
      <c r="GJ10" s="7">
        <v>42127</v>
      </c>
      <c r="GK10" s="7">
        <v>37117</v>
      </c>
      <c r="GL10" s="7">
        <v>33167</v>
      </c>
      <c r="GM10" s="7">
        <v>42817</v>
      </c>
      <c r="GN10" s="7">
        <v>36908</v>
      </c>
      <c r="GO10" s="7">
        <v>23949</v>
      </c>
      <c r="GP10" s="7">
        <v>36349</v>
      </c>
      <c r="GQ10" s="7">
        <v>62340</v>
      </c>
      <c r="GR10" s="7">
        <v>69131</v>
      </c>
      <c r="GS10" s="7">
        <v>30356</v>
      </c>
      <c r="GU10" s="7">
        <v>58260</v>
      </c>
      <c r="GV10" s="7">
        <v>118337</v>
      </c>
      <c r="GW10" s="7">
        <v>120502</v>
      </c>
      <c r="GX10" s="7">
        <v>118001</v>
      </c>
      <c r="GY10" s="7">
        <v>116765</v>
      </c>
      <c r="GZ10" s="7">
        <v>115132</v>
      </c>
      <c r="HA10" s="7">
        <v>96137</v>
      </c>
      <c r="HB10" s="101">
        <v>124804</v>
      </c>
      <c r="HC10" s="101">
        <v>147073</v>
      </c>
      <c r="HD10" s="101">
        <v>82644</v>
      </c>
      <c r="HE10" s="101">
        <v>137438</v>
      </c>
      <c r="HF10" s="101">
        <v>81617</v>
      </c>
      <c r="HG10" s="101">
        <v>81112</v>
      </c>
      <c r="HI10" s="101">
        <v>124029</v>
      </c>
      <c r="HJ10" s="101">
        <v>130322</v>
      </c>
      <c r="HK10" s="101">
        <v>136082</v>
      </c>
      <c r="HL10" s="101">
        <v>135872</v>
      </c>
      <c r="HM10" s="101">
        <v>131643</v>
      </c>
      <c r="HN10" s="101">
        <v>135759</v>
      </c>
      <c r="HO10" s="101">
        <v>95744</v>
      </c>
      <c r="HP10" s="101">
        <v>142511</v>
      </c>
      <c r="HQ10" s="101">
        <v>133653</v>
      </c>
      <c r="HR10" s="101">
        <v>112844</v>
      </c>
      <c r="HS10" s="101">
        <v>128778</v>
      </c>
      <c r="HT10" s="101">
        <v>118888</v>
      </c>
      <c r="HU10" s="101">
        <v>127675</v>
      </c>
      <c r="HW10" s="101">
        <v>106987</v>
      </c>
      <c r="HX10" s="101">
        <v>115413</v>
      </c>
      <c r="HY10" s="101">
        <v>134815</v>
      </c>
      <c r="HZ10" s="101">
        <v>93013</v>
      </c>
      <c r="IA10" s="101">
        <v>103397</v>
      </c>
      <c r="IB10" s="101">
        <v>107158</v>
      </c>
      <c r="IC10" s="101">
        <v>87959</v>
      </c>
      <c r="ID10" s="101">
        <v>82829</v>
      </c>
      <c r="IE10" s="101">
        <v>84692</v>
      </c>
      <c r="IF10" s="101">
        <v>81294</v>
      </c>
      <c r="IG10" s="101">
        <v>94984</v>
      </c>
      <c r="IH10" s="101">
        <v>114963</v>
      </c>
      <c r="II10" s="101">
        <v>89485</v>
      </c>
      <c r="IK10" s="101">
        <v>101906</v>
      </c>
      <c r="IL10" s="101">
        <v>87498</v>
      </c>
      <c r="IM10" s="101">
        <v>109463</v>
      </c>
      <c r="IN10" s="101">
        <v>116305</v>
      </c>
      <c r="IO10" s="101">
        <v>97431</v>
      </c>
      <c r="IP10" s="101">
        <v>112114</v>
      </c>
      <c r="IQ10" s="101">
        <v>78470</v>
      </c>
      <c r="IR10" s="101">
        <v>120285</v>
      </c>
      <c r="IS10" s="101">
        <v>109348</v>
      </c>
      <c r="IT10" s="101">
        <v>109136</v>
      </c>
      <c r="IU10" s="101">
        <v>65087</v>
      </c>
      <c r="IV10" s="101">
        <v>122691</v>
      </c>
      <c r="IW10" s="101">
        <v>117362</v>
      </c>
      <c r="IY10" s="101">
        <v>124760</v>
      </c>
      <c r="IZ10" s="101">
        <v>122129</v>
      </c>
      <c r="JA10" s="101">
        <v>120099</v>
      </c>
      <c r="JB10" s="101">
        <v>177431</v>
      </c>
      <c r="JC10" s="101">
        <v>146361</v>
      </c>
      <c r="JD10" s="101">
        <v>128911</v>
      </c>
      <c r="JF10" s="101">
        <v>147902</v>
      </c>
      <c r="JG10" s="101">
        <v>150166</v>
      </c>
      <c r="JH10" s="101">
        <v>208470</v>
      </c>
      <c r="JI10" s="101">
        <v>235054</v>
      </c>
      <c r="JJ10" s="101">
        <v>153890</v>
      </c>
      <c r="JK10" s="101">
        <v>151992</v>
      </c>
      <c r="JM10" s="101">
        <v>182544</v>
      </c>
      <c r="JN10" s="101">
        <v>154408</v>
      </c>
      <c r="JO10" s="101">
        <v>165180</v>
      </c>
      <c r="JP10" s="101">
        <v>133401</v>
      </c>
      <c r="JQ10" s="101">
        <v>112026</v>
      </c>
      <c r="JR10" s="101">
        <v>134139</v>
      </c>
      <c r="JT10" s="101">
        <v>127583</v>
      </c>
      <c r="JU10" s="101">
        <v>134690</v>
      </c>
      <c r="JV10" s="101">
        <v>166960</v>
      </c>
      <c r="JW10" s="101">
        <v>230597</v>
      </c>
      <c r="JX10" s="101">
        <v>210789</v>
      </c>
      <c r="JY10" s="101">
        <v>207388</v>
      </c>
      <c r="JZ10" s="101"/>
      <c r="KB10" s="20"/>
      <c r="LE10" s="20"/>
      <c r="LY10" s="2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V10" s="7"/>
    </row>
    <row r="11" spans="1:367" ht="14.4" customHeight="1">
      <c r="A11" s="17">
        <f>+A10/A9</f>
        <v>572.38832424737291</v>
      </c>
      <c r="B11" s="18" t="s">
        <v>424</v>
      </c>
      <c r="C11" s="7"/>
      <c r="D11" s="7">
        <f t="shared" ref="D11:BO11" si="21">+IFERROR(D10/D9,"")</f>
        <v>572.16250000000002</v>
      </c>
      <c r="E11" s="7">
        <f t="shared" si="21"/>
        <v>820.30123456790125</v>
      </c>
      <c r="F11" s="7"/>
      <c r="G11" s="7">
        <f t="shared" si="21"/>
        <v>490.01587301587301</v>
      </c>
      <c r="H11" s="7">
        <f t="shared" si="21"/>
        <v>614.5333333333333</v>
      </c>
      <c r="I11" s="7">
        <f t="shared" si="21"/>
        <v>618.63251670378622</v>
      </c>
      <c r="J11" s="7">
        <f t="shared" si="21"/>
        <v>585.65517241379314</v>
      </c>
      <c r="K11" s="7">
        <f t="shared" si="21"/>
        <v>552.88445297504802</v>
      </c>
      <c r="L11" s="7">
        <f t="shared" si="21"/>
        <v>600.44444444444446</v>
      </c>
      <c r="M11" s="7"/>
      <c r="N11" s="7">
        <f t="shared" si="21"/>
        <v>450.45098039215685</v>
      </c>
      <c r="O11" s="7">
        <f t="shared" si="21"/>
        <v>463.89562289562292</v>
      </c>
      <c r="P11" s="7">
        <f t="shared" si="21"/>
        <v>493.32494758909854</v>
      </c>
      <c r="Q11" s="7">
        <f t="shared" si="21"/>
        <v>594.32962962962961</v>
      </c>
      <c r="R11" s="7">
        <f t="shared" si="21"/>
        <v>498.85576923076923</v>
      </c>
      <c r="S11" s="7">
        <f t="shared" si="21"/>
        <v>488.8144927536232</v>
      </c>
      <c r="T11" s="7" t="str">
        <f t="shared" si="21"/>
        <v/>
      </c>
      <c r="U11" s="7">
        <f t="shared" si="21"/>
        <v>374.95238095238096</v>
      </c>
      <c r="V11" s="7">
        <f t="shared" si="21"/>
        <v>501.47692307692307</v>
      </c>
      <c r="W11" s="7">
        <f t="shared" si="21"/>
        <v>651.55315315315318</v>
      </c>
      <c r="X11" s="7">
        <f t="shared" si="21"/>
        <v>577.84116693679096</v>
      </c>
      <c r="Y11" s="7">
        <f t="shared" si="21"/>
        <v>548.59710144927533</v>
      </c>
      <c r="Z11" s="7">
        <f t="shared" si="21"/>
        <v>535.72631578947369</v>
      </c>
      <c r="AA11" s="7" t="str">
        <f t="shared" si="21"/>
        <v/>
      </c>
      <c r="AB11" s="7">
        <f t="shared" si="21"/>
        <v>551.92463768115942</v>
      </c>
      <c r="AC11" s="7">
        <f t="shared" si="21"/>
        <v>691.26666666666665</v>
      </c>
      <c r="AD11" s="7">
        <f t="shared" si="21"/>
        <v>733.92121212121208</v>
      </c>
      <c r="AE11" s="7">
        <f t="shared" si="21"/>
        <v>622.7210884353741</v>
      </c>
      <c r="AF11" s="7">
        <f t="shared" si="21"/>
        <v>602.12727272727273</v>
      </c>
      <c r="AG11" s="7">
        <f t="shared" si="21"/>
        <v>624.46419753086423</v>
      </c>
      <c r="AH11" s="7" t="str">
        <f t="shared" si="21"/>
        <v/>
      </c>
      <c r="AI11" s="7">
        <f t="shared" si="21"/>
        <v>668.57190449750146</v>
      </c>
      <c r="AJ11" s="7">
        <f t="shared" si="21"/>
        <v>643.42999999999995</v>
      </c>
      <c r="AK11" s="7">
        <f t="shared" si="21"/>
        <v>622.56842105263161</v>
      </c>
      <c r="AL11" s="7">
        <f t="shared" si="21"/>
        <v>577.31382113821144</v>
      </c>
      <c r="AM11" s="7">
        <f t="shared" si="21"/>
        <v>645.59609120521168</v>
      </c>
      <c r="AN11" s="7">
        <f t="shared" si="21"/>
        <v>674.04444444444448</v>
      </c>
      <c r="AO11" s="7" t="str">
        <f t="shared" si="21"/>
        <v/>
      </c>
      <c r="AP11" s="7">
        <f t="shared" si="21"/>
        <v>708.7166666666667</v>
      </c>
      <c r="AQ11" s="7">
        <f t="shared" si="21"/>
        <v>699.58373983739841</v>
      </c>
      <c r="AR11" s="7">
        <f t="shared" si="21"/>
        <v>686.13015873015877</v>
      </c>
      <c r="AS11" s="7">
        <f t="shared" si="21"/>
        <v>667.32380952380947</v>
      </c>
      <c r="AT11" s="7">
        <f t="shared" si="21"/>
        <v>640.29696969696965</v>
      </c>
      <c r="AU11" s="7">
        <f t="shared" si="21"/>
        <v>692.67317073170727</v>
      </c>
      <c r="AV11" s="7" t="str">
        <f t="shared" si="21"/>
        <v/>
      </c>
      <c r="AW11" s="7">
        <f t="shared" si="21"/>
        <v>592.92110091743132</v>
      </c>
      <c r="AX11" s="7">
        <f t="shared" si="21"/>
        <v>734.06666666666672</v>
      </c>
      <c r="AY11" s="7">
        <f t="shared" si="21"/>
        <v>711.43666666666661</v>
      </c>
      <c r="AZ11" s="7">
        <f t="shared" si="21"/>
        <v>688.56391192450678</v>
      </c>
      <c r="BA11" s="7">
        <f t="shared" si="21"/>
        <v>693.13601368691184</v>
      </c>
      <c r="BB11" s="7">
        <f t="shared" si="21"/>
        <v>682.16513761467888</v>
      </c>
      <c r="BC11" s="7" t="str">
        <f t="shared" si="21"/>
        <v/>
      </c>
      <c r="BD11" s="7">
        <f t="shared" si="21"/>
        <v>745.52652595550478</v>
      </c>
      <c r="BE11" s="7">
        <f t="shared" si="21"/>
        <v>728.32413178984859</v>
      </c>
      <c r="BF11" s="7">
        <f t="shared" si="21"/>
        <v>711.5220779220781</v>
      </c>
      <c r="BG11" s="7">
        <f t="shared" si="21"/>
        <v>635.73248407643314</v>
      </c>
      <c r="BH11" s="7">
        <f t="shared" si="21"/>
        <v>561.37777777777774</v>
      </c>
      <c r="BI11" s="7">
        <f t="shared" si="21"/>
        <v>307.62666666666667</v>
      </c>
      <c r="BJ11" s="7" t="str">
        <f t="shared" si="21"/>
        <v/>
      </c>
      <c r="BK11" s="7">
        <f t="shared" si="21"/>
        <v>643.22745098039218</v>
      </c>
      <c r="BL11" s="7">
        <f t="shared" si="21"/>
        <v>662.64480874316939</v>
      </c>
      <c r="BM11" s="7">
        <f t="shared" si="21"/>
        <v>647.24952380952379</v>
      </c>
      <c r="BN11" s="7">
        <f t="shared" si="21"/>
        <v>619.38888888888891</v>
      </c>
      <c r="BO11" s="7">
        <f t="shared" si="21"/>
        <v>615.31996792301527</v>
      </c>
      <c r="BP11" s="7">
        <f t="shared" ref="BP11:EB11" si="22">+IFERROR(BP10/BP9,"")</f>
        <v>553.61111111111109</v>
      </c>
      <c r="BQ11" s="7" t="str">
        <f t="shared" si="22"/>
        <v/>
      </c>
      <c r="BR11" s="7">
        <f t="shared" si="22"/>
        <v>484.92441860465118</v>
      </c>
      <c r="BS11" s="7">
        <f t="shared" si="22"/>
        <v>639.27356321839079</v>
      </c>
      <c r="BT11" s="7">
        <f t="shared" si="22"/>
        <v>609.48148148148152</v>
      </c>
      <c r="BU11" s="7">
        <f t="shared" si="22"/>
        <v>776.47179487179483</v>
      </c>
      <c r="BV11" s="7">
        <f t="shared" si="22"/>
        <v>504.72</v>
      </c>
      <c r="BW11" s="7">
        <f t="shared" si="22"/>
        <v>518.09215442092182</v>
      </c>
      <c r="BX11" s="7">
        <f t="shared" si="22"/>
        <v>506.45126353790613</v>
      </c>
      <c r="BY11" s="7">
        <f t="shared" si="22"/>
        <v>588.36363636363637</v>
      </c>
      <c r="BZ11" s="7">
        <f t="shared" si="22"/>
        <v>632.10175438596491</v>
      </c>
      <c r="CA11" s="7">
        <f t="shared" si="22"/>
        <v>610.60051325919585</v>
      </c>
      <c r="CB11" s="7">
        <f t="shared" si="22"/>
        <v>606.73333333333335</v>
      </c>
      <c r="CC11" s="7" t="str">
        <f t="shared" si="22"/>
        <v/>
      </c>
      <c r="CD11" s="7" t="str">
        <f t="shared" si="22"/>
        <v/>
      </c>
      <c r="CE11" s="7" t="str">
        <f t="shared" si="22"/>
        <v/>
      </c>
      <c r="CF11" s="7">
        <f t="shared" si="22"/>
        <v>529.21296884933258</v>
      </c>
      <c r="CG11" s="7">
        <f t="shared" si="22"/>
        <v>626.7306501547987</v>
      </c>
      <c r="CH11" s="7">
        <f t="shared" si="22"/>
        <v>600.56666666666672</v>
      </c>
      <c r="CI11" s="7">
        <f t="shared" si="22"/>
        <v>634.9131513647643</v>
      </c>
      <c r="CJ11" s="7">
        <f t="shared" si="22"/>
        <v>586.27291008330928</v>
      </c>
      <c r="CK11" s="7">
        <f t="shared" si="22"/>
        <v>661.59662853702594</v>
      </c>
      <c r="CL11" s="7" t="str">
        <f t="shared" si="22"/>
        <v/>
      </c>
      <c r="CM11" s="7">
        <f t="shared" si="22"/>
        <v>640.98378378378379</v>
      </c>
      <c r="CN11" s="7">
        <f t="shared" si="22"/>
        <v>676.18811881188105</v>
      </c>
      <c r="CO11" s="7">
        <f t="shared" si="22"/>
        <v>672.57485029940108</v>
      </c>
      <c r="CP11" s="7">
        <f t="shared" si="22"/>
        <v>676.22556390977445</v>
      </c>
      <c r="CQ11" s="7">
        <f t="shared" si="22"/>
        <v>622.60905349794234</v>
      </c>
      <c r="CR11" s="7">
        <f t="shared" si="22"/>
        <v>752.89965870307174</v>
      </c>
      <c r="CS11" s="7" t="str">
        <f t="shared" si="22"/>
        <v/>
      </c>
      <c r="CT11" s="7">
        <f t="shared" si="22"/>
        <v>619.90734824281162</v>
      </c>
      <c r="CU11" s="7">
        <f t="shared" si="22"/>
        <v>627.34444444444443</v>
      </c>
      <c r="CV11" s="7">
        <f t="shared" si="22"/>
        <v>617.97212183789361</v>
      </c>
      <c r="CW11" s="7">
        <f t="shared" si="22"/>
        <v>536.96470588235297</v>
      </c>
      <c r="CX11" s="7">
        <f t="shared" si="22"/>
        <v>485.26500000000004</v>
      </c>
      <c r="CY11" s="7">
        <f t="shared" si="22"/>
        <v>564.44872521246441</v>
      </c>
      <c r="CZ11" s="7" t="str">
        <f t="shared" si="22"/>
        <v/>
      </c>
      <c r="DA11" s="7">
        <f t="shared" si="22"/>
        <v>638.21075268817208</v>
      </c>
      <c r="DB11" s="7">
        <f t="shared" si="22"/>
        <v>591.39022954679228</v>
      </c>
      <c r="DC11" s="7">
        <f t="shared" si="22"/>
        <v>628.85925925925926</v>
      </c>
      <c r="DD11" s="7">
        <f t="shared" si="22"/>
        <v>657.30158730158735</v>
      </c>
      <c r="DE11" s="7">
        <f t="shared" si="22"/>
        <v>634.34250421111756</v>
      </c>
      <c r="DF11" s="7">
        <f t="shared" si="22"/>
        <v>396.8156862745098</v>
      </c>
      <c r="DG11" s="7">
        <f t="shared" si="22"/>
        <v>597.84019370460044</v>
      </c>
      <c r="DH11" s="7">
        <f t="shared" si="22"/>
        <v>491.21454545454543</v>
      </c>
      <c r="DI11" s="7">
        <f t="shared" si="22"/>
        <v>454.00558659217864</v>
      </c>
      <c r="DJ11" s="7">
        <f t="shared" si="22"/>
        <v>479.25858123569844</v>
      </c>
      <c r="DK11" s="7">
        <f t="shared" si="22"/>
        <v>616.34042553191489</v>
      </c>
      <c r="DL11" s="7">
        <f t="shared" si="22"/>
        <v>518.29526778124114</v>
      </c>
      <c r="DM11" s="7">
        <f t="shared" si="22"/>
        <v>570.96296296296293</v>
      </c>
      <c r="DN11" s="7" t="str">
        <f t="shared" si="22"/>
        <v/>
      </c>
      <c r="DO11" s="7">
        <f t="shared" si="22"/>
        <v>513.17805151175833</v>
      </c>
      <c r="DP11" s="7">
        <f t="shared" si="22"/>
        <v>418.53333333333336</v>
      </c>
      <c r="DQ11" s="7">
        <f t="shared" si="22"/>
        <v>501.75238095238097</v>
      </c>
      <c r="DR11" s="7">
        <f t="shared" si="22"/>
        <v>466.48</v>
      </c>
      <c r="DS11" s="7" t="str">
        <f t="shared" si="22"/>
        <v/>
      </c>
      <c r="DT11" s="7">
        <f t="shared" si="22"/>
        <v>627.74545454545455</v>
      </c>
      <c r="DU11" s="7">
        <f t="shared" si="22"/>
        <v>661.69230769230774</v>
      </c>
      <c r="DV11" s="7">
        <f t="shared" si="22"/>
        <v>602.26206896551719</v>
      </c>
      <c r="DW11" s="7">
        <f t="shared" si="22"/>
        <v>597.92233009708741</v>
      </c>
      <c r="DX11" s="7">
        <f t="shared" si="22"/>
        <v>517.04510108864713</v>
      </c>
      <c r="DY11" s="7">
        <f t="shared" si="22"/>
        <v>595.32778702163012</v>
      </c>
      <c r="DZ11" s="7">
        <f t="shared" si="22"/>
        <v>578.38834951456306</v>
      </c>
      <c r="EA11" s="7">
        <f t="shared" si="22"/>
        <v>445.52486187845307</v>
      </c>
      <c r="EB11" s="7" t="str">
        <f t="shared" si="22"/>
        <v/>
      </c>
      <c r="EC11" s="7">
        <f t="shared" ref="EC11:GN11" si="23">+IFERROR(EC10/EC9,"")</f>
        <v>455.04761904761904</v>
      </c>
      <c r="ED11" s="7">
        <f t="shared" si="23"/>
        <v>516.20952380952383</v>
      </c>
      <c r="EE11" s="7">
        <f t="shared" si="23"/>
        <v>538.04999999999995</v>
      </c>
      <c r="EF11" s="7">
        <f t="shared" si="23"/>
        <v>540.7166666666667</v>
      </c>
      <c r="EG11" s="7">
        <f t="shared" si="23"/>
        <v>540.58281444582849</v>
      </c>
      <c r="EH11" s="7">
        <f t="shared" si="23"/>
        <v>569.30169491525419</v>
      </c>
      <c r="EI11" s="7">
        <f t="shared" si="23"/>
        <v>629.28</v>
      </c>
      <c r="EJ11" s="7">
        <f t="shared" si="23"/>
        <v>563.38181818181818</v>
      </c>
      <c r="EK11" s="7">
        <f t="shared" si="23"/>
        <v>568.9666666666667</v>
      </c>
      <c r="EL11" s="7">
        <f t="shared" si="23"/>
        <v>523.7153945666239</v>
      </c>
      <c r="EM11" s="7">
        <f t="shared" si="23"/>
        <v>528.67247820672458</v>
      </c>
      <c r="EN11" s="7">
        <f t="shared" si="23"/>
        <v>525.74037089871592</v>
      </c>
      <c r="EO11" s="7">
        <f t="shared" si="23"/>
        <v>384.91479820627842</v>
      </c>
      <c r="EP11" s="7" t="str">
        <f t="shared" si="23"/>
        <v/>
      </c>
      <c r="EQ11" s="7">
        <f t="shared" si="23"/>
        <v>591.69443378119001</v>
      </c>
      <c r="ER11" s="7">
        <f t="shared" si="23"/>
        <v>406.57303370786519</v>
      </c>
      <c r="ES11" s="7" t="str">
        <f t="shared" si="23"/>
        <v/>
      </c>
      <c r="ET11" s="7" t="str">
        <f t="shared" si="23"/>
        <v/>
      </c>
      <c r="EU11" s="7" t="str">
        <f t="shared" si="23"/>
        <v/>
      </c>
      <c r="EV11" s="7">
        <f t="shared" si="23"/>
        <v>597.1</v>
      </c>
      <c r="EW11" s="7" t="str">
        <f t="shared" si="23"/>
        <v/>
      </c>
      <c r="EX11" s="7">
        <f t="shared" si="23"/>
        <v>587.80104712041884</v>
      </c>
      <c r="EY11" s="7">
        <f t="shared" si="23"/>
        <v>575.8131672597865</v>
      </c>
      <c r="EZ11" s="7">
        <f t="shared" si="23"/>
        <v>527.73333333333335</v>
      </c>
      <c r="FA11" s="7">
        <f t="shared" si="23"/>
        <v>326.81666666666666</v>
      </c>
      <c r="FB11" s="7">
        <f t="shared" si="23"/>
        <v>463.15</v>
      </c>
      <c r="FC11" s="7">
        <f t="shared" si="23"/>
        <v>406.27249357326491</v>
      </c>
      <c r="FD11" s="7" t="str">
        <f t="shared" si="23"/>
        <v/>
      </c>
      <c r="FE11" s="7">
        <f t="shared" si="23"/>
        <v>465.55778894472377</v>
      </c>
      <c r="FF11" s="7">
        <f t="shared" si="23"/>
        <v>302.64106351550947</v>
      </c>
      <c r="FG11" s="7">
        <f t="shared" si="23"/>
        <v>589.28980891719755</v>
      </c>
      <c r="FH11" s="7">
        <f t="shared" si="23"/>
        <v>419.86602870813397</v>
      </c>
      <c r="FI11" s="7">
        <f t="shared" si="23"/>
        <v>503.46443514644352</v>
      </c>
      <c r="FJ11" s="7">
        <f t="shared" si="23"/>
        <v>631.41422594142261</v>
      </c>
      <c r="FK11" s="7">
        <f t="shared" si="23"/>
        <v>494.27777777777777</v>
      </c>
      <c r="FL11" s="7">
        <f t="shared" si="23"/>
        <v>371.05333333333334</v>
      </c>
      <c r="FM11" s="7">
        <f t="shared" si="23"/>
        <v>431.83396226415095</v>
      </c>
      <c r="FN11" s="7">
        <f t="shared" si="23"/>
        <v>536.03571428571445</v>
      </c>
      <c r="FO11" s="7">
        <f t="shared" si="23"/>
        <v>396.53979238754323</v>
      </c>
      <c r="FP11" s="7">
        <f t="shared" si="23"/>
        <v>430.14484679665753</v>
      </c>
      <c r="FQ11" s="7">
        <f t="shared" si="23"/>
        <v>434.41018387553049</v>
      </c>
      <c r="FR11" s="7" t="str">
        <f t="shared" si="23"/>
        <v/>
      </c>
      <c r="FS11" s="7">
        <f t="shared" si="23"/>
        <v>411.20634920634922</v>
      </c>
      <c r="FT11" s="7">
        <f t="shared" si="23"/>
        <v>504.74812967581039</v>
      </c>
      <c r="FU11" s="7">
        <f t="shared" si="23"/>
        <v>502.34871794871793</v>
      </c>
      <c r="FV11" s="7">
        <f t="shared" si="23"/>
        <v>481.66363636363633</v>
      </c>
      <c r="FW11" s="7">
        <f t="shared" si="23"/>
        <v>332.4089552238807</v>
      </c>
      <c r="FX11" s="7">
        <f t="shared" si="23"/>
        <v>413.84930232558133</v>
      </c>
      <c r="FY11" s="7">
        <f t="shared" si="23"/>
        <v>559.36969696969697</v>
      </c>
      <c r="FZ11" s="7">
        <f t="shared" si="23"/>
        <v>398.93602693602696</v>
      </c>
      <c r="GA11" s="7">
        <f t="shared" si="23"/>
        <v>448.04848484848486</v>
      </c>
      <c r="GB11" s="7">
        <f t="shared" si="23"/>
        <v>475.93241816261866</v>
      </c>
      <c r="GC11" s="7">
        <f t="shared" si="23"/>
        <v>513.87169811320757</v>
      </c>
      <c r="GD11" s="7">
        <f t="shared" si="23"/>
        <v>466.72727272727275</v>
      </c>
      <c r="GE11" s="7">
        <f t="shared" si="23"/>
        <v>324.06243496357956</v>
      </c>
      <c r="GF11" s="7" t="str">
        <f t="shared" si="23"/>
        <v/>
      </c>
      <c r="GG11" s="7">
        <f t="shared" si="23"/>
        <v>538.17948717948718</v>
      </c>
      <c r="GH11" s="7">
        <f t="shared" si="23"/>
        <v>476.6236559139785</v>
      </c>
      <c r="GI11" s="7">
        <f t="shared" si="23"/>
        <v>550.23300970873788</v>
      </c>
      <c r="GJ11" s="7">
        <f t="shared" si="23"/>
        <v>510.63030303030303</v>
      </c>
      <c r="GK11" s="7">
        <f t="shared" si="23"/>
        <v>494.89333333333332</v>
      </c>
      <c r="GL11" s="7">
        <f t="shared" si="23"/>
        <v>402.0242424242424</v>
      </c>
      <c r="GM11" s="7">
        <f t="shared" si="23"/>
        <v>523.75535168195722</v>
      </c>
      <c r="GN11" s="7">
        <f t="shared" si="23"/>
        <v>546.78518518518524</v>
      </c>
      <c r="GO11" s="7">
        <f t="shared" ref="GO11:IZ11" si="24">+IFERROR(GO10/GO9,"")</f>
        <v>299.67466110531797</v>
      </c>
      <c r="GP11" s="7">
        <f t="shared" si="24"/>
        <v>542.52238805970148</v>
      </c>
      <c r="GQ11" s="7">
        <f t="shared" si="24"/>
        <v>462.92079207920796</v>
      </c>
      <c r="GR11" s="7">
        <f t="shared" si="24"/>
        <v>583.38396624472568</v>
      </c>
      <c r="GS11" s="7">
        <f t="shared" si="24"/>
        <v>511.61797752809002</v>
      </c>
      <c r="GT11" s="7" t="str">
        <f t="shared" si="24"/>
        <v/>
      </c>
      <c r="GU11" s="7">
        <f t="shared" si="24"/>
        <v>456.94117647058823</v>
      </c>
      <c r="GV11" s="7">
        <f t="shared" si="24"/>
        <v>563.50952380952378</v>
      </c>
      <c r="GW11" s="7">
        <f t="shared" si="24"/>
        <v>599.26398673849974</v>
      </c>
      <c r="GX11" s="7">
        <f t="shared" si="24"/>
        <v>582.72098765432099</v>
      </c>
      <c r="GY11" s="7">
        <f t="shared" si="24"/>
        <v>538.08755760368661</v>
      </c>
      <c r="GZ11" s="7">
        <f t="shared" si="24"/>
        <v>556.86577992744856</v>
      </c>
      <c r="HA11" s="7">
        <f t="shared" si="24"/>
        <v>582.64848484848483</v>
      </c>
      <c r="HB11" s="7">
        <f t="shared" si="24"/>
        <v>554.68444444444447</v>
      </c>
      <c r="HC11" s="7">
        <f t="shared" si="24"/>
        <v>726.28641975308642</v>
      </c>
      <c r="HD11" s="7">
        <f t="shared" si="24"/>
        <v>612.17777777777781</v>
      </c>
      <c r="HE11" s="7">
        <f t="shared" si="24"/>
        <v>645.50136986301368</v>
      </c>
      <c r="HF11" s="7">
        <f t="shared" si="24"/>
        <v>583.32578916021441</v>
      </c>
      <c r="HG11" s="7">
        <f t="shared" si="24"/>
        <v>596.41176470588243</v>
      </c>
      <c r="HH11" s="7" t="str">
        <f t="shared" si="24"/>
        <v/>
      </c>
      <c r="HI11" s="7">
        <f t="shared" si="24"/>
        <v>636.04615384615386</v>
      </c>
      <c r="HJ11" s="7">
        <f t="shared" si="24"/>
        <v>579.20888888888885</v>
      </c>
      <c r="HK11" s="7">
        <f t="shared" si="24"/>
        <v>625.66436781609195</v>
      </c>
      <c r="HL11" s="7">
        <f t="shared" si="24"/>
        <v>654.2792937399679</v>
      </c>
      <c r="HM11" s="7">
        <f t="shared" si="24"/>
        <v>629.11827956989248</v>
      </c>
      <c r="HN11" s="7">
        <f t="shared" si="24"/>
        <v>670.4148148148148</v>
      </c>
      <c r="HO11" s="7">
        <f t="shared" si="24"/>
        <v>638.29333333333329</v>
      </c>
      <c r="HP11" s="7">
        <f t="shared" si="24"/>
        <v>633.38222222222225</v>
      </c>
      <c r="HQ11" s="7">
        <f t="shared" si="24"/>
        <v>597.33184357541893</v>
      </c>
      <c r="HR11" s="7">
        <f t="shared" si="24"/>
        <v>557.2543209876543</v>
      </c>
      <c r="HS11" s="7">
        <f t="shared" si="24"/>
        <v>635.94074074074069</v>
      </c>
      <c r="HT11" s="7">
        <f t="shared" si="24"/>
        <v>546.61149425287351</v>
      </c>
      <c r="HU11" s="7">
        <f t="shared" si="24"/>
        <v>607.97619047619048</v>
      </c>
      <c r="HV11" s="7" t="str">
        <f t="shared" si="24"/>
        <v/>
      </c>
      <c r="HW11" s="7">
        <f t="shared" si="24"/>
        <v>548.65128205128201</v>
      </c>
      <c r="HX11" s="7">
        <f t="shared" si="24"/>
        <v>641.18333333333328</v>
      </c>
      <c r="HY11" s="7">
        <f t="shared" si="24"/>
        <v>672.95341098169729</v>
      </c>
      <c r="HZ11" s="7">
        <f t="shared" si="24"/>
        <v>590.55873015873021</v>
      </c>
      <c r="IA11" s="7">
        <f t="shared" si="24"/>
        <v>551.45066666666662</v>
      </c>
      <c r="IB11" s="7">
        <f t="shared" si="24"/>
        <v>595.32222222222219</v>
      </c>
      <c r="IC11" s="7">
        <f t="shared" si="24"/>
        <v>586.39333333333332</v>
      </c>
      <c r="ID11" s="7">
        <f t="shared" si="24"/>
        <v>418.32828282828285</v>
      </c>
      <c r="IE11" s="7">
        <f t="shared" si="24"/>
        <v>437.68475452196384</v>
      </c>
      <c r="IF11" s="7">
        <f t="shared" si="24"/>
        <v>404.44776119402985</v>
      </c>
      <c r="IG11" s="7">
        <f t="shared" si="24"/>
        <v>502.56084656084658</v>
      </c>
      <c r="IH11" s="7">
        <f t="shared" si="24"/>
        <v>389.04568527918781</v>
      </c>
      <c r="II11" s="7">
        <f t="shared" si="24"/>
        <v>497.13888888888891</v>
      </c>
      <c r="IJ11" s="7" t="str">
        <f t="shared" si="24"/>
        <v/>
      </c>
      <c r="IK11" s="7">
        <f t="shared" si="24"/>
        <v>485.074176913923</v>
      </c>
      <c r="IL11" s="7">
        <f t="shared" si="24"/>
        <v>488.13389121338918</v>
      </c>
      <c r="IM11" s="7">
        <f t="shared" si="24"/>
        <v>561.34871794871799</v>
      </c>
      <c r="IN11" s="7">
        <f t="shared" si="24"/>
        <v>574.34567901234573</v>
      </c>
      <c r="IO11" s="7">
        <f t="shared" si="24"/>
        <v>541.2833333333333</v>
      </c>
      <c r="IP11" s="7">
        <f t="shared" si="24"/>
        <v>607.66395663956644</v>
      </c>
      <c r="IQ11" s="7">
        <f t="shared" si="24"/>
        <v>615.45098039215691</v>
      </c>
      <c r="IR11" s="7">
        <f t="shared" si="24"/>
        <v>616.84615384615381</v>
      </c>
      <c r="IS11" s="7">
        <f t="shared" si="24"/>
        <v>583.18933333333337</v>
      </c>
      <c r="IT11" s="7">
        <f t="shared" si="24"/>
        <v>582.05866666666668</v>
      </c>
      <c r="IU11" s="7">
        <f t="shared" si="24"/>
        <v>321.41728395061727</v>
      </c>
      <c r="IV11" s="7">
        <f t="shared" si="24"/>
        <v>592.71014492753625</v>
      </c>
      <c r="IW11" s="7">
        <f t="shared" si="24"/>
        <v>579.56543209876543</v>
      </c>
      <c r="IX11" s="7" t="str">
        <f t="shared" si="24"/>
        <v/>
      </c>
      <c r="IY11" s="7">
        <f t="shared" si="24"/>
        <v>639.79487179487182</v>
      </c>
      <c r="IZ11" s="7">
        <f t="shared" si="24"/>
        <v>651.35466666666662</v>
      </c>
      <c r="JA11" s="7">
        <f t="shared" ref="JA11:JZ11" si="25">+IFERROR(JA10/JA9,"")</f>
        <v>617.21113490364019</v>
      </c>
      <c r="JB11" s="7">
        <f t="shared" si="25"/>
        <v>471.8909574468085</v>
      </c>
      <c r="JC11" s="7">
        <f t="shared" si="25"/>
        <v>443.96663296258851</v>
      </c>
      <c r="JD11" s="7">
        <f t="shared" si="25"/>
        <v>592.69425287356319</v>
      </c>
      <c r="JE11" s="7" t="str">
        <f t="shared" si="25"/>
        <v/>
      </c>
      <c r="JF11" s="7">
        <f t="shared" si="25"/>
        <v>605.12240027275823</v>
      </c>
      <c r="JG11" s="7">
        <f t="shared" si="25"/>
        <v>556.17037037037039</v>
      </c>
      <c r="JH11" s="7">
        <f t="shared" si="25"/>
        <v>531.02101464657187</v>
      </c>
      <c r="JI11" s="7">
        <f t="shared" si="25"/>
        <v>629.46842222718146</v>
      </c>
      <c r="JJ11" s="7">
        <f t="shared" si="25"/>
        <v>518.14814814814815</v>
      </c>
      <c r="JK11" s="7">
        <f t="shared" si="25"/>
        <v>590.26019417475732</v>
      </c>
      <c r="JL11" s="7" t="str">
        <f t="shared" si="25"/>
        <v/>
      </c>
      <c r="JM11" s="7">
        <f t="shared" si="25"/>
        <v>556.11271896420408</v>
      </c>
      <c r="JN11" s="7">
        <f t="shared" si="25"/>
        <v>507.92105263157896</v>
      </c>
      <c r="JO11" s="7">
        <f t="shared" si="25"/>
        <v>537.17073170731703</v>
      </c>
      <c r="JP11" s="7">
        <f t="shared" si="25"/>
        <v>463.33198263386402</v>
      </c>
      <c r="JQ11" s="7">
        <f t="shared" si="25"/>
        <v>452.63030303030303</v>
      </c>
      <c r="JR11" s="7">
        <f t="shared" si="25"/>
        <v>380.80624556422993</v>
      </c>
      <c r="JS11" s="7" t="str">
        <f t="shared" si="25"/>
        <v/>
      </c>
      <c r="JT11" s="7">
        <f t="shared" si="25"/>
        <v>610.44497607655501</v>
      </c>
      <c r="JU11" s="7">
        <f t="shared" si="25"/>
        <v>374.13888888888891</v>
      </c>
      <c r="JV11" s="7">
        <f t="shared" si="25"/>
        <v>494.69629629629628</v>
      </c>
      <c r="JW11" s="7">
        <f t="shared" si="25"/>
        <v>521.12316384180792</v>
      </c>
      <c r="JX11" s="7">
        <f t="shared" si="25"/>
        <v>468.42</v>
      </c>
      <c r="JY11" s="7">
        <f t="shared" si="25"/>
        <v>504.79837728194724</v>
      </c>
      <c r="JZ11" s="7" t="str">
        <f t="shared" si="25"/>
        <v/>
      </c>
      <c r="LY11" s="83"/>
      <c r="LZ11" s="34"/>
      <c r="MA11" s="34"/>
      <c r="MB11" s="34"/>
      <c r="MC11" s="34"/>
      <c r="MD11" s="34"/>
      <c r="ME11" s="34"/>
      <c r="MF11" s="34"/>
      <c r="MG11" s="34"/>
      <c r="MH11" s="34"/>
      <c r="MI11" s="34"/>
      <c r="MJ11" s="34"/>
      <c r="MK11" s="34"/>
      <c r="ML11" s="34"/>
      <c r="MM11" s="34"/>
      <c r="MN11" s="34"/>
      <c r="MO11" s="34"/>
      <c r="MP11" s="34"/>
      <c r="MQ11" s="34"/>
      <c r="MR11" s="34"/>
      <c r="MS11" s="34"/>
      <c r="MV11" s="7"/>
      <c r="MY11" s="74"/>
      <c r="MZ11" s="74"/>
    </row>
    <row r="12" spans="1:367" ht="14.4" customHeight="1">
      <c r="E12" s="77"/>
      <c r="F12" s="62"/>
      <c r="N12" s="20"/>
      <c r="AI12" s="20"/>
      <c r="AP12" s="20"/>
      <c r="BW12" s="24"/>
      <c r="BX12" s="26"/>
      <c r="BY12" s="25"/>
      <c r="CQ12" s="26"/>
      <c r="CR12" s="26"/>
      <c r="CT12" s="20"/>
      <c r="CU12" s="93"/>
      <c r="DA12" s="20"/>
      <c r="DH12" s="20"/>
      <c r="DI12" s="25"/>
      <c r="DM12" s="240"/>
      <c r="DN12" s="240"/>
      <c r="DO12" s="20"/>
      <c r="DV12" s="20"/>
      <c r="EC12" s="20"/>
      <c r="EF12" s="240"/>
      <c r="EG12" s="240"/>
      <c r="EI12" s="54"/>
      <c r="EJ12" s="20"/>
      <c r="EQ12" s="20"/>
      <c r="ER12" s="93"/>
      <c r="EX12" s="20"/>
      <c r="FS12" s="20"/>
      <c r="FZ12" s="20"/>
      <c r="GD12" s="24"/>
      <c r="GE12" s="41"/>
      <c r="GS12" s="24"/>
      <c r="GT12" s="25"/>
      <c r="GU12" s="20"/>
      <c r="GX12" s="93"/>
      <c r="GY12" s="93"/>
      <c r="HB12" s="20"/>
      <c r="HI12" s="20"/>
      <c r="HK12" s="24"/>
      <c r="HL12" s="41"/>
      <c r="HN12" s="24"/>
      <c r="HO12" s="25"/>
      <c r="HP12" s="20"/>
      <c r="HW12" s="20"/>
      <c r="ID12" s="20"/>
      <c r="IJ12" s="24"/>
      <c r="IK12" s="20"/>
      <c r="IR12" s="20"/>
      <c r="IS12" s="93"/>
      <c r="IT12" s="25"/>
      <c r="IY12" s="20"/>
      <c r="JF12" s="20"/>
      <c r="JG12" s="24"/>
      <c r="JH12" s="25"/>
      <c r="JJ12" s="24"/>
      <c r="JK12" s="41"/>
      <c r="JL12" s="24"/>
      <c r="JM12" s="41"/>
      <c r="JQ12" s="24"/>
      <c r="JR12" s="25"/>
      <c r="JT12" s="20"/>
      <c r="JU12" s="20"/>
      <c r="JV12" s="20"/>
      <c r="JZ12" s="24"/>
      <c r="KA12" s="25"/>
      <c r="KH12" s="24"/>
      <c r="KI12" s="25"/>
      <c r="KO12" s="24"/>
      <c r="KY12" s="24"/>
      <c r="KZ12" s="41"/>
      <c r="LG12" s="24"/>
      <c r="LH12" s="41"/>
      <c r="LM12" s="24"/>
      <c r="LN12" s="41"/>
      <c r="LP12" s="24"/>
      <c r="LQ12" s="25"/>
      <c r="LU12" s="42"/>
      <c r="LV12" s="42"/>
      <c r="MB12" s="54"/>
      <c r="MC12" s="61"/>
      <c r="MN12" s="24"/>
      <c r="MO12" s="41"/>
      <c r="MT12" s="77"/>
      <c r="MU12" s="112"/>
      <c r="MY12" s="77"/>
      <c r="MZ12" s="112"/>
    </row>
    <row r="13" spans="1:367" ht="14.4" customHeight="1">
      <c r="E13" s="77"/>
      <c r="F13" s="78"/>
      <c r="G13" s="20"/>
      <c r="K13" s="74"/>
      <c r="L13" s="74"/>
      <c r="N13" s="20"/>
      <c r="U13" s="20"/>
      <c r="AB13" s="20"/>
      <c r="AI13" s="20"/>
      <c r="AP13" s="20"/>
      <c r="AU13" s="74"/>
      <c r="AV13" s="74"/>
      <c r="BG13" s="74"/>
      <c r="BH13" s="74"/>
      <c r="BK13" s="20"/>
      <c r="BU13" s="163"/>
      <c r="BV13"/>
      <c r="BW13" s="24"/>
      <c r="BX13" s="26"/>
      <c r="BY13" s="20"/>
      <c r="CB13" s="163"/>
      <c r="CC13"/>
      <c r="CF13" s="20"/>
      <c r="CR13" s="26"/>
      <c r="CU13" s="25"/>
      <c r="DI13" s="25"/>
      <c r="DM13" s="93"/>
      <c r="DN13" s="93"/>
      <c r="DO13" s="20"/>
      <c r="DS13" s="240"/>
      <c r="DT13" s="240"/>
      <c r="DV13" s="20"/>
      <c r="EC13" s="20"/>
      <c r="EE13" s="74"/>
      <c r="EF13" s="74"/>
      <c r="EG13" s="93"/>
      <c r="EI13" s="54"/>
      <c r="EJ13" s="20"/>
      <c r="EQ13" s="20"/>
      <c r="ER13" s="25"/>
      <c r="EX13" s="20"/>
      <c r="FG13" s="74"/>
      <c r="FH13" s="74"/>
      <c r="FO13" s="163"/>
      <c r="FP13"/>
      <c r="FS13" s="20"/>
      <c r="FZ13" s="20"/>
      <c r="GD13" s="24"/>
      <c r="GE13" s="41"/>
      <c r="GG13" s="20"/>
      <c r="GM13" s="93"/>
      <c r="GN13" s="224"/>
      <c r="GS13" s="24"/>
      <c r="GT13" s="25"/>
      <c r="GU13" s="20"/>
      <c r="GX13" s="24"/>
      <c r="GY13" s="41"/>
      <c r="HB13" s="20"/>
      <c r="HI13" s="20"/>
      <c r="HK13" s="24"/>
      <c r="HL13" s="41"/>
      <c r="HN13" s="24"/>
      <c r="HO13" s="25"/>
      <c r="HP13" s="20"/>
      <c r="HW13" s="20"/>
      <c r="IC13" s="93"/>
      <c r="ID13" s="20"/>
      <c r="IJ13" s="24"/>
      <c r="IK13" s="20"/>
      <c r="IR13" s="20"/>
      <c r="IS13" s="93"/>
      <c r="IT13" s="25"/>
      <c r="IY13" s="20"/>
      <c r="IZ13" s="74"/>
      <c r="JF13" s="20"/>
      <c r="JG13" s="24"/>
      <c r="JH13" s="25"/>
      <c r="JJ13" s="24"/>
      <c r="JK13" s="41"/>
      <c r="JL13" s="24"/>
      <c r="JM13" s="41"/>
      <c r="JQ13" s="24"/>
      <c r="JR13" s="25"/>
      <c r="JT13" s="20"/>
      <c r="JZ13" s="24"/>
      <c r="KA13" s="25"/>
      <c r="KH13" s="24"/>
      <c r="KI13" s="25"/>
      <c r="KO13" s="24"/>
      <c r="KP13" s="41"/>
      <c r="KQ13" s="53"/>
      <c r="KY13" s="24"/>
      <c r="KZ13" s="41"/>
      <c r="LG13" s="24"/>
      <c r="LH13" s="41"/>
      <c r="LM13" s="24"/>
      <c r="LN13" s="41"/>
      <c r="LP13" s="24"/>
      <c r="LQ13" s="25"/>
      <c r="LU13" s="54"/>
      <c r="LV13" s="55"/>
      <c r="MB13" s="54"/>
      <c r="MC13" s="61"/>
      <c r="MN13" s="24"/>
      <c r="MO13" s="41"/>
      <c r="MT13" s="77"/>
      <c r="MU13" s="112"/>
      <c r="MY13" s="77"/>
      <c r="MZ13" s="112"/>
    </row>
    <row r="14" spans="1:367" ht="16.8">
      <c r="E14" s="77"/>
      <c r="F14" s="78"/>
      <c r="G14" s="20"/>
      <c r="K14" s="77"/>
      <c r="L14" s="112"/>
      <c r="N14" s="20"/>
      <c r="U14" s="20"/>
      <c r="AB14" s="20"/>
      <c r="AC14" s="74"/>
      <c r="AI14" s="20"/>
      <c r="AP14" s="20"/>
      <c r="AU14" s="77"/>
      <c r="AV14" s="112"/>
      <c r="AW14" s="20"/>
      <c r="BD14" s="184"/>
      <c r="BE14" s="74"/>
      <c r="BG14" s="77"/>
      <c r="BH14" s="112"/>
      <c r="BK14" s="20"/>
      <c r="BN14" s="74"/>
      <c r="BO14" s="74"/>
      <c r="BU14"/>
      <c r="BV14"/>
      <c r="BW14" s="74"/>
      <c r="BX14" s="26"/>
      <c r="BY14" s="20"/>
      <c r="CF14" s="20"/>
      <c r="CR14" s="26"/>
      <c r="CU14" s="25"/>
      <c r="DI14" s="25"/>
      <c r="DM14" s="24"/>
      <c r="DN14" s="41"/>
      <c r="DO14" s="20"/>
      <c r="DS14" s="93"/>
      <c r="DT14" s="93"/>
      <c r="DV14" s="20"/>
      <c r="DZ14" s="28"/>
      <c r="EA14" s="27"/>
      <c r="EC14" s="20"/>
      <c r="ED14" s="74"/>
      <c r="EE14" s="74"/>
      <c r="EF14" s="112"/>
      <c r="EG14" s="25"/>
      <c r="EI14" s="54"/>
      <c r="EJ14" s="20"/>
      <c r="EQ14" s="20"/>
      <c r="ER14" s="25"/>
      <c r="EV14" s="93"/>
      <c r="EW14" s="93"/>
      <c r="EX14" s="20"/>
      <c r="EZ14" s="74"/>
      <c r="FA14" s="74"/>
      <c r="FE14" s="6"/>
      <c r="FG14" s="77"/>
      <c r="FH14" s="112"/>
      <c r="FL14" s="6"/>
      <c r="FM14" s="6"/>
      <c r="FO14"/>
      <c r="FP14"/>
      <c r="FS14" s="20"/>
      <c r="FW14" s="93"/>
      <c r="FX14" s="93"/>
      <c r="FZ14" s="20"/>
      <c r="GD14" s="24"/>
      <c r="GE14" s="41"/>
      <c r="GG14" s="20"/>
      <c r="GH14" s="93"/>
      <c r="GM14" s="24"/>
      <c r="GN14" s="224"/>
      <c r="GS14" s="24"/>
      <c r="GT14" s="26"/>
      <c r="GU14" s="20"/>
      <c r="GW14" s="77"/>
      <c r="GX14" s="112"/>
      <c r="GY14" s="41"/>
      <c r="HA14" s="93"/>
      <c r="HB14" s="20"/>
      <c r="HC14" s="93"/>
      <c r="HH14" s="74"/>
      <c r="HI14" s="20"/>
      <c r="HK14" s="24"/>
      <c r="HL14" s="41"/>
      <c r="HN14" s="24"/>
      <c r="HO14" s="25"/>
      <c r="HP14" s="20"/>
      <c r="HU14" s="93"/>
      <c r="HV14" s="93"/>
      <c r="HW14" s="20"/>
      <c r="IC14" s="24"/>
      <c r="ID14" s="20"/>
      <c r="IE14" s="74"/>
      <c r="IJ14" s="24"/>
      <c r="IK14" s="20"/>
      <c r="IR14" s="20"/>
      <c r="IS14" s="93"/>
      <c r="IT14" s="25"/>
      <c r="IY14" s="219"/>
      <c r="IZ14" s="112"/>
      <c r="JF14" s="20"/>
      <c r="JG14" s="24"/>
      <c r="JH14" s="26"/>
      <c r="JJ14" s="24"/>
      <c r="JK14" s="41"/>
      <c r="JL14" s="24"/>
      <c r="JM14" s="41"/>
      <c r="JN14"/>
      <c r="JO14"/>
      <c r="JQ14" s="24"/>
      <c r="JR14" s="25"/>
      <c r="JT14" s="20"/>
      <c r="JZ14" s="24"/>
      <c r="KA14" s="25"/>
      <c r="KH14" s="24"/>
      <c r="KI14" s="26"/>
      <c r="KO14" s="24"/>
      <c r="KP14" s="93"/>
      <c r="KY14" s="24"/>
      <c r="KZ14" s="41"/>
      <c r="LG14" s="24"/>
      <c r="LH14" s="93"/>
      <c r="LM14" s="24"/>
      <c r="LN14" s="41"/>
      <c r="LP14" s="24"/>
      <c r="LQ14" s="25"/>
      <c r="LU14" s="54"/>
      <c r="LV14" s="55"/>
      <c r="MB14" s="54"/>
      <c r="MC14" s="61"/>
      <c r="MN14" s="24"/>
      <c r="MO14" s="41"/>
      <c r="MT14" s="77"/>
      <c r="MU14" s="112"/>
      <c r="MY14" s="77"/>
      <c r="MZ14" s="112"/>
    </row>
    <row r="15" spans="1:367" ht="16.8">
      <c r="E15" s="77"/>
      <c r="F15" s="78"/>
      <c r="G15" s="74"/>
      <c r="H15" s="74"/>
      <c r="K15" s="77"/>
      <c r="L15" s="112"/>
      <c r="U15" s="20"/>
      <c r="AB15" s="184"/>
      <c r="AC15" s="112"/>
      <c r="AU15" s="77"/>
      <c r="AV15" s="112"/>
      <c r="AW15" s="20"/>
      <c r="BA15" s="20"/>
      <c r="BD15" s="184"/>
      <c r="BE15" s="112"/>
      <c r="BG15" s="77"/>
      <c r="BH15" s="112"/>
      <c r="BK15" s="20"/>
      <c r="BN15" s="77"/>
      <c r="BO15" s="112"/>
      <c r="BU15" s="164"/>
      <c r="BV15" s="164"/>
      <c r="BW15" s="112"/>
      <c r="BX15" s="26"/>
      <c r="BZ15" s="93"/>
      <c r="CA15" s="93"/>
      <c r="CB15" s="164"/>
      <c r="CC15" s="164"/>
      <c r="CR15" s="26"/>
      <c r="CT15" s="24"/>
      <c r="CU15" s="25"/>
      <c r="CW15" s="163"/>
      <c r="CX15"/>
      <c r="DH15" s="24"/>
      <c r="DI15" s="25"/>
      <c r="DM15" s="24"/>
      <c r="DN15" s="41"/>
      <c r="DQ15" s="74"/>
      <c r="DR15" s="74"/>
      <c r="DS15" s="24"/>
      <c r="DT15" s="25"/>
      <c r="DZ15" s="28"/>
      <c r="EA15" s="27"/>
      <c r="ED15" s="77"/>
      <c r="EE15" s="112"/>
      <c r="EF15" s="112"/>
      <c r="EG15" s="25"/>
      <c r="EI15" s="54"/>
      <c r="EJ15" s="55"/>
      <c r="EQ15" s="24"/>
      <c r="ER15" s="25"/>
      <c r="EV15" s="24"/>
      <c r="EW15" s="25"/>
      <c r="EZ15" s="77"/>
      <c r="FA15" s="112"/>
      <c r="FG15" s="77"/>
      <c r="FH15" s="112"/>
      <c r="FL15" s="54"/>
      <c r="FM15" s="61"/>
      <c r="FO15" s="164"/>
      <c r="FP15" s="164"/>
      <c r="FS15" s="20"/>
      <c r="FW15" s="24"/>
      <c r="FX15" s="41"/>
      <c r="GD15" s="24"/>
      <c r="GE15" s="74"/>
      <c r="GF15" s="74"/>
      <c r="GG15" s="223"/>
      <c r="GH15" s="41"/>
      <c r="GM15" s="24"/>
      <c r="GN15" s="184"/>
      <c r="GO15" s="74"/>
      <c r="GS15" s="24"/>
      <c r="GT15" s="26"/>
      <c r="GW15" s="77"/>
      <c r="GX15" s="112"/>
      <c r="GY15" s="41"/>
      <c r="HA15" s="24"/>
      <c r="HB15" s="93"/>
      <c r="HC15" s="25"/>
      <c r="HD15" s="74"/>
      <c r="HE15" s="74"/>
      <c r="HH15" s="222"/>
      <c r="HI15" s="78"/>
      <c r="HK15" s="24"/>
      <c r="HL15" s="93"/>
      <c r="HN15" s="24"/>
      <c r="HO15" s="25"/>
      <c r="HU15" s="24"/>
      <c r="HV15" s="74"/>
      <c r="HW15" s="74"/>
      <c r="IC15" s="24"/>
      <c r="ID15" s="77"/>
      <c r="IE15" s="112"/>
      <c r="IJ15" s="24"/>
      <c r="IK15" s="163"/>
      <c r="IL15"/>
      <c r="IR15" s="24"/>
      <c r="IS15" s="93"/>
      <c r="IT15" s="25"/>
      <c r="IX15"/>
      <c r="IY15" s="77"/>
      <c r="IZ15" s="112"/>
      <c r="JI15" s="3"/>
      <c r="JJ15" s="3"/>
      <c r="JK15" s="3"/>
      <c r="JL15" s="24"/>
      <c r="JM15" s="41"/>
      <c r="JN15"/>
      <c r="JO15"/>
      <c r="JQ15" s="24"/>
      <c r="JR15" s="25"/>
      <c r="JZ15" s="24"/>
      <c r="KA15" s="25"/>
      <c r="KQ15" s="42"/>
      <c r="KR15" s="42"/>
      <c r="KY15" s="24"/>
      <c r="KZ15" s="93"/>
      <c r="LM15" s="24"/>
      <c r="LN15" s="93"/>
      <c r="LP15" s="24"/>
      <c r="LQ15" s="26"/>
      <c r="LU15" s="54"/>
      <c r="LV15" s="55"/>
      <c r="MB15" s="54"/>
      <c r="MC15" s="61"/>
      <c r="MN15" s="24"/>
      <c r="MO15" s="41"/>
      <c r="MT15" s="77"/>
      <c r="MU15" s="112"/>
      <c r="MY15" s="77"/>
      <c r="MZ15" s="112"/>
    </row>
    <row r="16" spans="1:367" ht="16.8">
      <c r="E16" s="77"/>
      <c r="F16" s="78"/>
      <c r="G16" s="77"/>
      <c r="H16" s="112"/>
      <c r="K16" s="77"/>
      <c r="L16" s="112"/>
      <c r="AB16" s="185"/>
      <c r="AC16" s="112"/>
      <c r="AO16" s="74"/>
      <c r="AP16" s="74"/>
      <c r="AQ16" s="74"/>
      <c r="AR16" s="74"/>
      <c r="AU16" s="77"/>
      <c r="AV16" s="74"/>
      <c r="AW16" s="74"/>
      <c r="AX16" s="74"/>
      <c r="BD16" s="185"/>
      <c r="BE16" s="112"/>
      <c r="BG16" s="77"/>
      <c r="BH16" s="112"/>
      <c r="BN16" s="77"/>
      <c r="BO16" s="112"/>
      <c r="BU16" s="168"/>
      <c r="BV16" s="207"/>
      <c r="BW16" s="112"/>
      <c r="BX16" s="26"/>
      <c r="BY16" s="20"/>
      <c r="BZ16" s="24"/>
      <c r="CA16" s="25"/>
      <c r="CB16" s="168"/>
      <c r="CC16" s="164"/>
      <c r="CF16" s="20"/>
      <c r="CO16" s="74"/>
      <c r="CP16" s="74"/>
      <c r="CT16" s="24"/>
      <c r="CU16" s="25"/>
      <c r="CW16"/>
      <c r="CX16"/>
      <c r="DE16" s="74"/>
      <c r="DF16" s="74"/>
      <c r="DH16" s="24"/>
      <c r="DI16" s="25"/>
      <c r="DK16" s="74"/>
      <c r="DL16" s="74"/>
      <c r="DM16" s="24"/>
      <c r="DN16" s="41"/>
      <c r="DQ16" s="77"/>
      <c r="DR16" s="112"/>
      <c r="DS16" s="24"/>
      <c r="DT16" s="25"/>
      <c r="DZ16" s="28"/>
      <c r="EA16" s="27"/>
      <c r="ED16" s="77"/>
      <c r="EE16" s="112"/>
      <c r="EF16" s="112"/>
      <c r="EG16" s="25"/>
      <c r="EI16" s="54"/>
      <c r="EJ16" s="55"/>
      <c r="EQ16" s="24"/>
      <c r="ER16" s="25"/>
      <c r="EV16" s="24"/>
      <c r="EW16" s="25"/>
      <c r="EZ16" s="77"/>
      <c r="FA16" s="112"/>
      <c r="FC16" s="28"/>
      <c r="FD16" s="27"/>
      <c r="FG16" s="77"/>
      <c r="FH16" s="112"/>
      <c r="FL16" s="54"/>
      <c r="FM16" s="61"/>
      <c r="FO16" s="168"/>
      <c r="FP16" s="207"/>
      <c r="FT16" s="74"/>
      <c r="FU16" s="74"/>
      <c r="FW16" s="24"/>
      <c r="FX16" s="41"/>
      <c r="GE16" s="77"/>
      <c r="GF16" s="78"/>
      <c r="GG16" s="24"/>
      <c r="GH16" s="74"/>
      <c r="GI16" s="74"/>
      <c r="GM16" s="24"/>
      <c r="GN16" s="77"/>
      <c r="GO16" s="112"/>
      <c r="GS16" s="24"/>
      <c r="GT16" s="26"/>
      <c r="GW16" s="77"/>
      <c r="GX16" s="112"/>
      <c r="GY16" s="41"/>
      <c r="HA16" s="24"/>
      <c r="HB16" s="93"/>
      <c r="HC16" s="25"/>
      <c r="HD16" s="77"/>
      <c r="HE16" s="78"/>
      <c r="HH16" s="222"/>
      <c r="HI16" s="78"/>
      <c r="HN16" s="24"/>
      <c r="HO16" s="26"/>
      <c r="HR16" s="74"/>
      <c r="HS16" s="74"/>
      <c r="HU16" s="24"/>
      <c r="HV16" s="77"/>
      <c r="HW16" s="112"/>
      <c r="IC16" s="24"/>
      <c r="ID16" s="77"/>
      <c r="IE16" s="112"/>
      <c r="IJ16" s="24"/>
      <c r="IK16"/>
      <c r="IL16"/>
      <c r="IR16" s="163"/>
      <c r="IS16"/>
      <c r="IT16" s="25"/>
      <c r="IX16"/>
      <c r="IY16" s="77"/>
      <c r="IZ16" s="112"/>
      <c r="JF16" s="74"/>
      <c r="JG16" s="74"/>
      <c r="JJ16" s="24"/>
      <c r="JK16" s="41"/>
      <c r="JL16" s="24"/>
      <c r="JM16" s="93"/>
      <c r="JN16" s="74"/>
      <c r="JO16" s="74"/>
      <c r="JQ16" s="24"/>
      <c r="JR16" s="25"/>
      <c r="JT16" s="74"/>
      <c r="JU16" s="74"/>
      <c r="JZ16" s="24"/>
      <c r="KA16" s="25"/>
      <c r="KQ16" s="76"/>
      <c r="KR16" s="56"/>
      <c r="LU16" s="54"/>
      <c r="LV16" s="55"/>
      <c r="MB16" s="54"/>
      <c r="MC16" s="42"/>
      <c r="MN16" s="24"/>
      <c r="MO16" s="41"/>
      <c r="MT16" s="77"/>
      <c r="MU16" s="74"/>
      <c r="MY16" s="77"/>
      <c r="MZ16" s="74"/>
    </row>
    <row r="17" spans="5:364" ht="16.8">
      <c r="E17" s="77"/>
      <c r="F17" s="78"/>
      <c r="G17" s="77"/>
      <c r="H17" s="112"/>
      <c r="K17" s="77"/>
      <c r="L17" s="112"/>
      <c r="AB17" s="77"/>
      <c r="AC17" s="112"/>
      <c r="AI17" s="74"/>
      <c r="AJ17" s="74"/>
      <c r="AO17" s="77"/>
      <c r="AP17" s="112"/>
      <c r="AQ17" s="77"/>
      <c r="AR17" s="112"/>
      <c r="AW17" s="77"/>
      <c r="AX17" s="112"/>
      <c r="BD17" s="77"/>
      <c r="BE17" s="74"/>
      <c r="BG17" s="77"/>
      <c r="BH17" s="112"/>
      <c r="BN17" s="77"/>
      <c r="BO17" s="112"/>
      <c r="BU17" s="168"/>
      <c r="BV17" s="207"/>
      <c r="BW17" s="112"/>
      <c r="BZ17" s="24"/>
      <c r="CA17" s="25"/>
      <c r="CB17" s="168"/>
      <c r="CC17" s="164"/>
      <c r="CO17" s="77"/>
      <c r="CP17" s="74"/>
      <c r="CT17" s="24"/>
      <c r="CU17" s="25"/>
      <c r="CW17" s="164"/>
      <c r="CX17" s="164"/>
      <c r="DE17" s="77"/>
      <c r="DF17" s="112"/>
      <c r="DH17" s="24"/>
      <c r="DI17" s="25"/>
      <c r="DK17" s="77"/>
      <c r="DL17" s="112"/>
      <c r="DM17" s="24"/>
      <c r="DN17" s="93"/>
      <c r="DQ17" s="77"/>
      <c r="DR17" s="112"/>
      <c r="DS17" s="24"/>
      <c r="DT17" s="25"/>
      <c r="DZ17" s="28"/>
      <c r="EA17" s="27"/>
      <c r="ED17" s="77"/>
      <c r="EE17" s="112"/>
      <c r="EF17" s="112"/>
      <c r="EG17" s="25"/>
      <c r="EI17" s="54"/>
      <c r="EJ17" s="56"/>
      <c r="EQ17" s="24"/>
      <c r="ER17" s="25"/>
      <c r="EV17" s="24"/>
      <c r="EW17" s="25"/>
      <c r="EZ17" s="77"/>
      <c r="FA17" s="112"/>
      <c r="FC17" s="28"/>
      <c r="FD17" s="27"/>
      <c r="FG17" s="77"/>
      <c r="FH17" s="112"/>
      <c r="FL17" s="54"/>
      <c r="FM17" s="61"/>
      <c r="FO17" s="168"/>
      <c r="FP17" s="207"/>
      <c r="FT17" s="77"/>
      <c r="FU17" s="78"/>
      <c r="FW17" s="24"/>
      <c r="FX17" s="41"/>
      <c r="GE17" s="77"/>
      <c r="GF17" s="78"/>
      <c r="GG17" s="24"/>
      <c r="GH17" s="77"/>
      <c r="GI17" s="112"/>
      <c r="GM17" s="24"/>
      <c r="GN17" s="77"/>
      <c r="GO17" s="112"/>
      <c r="GW17" s="77"/>
      <c r="GX17" s="112"/>
      <c r="GY17" s="41"/>
      <c r="HA17" s="24"/>
      <c r="HB17" s="93"/>
      <c r="HC17" s="25"/>
      <c r="HD17" s="77"/>
      <c r="HE17" s="78"/>
      <c r="HH17" s="222"/>
      <c r="HI17" s="78"/>
      <c r="HR17" s="77"/>
      <c r="HS17" s="112"/>
      <c r="HU17" s="24"/>
      <c r="HV17" s="77"/>
      <c r="HW17" s="112"/>
      <c r="IC17" s="24"/>
      <c r="ID17" s="77"/>
      <c r="IE17" s="112"/>
      <c r="IJ17" s="24"/>
      <c r="IK17" s="164"/>
      <c r="IL17" s="164"/>
      <c r="IR17"/>
      <c r="IS17"/>
      <c r="IT17" s="25"/>
      <c r="IX17" s="101"/>
      <c r="IY17" s="101"/>
      <c r="IZ17" s="101"/>
      <c r="JF17" s="77"/>
      <c r="JG17" s="112"/>
      <c r="JJ17" s="24"/>
      <c r="JK17" s="93"/>
      <c r="JN17" s="77"/>
      <c r="JO17" s="112"/>
      <c r="JQ17" s="24"/>
      <c r="JR17" s="26"/>
      <c r="JT17" s="77"/>
      <c r="JU17" s="112"/>
      <c r="JZ17" s="24"/>
      <c r="KA17" s="25"/>
      <c r="KQ17" s="76"/>
      <c r="KR17" s="56"/>
      <c r="LU17" s="54"/>
      <c r="LV17" s="55"/>
      <c r="MN17" s="24"/>
      <c r="MO17" s="93"/>
      <c r="MT17"/>
      <c r="MU17"/>
      <c r="MY17"/>
      <c r="MZ17"/>
    </row>
    <row r="18" spans="5:364" ht="16.8">
      <c r="E18" s="77"/>
      <c r="F18" s="78"/>
      <c r="G18" s="77"/>
      <c r="H18" s="112"/>
      <c r="K18" s="77"/>
      <c r="L18" s="112"/>
      <c r="U18" s="74"/>
      <c r="V18" s="74"/>
      <c r="AB18" s="77"/>
      <c r="AC18" s="112"/>
      <c r="AI18" s="77"/>
      <c r="AJ18" s="112"/>
      <c r="AO18" s="77"/>
      <c r="AP18" s="112"/>
      <c r="AQ18" s="77"/>
      <c r="AR18" s="112"/>
      <c r="AW18" s="77"/>
      <c r="AX18" s="112"/>
      <c r="BG18" s="77"/>
      <c r="BH18" s="112"/>
      <c r="BN18" s="77"/>
      <c r="BO18" s="112"/>
      <c r="BU18" s="168"/>
      <c r="BV18" s="207"/>
      <c r="BW18" s="74"/>
      <c r="BZ18" s="24"/>
      <c r="CA18" s="25"/>
      <c r="CB18" s="168"/>
      <c r="CC18" s="164"/>
      <c r="CO18" s="77"/>
      <c r="CP18" s="74"/>
      <c r="CT18" s="24"/>
      <c r="CU18" s="26"/>
      <c r="CW18" s="168"/>
      <c r="CX18" s="207"/>
      <c r="DE18" s="77"/>
      <c r="DF18" s="112"/>
      <c r="DK18" s="77"/>
      <c r="DL18" s="112"/>
      <c r="DM18" s="24"/>
      <c r="DN18" s="41"/>
      <c r="DQ18" s="77"/>
      <c r="DR18" s="112"/>
      <c r="DS18" s="24"/>
      <c r="DT18" s="25"/>
      <c r="DZ18" s="28"/>
      <c r="EA18" s="27"/>
      <c r="ED18" s="77"/>
      <c r="EE18" s="112"/>
      <c r="EF18" s="112"/>
      <c r="EG18" s="25"/>
      <c r="EI18" s="56"/>
      <c r="EJ18" s="56"/>
      <c r="EQ18" s="24"/>
      <c r="ER18" s="25"/>
      <c r="EV18" s="24"/>
      <c r="EW18" s="26"/>
      <c r="EZ18" s="77"/>
      <c r="FA18" s="112"/>
      <c r="FC18" s="28"/>
      <c r="FD18" s="27"/>
      <c r="FG18" s="77"/>
      <c r="FH18" s="112"/>
      <c r="FL18" s="54"/>
      <c r="FM18" s="61"/>
      <c r="FO18" s="168"/>
      <c r="FP18" s="207"/>
      <c r="FT18" s="77"/>
      <c r="FU18" s="78"/>
      <c r="FW18" s="24"/>
      <c r="FX18" s="41"/>
      <c r="GE18" s="77"/>
      <c r="GF18" s="78"/>
      <c r="GG18" s="24"/>
      <c r="GH18" s="77"/>
      <c r="GI18" s="112"/>
      <c r="GM18" s="24"/>
      <c r="GN18" s="77"/>
      <c r="GO18" s="112"/>
      <c r="GW18" s="77"/>
      <c r="GX18" s="112"/>
      <c r="GY18" s="93"/>
      <c r="HA18" s="24"/>
      <c r="HB18" s="93"/>
      <c r="HC18" s="25"/>
      <c r="HD18" s="77"/>
      <c r="HE18" s="78"/>
      <c r="HH18" s="222"/>
      <c r="HI18" s="78"/>
      <c r="HR18" s="77"/>
      <c r="HS18" s="112"/>
      <c r="HU18" s="24"/>
      <c r="HV18" s="77"/>
      <c r="HW18" s="112"/>
      <c r="IC18" s="24"/>
      <c r="ID18" s="77"/>
      <c r="IE18" s="112"/>
      <c r="IJ18" s="24"/>
      <c r="IK18" s="168"/>
      <c r="IL18" s="207"/>
      <c r="IR18" s="164"/>
      <c r="IS18" s="164"/>
      <c r="IT18" s="26"/>
      <c r="IY18" s="77"/>
      <c r="IZ18" s="112"/>
      <c r="JF18" s="77"/>
      <c r="JG18" s="112"/>
      <c r="JN18" s="77"/>
      <c r="JO18" s="112"/>
      <c r="JT18" s="77"/>
      <c r="JU18" s="112"/>
      <c r="JZ18" s="24"/>
      <c r="KA18" s="26"/>
      <c r="KQ18" s="75"/>
      <c r="LU18" s="54"/>
      <c r="LV18" s="56"/>
      <c r="MB18" s="53"/>
      <c r="MT18"/>
      <c r="MU18"/>
      <c r="MY18"/>
      <c r="MZ18"/>
    </row>
    <row r="19" spans="5:364" ht="16.8">
      <c r="E19" s="77"/>
      <c r="F19" s="62"/>
      <c r="G19" s="77"/>
      <c r="H19" s="112"/>
      <c r="K19" s="77"/>
      <c r="L19" s="74"/>
      <c r="U19" s="77"/>
      <c r="V19" s="112"/>
      <c r="AB19" s="77"/>
      <c r="AC19" s="112"/>
      <c r="AI19" s="77"/>
      <c r="AJ19" s="112"/>
      <c r="AO19" s="77"/>
      <c r="AP19" s="112"/>
      <c r="AQ19" s="77"/>
      <c r="AR19" s="112"/>
      <c r="AW19" s="77"/>
      <c r="AX19" s="112"/>
      <c r="BG19" s="77"/>
      <c r="BH19" s="74"/>
      <c r="BN19" s="77"/>
      <c r="BO19" s="112"/>
      <c r="BU19" s="168"/>
      <c r="BV19" s="207"/>
      <c r="BZ19" s="24"/>
      <c r="CA19" s="25"/>
      <c r="CB19" s="168"/>
      <c r="CC19" s="164"/>
      <c r="CO19" s="77"/>
      <c r="CP19" s="74"/>
      <c r="CW19" s="168"/>
      <c r="CX19" s="207"/>
      <c r="DE19" s="77"/>
      <c r="DF19" s="112"/>
      <c r="DK19" s="77"/>
      <c r="DL19" s="112"/>
      <c r="DM19" s="24"/>
      <c r="DN19" s="93"/>
      <c r="DQ19" s="77"/>
      <c r="DR19" s="112"/>
      <c r="DS19" s="24"/>
      <c r="DT19" s="25"/>
      <c r="DZ19" s="28"/>
      <c r="ED19" s="77"/>
      <c r="EE19" s="112"/>
      <c r="EF19" s="112"/>
      <c r="EG19" s="26"/>
      <c r="EQ19" s="24"/>
      <c r="ER19" s="26"/>
      <c r="EZ19" s="77"/>
      <c r="FA19" s="112"/>
      <c r="FC19" s="28"/>
      <c r="FD19" s="27"/>
      <c r="FG19" s="77"/>
      <c r="FH19" s="112"/>
      <c r="FL19" s="54"/>
      <c r="FM19" s="61"/>
      <c r="FO19" s="168"/>
      <c r="FP19" s="207"/>
      <c r="FT19" s="77"/>
      <c r="FU19" s="78"/>
      <c r="FW19" s="24"/>
      <c r="FX19" s="41"/>
      <c r="GE19" s="77"/>
      <c r="GF19" s="78"/>
      <c r="GG19" s="24"/>
      <c r="GH19" s="77"/>
      <c r="GI19" s="112"/>
      <c r="GM19" s="24"/>
      <c r="GN19" s="77"/>
      <c r="GO19" s="112"/>
      <c r="GW19" s="77"/>
      <c r="GX19" s="112"/>
      <c r="HA19" s="24"/>
      <c r="HB19" s="93"/>
      <c r="HC19" s="25"/>
      <c r="HD19" s="77"/>
      <c r="HE19" s="78"/>
      <c r="HH19" s="222"/>
      <c r="HI19" s="78"/>
      <c r="HR19" s="77"/>
      <c r="HS19" s="112"/>
      <c r="HU19" s="24"/>
      <c r="HV19" s="77"/>
      <c r="HW19" s="112"/>
      <c r="IC19" s="24"/>
      <c r="ID19" s="77"/>
      <c r="IE19" s="112"/>
      <c r="IK19" s="168"/>
      <c r="IL19" s="207"/>
      <c r="IR19" s="168"/>
      <c r="IS19" s="207"/>
      <c r="IT19" s="25"/>
      <c r="IY19" s="77"/>
      <c r="IZ19" s="74"/>
      <c r="JF19" s="77"/>
      <c r="JG19" s="112"/>
      <c r="JN19" s="77"/>
      <c r="JO19" s="112"/>
      <c r="JT19" s="77"/>
      <c r="JU19" s="112"/>
      <c r="KQ19" s="76"/>
      <c r="KR19" s="56"/>
      <c r="MB19" s="57"/>
    </row>
    <row r="20" spans="5:364" ht="16.8">
      <c r="E20" s="77"/>
      <c r="F20" s="62"/>
      <c r="G20" s="77"/>
      <c r="H20" s="112"/>
      <c r="K20"/>
      <c r="L20"/>
      <c r="U20" s="77"/>
      <c r="V20" s="112"/>
      <c r="AB20" s="77"/>
      <c r="AC20" s="74"/>
      <c r="AI20" s="77"/>
      <c r="AJ20" s="112"/>
      <c r="AO20" s="77"/>
      <c r="AP20" s="74"/>
      <c r="AQ20" s="77"/>
      <c r="AR20" s="112"/>
      <c r="AW20" s="77"/>
      <c r="AX20" s="112"/>
      <c r="BN20" s="77"/>
      <c r="BO20" s="74"/>
      <c r="BU20" s="168"/>
      <c r="BV20" s="207"/>
      <c r="BZ20" s="24"/>
      <c r="CA20" s="25"/>
      <c r="CB20" s="168"/>
      <c r="CC20" s="164"/>
      <c r="CO20" s="77"/>
      <c r="CP20" s="74"/>
      <c r="CW20" s="168"/>
      <c r="CX20" s="207"/>
      <c r="DE20" s="77"/>
      <c r="DF20" s="112"/>
      <c r="DK20" s="77"/>
      <c r="DL20" s="112"/>
      <c r="DQ20" s="77"/>
      <c r="DR20" s="74"/>
      <c r="DS20" s="24"/>
      <c r="DT20" s="26"/>
      <c r="ED20" s="77"/>
      <c r="EE20" s="112"/>
      <c r="EF20" s="74"/>
      <c r="EI20" s="53"/>
      <c r="EZ20" s="77"/>
      <c r="FA20" s="74"/>
      <c r="FC20" s="28"/>
      <c r="FD20" s="27"/>
      <c r="FG20" s="77"/>
      <c r="FH20" s="74"/>
      <c r="FL20" s="54"/>
      <c r="FM20" s="42"/>
      <c r="FO20" s="168"/>
      <c r="FP20" s="207"/>
      <c r="FT20" s="77"/>
      <c r="FU20" s="78"/>
      <c r="FW20" s="24"/>
      <c r="FX20" s="93"/>
      <c r="GE20" s="77"/>
      <c r="GF20" s="78"/>
      <c r="GG20" s="24"/>
      <c r="GH20" s="77"/>
      <c r="GI20" s="112"/>
      <c r="GN20" s="77"/>
      <c r="GO20" s="112"/>
      <c r="GW20" s="77"/>
      <c r="GX20" s="74"/>
      <c r="HA20" s="24"/>
      <c r="HB20" s="93"/>
      <c r="HC20" s="26"/>
      <c r="HD20" s="77"/>
      <c r="HE20" s="78"/>
      <c r="HH20" s="222"/>
      <c r="HI20" s="190"/>
      <c r="HR20" s="77"/>
      <c r="HS20" s="112"/>
      <c r="HU20" s="24"/>
      <c r="HV20" s="77"/>
      <c r="HW20" s="112"/>
      <c r="ID20" s="77"/>
      <c r="IE20" s="74"/>
      <c r="IK20" s="168"/>
      <c r="IL20" s="207"/>
      <c r="IR20" s="168"/>
      <c r="IS20" s="207"/>
      <c r="IT20" s="25"/>
      <c r="JF20" s="77"/>
      <c r="JG20" s="112"/>
      <c r="JN20" s="77"/>
      <c r="JO20" s="112"/>
      <c r="JT20" s="77"/>
      <c r="JU20" s="112"/>
      <c r="KQ20" s="76"/>
      <c r="KR20" s="56"/>
      <c r="LU20" s="53"/>
      <c r="MB20" s="57"/>
    </row>
    <row r="21" spans="5:364" ht="16.8">
      <c r="G21" s="77"/>
      <c r="H21" s="74"/>
      <c r="K21"/>
      <c r="L21"/>
      <c r="U21" s="77"/>
      <c r="V21" s="112"/>
      <c r="AI21" s="77"/>
      <c r="AJ21" s="112"/>
      <c r="AQ21" s="77"/>
      <c r="AR21" s="112"/>
      <c r="AW21" s="77"/>
      <c r="AX21" s="112"/>
      <c r="BU21" s="168"/>
      <c r="BV21" s="164"/>
      <c r="BZ21" s="24"/>
      <c r="CA21" s="25"/>
      <c r="CB21" s="168"/>
      <c r="CC21" s="164"/>
      <c r="CO21" s="77"/>
      <c r="CP21" s="74"/>
      <c r="CW21" s="168"/>
      <c r="CX21" s="207"/>
      <c r="DE21" s="77"/>
      <c r="DF21" s="112"/>
      <c r="DK21" s="77"/>
      <c r="DL21" s="112"/>
      <c r="DQ21" s="77"/>
      <c r="DR21" s="112"/>
      <c r="ED21" s="77"/>
      <c r="EE21" s="74"/>
      <c r="EF21" s="112"/>
      <c r="EI21" s="57"/>
      <c r="FC21" s="28"/>
      <c r="FO21" s="168"/>
      <c r="FP21" s="164"/>
      <c r="FT21" s="77"/>
      <c r="FU21" s="78"/>
      <c r="GE21" s="77"/>
      <c r="GF21" s="190"/>
      <c r="GH21" s="77"/>
      <c r="GI21" s="112"/>
      <c r="GN21" s="77"/>
      <c r="GO21" s="74"/>
      <c r="HD21" s="77"/>
      <c r="HE21" s="190"/>
      <c r="HH21" s="222"/>
      <c r="HI21" s="190"/>
      <c r="HR21" s="77"/>
      <c r="HS21" s="112"/>
      <c r="HV21" s="77"/>
      <c r="HW21" s="112"/>
      <c r="IK21" s="168"/>
      <c r="IL21" s="207"/>
      <c r="IR21" s="168"/>
      <c r="IS21" s="207"/>
      <c r="IT21" s="25"/>
      <c r="JF21" s="77"/>
      <c r="JG21" s="112"/>
      <c r="JN21" s="77"/>
      <c r="JO21" s="112"/>
      <c r="JT21" s="77"/>
      <c r="JU21" s="112"/>
      <c r="KQ21" s="76"/>
      <c r="KR21" s="56"/>
      <c r="LU21" s="57"/>
    </row>
    <row r="22" spans="5:364" ht="16.8">
      <c r="U22" s="77"/>
      <c r="V22" s="112"/>
      <c r="AI22" s="77"/>
      <c r="AJ22" s="112"/>
      <c r="AQ22" s="77"/>
      <c r="AR22" s="74"/>
      <c r="AW22" s="77"/>
      <c r="AX22" s="74"/>
      <c r="BU22"/>
      <c r="BV22"/>
      <c r="BZ22" s="24"/>
      <c r="CA22" s="26"/>
      <c r="CB22"/>
      <c r="CC22"/>
      <c r="CO22" s="77"/>
      <c r="CP22" s="74"/>
      <c r="CW22" s="168"/>
      <c r="CX22" s="207"/>
      <c r="DE22" s="77"/>
      <c r="DF22" s="112"/>
      <c r="DK22" s="77"/>
      <c r="DL22" s="74"/>
      <c r="DQ22" s="77"/>
      <c r="DR22" s="74"/>
      <c r="EE22" s="217"/>
      <c r="EF22" s="112"/>
      <c r="EI22" s="57"/>
      <c r="FL22" s="53"/>
      <c r="FO22"/>
      <c r="FP22"/>
      <c r="FT22" s="77"/>
      <c r="FU22" s="78"/>
      <c r="GE22"/>
      <c r="GF22"/>
      <c r="GH22" s="77"/>
      <c r="GI22" s="112"/>
      <c r="HR22" s="77"/>
      <c r="HS22" s="74"/>
      <c r="HV22" s="77"/>
      <c r="HW22" s="74"/>
      <c r="IK22" s="168"/>
      <c r="IL22" s="207"/>
      <c r="IR22" s="168"/>
      <c r="IS22" s="207"/>
      <c r="IT22" s="25"/>
      <c r="JF22" s="77"/>
      <c r="JG22" s="74"/>
      <c r="JN22" s="77"/>
      <c r="JO22" s="74"/>
      <c r="JT22" s="77"/>
      <c r="JU22" s="74"/>
      <c r="KQ22" s="42"/>
      <c r="KR22" s="42"/>
      <c r="LU22" s="57"/>
    </row>
    <row r="23" spans="5:364" ht="16.8">
      <c r="U23" s="77"/>
      <c r="V23" s="112"/>
      <c r="AI23" s="77"/>
      <c r="AJ23" s="74"/>
      <c r="BU23" s="163"/>
      <c r="BV23"/>
      <c r="CB23" s="163"/>
      <c r="CC23"/>
      <c r="CW23" s="168"/>
      <c r="CX23" s="164"/>
      <c r="DE23" s="77"/>
      <c r="DF23" s="74"/>
      <c r="EE23" s="217"/>
      <c r="EF23" s="74"/>
      <c r="FL23" s="57"/>
      <c r="FO23" s="163"/>
      <c r="FP23"/>
      <c r="FT23" s="77"/>
      <c r="FU23" s="190"/>
      <c r="GE23"/>
      <c r="GF23"/>
      <c r="GH23" s="77"/>
      <c r="GI23" s="74"/>
      <c r="IK23" s="168"/>
      <c r="IL23" s="207"/>
      <c r="IR23" s="168"/>
      <c r="IS23" s="207"/>
      <c r="IT23" s="25"/>
      <c r="KQ23" s="53"/>
    </row>
    <row r="24" spans="5:364" ht="16.8">
      <c r="U24" s="77"/>
      <c r="V24" s="74"/>
      <c r="BU24" s="162"/>
      <c r="BV24"/>
      <c r="CB24" s="162"/>
      <c r="CC24"/>
      <c r="CW24"/>
      <c r="CX24"/>
      <c r="EE24" s="217"/>
      <c r="EF24" s="74"/>
      <c r="FL24" s="57"/>
      <c r="FO24" s="162"/>
      <c r="FP24"/>
      <c r="IK24" s="168"/>
      <c r="IL24" s="164"/>
      <c r="IR24" s="168"/>
      <c r="IS24" s="164"/>
      <c r="IT24" s="26"/>
      <c r="KQ24" s="57"/>
    </row>
    <row r="25" spans="5:364">
      <c r="BU25" s="162"/>
      <c r="BV25"/>
      <c r="CB25" s="162"/>
      <c r="CC25"/>
      <c r="CW25" s="163"/>
      <c r="CX25"/>
      <c r="EE25" s="217"/>
      <c r="EF25" s="74"/>
      <c r="FO25" s="162"/>
      <c r="FP25"/>
      <c r="IK25"/>
      <c r="IL25"/>
      <c r="IR25"/>
      <c r="IS25"/>
      <c r="IT25" s="70"/>
      <c r="KQ25" s="57"/>
    </row>
    <row r="26" spans="5:364">
      <c r="CW26" s="162"/>
      <c r="CX26"/>
      <c r="EE26" s="217"/>
      <c r="EF26" s="74"/>
      <c r="IK26" s="163"/>
      <c r="IL26"/>
      <c r="IR26" s="163"/>
      <c r="IS26"/>
    </row>
    <row r="27" spans="5:364">
      <c r="CW27" s="162"/>
      <c r="CX27"/>
      <c r="IK27" s="162"/>
      <c r="IL27"/>
      <c r="IR27" s="162"/>
      <c r="IS27"/>
    </row>
    <row r="28" spans="5:364">
      <c r="IK28" s="162"/>
      <c r="IL28"/>
      <c r="IR28" s="162"/>
      <c r="IS28"/>
    </row>
  </sheetData>
  <mergeCells count="3">
    <mergeCell ref="DM12:DN12"/>
    <mergeCell ref="DS13:DT13"/>
    <mergeCell ref="EF12:EG12"/>
  </mergeCells>
  <phoneticPr fontId="6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C099B-6441-406F-992E-DED771A68B7A}">
  <dimension ref="A1:NG28"/>
  <sheetViews>
    <sheetView showGridLines="0" topLeftCell="JM1" workbookViewId="0">
      <selection activeCell="JT12" sqref="JT12:JT17"/>
    </sheetView>
  </sheetViews>
  <sheetFormatPr defaultColWidth="8.88671875" defaultRowHeight="14.4"/>
  <cols>
    <col min="1" max="1" width="10.44140625" style="32" bestFit="1" customWidth="1"/>
    <col min="2" max="2" width="22.77734375" style="32" bestFit="1" customWidth="1"/>
    <col min="3" max="3" width="11.44140625" style="32" customWidth="1"/>
    <col min="4" max="4" width="11.33203125" style="32" customWidth="1"/>
    <col min="5" max="5" width="12.33203125" style="32" customWidth="1"/>
    <col min="6" max="6" width="12" style="32" customWidth="1"/>
    <col min="7" max="7" width="11.44140625" style="32" customWidth="1"/>
    <col min="8" max="8" width="11.109375" style="32" customWidth="1"/>
    <col min="9" max="9" width="11" style="32" customWidth="1"/>
    <col min="10" max="10" width="11.44140625" style="32" customWidth="1"/>
    <col min="11" max="11" width="11.33203125" style="32" customWidth="1"/>
    <col min="12" max="12" width="12.33203125" style="32" customWidth="1"/>
    <col min="13" max="13" width="12" style="32" customWidth="1"/>
    <col min="14" max="14" width="11.44140625" style="32" customWidth="1"/>
    <col min="15" max="15" width="11.109375" style="32" customWidth="1"/>
    <col min="16" max="16" width="11" style="32" customWidth="1"/>
    <col min="17" max="17" width="11.44140625" style="32" customWidth="1"/>
    <col min="18" max="18" width="11.33203125" style="32" customWidth="1"/>
    <col min="19" max="19" width="12.33203125" style="32" customWidth="1"/>
    <col min="20" max="20" width="12" style="32" customWidth="1"/>
    <col min="21" max="21" width="11.44140625" style="32" customWidth="1"/>
    <col min="22" max="22" width="11.109375" style="32" customWidth="1"/>
    <col min="23" max="23" width="11" style="32" customWidth="1"/>
    <col min="24" max="24" width="11.44140625" style="32" customWidth="1"/>
    <col min="25" max="25" width="11.33203125" style="32" customWidth="1"/>
    <col min="26" max="26" width="12.33203125" style="32" customWidth="1"/>
    <col min="27" max="27" width="12" style="32" customWidth="1"/>
    <col min="28" max="28" width="11.44140625" style="32" customWidth="1"/>
    <col min="29" max="29" width="11.109375" style="32" customWidth="1"/>
    <col min="30" max="30" width="11" style="32" customWidth="1"/>
    <col min="31" max="31" width="11.44140625" style="32" customWidth="1"/>
    <col min="32" max="32" width="11.33203125" style="32" customWidth="1"/>
    <col min="33" max="33" width="12.33203125" style="32" customWidth="1"/>
    <col min="34" max="34" width="12" style="32" customWidth="1"/>
    <col min="35" max="35" width="11.44140625" style="32" customWidth="1"/>
    <col min="36" max="36" width="11.109375" style="32" customWidth="1"/>
    <col min="37" max="37" width="11" style="32" customWidth="1"/>
    <col min="38" max="38" width="11.44140625" style="32" customWidth="1"/>
    <col min="39" max="39" width="11.33203125" style="32" customWidth="1"/>
    <col min="40" max="40" width="12.33203125" style="32" customWidth="1"/>
    <col min="41" max="41" width="12" style="32" customWidth="1"/>
    <col min="42" max="42" width="11.44140625" style="32" customWidth="1"/>
    <col min="43" max="43" width="11.109375" style="32" customWidth="1"/>
    <col min="44" max="44" width="11" style="32" customWidth="1"/>
    <col min="45" max="45" width="11.44140625" style="32" customWidth="1"/>
    <col min="46" max="46" width="11.33203125" style="32" customWidth="1"/>
    <col min="47" max="47" width="12.33203125" style="32" customWidth="1"/>
    <col min="48" max="48" width="12" style="32" customWidth="1"/>
    <col min="49" max="49" width="11.44140625" style="32" customWidth="1"/>
    <col min="50" max="50" width="11.109375" style="32" customWidth="1"/>
    <col min="51" max="51" width="11" style="32" customWidth="1"/>
    <col min="52" max="52" width="11.44140625" style="32" customWidth="1"/>
    <col min="53" max="53" width="11.33203125" style="32" customWidth="1"/>
    <col min="54" max="54" width="12.33203125" style="32" customWidth="1"/>
    <col min="55" max="55" width="12" style="32" customWidth="1"/>
    <col min="56" max="56" width="11.44140625" style="32" customWidth="1"/>
    <col min="57" max="57" width="11.109375" style="32" customWidth="1"/>
    <col min="58" max="58" width="11" style="32" customWidth="1"/>
    <col min="59" max="59" width="11.44140625" style="32" customWidth="1"/>
    <col min="60" max="60" width="11.33203125" style="32" customWidth="1"/>
    <col min="61" max="61" width="12.33203125" style="32" customWidth="1"/>
    <col min="62" max="62" width="12" style="32" customWidth="1"/>
    <col min="63" max="63" width="11.44140625" style="32" customWidth="1"/>
    <col min="64" max="64" width="12.109375" style="32" customWidth="1"/>
    <col min="65" max="65" width="12" style="32" customWidth="1"/>
    <col min="66" max="66" width="12.44140625" style="32" customWidth="1"/>
    <col min="67" max="67" width="12.33203125" style="32" customWidth="1"/>
    <col min="68" max="68" width="13.44140625" style="32" customWidth="1"/>
    <col min="69" max="69" width="13.109375" style="32" customWidth="1"/>
    <col min="70" max="70" width="12.44140625" style="32" customWidth="1"/>
    <col min="71" max="71" width="12.109375" style="32" customWidth="1"/>
    <col min="72" max="72" width="12" style="32" customWidth="1"/>
    <col min="73" max="73" width="12.44140625" style="32" customWidth="1"/>
    <col min="74" max="74" width="12.33203125" style="32" customWidth="1"/>
    <col min="75" max="75" width="13.44140625" style="32" customWidth="1"/>
    <col min="76" max="76" width="13.109375" style="32" customWidth="1"/>
    <col min="77" max="77" width="12.44140625" style="32" customWidth="1"/>
    <col min="78" max="78" width="12.109375" style="32" customWidth="1"/>
    <col min="79" max="79" width="12" style="32" customWidth="1"/>
    <col min="80" max="80" width="12.44140625" style="32" customWidth="1"/>
    <col min="81" max="81" width="12.33203125" style="32" customWidth="1"/>
    <col min="82" max="82" width="13.44140625" style="32" customWidth="1"/>
    <col min="83" max="83" width="13.109375" style="32" customWidth="1"/>
    <col min="84" max="84" width="12.44140625" style="32" customWidth="1"/>
    <col min="85" max="85" width="12.109375" style="32" customWidth="1"/>
    <col min="86" max="86" width="12" style="32" customWidth="1"/>
    <col min="87" max="87" width="12.44140625" style="32" customWidth="1"/>
    <col min="88" max="88" width="12.33203125" style="32" customWidth="1"/>
    <col min="89" max="89" width="13.44140625" style="32" customWidth="1"/>
    <col min="90" max="90" width="13.109375" style="32" customWidth="1"/>
    <col min="91" max="91" width="12.44140625" style="32" customWidth="1"/>
    <col min="92" max="92" width="12.109375" style="32" customWidth="1"/>
    <col min="93" max="93" width="12" style="32" customWidth="1"/>
    <col min="94" max="94" width="12.44140625" style="32" customWidth="1"/>
    <col min="95" max="95" width="12.33203125" style="32" customWidth="1"/>
    <col min="96" max="96" width="13.44140625" style="32" customWidth="1"/>
    <col min="97" max="97" width="13.109375" style="32" customWidth="1"/>
    <col min="98" max="98" width="12.44140625" style="32" customWidth="1"/>
    <col min="99" max="99" width="12.109375" style="32" customWidth="1"/>
    <col min="100" max="100" width="12" style="32" customWidth="1"/>
    <col min="101" max="101" width="12.44140625" style="32" customWidth="1"/>
    <col min="102" max="102" width="12.33203125" style="32" customWidth="1"/>
    <col min="103" max="103" width="13.44140625" style="32" customWidth="1"/>
    <col min="104" max="104" width="13.109375" style="32" customWidth="1"/>
    <col min="105" max="105" width="12.44140625" style="32" customWidth="1"/>
    <col min="106" max="106" width="12.109375" style="32" customWidth="1"/>
    <col min="107" max="107" width="12" style="32" customWidth="1"/>
    <col min="108" max="108" width="12.44140625" style="32" customWidth="1"/>
    <col min="109" max="109" width="12.33203125" style="32" customWidth="1"/>
    <col min="110" max="110" width="13.44140625" style="32" customWidth="1"/>
    <col min="111" max="111" width="13.109375" style="32" customWidth="1"/>
    <col min="112" max="112" width="12.44140625" style="32" customWidth="1"/>
    <col min="113" max="113" width="12.109375" style="32" customWidth="1"/>
    <col min="114" max="114" width="12" style="32" customWidth="1"/>
    <col min="115" max="115" width="12.44140625" style="32" customWidth="1"/>
    <col min="116" max="116" width="12.33203125" style="32" customWidth="1"/>
    <col min="117" max="117" width="13.44140625" style="32" customWidth="1"/>
    <col min="118" max="118" width="13.109375" style="32" customWidth="1"/>
    <col min="119" max="119" width="12.44140625" style="32" customWidth="1"/>
    <col min="120" max="120" width="12.109375" style="32" customWidth="1"/>
    <col min="121" max="121" width="12" style="32" customWidth="1"/>
    <col min="122" max="122" width="12.44140625" style="32" customWidth="1"/>
    <col min="123" max="123" width="12.33203125" style="32" customWidth="1"/>
    <col min="124" max="124" width="13.44140625" style="32" customWidth="1"/>
    <col min="125" max="125" width="13.109375" style="32" customWidth="1"/>
    <col min="126" max="126" width="12.44140625" style="32" customWidth="1"/>
    <col min="127" max="127" width="12.109375" style="32" customWidth="1"/>
    <col min="128" max="128" width="12" style="32" customWidth="1"/>
    <col min="129" max="129" width="12.44140625" style="32" customWidth="1"/>
    <col min="130" max="130" width="12.33203125" style="32" customWidth="1"/>
    <col min="131" max="131" width="13.44140625" style="32" customWidth="1"/>
    <col min="132" max="132" width="13.109375" style="32" customWidth="1"/>
    <col min="133" max="133" width="12.44140625" style="32" customWidth="1"/>
    <col min="134" max="134" width="12.109375" style="32" customWidth="1"/>
    <col min="135" max="135" width="12" style="32" customWidth="1"/>
    <col min="136" max="136" width="12.44140625" style="32" customWidth="1"/>
    <col min="137" max="137" width="12.33203125" style="32" customWidth="1"/>
    <col min="138" max="138" width="13.44140625" style="32" customWidth="1"/>
    <col min="139" max="139" width="13.109375" style="32" customWidth="1"/>
    <col min="140" max="140" width="12.44140625" style="32" customWidth="1"/>
    <col min="141" max="141" width="12.109375" style="32" customWidth="1"/>
    <col min="142" max="142" width="12" style="32" customWidth="1"/>
    <col min="143" max="143" width="12.44140625" style="32" customWidth="1"/>
    <col min="144" max="144" width="12.33203125" style="32" customWidth="1"/>
    <col min="145" max="145" width="13.44140625" style="32" customWidth="1"/>
    <col min="146" max="146" width="13.109375" style="32" customWidth="1"/>
    <col min="147" max="147" width="12.44140625" style="32" customWidth="1"/>
    <col min="148" max="148" width="12.109375" style="32" customWidth="1"/>
    <col min="149" max="149" width="12" style="32" customWidth="1"/>
    <col min="150" max="150" width="12.44140625" style="32" customWidth="1"/>
    <col min="151" max="151" width="12.33203125" style="32" customWidth="1"/>
    <col min="152" max="152" width="13.44140625" style="32" customWidth="1"/>
    <col min="153" max="153" width="13.109375" style="32" customWidth="1"/>
    <col min="154" max="154" width="12.44140625" style="32" customWidth="1"/>
    <col min="155" max="155" width="12.109375" style="32" customWidth="1"/>
    <col min="156" max="156" width="12" style="32" customWidth="1"/>
    <col min="157" max="157" width="12.44140625" style="32" customWidth="1"/>
    <col min="158" max="158" width="12.33203125" style="32" customWidth="1"/>
    <col min="159" max="159" width="13.44140625" style="32" customWidth="1"/>
    <col min="160" max="160" width="13.109375" style="32" customWidth="1"/>
    <col min="161" max="161" width="12.44140625" style="32" customWidth="1"/>
    <col min="162" max="162" width="12.109375" style="32" customWidth="1"/>
    <col min="163" max="163" width="12" style="32" customWidth="1"/>
    <col min="164" max="164" width="12.44140625" style="32" customWidth="1"/>
    <col min="165" max="165" width="12.33203125" style="32" customWidth="1"/>
    <col min="166" max="166" width="13.44140625" style="32" customWidth="1"/>
    <col min="167" max="167" width="13.109375" style="32" customWidth="1"/>
    <col min="168" max="168" width="12.44140625" style="32" customWidth="1"/>
    <col min="169" max="169" width="12.109375" style="32" customWidth="1"/>
    <col min="170" max="170" width="12" style="32" customWidth="1"/>
    <col min="171" max="171" width="12.44140625" style="32" customWidth="1"/>
    <col min="172" max="172" width="12.33203125" style="32" customWidth="1"/>
    <col min="173" max="173" width="13.44140625" style="32" customWidth="1"/>
    <col min="174" max="174" width="13.109375" style="32" customWidth="1"/>
    <col min="175" max="175" width="12.44140625" style="32" customWidth="1"/>
    <col min="176" max="176" width="12.109375" style="32" customWidth="1"/>
    <col min="177" max="177" width="12" style="32" customWidth="1"/>
    <col min="178" max="178" width="12.44140625" style="32" customWidth="1"/>
    <col min="179" max="179" width="12.33203125" style="32" customWidth="1"/>
    <col min="180" max="180" width="13.44140625" style="32" customWidth="1"/>
    <col min="181" max="181" width="13.109375" style="32" customWidth="1"/>
    <col min="182" max="182" width="12.44140625" style="32" customWidth="1"/>
    <col min="183" max="183" width="12.109375" style="32" customWidth="1"/>
    <col min="184" max="184" width="12" style="32" customWidth="1"/>
    <col min="185" max="185" width="12.44140625" style="32" customWidth="1"/>
    <col min="186" max="186" width="12.33203125" style="32" customWidth="1"/>
    <col min="187" max="187" width="13.44140625" style="32" customWidth="1"/>
    <col min="188" max="188" width="13.109375" style="32" customWidth="1"/>
    <col min="189" max="189" width="12.44140625" style="32" customWidth="1"/>
    <col min="190" max="190" width="12.109375" style="32" customWidth="1"/>
    <col min="191" max="191" width="12" style="32" customWidth="1"/>
    <col min="192" max="192" width="12.44140625" style="32" customWidth="1"/>
    <col min="193" max="193" width="12.33203125" style="32" customWidth="1"/>
    <col min="194" max="194" width="13.44140625" style="32" customWidth="1"/>
    <col min="195" max="195" width="13.109375" style="32" customWidth="1"/>
    <col min="196" max="196" width="12.44140625" style="32" customWidth="1"/>
    <col min="197" max="197" width="12.109375" style="32" customWidth="1"/>
    <col min="198" max="198" width="12" style="32" customWidth="1"/>
    <col min="199" max="199" width="12.44140625" style="32" customWidth="1"/>
    <col min="200" max="200" width="12.33203125" style="32" customWidth="1"/>
    <col min="201" max="201" width="13.44140625" style="32" customWidth="1"/>
    <col min="202" max="202" width="13.109375" style="32" customWidth="1"/>
    <col min="203" max="203" width="12.44140625" style="32" customWidth="1"/>
    <col min="204" max="204" width="12.109375" style="32" customWidth="1"/>
    <col min="205" max="205" width="12" style="32" customWidth="1"/>
    <col min="206" max="206" width="12.44140625" style="32" customWidth="1"/>
    <col min="207" max="207" width="12.33203125" style="32" customWidth="1"/>
    <col min="208" max="208" width="13.44140625" style="32" customWidth="1"/>
    <col min="209" max="209" width="13.109375" style="32" customWidth="1"/>
    <col min="210" max="210" width="12.44140625" style="32" customWidth="1"/>
    <col min="211" max="211" width="12.109375" style="32" customWidth="1"/>
    <col min="212" max="212" width="12" style="32" customWidth="1"/>
    <col min="213" max="213" width="12.44140625" style="32" customWidth="1"/>
    <col min="214" max="214" width="12.33203125" style="32" customWidth="1"/>
    <col min="215" max="215" width="13.44140625" style="32" customWidth="1"/>
    <col min="216" max="216" width="13.109375" style="32" customWidth="1"/>
    <col min="217" max="217" width="12.44140625" style="32" customWidth="1"/>
    <col min="218" max="218" width="12.109375" style="32" customWidth="1"/>
    <col min="219" max="219" width="12" style="32" customWidth="1"/>
    <col min="220" max="220" width="12.44140625" style="32" customWidth="1"/>
    <col min="221" max="221" width="12.33203125" style="32" customWidth="1"/>
    <col min="222" max="222" width="13.44140625" style="32" customWidth="1"/>
    <col min="223" max="223" width="13.109375" style="32" customWidth="1"/>
    <col min="224" max="224" width="12.44140625" style="32" customWidth="1"/>
    <col min="225" max="225" width="12.109375" style="32" customWidth="1"/>
    <col min="226" max="226" width="12" style="32" customWidth="1"/>
    <col min="227" max="227" width="12.44140625" style="32" customWidth="1"/>
    <col min="228" max="228" width="12.33203125" style="32" customWidth="1"/>
    <col min="229" max="229" width="13.44140625" style="32" customWidth="1"/>
    <col min="230" max="230" width="13.109375" style="32" customWidth="1"/>
    <col min="231" max="231" width="12.44140625" style="32" customWidth="1"/>
    <col min="232" max="232" width="12.109375" style="32" customWidth="1"/>
    <col min="233" max="233" width="12" style="32" customWidth="1"/>
    <col min="234" max="234" width="12.44140625" style="32" customWidth="1"/>
    <col min="235" max="235" width="12.33203125" style="32" customWidth="1"/>
    <col min="236" max="236" width="13.44140625" style="32" customWidth="1"/>
    <col min="237" max="237" width="13.109375" style="32" customWidth="1"/>
    <col min="238" max="238" width="12.44140625" style="32" customWidth="1"/>
    <col min="239" max="239" width="12.109375" style="32" customWidth="1"/>
    <col min="240" max="240" width="12" style="32" customWidth="1"/>
    <col min="241" max="241" width="12.44140625" style="32" customWidth="1"/>
    <col min="242" max="242" width="12.33203125" style="32" customWidth="1"/>
    <col min="243" max="243" width="13.44140625" style="32" customWidth="1"/>
    <col min="244" max="244" width="13.109375" style="32" customWidth="1"/>
    <col min="245" max="245" width="12.44140625" style="32" customWidth="1"/>
    <col min="246" max="246" width="12.109375" style="32" customWidth="1"/>
    <col min="247" max="247" width="12" style="32" customWidth="1"/>
    <col min="248" max="248" width="12.44140625" style="32" customWidth="1"/>
    <col min="249" max="249" width="12.33203125" style="32" customWidth="1"/>
    <col min="250" max="250" width="13.44140625" style="32" customWidth="1"/>
    <col min="251" max="251" width="13.109375" style="32" customWidth="1"/>
    <col min="252" max="252" width="12.44140625" style="32" customWidth="1"/>
    <col min="253" max="253" width="12.109375" style="32" customWidth="1"/>
    <col min="254" max="254" width="12" style="32" customWidth="1"/>
    <col min="255" max="255" width="12.44140625" style="32" customWidth="1"/>
    <col min="256" max="256" width="12.33203125" style="32" customWidth="1"/>
    <col min="257" max="257" width="13.44140625" style="32" customWidth="1"/>
    <col min="258" max="258" width="13.109375" style="32" customWidth="1"/>
    <col min="259" max="259" width="12.44140625" style="32" customWidth="1"/>
    <col min="260" max="260" width="12.109375" style="32" customWidth="1"/>
    <col min="261" max="261" width="12" style="32" customWidth="1"/>
    <col min="262" max="262" width="12.44140625" style="32" customWidth="1"/>
    <col min="263" max="263" width="12.33203125" style="32" customWidth="1"/>
    <col min="264" max="264" width="13.44140625" style="32" customWidth="1"/>
    <col min="265" max="265" width="13.109375" style="32" customWidth="1"/>
    <col min="266" max="266" width="12.44140625" style="32" customWidth="1"/>
    <col min="267" max="267" width="12.109375" style="32" customWidth="1"/>
    <col min="268" max="268" width="12" style="32" customWidth="1"/>
    <col min="269" max="269" width="12.44140625" style="32" customWidth="1"/>
    <col min="270" max="270" width="12.33203125" style="32" customWidth="1"/>
    <col min="271" max="271" width="13.44140625" style="32" customWidth="1"/>
    <col min="272" max="272" width="13.109375" style="32" customWidth="1"/>
    <col min="273" max="273" width="12.44140625" style="32" customWidth="1"/>
    <col min="274" max="274" width="12.109375" style="32" customWidth="1"/>
    <col min="275" max="275" width="12" style="32" customWidth="1"/>
    <col min="276" max="276" width="12.44140625" style="32" customWidth="1"/>
    <col min="277" max="277" width="12.33203125" style="32" customWidth="1"/>
    <col min="278" max="278" width="13.44140625" style="32" customWidth="1"/>
    <col min="279" max="279" width="13.109375" style="32" customWidth="1"/>
    <col min="280" max="280" width="12.44140625" style="32" customWidth="1"/>
    <col min="281" max="281" width="12.109375" style="32" customWidth="1"/>
    <col min="282" max="282" width="12" style="32" customWidth="1"/>
    <col min="283" max="283" width="12.44140625" style="32" customWidth="1"/>
    <col min="284" max="284" width="12.33203125" style="32" customWidth="1"/>
    <col min="285" max="285" width="13.44140625" style="32" customWidth="1"/>
    <col min="286" max="286" width="13.109375" style="32" customWidth="1"/>
    <col min="287" max="287" width="12.44140625" style="32" customWidth="1"/>
    <col min="288" max="288" width="12.109375" style="32" customWidth="1"/>
    <col min="289" max="289" width="12" style="32" customWidth="1"/>
    <col min="290" max="290" width="12.44140625" style="32" customWidth="1"/>
    <col min="291" max="291" width="12.33203125" style="32" customWidth="1"/>
    <col min="292" max="292" width="13.44140625" style="32" customWidth="1"/>
    <col min="293" max="293" width="13.109375" style="32" customWidth="1"/>
    <col min="294" max="294" width="12.44140625" style="32" customWidth="1"/>
    <col min="295" max="295" width="12.109375" style="32" customWidth="1"/>
    <col min="296" max="296" width="12" style="32" customWidth="1"/>
    <col min="297" max="297" width="12.44140625" style="32" customWidth="1"/>
    <col min="298" max="298" width="12.33203125" style="32" customWidth="1"/>
    <col min="299" max="299" width="13.44140625" style="32" customWidth="1"/>
    <col min="300" max="300" width="13.109375" style="32" customWidth="1"/>
    <col min="301" max="301" width="12.44140625" style="32" customWidth="1"/>
    <col min="302" max="302" width="12.109375" style="32" customWidth="1"/>
    <col min="303" max="303" width="12" style="32" customWidth="1"/>
    <col min="304" max="304" width="12.44140625" style="32" customWidth="1"/>
    <col min="305" max="305" width="12.33203125" style="32" customWidth="1"/>
    <col min="306" max="306" width="13.44140625" style="32" customWidth="1"/>
    <col min="307" max="307" width="13.109375" style="32" customWidth="1"/>
    <col min="308" max="308" width="12.44140625" style="32" customWidth="1"/>
    <col min="309" max="309" width="12.109375" style="32" customWidth="1"/>
    <col min="310" max="310" width="12" style="32" customWidth="1"/>
    <col min="311" max="311" width="12.44140625" style="32" customWidth="1"/>
    <col min="312" max="312" width="12.33203125" style="32" customWidth="1"/>
    <col min="313" max="313" width="13.44140625" style="32" customWidth="1"/>
    <col min="314" max="314" width="13.109375" style="32" customWidth="1"/>
    <col min="315" max="315" width="12.44140625" style="32" customWidth="1"/>
    <col min="316" max="316" width="12.109375" style="32" customWidth="1"/>
    <col min="317" max="317" width="12" style="32" customWidth="1"/>
    <col min="318" max="318" width="12.44140625" style="32" customWidth="1"/>
    <col min="319" max="319" width="12.33203125" style="32" customWidth="1"/>
    <col min="320" max="320" width="13.44140625" style="32" customWidth="1"/>
    <col min="321" max="321" width="13.109375" style="32" customWidth="1"/>
    <col min="322" max="322" width="12.44140625" style="32" customWidth="1"/>
    <col min="323" max="323" width="12.109375" style="32" customWidth="1"/>
    <col min="324" max="324" width="12" style="32" customWidth="1"/>
    <col min="325" max="325" width="12.44140625" style="32" customWidth="1"/>
    <col min="326" max="326" width="12.33203125" style="32" customWidth="1"/>
    <col min="327" max="327" width="13.44140625" style="32" customWidth="1"/>
    <col min="328" max="328" width="13.109375" style="32" customWidth="1"/>
    <col min="329" max="329" width="12.44140625" style="32" customWidth="1"/>
    <col min="330" max="330" width="12.109375" style="32" customWidth="1"/>
    <col min="331" max="331" width="12" style="32" customWidth="1"/>
    <col min="332" max="332" width="12.44140625" style="32" customWidth="1"/>
    <col min="333" max="333" width="12.33203125" style="32" customWidth="1"/>
    <col min="334" max="334" width="13.44140625" style="32" customWidth="1"/>
    <col min="335" max="335" width="13.109375" style="32" customWidth="1"/>
    <col min="336" max="336" width="12.44140625" style="32" customWidth="1"/>
    <col min="337" max="337" width="12.109375" style="32" customWidth="1"/>
    <col min="338" max="338" width="12" style="32" customWidth="1"/>
    <col min="339" max="339" width="12.44140625" style="32" customWidth="1"/>
    <col min="340" max="340" width="12.33203125" style="32" customWidth="1"/>
    <col min="341" max="341" width="13.44140625" style="32" customWidth="1"/>
    <col min="342" max="342" width="13.109375" style="32" customWidth="1"/>
    <col min="343" max="343" width="12.44140625" style="32" customWidth="1"/>
    <col min="344" max="344" width="12.109375" style="32" customWidth="1"/>
    <col min="345" max="345" width="12" style="32" customWidth="1"/>
    <col min="346" max="346" width="12.44140625" style="32" customWidth="1"/>
    <col min="347" max="347" width="12.33203125" style="32" customWidth="1"/>
    <col min="348" max="348" width="13.44140625" style="32" customWidth="1"/>
    <col min="349" max="349" width="13.109375" style="32" customWidth="1"/>
    <col min="350" max="350" width="12.44140625" style="32" customWidth="1"/>
    <col min="351" max="351" width="12.109375" style="32" bestFit="1" customWidth="1"/>
    <col min="352" max="352" width="12" style="32" bestFit="1" customWidth="1"/>
    <col min="353" max="353" width="12.44140625" style="32" bestFit="1" customWidth="1"/>
    <col min="354" max="354" width="12.33203125" style="32" bestFit="1" customWidth="1"/>
    <col min="355" max="355" width="13.44140625" style="32" bestFit="1" customWidth="1"/>
    <col min="356" max="356" width="13.109375" style="32" bestFit="1" customWidth="1"/>
    <col min="357" max="357" width="12.44140625" style="32" bestFit="1" customWidth="1"/>
    <col min="358" max="358" width="12.109375" style="32" bestFit="1" customWidth="1"/>
    <col min="359" max="359" width="12" style="32" bestFit="1" customWidth="1"/>
    <col min="360" max="360" width="12.44140625" style="32" bestFit="1" customWidth="1"/>
    <col min="361" max="361" width="12.33203125" style="32" bestFit="1" customWidth="1"/>
    <col min="362" max="362" width="13.44140625" style="32" bestFit="1" customWidth="1"/>
    <col min="363" max="363" width="13.109375" style="32" bestFit="1" customWidth="1"/>
    <col min="364" max="364" width="12.44140625" style="32" bestFit="1" customWidth="1"/>
    <col min="365" max="365" width="11.109375" style="32" bestFit="1" customWidth="1"/>
    <col min="366" max="366" width="11" style="32" bestFit="1" customWidth="1"/>
    <col min="367" max="367" width="11.44140625" style="32" bestFit="1" customWidth="1"/>
    <col min="368" max="16384" width="8.88671875" style="32"/>
  </cols>
  <sheetData>
    <row r="1" spans="1:371">
      <c r="A1" s="99" t="s">
        <v>57</v>
      </c>
      <c r="B1" s="99" t="s">
        <v>56</v>
      </c>
      <c r="C1" s="11">
        <v>45658</v>
      </c>
      <c r="D1" s="11">
        <v>45659</v>
      </c>
      <c r="E1" s="11">
        <v>45660</v>
      </c>
      <c r="F1" s="11">
        <v>45661</v>
      </c>
      <c r="G1" s="11">
        <v>45662</v>
      </c>
      <c r="H1" s="11">
        <v>45663</v>
      </c>
      <c r="I1" s="11">
        <v>45664</v>
      </c>
      <c r="J1" s="11">
        <v>45665</v>
      </c>
      <c r="K1" s="11">
        <v>45666</v>
      </c>
      <c r="L1" s="11">
        <v>45667</v>
      </c>
      <c r="M1" s="11">
        <v>45668</v>
      </c>
      <c r="N1" s="11">
        <v>45669</v>
      </c>
      <c r="O1" s="33">
        <v>45670</v>
      </c>
      <c r="P1" s="33">
        <v>45671</v>
      </c>
      <c r="Q1" s="33">
        <v>45672</v>
      </c>
      <c r="R1" s="33">
        <v>45673</v>
      </c>
      <c r="S1" s="33">
        <v>45674</v>
      </c>
      <c r="T1" s="33">
        <v>45675</v>
      </c>
      <c r="U1" s="33">
        <v>45676</v>
      </c>
      <c r="V1" s="33">
        <v>45677</v>
      </c>
      <c r="W1" s="33">
        <v>45678</v>
      </c>
      <c r="X1" s="33">
        <v>45679</v>
      </c>
      <c r="Y1" s="33">
        <v>45680</v>
      </c>
      <c r="Z1" s="33">
        <v>45681</v>
      </c>
      <c r="AA1" s="33">
        <v>45682</v>
      </c>
      <c r="AB1" s="33">
        <v>45683</v>
      </c>
      <c r="AC1" s="33">
        <v>45684</v>
      </c>
      <c r="AD1" s="33">
        <v>45685</v>
      </c>
      <c r="AE1" s="33">
        <v>45686</v>
      </c>
      <c r="AF1" s="33">
        <v>45687</v>
      </c>
      <c r="AG1" s="33">
        <v>45688</v>
      </c>
      <c r="AH1" s="33">
        <v>45689</v>
      </c>
      <c r="AI1" s="33">
        <v>45690</v>
      </c>
      <c r="AJ1" s="33">
        <v>45691</v>
      </c>
      <c r="AK1" s="33">
        <v>45692</v>
      </c>
      <c r="AL1" s="33">
        <v>45693</v>
      </c>
      <c r="AM1" s="33">
        <v>45694</v>
      </c>
      <c r="AN1" s="33">
        <v>45695</v>
      </c>
      <c r="AO1" s="33">
        <v>45696</v>
      </c>
      <c r="AP1" s="33">
        <v>45697</v>
      </c>
      <c r="AQ1" s="33">
        <v>45698</v>
      </c>
      <c r="AR1" s="33">
        <v>45699</v>
      </c>
      <c r="AS1" s="33">
        <v>45700</v>
      </c>
      <c r="AT1" s="33">
        <v>45701</v>
      </c>
      <c r="AU1" s="33">
        <v>45702</v>
      </c>
      <c r="AV1" s="33">
        <v>45703</v>
      </c>
      <c r="AW1" s="33">
        <v>45704</v>
      </c>
      <c r="AX1" s="33">
        <v>45705</v>
      </c>
      <c r="AY1" s="33">
        <v>45706</v>
      </c>
      <c r="AZ1" s="33">
        <v>45707</v>
      </c>
      <c r="BA1" s="33">
        <v>45708</v>
      </c>
      <c r="BB1" s="33">
        <v>45709</v>
      </c>
      <c r="BC1" s="33">
        <v>45710</v>
      </c>
      <c r="BD1" s="33">
        <v>45711</v>
      </c>
      <c r="BE1" s="33">
        <v>45712</v>
      </c>
      <c r="BF1" s="33">
        <v>45713</v>
      </c>
      <c r="BG1" s="33">
        <v>45714</v>
      </c>
      <c r="BH1" s="33">
        <v>45715</v>
      </c>
      <c r="BI1" s="33">
        <v>45716</v>
      </c>
      <c r="BJ1" s="33">
        <v>45717</v>
      </c>
      <c r="BK1" s="33">
        <v>45718</v>
      </c>
      <c r="BL1" s="33">
        <v>45719</v>
      </c>
      <c r="BM1" s="33">
        <v>45720</v>
      </c>
      <c r="BN1" s="33">
        <v>45721</v>
      </c>
      <c r="BO1" s="33">
        <v>45722</v>
      </c>
      <c r="BP1" s="33">
        <v>45723</v>
      </c>
      <c r="BQ1" s="33">
        <v>45724</v>
      </c>
      <c r="BR1" s="33">
        <v>45725</v>
      </c>
      <c r="BS1" s="33">
        <v>45726</v>
      </c>
      <c r="BT1" s="33">
        <v>45727</v>
      </c>
      <c r="BU1" s="33">
        <v>45728</v>
      </c>
      <c r="BV1" s="33">
        <v>45729</v>
      </c>
      <c r="BW1" s="33">
        <v>45730</v>
      </c>
      <c r="BX1" s="33">
        <v>45731</v>
      </c>
      <c r="BY1" s="33">
        <v>45732</v>
      </c>
      <c r="BZ1" s="33">
        <v>45733</v>
      </c>
      <c r="CA1" s="33">
        <v>45734</v>
      </c>
      <c r="CB1" s="33">
        <v>45735</v>
      </c>
      <c r="CC1" s="33">
        <v>45736</v>
      </c>
      <c r="CD1" s="33">
        <v>45737</v>
      </c>
      <c r="CE1" s="33">
        <v>45738</v>
      </c>
      <c r="CF1" s="33">
        <v>45739</v>
      </c>
      <c r="CG1" s="33">
        <v>45740</v>
      </c>
      <c r="CH1" s="33">
        <v>45741</v>
      </c>
      <c r="CI1" s="33">
        <v>45742</v>
      </c>
      <c r="CJ1" s="33">
        <v>45743</v>
      </c>
      <c r="CK1" s="33">
        <v>45744</v>
      </c>
      <c r="CL1" s="33">
        <v>45745</v>
      </c>
      <c r="CM1" s="33">
        <v>45746</v>
      </c>
      <c r="CN1" s="33">
        <v>45747</v>
      </c>
      <c r="CO1" s="33">
        <v>45748</v>
      </c>
      <c r="CP1" s="33">
        <v>45749</v>
      </c>
      <c r="CQ1" s="33">
        <v>45750</v>
      </c>
      <c r="CR1" s="33">
        <v>45751</v>
      </c>
      <c r="CS1" s="33">
        <v>45752</v>
      </c>
      <c r="CT1" s="33">
        <v>45753</v>
      </c>
      <c r="CU1" s="33">
        <v>45754</v>
      </c>
      <c r="CV1" s="33">
        <v>45755</v>
      </c>
      <c r="CW1" s="33">
        <v>45756</v>
      </c>
      <c r="CX1" s="33">
        <v>45757</v>
      </c>
      <c r="CY1" s="33">
        <v>45758</v>
      </c>
      <c r="CZ1" s="33">
        <v>45759</v>
      </c>
      <c r="DA1" s="33">
        <v>45760</v>
      </c>
      <c r="DB1" s="33">
        <v>45761</v>
      </c>
      <c r="DC1" s="33">
        <v>45762</v>
      </c>
      <c r="DD1" s="33">
        <v>45763</v>
      </c>
      <c r="DE1" s="33">
        <v>45764</v>
      </c>
      <c r="DF1" s="33">
        <v>45765</v>
      </c>
      <c r="DG1" s="33">
        <v>45766</v>
      </c>
      <c r="DH1" s="33">
        <v>45767</v>
      </c>
      <c r="DI1" s="33">
        <v>45768</v>
      </c>
      <c r="DJ1" s="33">
        <v>45769</v>
      </c>
      <c r="DK1" s="33">
        <v>45770</v>
      </c>
      <c r="DL1" s="33">
        <v>45771</v>
      </c>
      <c r="DM1" s="33">
        <v>45772</v>
      </c>
      <c r="DN1" s="33">
        <v>45773</v>
      </c>
      <c r="DO1" s="33">
        <v>45774</v>
      </c>
      <c r="DP1" s="33">
        <v>45775</v>
      </c>
      <c r="DQ1" s="33">
        <v>45776</v>
      </c>
      <c r="DR1" s="33">
        <v>45777</v>
      </c>
      <c r="DS1" s="33">
        <v>45778</v>
      </c>
      <c r="DT1" s="33">
        <v>45779</v>
      </c>
      <c r="DU1" s="33">
        <v>45780</v>
      </c>
      <c r="DV1" s="33">
        <v>45781</v>
      </c>
      <c r="DW1" s="33">
        <v>45782</v>
      </c>
      <c r="DX1" s="33">
        <v>45783</v>
      </c>
      <c r="DY1" s="33">
        <v>45784</v>
      </c>
      <c r="DZ1" s="33">
        <v>45785</v>
      </c>
      <c r="EA1" s="33">
        <v>45786</v>
      </c>
      <c r="EB1" s="33">
        <v>45787</v>
      </c>
      <c r="EC1" s="33">
        <v>45788</v>
      </c>
      <c r="ED1" s="33">
        <v>45789</v>
      </c>
      <c r="EE1" s="33">
        <v>45790</v>
      </c>
      <c r="EF1" s="33">
        <v>45791</v>
      </c>
      <c r="EG1" s="33">
        <v>45792</v>
      </c>
      <c r="EH1" s="33">
        <v>45793</v>
      </c>
      <c r="EI1" s="33">
        <v>45794</v>
      </c>
      <c r="EJ1" s="33">
        <v>45795</v>
      </c>
      <c r="EK1" s="33">
        <v>45796</v>
      </c>
      <c r="EL1" s="33">
        <v>45797</v>
      </c>
      <c r="EM1" s="33">
        <v>45798</v>
      </c>
      <c r="EN1" s="33">
        <v>45799</v>
      </c>
      <c r="EO1" s="33">
        <v>45800</v>
      </c>
      <c r="EP1" s="33">
        <v>45801</v>
      </c>
      <c r="EQ1" s="33">
        <v>45802</v>
      </c>
      <c r="ER1" s="33">
        <v>45803</v>
      </c>
      <c r="ES1" s="33">
        <v>45804</v>
      </c>
      <c r="ET1" s="33">
        <v>45805</v>
      </c>
      <c r="EU1" s="33">
        <v>45806</v>
      </c>
      <c r="EV1" s="33">
        <v>45807</v>
      </c>
      <c r="EW1" s="33">
        <v>45808</v>
      </c>
      <c r="EX1" s="33">
        <v>45809</v>
      </c>
      <c r="EY1" s="33">
        <v>45810</v>
      </c>
      <c r="EZ1" s="33">
        <v>45811</v>
      </c>
      <c r="FA1" s="33">
        <v>45812</v>
      </c>
      <c r="FB1" s="33">
        <v>45813</v>
      </c>
      <c r="FC1" s="33">
        <v>45814</v>
      </c>
      <c r="FD1" s="33">
        <v>45815</v>
      </c>
      <c r="FE1" s="33">
        <v>45816</v>
      </c>
      <c r="FF1" s="33">
        <v>45817</v>
      </c>
      <c r="FG1" s="33">
        <v>45818</v>
      </c>
      <c r="FH1" s="33">
        <v>45819</v>
      </c>
      <c r="FI1" s="33">
        <v>45820</v>
      </c>
      <c r="FJ1" s="33">
        <v>45821</v>
      </c>
      <c r="FK1" s="33">
        <v>45822</v>
      </c>
      <c r="FL1" s="33">
        <v>45823</v>
      </c>
      <c r="FM1" s="33">
        <v>45824</v>
      </c>
      <c r="FN1" s="33">
        <v>45825</v>
      </c>
      <c r="FO1" s="33">
        <v>45826</v>
      </c>
      <c r="FP1" s="33">
        <v>45827</v>
      </c>
      <c r="FQ1" s="33">
        <v>45828</v>
      </c>
      <c r="FR1" s="33">
        <v>45829</v>
      </c>
      <c r="FS1" s="33">
        <v>45830</v>
      </c>
      <c r="FT1" s="33">
        <v>45831</v>
      </c>
      <c r="FU1" s="33">
        <v>45832</v>
      </c>
      <c r="FV1" s="33">
        <v>45833</v>
      </c>
      <c r="FW1" s="33">
        <v>45834</v>
      </c>
      <c r="FX1" s="33">
        <v>45835</v>
      </c>
      <c r="FY1" s="33">
        <v>45836</v>
      </c>
      <c r="FZ1" s="33">
        <v>45837</v>
      </c>
      <c r="GA1" s="33">
        <v>45838</v>
      </c>
      <c r="GB1" s="33">
        <v>45839</v>
      </c>
      <c r="GC1" s="33">
        <v>45840</v>
      </c>
      <c r="GD1" s="33">
        <v>45841</v>
      </c>
      <c r="GE1" s="33">
        <v>45842</v>
      </c>
      <c r="GF1" s="33">
        <v>45843</v>
      </c>
      <c r="GG1" s="33">
        <v>45844</v>
      </c>
      <c r="GH1" s="33">
        <v>45845</v>
      </c>
      <c r="GI1" s="33">
        <v>45846</v>
      </c>
      <c r="GJ1" s="33">
        <v>45847</v>
      </c>
      <c r="GK1" s="33">
        <v>45848</v>
      </c>
      <c r="GL1" s="33">
        <v>45849</v>
      </c>
      <c r="GM1" s="33">
        <v>45850</v>
      </c>
      <c r="GN1" s="33">
        <v>45851</v>
      </c>
      <c r="GO1" s="33">
        <v>45852</v>
      </c>
      <c r="GP1" s="33">
        <v>45853</v>
      </c>
      <c r="GQ1" s="33">
        <v>45854</v>
      </c>
      <c r="GR1" s="33">
        <v>45855</v>
      </c>
      <c r="GS1" s="33">
        <v>45856</v>
      </c>
      <c r="GT1" s="33">
        <v>45857</v>
      </c>
      <c r="GU1" s="33">
        <v>45858</v>
      </c>
      <c r="GV1" s="33">
        <v>45859</v>
      </c>
      <c r="GW1" s="33">
        <v>45860</v>
      </c>
      <c r="GX1" s="33">
        <v>45861</v>
      </c>
      <c r="GY1" s="33">
        <v>45862</v>
      </c>
      <c r="GZ1" s="33">
        <v>45863</v>
      </c>
      <c r="HA1" s="33">
        <v>45864</v>
      </c>
      <c r="HB1" s="33">
        <v>45865</v>
      </c>
      <c r="HC1" s="33">
        <v>45866</v>
      </c>
      <c r="HD1" s="33">
        <v>45867</v>
      </c>
      <c r="HE1" s="33">
        <v>45868</v>
      </c>
      <c r="HF1" s="33">
        <v>45869</v>
      </c>
      <c r="HG1" s="33">
        <v>45870</v>
      </c>
      <c r="HH1" s="33">
        <v>45871</v>
      </c>
      <c r="HI1" s="33">
        <v>45872</v>
      </c>
      <c r="HJ1" s="33">
        <v>45873</v>
      </c>
      <c r="HK1" s="33">
        <v>45874</v>
      </c>
      <c r="HL1" s="33">
        <v>45875</v>
      </c>
      <c r="HM1" s="33">
        <v>45876</v>
      </c>
      <c r="HN1" s="33">
        <v>45877</v>
      </c>
      <c r="HO1" s="33">
        <v>45878</v>
      </c>
      <c r="HP1" s="33">
        <v>45879</v>
      </c>
      <c r="HQ1" s="33">
        <v>45880</v>
      </c>
      <c r="HR1" s="33">
        <v>45881</v>
      </c>
      <c r="HS1" s="33">
        <v>45882</v>
      </c>
      <c r="HT1" s="33">
        <v>45883</v>
      </c>
      <c r="HU1" s="33">
        <v>45884</v>
      </c>
      <c r="HV1" s="33">
        <v>45885</v>
      </c>
      <c r="HW1" s="33">
        <v>45886</v>
      </c>
      <c r="HX1" s="33">
        <v>45887</v>
      </c>
      <c r="HY1" s="33">
        <v>45888</v>
      </c>
      <c r="HZ1" s="33">
        <v>45889</v>
      </c>
      <c r="IA1" s="33">
        <v>45890</v>
      </c>
      <c r="IB1" s="33">
        <v>45891</v>
      </c>
      <c r="IC1" s="33">
        <v>45892</v>
      </c>
      <c r="ID1" s="33">
        <v>45893</v>
      </c>
      <c r="IE1" s="33">
        <v>45894</v>
      </c>
      <c r="IF1" s="33">
        <v>45895</v>
      </c>
      <c r="IG1" s="33">
        <v>45896</v>
      </c>
      <c r="IH1" s="33">
        <v>45897</v>
      </c>
      <c r="II1" s="33">
        <v>45898</v>
      </c>
      <c r="IJ1" s="33">
        <v>45899</v>
      </c>
      <c r="IK1" s="33">
        <v>45900</v>
      </c>
      <c r="IL1" s="33">
        <v>45901</v>
      </c>
      <c r="IM1" s="33">
        <v>45902</v>
      </c>
      <c r="IN1" s="33">
        <v>45903</v>
      </c>
      <c r="IO1" s="33">
        <v>45904</v>
      </c>
      <c r="IP1" s="33">
        <v>45905</v>
      </c>
      <c r="IQ1" s="33">
        <v>45906</v>
      </c>
      <c r="IR1" s="33">
        <v>45907</v>
      </c>
      <c r="IS1" s="33">
        <v>45908</v>
      </c>
      <c r="IT1" s="33">
        <v>45909</v>
      </c>
      <c r="IU1" s="33">
        <v>45910</v>
      </c>
      <c r="IV1" s="33">
        <v>45911</v>
      </c>
      <c r="IW1" s="33">
        <v>45912</v>
      </c>
      <c r="IX1" s="33">
        <v>45913</v>
      </c>
      <c r="IY1" s="33">
        <v>45914</v>
      </c>
      <c r="IZ1" s="33">
        <v>45915</v>
      </c>
      <c r="JA1" s="33">
        <v>45916</v>
      </c>
      <c r="JB1" s="33">
        <v>45917</v>
      </c>
      <c r="JC1" s="33">
        <v>45918</v>
      </c>
      <c r="JD1" s="33">
        <v>45919</v>
      </c>
      <c r="JE1" s="33">
        <v>45920</v>
      </c>
      <c r="JF1" s="33">
        <v>45921</v>
      </c>
      <c r="JG1" s="33">
        <v>45922</v>
      </c>
      <c r="JH1" s="33">
        <v>45923</v>
      </c>
      <c r="JI1" s="33">
        <v>45924</v>
      </c>
      <c r="JJ1" s="33">
        <v>45925</v>
      </c>
      <c r="JK1" s="33">
        <v>45926</v>
      </c>
      <c r="JL1" s="33">
        <v>45927</v>
      </c>
      <c r="JM1" s="33">
        <v>45928</v>
      </c>
      <c r="JN1" s="33">
        <v>45929</v>
      </c>
      <c r="JO1" s="33">
        <v>45930</v>
      </c>
      <c r="JP1" s="33">
        <v>45931</v>
      </c>
      <c r="JQ1" s="33">
        <v>45932</v>
      </c>
      <c r="JR1" s="33">
        <v>45933</v>
      </c>
      <c r="JS1" s="33">
        <v>45934</v>
      </c>
      <c r="JT1" s="33">
        <v>45935</v>
      </c>
      <c r="JU1" s="33">
        <v>45936</v>
      </c>
      <c r="JV1" s="33">
        <v>45937</v>
      </c>
      <c r="JW1" s="33">
        <v>45938</v>
      </c>
      <c r="JX1" s="33">
        <v>45939</v>
      </c>
      <c r="JY1" s="33">
        <v>45940</v>
      </c>
      <c r="JZ1" s="33">
        <v>45941</v>
      </c>
      <c r="KA1" s="33">
        <v>45942</v>
      </c>
      <c r="KB1" s="33">
        <v>45943</v>
      </c>
      <c r="KC1" s="33">
        <v>45944</v>
      </c>
      <c r="KD1" s="33">
        <v>45945</v>
      </c>
      <c r="KE1" s="33">
        <v>45946</v>
      </c>
      <c r="KF1" s="33">
        <v>45947</v>
      </c>
      <c r="KG1" s="33">
        <v>45948</v>
      </c>
      <c r="KH1" s="33">
        <v>45949</v>
      </c>
      <c r="KI1" s="33">
        <v>45950</v>
      </c>
      <c r="KJ1" s="33">
        <v>45951</v>
      </c>
      <c r="KK1" s="33">
        <v>45952</v>
      </c>
      <c r="KL1" s="33">
        <v>45953</v>
      </c>
      <c r="KM1" s="33">
        <v>45954</v>
      </c>
      <c r="KN1" s="33">
        <v>45955</v>
      </c>
      <c r="KO1" s="33">
        <v>45956</v>
      </c>
      <c r="KP1" s="33">
        <v>45957</v>
      </c>
      <c r="KQ1" s="33">
        <v>45958</v>
      </c>
      <c r="KR1" s="33">
        <v>45959</v>
      </c>
      <c r="KS1" s="33">
        <v>45960</v>
      </c>
      <c r="KT1" s="33">
        <v>45961</v>
      </c>
      <c r="KU1" s="33">
        <v>45962</v>
      </c>
      <c r="KV1" s="33">
        <v>45963</v>
      </c>
      <c r="KW1" s="33">
        <v>45964</v>
      </c>
      <c r="KX1" s="33">
        <v>45965</v>
      </c>
      <c r="KY1" s="33">
        <v>45966</v>
      </c>
      <c r="KZ1" s="33">
        <v>45967</v>
      </c>
      <c r="LA1" s="33">
        <v>45968</v>
      </c>
      <c r="LB1" s="33">
        <v>45969</v>
      </c>
      <c r="LC1" s="33">
        <v>45970</v>
      </c>
      <c r="LD1" s="33">
        <v>45971</v>
      </c>
      <c r="LE1" s="33">
        <v>45972</v>
      </c>
      <c r="LF1" s="33">
        <v>45973</v>
      </c>
      <c r="LG1" s="33">
        <v>45974</v>
      </c>
      <c r="LH1" s="33">
        <v>45975</v>
      </c>
      <c r="LI1" s="33">
        <v>45976</v>
      </c>
      <c r="LJ1" s="33">
        <v>45977</v>
      </c>
      <c r="LK1" s="33">
        <v>45978</v>
      </c>
      <c r="LL1" s="33">
        <v>45979</v>
      </c>
      <c r="LM1" s="33">
        <v>45980</v>
      </c>
      <c r="LN1" s="33">
        <v>45981</v>
      </c>
      <c r="LO1" s="33">
        <v>45982</v>
      </c>
      <c r="LP1" s="33">
        <v>45983</v>
      </c>
      <c r="LQ1" s="33">
        <v>45984</v>
      </c>
      <c r="LR1" s="33">
        <v>45985</v>
      </c>
      <c r="LS1" s="33">
        <v>45986</v>
      </c>
      <c r="LT1" s="33">
        <v>45987</v>
      </c>
      <c r="LU1" s="33">
        <v>45988</v>
      </c>
      <c r="LV1" s="33">
        <v>45989</v>
      </c>
      <c r="LW1" s="33">
        <v>45990</v>
      </c>
      <c r="LX1" s="33">
        <v>45991</v>
      </c>
      <c r="LY1" s="33">
        <v>45992</v>
      </c>
      <c r="LZ1" s="33">
        <v>45993</v>
      </c>
      <c r="MA1" s="33">
        <v>45994</v>
      </c>
      <c r="MB1" s="33">
        <v>45995</v>
      </c>
      <c r="MC1" s="33">
        <v>45996</v>
      </c>
      <c r="MD1" s="33">
        <v>45997</v>
      </c>
      <c r="ME1" s="33">
        <v>45998</v>
      </c>
      <c r="MF1" s="33">
        <v>45999</v>
      </c>
      <c r="MG1" s="33">
        <v>46000</v>
      </c>
      <c r="MH1" s="33">
        <v>46001</v>
      </c>
      <c r="MI1" s="33">
        <v>46002</v>
      </c>
      <c r="MJ1" s="33">
        <v>46003</v>
      </c>
      <c r="MK1" s="33">
        <v>46004</v>
      </c>
      <c r="ML1" s="33">
        <v>46005</v>
      </c>
      <c r="MM1" s="33">
        <v>46006</v>
      </c>
      <c r="MN1" s="33">
        <v>46007</v>
      </c>
      <c r="MO1" s="33">
        <v>46008</v>
      </c>
      <c r="MP1" s="33">
        <v>46009</v>
      </c>
      <c r="MQ1" s="33">
        <v>46010</v>
      </c>
      <c r="MR1" s="33">
        <v>46011</v>
      </c>
      <c r="MS1" s="33">
        <v>46012</v>
      </c>
      <c r="MT1" s="33">
        <v>46013</v>
      </c>
      <c r="MU1" s="33">
        <v>46014</v>
      </c>
      <c r="MV1" s="33">
        <v>46015</v>
      </c>
      <c r="MW1" s="33">
        <v>46016</v>
      </c>
      <c r="MX1" s="33">
        <v>46017</v>
      </c>
      <c r="MY1" s="33">
        <v>46018</v>
      </c>
      <c r="MZ1" s="33">
        <v>46019</v>
      </c>
      <c r="NA1" s="33">
        <v>46020</v>
      </c>
      <c r="NB1" s="33">
        <v>46021</v>
      </c>
      <c r="NC1" s="33">
        <v>46022</v>
      </c>
    </row>
    <row r="2" spans="1:371">
      <c r="B2" s="84" t="s">
        <v>10</v>
      </c>
      <c r="C2" s="8" t="s">
        <v>54</v>
      </c>
      <c r="D2" s="8" t="s">
        <v>54</v>
      </c>
      <c r="E2" s="8" t="s">
        <v>54</v>
      </c>
      <c r="F2" s="8" t="s">
        <v>54</v>
      </c>
      <c r="G2" s="8" t="s">
        <v>54</v>
      </c>
      <c r="H2" s="8" t="s">
        <v>425</v>
      </c>
      <c r="I2" s="8" t="s">
        <v>425</v>
      </c>
      <c r="J2" s="8" t="s">
        <v>425</v>
      </c>
      <c r="K2" s="8" t="s">
        <v>425</v>
      </c>
      <c r="L2" s="8" t="s">
        <v>425</v>
      </c>
      <c r="M2" s="8" t="s">
        <v>425</v>
      </c>
      <c r="N2" s="8" t="s">
        <v>425</v>
      </c>
      <c r="O2" s="32" t="s">
        <v>2</v>
      </c>
      <c r="P2" s="32" t="s">
        <v>2</v>
      </c>
      <c r="Q2" s="32" t="s">
        <v>2</v>
      </c>
      <c r="R2" s="32" t="s">
        <v>2</v>
      </c>
      <c r="S2" s="32" t="s">
        <v>2</v>
      </c>
      <c r="T2" s="32" t="s">
        <v>2</v>
      </c>
      <c r="U2" s="32" t="s">
        <v>2</v>
      </c>
      <c r="V2" s="32" t="s">
        <v>3</v>
      </c>
      <c r="W2" s="32" t="s">
        <v>3</v>
      </c>
      <c r="X2" s="32" t="s">
        <v>3</v>
      </c>
      <c r="Y2" s="32" t="s">
        <v>3</v>
      </c>
      <c r="Z2" s="32" t="s">
        <v>3</v>
      </c>
      <c r="AA2" s="32" t="s">
        <v>3</v>
      </c>
      <c r="AB2" s="32" t="s">
        <v>3</v>
      </c>
      <c r="AC2" s="32" t="s">
        <v>4</v>
      </c>
      <c r="AD2" s="32" t="s">
        <v>4</v>
      </c>
      <c r="AE2" s="32" t="s">
        <v>4</v>
      </c>
      <c r="AF2" s="32" t="s">
        <v>4</v>
      </c>
      <c r="AG2" s="32" t="s">
        <v>4</v>
      </c>
      <c r="AH2" s="32" t="s">
        <v>4</v>
      </c>
      <c r="AI2" s="32" t="s">
        <v>4</v>
      </c>
      <c r="AJ2" s="32" t="s">
        <v>5</v>
      </c>
      <c r="AK2" s="32" t="s">
        <v>5</v>
      </c>
      <c r="AL2" s="32" t="s">
        <v>5</v>
      </c>
      <c r="AM2" s="32" t="s">
        <v>5</v>
      </c>
      <c r="AN2" s="32" t="s">
        <v>5</v>
      </c>
      <c r="AO2" s="32" t="s">
        <v>5</v>
      </c>
      <c r="AP2" s="32" t="s">
        <v>5</v>
      </c>
      <c r="AQ2" s="32" t="s">
        <v>6</v>
      </c>
      <c r="AR2" s="32" t="s">
        <v>6</v>
      </c>
      <c r="AS2" s="32" t="s">
        <v>6</v>
      </c>
      <c r="AT2" s="32" t="s">
        <v>6</v>
      </c>
      <c r="AU2" s="32" t="s">
        <v>6</v>
      </c>
      <c r="AV2" s="32" t="s">
        <v>6</v>
      </c>
      <c r="AW2" s="32" t="s">
        <v>6</v>
      </c>
      <c r="AX2" s="32" t="s">
        <v>7</v>
      </c>
      <c r="AY2" s="32" t="s">
        <v>7</v>
      </c>
      <c r="AZ2" s="32" t="s">
        <v>7</v>
      </c>
      <c r="BA2" s="32" t="s">
        <v>7</v>
      </c>
      <c r="BB2" s="32" t="s">
        <v>7</v>
      </c>
      <c r="BC2" s="32" t="s">
        <v>7</v>
      </c>
      <c r="BD2" s="32" t="s">
        <v>7</v>
      </c>
      <c r="BE2" s="32" t="s">
        <v>8</v>
      </c>
      <c r="BF2" s="32" t="s">
        <v>8</v>
      </c>
      <c r="BG2" s="32" t="s">
        <v>8</v>
      </c>
      <c r="BH2" s="32" t="s">
        <v>8</v>
      </c>
      <c r="BI2" s="32" t="s">
        <v>8</v>
      </c>
      <c r="BJ2" s="32" t="s">
        <v>8</v>
      </c>
      <c r="BK2" s="32" t="s">
        <v>8</v>
      </c>
      <c r="BL2" s="32" t="s">
        <v>11</v>
      </c>
      <c r="BM2" s="32" t="s">
        <v>11</v>
      </c>
      <c r="BN2" s="32" t="s">
        <v>11</v>
      </c>
      <c r="BO2" s="32" t="s">
        <v>11</v>
      </c>
      <c r="BP2" s="32" t="s">
        <v>11</v>
      </c>
      <c r="BQ2" s="32" t="s">
        <v>11</v>
      </c>
      <c r="BR2" s="32" t="s">
        <v>11</v>
      </c>
      <c r="BS2" s="32" t="s">
        <v>12</v>
      </c>
      <c r="BT2" s="32" t="s">
        <v>12</v>
      </c>
      <c r="BU2" s="32" t="s">
        <v>12</v>
      </c>
      <c r="BV2" s="32" t="s">
        <v>12</v>
      </c>
      <c r="BW2" s="32" t="s">
        <v>12</v>
      </c>
      <c r="BX2" s="32" t="s">
        <v>12</v>
      </c>
      <c r="BY2" s="32" t="s">
        <v>12</v>
      </c>
      <c r="BZ2" s="32" t="s">
        <v>13</v>
      </c>
      <c r="CA2" s="32" t="s">
        <v>13</v>
      </c>
      <c r="CB2" s="32" t="s">
        <v>13</v>
      </c>
      <c r="CC2" s="32" t="s">
        <v>13</v>
      </c>
      <c r="CD2" s="32" t="s">
        <v>13</v>
      </c>
      <c r="CE2" s="32" t="s">
        <v>13</v>
      </c>
      <c r="CF2" s="32" t="s">
        <v>13</v>
      </c>
      <c r="CG2" s="32" t="s">
        <v>14</v>
      </c>
      <c r="CH2" s="32" t="s">
        <v>14</v>
      </c>
      <c r="CI2" s="32" t="s">
        <v>14</v>
      </c>
      <c r="CJ2" s="32" t="s">
        <v>14</v>
      </c>
      <c r="CK2" s="32" t="s">
        <v>14</v>
      </c>
      <c r="CL2" s="32" t="s">
        <v>14</v>
      </c>
      <c r="CM2" s="32" t="s">
        <v>14</v>
      </c>
      <c r="CN2" s="32" t="s">
        <v>15</v>
      </c>
      <c r="CO2" s="32" t="s">
        <v>15</v>
      </c>
      <c r="CP2" s="32" t="s">
        <v>15</v>
      </c>
      <c r="CQ2" s="32" t="s">
        <v>15</v>
      </c>
      <c r="CR2" s="32" t="s">
        <v>15</v>
      </c>
      <c r="CS2" s="32" t="s">
        <v>15</v>
      </c>
      <c r="CT2" s="32" t="s">
        <v>15</v>
      </c>
      <c r="CU2" s="32" t="s">
        <v>16</v>
      </c>
      <c r="CV2" s="32" t="s">
        <v>16</v>
      </c>
      <c r="CW2" s="32" t="s">
        <v>16</v>
      </c>
      <c r="CX2" s="32" t="s">
        <v>16</v>
      </c>
      <c r="CY2" s="32" t="s">
        <v>16</v>
      </c>
      <c r="CZ2" s="32" t="s">
        <v>16</v>
      </c>
      <c r="DA2" s="32" t="s">
        <v>16</v>
      </c>
      <c r="DB2" s="32" t="s">
        <v>17</v>
      </c>
      <c r="DC2" s="32" t="s">
        <v>17</v>
      </c>
      <c r="DD2" s="32" t="s">
        <v>17</v>
      </c>
      <c r="DE2" s="32" t="s">
        <v>17</v>
      </c>
      <c r="DF2" s="32" t="s">
        <v>17</v>
      </c>
      <c r="DG2" s="32" t="s">
        <v>17</v>
      </c>
      <c r="DH2" s="32" t="s">
        <v>17</v>
      </c>
      <c r="DI2" s="32" t="s">
        <v>18</v>
      </c>
      <c r="DJ2" s="32" t="s">
        <v>18</v>
      </c>
      <c r="DK2" s="32" t="s">
        <v>18</v>
      </c>
      <c r="DL2" s="32" t="s">
        <v>18</v>
      </c>
      <c r="DM2" s="32" t="s">
        <v>18</v>
      </c>
      <c r="DN2" s="32" t="s">
        <v>18</v>
      </c>
      <c r="DO2" s="32" t="s">
        <v>18</v>
      </c>
      <c r="DP2" s="32" t="s">
        <v>19</v>
      </c>
      <c r="DQ2" s="32" t="s">
        <v>19</v>
      </c>
      <c r="DR2" s="32" t="s">
        <v>19</v>
      </c>
      <c r="DS2" s="32" t="s">
        <v>19</v>
      </c>
      <c r="DT2" s="32" t="s">
        <v>19</v>
      </c>
      <c r="DU2" s="32" t="s">
        <v>19</v>
      </c>
      <c r="DV2" s="32" t="s">
        <v>19</v>
      </c>
      <c r="DW2" s="32" t="s">
        <v>20</v>
      </c>
      <c r="DX2" s="32" t="s">
        <v>20</v>
      </c>
      <c r="DY2" s="32" t="s">
        <v>20</v>
      </c>
      <c r="DZ2" s="32" t="s">
        <v>20</v>
      </c>
      <c r="EA2" s="32" t="s">
        <v>20</v>
      </c>
      <c r="EB2" s="32" t="s">
        <v>20</v>
      </c>
      <c r="EC2" s="32" t="s">
        <v>20</v>
      </c>
      <c r="ED2" s="32" t="s">
        <v>21</v>
      </c>
      <c r="EE2" s="32" t="s">
        <v>21</v>
      </c>
      <c r="EF2" s="32" t="s">
        <v>21</v>
      </c>
      <c r="EG2" s="32" t="s">
        <v>21</v>
      </c>
      <c r="EH2" s="32" t="s">
        <v>21</v>
      </c>
      <c r="EI2" s="32" t="s">
        <v>21</v>
      </c>
      <c r="EJ2" s="32" t="s">
        <v>21</v>
      </c>
      <c r="EK2" s="32" t="s">
        <v>22</v>
      </c>
      <c r="EL2" s="32" t="s">
        <v>22</v>
      </c>
      <c r="EM2" s="32" t="s">
        <v>22</v>
      </c>
      <c r="EN2" s="32" t="s">
        <v>22</v>
      </c>
      <c r="EO2" s="32" t="s">
        <v>22</v>
      </c>
      <c r="EP2" s="32" t="s">
        <v>22</v>
      </c>
      <c r="EQ2" s="32" t="s">
        <v>22</v>
      </c>
      <c r="ER2" s="32" t="s">
        <v>23</v>
      </c>
      <c r="ES2" s="32" t="s">
        <v>23</v>
      </c>
      <c r="ET2" s="32" t="s">
        <v>23</v>
      </c>
      <c r="EU2" s="32" t="s">
        <v>23</v>
      </c>
      <c r="EV2" s="32" t="s">
        <v>23</v>
      </c>
      <c r="EW2" s="32" t="s">
        <v>23</v>
      </c>
      <c r="EX2" s="32" t="s">
        <v>23</v>
      </c>
      <c r="EY2" s="32" t="s">
        <v>24</v>
      </c>
      <c r="EZ2" s="32" t="s">
        <v>24</v>
      </c>
      <c r="FA2" s="32" t="s">
        <v>24</v>
      </c>
      <c r="FB2" s="32" t="s">
        <v>24</v>
      </c>
      <c r="FC2" s="32" t="s">
        <v>24</v>
      </c>
      <c r="FD2" s="32" t="s">
        <v>24</v>
      </c>
      <c r="FE2" s="32" t="s">
        <v>24</v>
      </c>
      <c r="FF2" s="32" t="s">
        <v>25</v>
      </c>
      <c r="FG2" s="32" t="s">
        <v>25</v>
      </c>
      <c r="FH2" s="32" t="s">
        <v>25</v>
      </c>
      <c r="FI2" s="32" t="s">
        <v>25</v>
      </c>
      <c r="FJ2" s="32" t="s">
        <v>25</v>
      </c>
      <c r="FK2" s="32" t="s">
        <v>25</v>
      </c>
      <c r="FL2" s="32" t="s">
        <v>25</v>
      </c>
      <c r="FM2" s="32" t="s">
        <v>26</v>
      </c>
      <c r="FN2" s="32" t="s">
        <v>26</v>
      </c>
      <c r="FO2" s="32" t="s">
        <v>26</v>
      </c>
      <c r="FP2" s="32" t="s">
        <v>26</v>
      </c>
      <c r="FQ2" s="32" t="s">
        <v>26</v>
      </c>
      <c r="FR2" s="32" t="s">
        <v>26</v>
      </c>
      <c r="FS2" s="32" t="s">
        <v>26</v>
      </c>
      <c r="FT2" s="32" t="s">
        <v>27</v>
      </c>
      <c r="FU2" s="32" t="s">
        <v>27</v>
      </c>
      <c r="FV2" s="32" t="s">
        <v>27</v>
      </c>
      <c r="FW2" s="32" t="s">
        <v>27</v>
      </c>
      <c r="FX2" s="32" t="s">
        <v>27</v>
      </c>
      <c r="FY2" s="32" t="s">
        <v>27</v>
      </c>
      <c r="FZ2" s="32" t="s">
        <v>27</v>
      </c>
      <c r="GA2" s="32" t="s">
        <v>28</v>
      </c>
      <c r="GB2" s="32" t="s">
        <v>28</v>
      </c>
      <c r="GC2" s="32" t="s">
        <v>28</v>
      </c>
      <c r="GD2" s="32" t="s">
        <v>28</v>
      </c>
      <c r="GE2" s="32" t="s">
        <v>28</v>
      </c>
      <c r="GF2" s="32" t="s">
        <v>28</v>
      </c>
      <c r="GG2" s="32" t="s">
        <v>28</v>
      </c>
      <c r="GH2" s="32" t="s">
        <v>29</v>
      </c>
      <c r="GI2" s="32" t="s">
        <v>29</v>
      </c>
      <c r="GJ2" s="32" t="s">
        <v>29</v>
      </c>
      <c r="GK2" s="32" t="s">
        <v>29</v>
      </c>
      <c r="GL2" s="32" t="s">
        <v>29</v>
      </c>
      <c r="GM2" s="32" t="s">
        <v>29</v>
      </c>
      <c r="GN2" s="32" t="s">
        <v>29</v>
      </c>
      <c r="GO2" s="32" t="s">
        <v>30</v>
      </c>
      <c r="GP2" s="32" t="s">
        <v>30</v>
      </c>
      <c r="GQ2" s="32" t="s">
        <v>30</v>
      </c>
      <c r="GR2" s="32" t="s">
        <v>30</v>
      </c>
      <c r="GS2" s="32" t="s">
        <v>30</v>
      </c>
      <c r="GT2" s="32" t="s">
        <v>30</v>
      </c>
      <c r="GU2" s="32" t="s">
        <v>30</v>
      </c>
      <c r="GV2" s="32" t="s">
        <v>31</v>
      </c>
      <c r="GW2" s="32" t="s">
        <v>31</v>
      </c>
      <c r="GX2" s="32" t="s">
        <v>31</v>
      </c>
      <c r="GY2" s="32" t="s">
        <v>31</v>
      </c>
      <c r="GZ2" s="32" t="s">
        <v>31</v>
      </c>
      <c r="HA2" s="32" t="s">
        <v>31</v>
      </c>
      <c r="HB2" s="32" t="s">
        <v>31</v>
      </c>
      <c r="HC2" s="32" t="s">
        <v>32</v>
      </c>
      <c r="HD2" s="32" t="s">
        <v>32</v>
      </c>
      <c r="HE2" s="32" t="s">
        <v>32</v>
      </c>
      <c r="HF2" s="32" t="s">
        <v>32</v>
      </c>
      <c r="HG2" s="32" t="s">
        <v>32</v>
      </c>
      <c r="HH2" s="32" t="s">
        <v>32</v>
      </c>
      <c r="HI2" s="32" t="s">
        <v>32</v>
      </c>
      <c r="HJ2" s="32" t="s">
        <v>33</v>
      </c>
      <c r="HK2" s="32" t="s">
        <v>33</v>
      </c>
      <c r="HL2" s="32" t="s">
        <v>33</v>
      </c>
      <c r="HM2" s="32" t="s">
        <v>33</v>
      </c>
      <c r="HN2" s="32" t="s">
        <v>33</v>
      </c>
      <c r="HO2" s="32" t="s">
        <v>33</v>
      </c>
      <c r="HP2" s="32" t="s">
        <v>33</v>
      </c>
      <c r="HQ2" s="32" t="s">
        <v>34</v>
      </c>
      <c r="HR2" s="32" t="s">
        <v>34</v>
      </c>
      <c r="HS2" s="32" t="s">
        <v>34</v>
      </c>
      <c r="HT2" s="32" t="s">
        <v>34</v>
      </c>
      <c r="HU2" s="32" t="s">
        <v>34</v>
      </c>
      <c r="HV2" s="32" t="s">
        <v>34</v>
      </c>
      <c r="HW2" s="32" t="s">
        <v>34</v>
      </c>
      <c r="HX2" s="32" t="s">
        <v>35</v>
      </c>
      <c r="HY2" s="32" t="s">
        <v>35</v>
      </c>
      <c r="HZ2" s="32" t="s">
        <v>35</v>
      </c>
      <c r="IA2" s="32" t="s">
        <v>35</v>
      </c>
      <c r="IB2" s="32" t="s">
        <v>35</v>
      </c>
      <c r="IC2" s="32" t="s">
        <v>35</v>
      </c>
      <c r="ID2" s="32" t="s">
        <v>35</v>
      </c>
      <c r="IE2" s="32" t="s">
        <v>36</v>
      </c>
      <c r="IF2" s="32" t="s">
        <v>36</v>
      </c>
      <c r="IG2" s="32" t="s">
        <v>36</v>
      </c>
      <c r="IH2" s="32" t="s">
        <v>36</v>
      </c>
      <c r="II2" s="32" t="s">
        <v>36</v>
      </c>
      <c r="IJ2" s="32" t="s">
        <v>36</v>
      </c>
      <c r="IK2" s="32" t="s">
        <v>36</v>
      </c>
      <c r="IL2" s="32" t="s">
        <v>37</v>
      </c>
      <c r="IM2" s="32" t="s">
        <v>37</v>
      </c>
      <c r="IN2" s="32" t="s">
        <v>37</v>
      </c>
      <c r="IO2" s="32" t="s">
        <v>37</v>
      </c>
      <c r="IP2" s="32" t="s">
        <v>37</v>
      </c>
      <c r="IQ2" s="32" t="s">
        <v>37</v>
      </c>
      <c r="IR2" s="32" t="s">
        <v>37</v>
      </c>
      <c r="IS2" s="32" t="s">
        <v>38</v>
      </c>
      <c r="IT2" s="32" t="s">
        <v>38</v>
      </c>
      <c r="IU2" s="32" t="s">
        <v>38</v>
      </c>
      <c r="IV2" s="32" t="s">
        <v>38</v>
      </c>
      <c r="IW2" s="32" t="s">
        <v>38</v>
      </c>
      <c r="IX2" s="32" t="s">
        <v>38</v>
      </c>
      <c r="IY2" s="32" t="s">
        <v>38</v>
      </c>
      <c r="IZ2" s="32" t="s">
        <v>39</v>
      </c>
      <c r="JA2" s="32" t="s">
        <v>39</v>
      </c>
      <c r="JB2" s="32" t="s">
        <v>39</v>
      </c>
      <c r="JC2" s="32" t="s">
        <v>39</v>
      </c>
      <c r="JD2" s="32" t="s">
        <v>39</v>
      </c>
      <c r="JE2" s="32" t="s">
        <v>39</v>
      </c>
      <c r="JF2" s="32" t="s">
        <v>39</v>
      </c>
      <c r="JG2" s="32" t="s">
        <v>40</v>
      </c>
      <c r="JH2" s="32" t="s">
        <v>40</v>
      </c>
      <c r="JI2" s="32" t="s">
        <v>40</v>
      </c>
      <c r="JJ2" s="32" t="s">
        <v>40</v>
      </c>
      <c r="JK2" s="32" t="s">
        <v>40</v>
      </c>
      <c r="JL2" s="32" t="s">
        <v>40</v>
      </c>
      <c r="JM2" s="32" t="s">
        <v>40</v>
      </c>
      <c r="JN2" s="32" t="s">
        <v>41</v>
      </c>
      <c r="JO2" s="32" t="s">
        <v>41</v>
      </c>
      <c r="JP2" s="32" t="s">
        <v>41</v>
      </c>
      <c r="JQ2" s="32" t="s">
        <v>41</v>
      </c>
      <c r="JR2" s="32" t="s">
        <v>41</v>
      </c>
      <c r="JS2" s="32" t="s">
        <v>41</v>
      </c>
      <c r="JT2" s="32" t="s">
        <v>41</v>
      </c>
      <c r="JU2" s="32" t="s">
        <v>42</v>
      </c>
      <c r="JV2" s="32" t="s">
        <v>42</v>
      </c>
      <c r="JW2" s="32" t="s">
        <v>42</v>
      </c>
      <c r="JX2" s="32" t="s">
        <v>42</v>
      </c>
      <c r="JY2" s="32" t="s">
        <v>42</v>
      </c>
      <c r="JZ2" s="32" t="s">
        <v>42</v>
      </c>
      <c r="KA2" s="32" t="s">
        <v>42</v>
      </c>
      <c r="KB2" s="32" t="s">
        <v>43</v>
      </c>
      <c r="KC2" s="32" t="s">
        <v>43</v>
      </c>
      <c r="KD2" s="32" t="s">
        <v>43</v>
      </c>
      <c r="KE2" s="32" t="s">
        <v>43</v>
      </c>
      <c r="KF2" s="32" t="s">
        <v>43</v>
      </c>
      <c r="KG2" s="32" t="s">
        <v>43</v>
      </c>
      <c r="KH2" s="32" t="s">
        <v>43</v>
      </c>
      <c r="KI2" s="32" t="s">
        <v>44</v>
      </c>
      <c r="KJ2" s="32" t="s">
        <v>44</v>
      </c>
      <c r="KK2" s="32" t="s">
        <v>44</v>
      </c>
      <c r="KL2" s="32" t="s">
        <v>44</v>
      </c>
      <c r="KM2" s="32" t="s">
        <v>44</v>
      </c>
      <c r="KN2" s="32" t="s">
        <v>44</v>
      </c>
      <c r="KO2" s="32" t="s">
        <v>44</v>
      </c>
      <c r="KP2" s="32" t="s">
        <v>45</v>
      </c>
      <c r="KQ2" s="32" t="s">
        <v>45</v>
      </c>
      <c r="KR2" s="32" t="s">
        <v>45</v>
      </c>
      <c r="KS2" s="32" t="s">
        <v>45</v>
      </c>
      <c r="KT2" s="32" t="s">
        <v>45</v>
      </c>
      <c r="KU2" s="32" t="s">
        <v>45</v>
      </c>
      <c r="KV2" s="32" t="s">
        <v>45</v>
      </c>
      <c r="KW2" s="32" t="s">
        <v>46</v>
      </c>
      <c r="KX2" s="32" t="s">
        <v>46</v>
      </c>
      <c r="KY2" s="32" t="s">
        <v>46</v>
      </c>
      <c r="KZ2" s="32" t="s">
        <v>46</v>
      </c>
      <c r="LA2" s="32" t="s">
        <v>46</v>
      </c>
      <c r="LB2" s="32" t="s">
        <v>46</v>
      </c>
      <c r="LC2" s="32" t="s">
        <v>46</v>
      </c>
      <c r="LD2" s="32" t="s">
        <v>47</v>
      </c>
      <c r="LE2" s="32" t="s">
        <v>47</v>
      </c>
      <c r="LF2" s="32" t="s">
        <v>47</v>
      </c>
      <c r="LG2" s="32" t="s">
        <v>47</v>
      </c>
      <c r="LH2" s="32" t="s">
        <v>47</v>
      </c>
      <c r="LI2" s="32" t="s">
        <v>47</v>
      </c>
      <c r="LJ2" s="32" t="s">
        <v>47</v>
      </c>
      <c r="LK2" s="32" t="s">
        <v>48</v>
      </c>
      <c r="LL2" s="32" t="s">
        <v>48</v>
      </c>
      <c r="LM2" s="32" t="s">
        <v>48</v>
      </c>
      <c r="LN2" s="32" t="s">
        <v>48</v>
      </c>
      <c r="LO2" s="32" t="s">
        <v>48</v>
      </c>
      <c r="LP2" s="32" t="s">
        <v>48</v>
      </c>
      <c r="LQ2" s="32" t="s">
        <v>48</v>
      </c>
      <c r="LR2" s="32" t="s">
        <v>49</v>
      </c>
      <c r="LS2" s="32" t="s">
        <v>49</v>
      </c>
      <c r="LT2" s="32" t="s">
        <v>49</v>
      </c>
      <c r="LU2" s="32" t="s">
        <v>49</v>
      </c>
      <c r="LV2" s="32" t="s">
        <v>49</v>
      </c>
      <c r="LW2" s="32" t="s">
        <v>49</v>
      </c>
      <c r="LX2" s="32" t="s">
        <v>49</v>
      </c>
      <c r="LY2" s="32" t="s">
        <v>50</v>
      </c>
      <c r="LZ2" s="32" t="s">
        <v>50</v>
      </c>
      <c r="MA2" s="32" t="s">
        <v>50</v>
      </c>
      <c r="MB2" s="32" t="s">
        <v>50</v>
      </c>
      <c r="MC2" s="32" t="s">
        <v>50</v>
      </c>
      <c r="MD2" s="32" t="s">
        <v>50</v>
      </c>
      <c r="ME2" s="32" t="s">
        <v>50</v>
      </c>
      <c r="MF2" s="32" t="s">
        <v>51</v>
      </c>
      <c r="MG2" s="32" t="s">
        <v>51</v>
      </c>
      <c r="MH2" s="32" t="s">
        <v>51</v>
      </c>
      <c r="MI2" s="32" t="s">
        <v>51</v>
      </c>
      <c r="MJ2" s="32" t="s">
        <v>51</v>
      </c>
      <c r="MK2" s="32" t="s">
        <v>51</v>
      </c>
      <c r="ML2" s="32" t="s">
        <v>51</v>
      </c>
      <c r="MM2" s="32" t="s">
        <v>52</v>
      </c>
      <c r="MN2" s="32" t="s">
        <v>52</v>
      </c>
      <c r="MO2" s="32" t="s">
        <v>52</v>
      </c>
      <c r="MP2" s="32" t="s">
        <v>52</v>
      </c>
      <c r="MQ2" s="32" t="s">
        <v>52</v>
      </c>
      <c r="MR2" s="32" t="s">
        <v>52</v>
      </c>
      <c r="MS2" s="32" t="s">
        <v>52</v>
      </c>
      <c r="MT2" s="32" t="s">
        <v>53</v>
      </c>
      <c r="MU2" s="32" t="s">
        <v>53</v>
      </c>
      <c r="MV2" s="32" t="s">
        <v>53</v>
      </c>
      <c r="MW2" s="32" t="s">
        <v>53</v>
      </c>
      <c r="MX2" s="32" t="s">
        <v>53</v>
      </c>
      <c r="MY2" s="32" t="s">
        <v>53</v>
      </c>
      <c r="MZ2" s="32" t="s">
        <v>53</v>
      </c>
      <c r="NA2" s="32" t="s">
        <v>54</v>
      </c>
      <c r="NB2" s="32" t="s">
        <v>54</v>
      </c>
      <c r="NC2" s="32" t="s">
        <v>54</v>
      </c>
    </row>
    <row r="3" spans="1:371">
      <c r="A3" s="85">
        <f>SUM(C3:NC3)</f>
        <v>105428.83333333334</v>
      </c>
      <c r="B3" s="86" t="s">
        <v>427</v>
      </c>
      <c r="C3" s="6"/>
      <c r="D3" s="6">
        <v>452.91666666666674</v>
      </c>
      <c r="E3" s="6">
        <v>430.5</v>
      </c>
      <c r="F3" s="6">
        <v>334.5</v>
      </c>
      <c r="G3" s="6"/>
      <c r="H3" s="6">
        <v>424</v>
      </c>
      <c r="I3" s="6">
        <v>656.5</v>
      </c>
      <c r="J3" s="6">
        <v>680.16666666666663</v>
      </c>
      <c r="K3" s="6">
        <v>636.25</v>
      </c>
      <c r="L3" s="6">
        <v>543.33333333333348</v>
      </c>
      <c r="M3" s="6">
        <v>316</v>
      </c>
      <c r="N3" s="6"/>
      <c r="O3" s="6">
        <v>378.75</v>
      </c>
      <c r="P3" s="6">
        <v>369.41666666666674</v>
      </c>
      <c r="Q3" s="6">
        <v>367.91666666666663</v>
      </c>
      <c r="R3" s="6">
        <v>339.91666666666669</v>
      </c>
      <c r="S3" s="6">
        <v>358.66666666666663</v>
      </c>
      <c r="T3" s="6">
        <v>252</v>
      </c>
      <c r="U3" s="6">
        <v>0</v>
      </c>
      <c r="V3" s="6">
        <v>388.16666666666669</v>
      </c>
      <c r="W3" s="6">
        <v>400.41666666666674</v>
      </c>
      <c r="X3" s="6">
        <v>361.00000000000006</v>
      </c>
      <c r="Y3" s="6">
        <v>365.91666666666663</v>
      </c>
      <c r="Z3" s="6">
        <v>354</v>
      </c>
      <c r="AA3" s="6">
        <v>226.5</v>
      </c>
      <c r="AB3" s="6">
        <v>0</v>
      </c>
      <c r="AC3" s="6">
        <v>390.91666666666669</v>
      </c>
      <c r="AD3" s="6">
        <v>408.41666666666663</v>
      </c>
      <c r="AE3" s="6">
        <v>385.16666666666663</v>
      </c>
      <c r="AF3" s="6">
        <v>387.5</v>
      </c>
      <c r="AG3" s="6">
        <v>360.00000000000006</v>
      </c>
      <c r="AH3" s="6">
        <v>263</v>
      </c>
      <c r="AI3" s="6">
        <v>0</v>
      </c>
      <c r="AJ3" s="6">
        <v>389.83333333333337</v>
      </c>
      <c r="AK3" s="6">
        <v>374.66666666666674</v>
      </c>
      <c r="AL3" s="6">
        <v>375.83333333333337</v>
      </c>
      <c r="AM3" s="6">
        <v>333.83333333333337</v>
      </c>
      <c r="AN3" s="6">
        <v>309.33333333333331</v>
      </c>
      <c r="AO3" s="6">
        <v>239.91666666666663</v>
      </c>
      <c r="AP3" s="6"/>
      <c r="AQ3" s="6">
        <v>371.83333333333331</v>
      </c>
      <c r="AR3" s="6">
        <v>355.58333333333331</v>
      </c>
      <c r="AS3" s="6">
        <v>318</v>
      </c>
      <c r="AT3" s="6">
        <v>324.58333333333337</v>
      </c>
      <c r="AU3" s="6">
        <v>319.25</v>
      </c>
      <c r="AV3" s="6">
        <v>217.75000000000003</v>
      </c>
      <c r="AW3" s="6"/>
      <c r="AX3" s="6">
        <v>341.66666666666663</v>
      </c>
      <c r="AY3" s="6">
        <v>350.41666666666663</v>
      </c>
      <c r="AZ3" s="6">
        <v>338</v>
      </c>
      <c r="BA3" s="6">
        <v>277.25</v>
      </c>
      <c r="BB3" s="6">
        <v>239.33333333333337</v>
      </c>
      <c r="BC3" s="6"/>
      <c r="BD3" s="6"/>
      <c r="BE3" s="6">
        <v>343.5</v>
      </c>
      <c r="BF3" s="6">
        <v>328.50000000000006</v>
      </c>
      <c r="BG3" s="6">
        <v>348.83333333333326</v>
      </c>
      <c r="BH3" s="6">
        <v>370.83333333333326</v>
      </c>
      <c r="BI3" s="6">
        <v>355.25</v>
      </c>
      <c r="BJ3" s="6">
        <v>188</v>
      </c>
      <c r="BK3" s="6"/>
      <c r="BL3" s="6">
        <v>347.74999999999989</v>
      </c>
      <c r="BM3" s="6">
        <v>359.66666666666663</v>
      </c>
      <c r="BN3" s="6">
        <v>318.99999999999994</v>
      </c>
      <c r="BO3" s="6">
        <v>316.49999999999989</v>
      </c>
      <c r="BP3" s="6">
        <v>371.16666666666652</v>
      </c>
      <c r="BQ3" s="6">
        <v>254.83333333333331</v>
      </c>
      <c r="BR3" s="6"/>
      <c r="BS3" s="6">
        <v>184.8333333333332</v>
      </c>
      <c r="BT3" s="6">
        <v>186.74999999999994</v>
      </c>
      <c r="BU3" s="6">
        <v>169.41666666666649</v>
      </c>
      <c r="BV3" s="6">
        <v>210.25</v>
      </c>
      <c r="BW3" s="6">
        <v>207.16666666666663</v>
      </c>
      <c r="BX3" s="6">
        <v>119.83333333333331</v>
      </c>
      <c r="BY3" s="6"/>
      <c r="BZ3" s="6">
        <v>359.41666666666663</v>
      </c>
      <c r="CA3" s="6">
        <v>350.41666666666669</v>
      </c>
      <c r="CB3" s="6">
        <v>367.99999999999994</v>
      </c>
      <c r="CC3" s="6">
        <v>359.08333333333331</v>
      </c>
      <c r="CD3" s="6">
        <v>380.58333333333337</v>
      </c>
      <c r="CE3" s="6">
        <v>274.33333333333331</v>
      </c>
      <c r="CF3" s="6"/>
      <c r="CG3" s="6">
        <v>388.49999999999989</v>
      </c>
      <c r="CH3" s="6">
        <v>386.25</v>
      </c>
      <c r="CI3" s="6">
        <v>388.33333333333326</v>
      </c>
      <c r="CJ3" s="6">
        <v>398.24999999999989</v>
      </c>
      <c r="CK3" s="6">
        <v>384.99999999999989</v>
      </c>
      <c r="CL3" s="6">
        <v>138.66666666666669</v>
      </c>
      <c r="CM3" s="6"/>
      <c r="CN3" s="6"/>
      <c r="CO3" s="6"/>
      <c r="CP3" s="6">
        <v>429.25</v>
      </c>
      <c r="CQ3" s="6">
        <v>454</v>
      </c>
      <c r="CR3" s="6">
        <v>448</v>
      </c>
      <c r="CS3" s="6">
        <v>338.5</v>
      </c>
      <c r="CT3" s="6"/>
      <c r="CU3" s="6">
        <v>327.25</v>
      </c>
      <c r="CV3" s="6">
        <v>381</v>
      </c>
      <c r="CW3" s="6">
        <v>340.66666666666663</v>
      </c>
      <c r="CX3" s="6">
        <v>380</v>
      </c>
      <c r="CY3" s="6">
        <v>387.5</v>
      </c>
      <c r="CZ3" s="6">
        <v>263</v>
      </c>
      <c r="DA3" s="6"/>
      <c r="DB3" s="6">
        <v>402.75</v>
      </c>
      <c r="DC3" s="6">
        <v>357.5</v>
      </c>
      <c r="DD3" s="6">
        <v>370.16666666666663</v>
      </c>
      <c r="DE3" s="6">
        <v>351.75</v>
      </c>
      <c r="DF3" s="6">
        <v>358.58333333333331</v>
      </c>
      <c r="DG3" s="6">
        <v>271.25</v>
      </c>
      <c r="DH3" s="6"/>
      <c r="DI3" s="6">
        <v>387.33333333333337</v>
      </c>
      <c r="DJ3" s="6">
        <v>349.58333333333331</v>
      </c>
      <c r="DK3" s="6">
        <v>161.59999999999997</v>
      </c>
      <c r="DL3" s="6"/>
      <c r="DM3" s="6">
        <v>255.5</v>
      </c>
      <c r="DN3" s="6">
        <v>240.5</v>
      </c>
      <c r="DO3" s="6"/>
      <c r="DP3" s="6">
        <v>359.33333333333331</v>
      </c>
      <c r="DQ3" s="6">
        <v>369.66666666666663</v>
      </c>
      <c r="DR3" s="6">
        <v>318.33333333333337</v>
      </c>
      <c r="DS3" s="6"/>
      <c r="DT3" s="6">
        <v>353.91666666666669</v>
      </c>
      <c r="DU3" s="6">
        <v>247.58333333333337</v>
      </c>
      <c r="DV3" s="6"/>
      <c r="DW3" s="6">
        <v>371.83333333333337</v>
      </c>
      <c r="DX3" s="6">
        <v>323.58333333333337</v>
      </c>
      <c r="DY3" s="6">
        <v>380.08333333333337</v>
      </c>
      <c r="DZ3" s="6">
        <v>351.83333333333337</v>
      </c>
      <c r="EA3" s="6">
        <v>383.58333333333326</v>
      </c>
      <c r="EB3" s="6">
        <v>268.83333333333337</v>
      </c>
      <c r="EC3" s="6"/>
      <c r="ED3" s="6">
        <v>388.58333333333331</v>
      </c>
      <c r="EE3" s="6">
        <v>378.08333333333331</v>
      </c>
      <c r="EF3" s="6">
        <v>348.33333333333337</v>
      </c>
      <c r="EG3" s="6">
        <v>348.16666666666669</v>
      </c>
      <c r="EH3" s="6">
        <v>364.5</v>
      </c>
      <c r="EI3" s="6">
        <v>248</v>
      </c>
      <c r="EJ3" s="6"/>
      <c r="EK3" s="6">
        <v>248</v>
      </c>
      <c r="EL3" s="6">
        <v>400.66666666666674</v>
      </c>
      <c r="EM3" s="6">
        <v>395</v>
      </c>
      <c r="EN3" s="6">
        <v>386.5</v>
      </c>
      <c r="EO3" s="6">
        <v>447.58333333333337</v>
      </c>
      <c r="EP3" s="6">
        <v>282.5</v>
      </c>
      <c r="EQ3" s="6"/>
      <c r="ER3" s="6">
        <v>517.33333333333337</v>
      </c>
      <c r="ES3" s="6">
        <v>517</v>
      </c>
      <c r="ET3" s="6">
        <v>541.58333333333326</v>
      </c>
      <c r="EU3" s="6">
        <v>557.16666666666674</v>
      </c>
      <c r="EV3" s="6">
        <v>550.5</v>
      </c>
      <c r="EW3" s="6">
        <v>383</v>
      </c>
      <c r="EX3" s="6"/>
      <c r="EY3" s="6">
        <v>418.33333333333326</v>
      </c>
      <c r="EZ3" s="6">
        <v>393.41666666666663</v>
      </c>
      <c r="FA3" s="6">
        <v>399.5</v>
      </c>
      <c r="FB3" s="6">
        <v>193.08333333333331</v>
      </c>
      <c r="FC3" s="6"/>
      <c r="FD3" s="6"/>
      <c r="FE3" s="6"/>
      <c r="FF3" s="6"/>
      <c r="FG3" s="6">
        <v>357</v>
      </c>
      <c r="FH3" s="6">
        <v>344.16666666666663</v>
      </c>
      <c r="FI3" s="6">
        <v>355.66666666666669</v>
      </c>
      <c r="FJ3" s="6">
        <v>345.66666666666669</v>
      </c>
      <c r="FK3" s="6">
        <v>247.75</v>
      </c>
      <c r="FL3" s="6"/>
      <c r="FM3" s="6">
        <v>382</v>
      </c>
      <c r="FN3" s="6">
        <v>426.83333333333337</v>
      </c>
      <c r="FO3" s="6">
        <v>427.58333333333326</v>
      </c>
      <c r="FP3" s="6">
        <v>434.25</v>
      </c>
      <c r="FQ3" s="6">
        <v>443</v>
      </c>
      <c r="FR3" s="6">
        <v>293</v>
      </c>
      <c r="FS3" s="6"/>
      <c r="FT3" s="6">
        <v>450.16666666666674</v>
      </c>
      <c r="FU3" s="6">
        <v>443.25</v>
      </c>
      <c r="FV3" s="6">
        <v>432.08333333333337</v>
      </c>
      <c r="FW3" s="6">
        <v>387.33333333333337</v>
      </c>
      <c r="FX3" s="6">
        <v>402.66666666666663</v>
      </c>
      <c r="FY3" s="6">
        <v>262</v>
      </c>
      <c r="FZ3" s="6"/>
      <c r="GA3" s="6">
        <v>479.75</v>
      </c>
      <c r="GB3" s="6">
        <v>494</v>
      </c>
      <c r="GC3" s="6">
        <v>452.33333333333337</v>
      </c>
      <c r="GD3" s="6">
        <v>455.91666666666663</v>
      </c>
      <c r="GE3" s="6">
        <v>403.08333333333337</v>
      </c>
      <c r="GF3" s="6">
        <v>278</v>
      </c>
      <c r="GG3" s="6"/>
      <c r="GH3" s="6">
        <v>435</v>
      </c>
      <c r="GI3" s="6">
        <v>443.41666666666663</v>
      </c>
      <c r="GJ3" s="6">
        <v>433.58333333333337</v>
      </c>
      <c r="GK3" s="6">
        <v>426.66666666666663</v>
      </c>
      <c r="GL3" s="6">
        <v>438.58333333333331</v>
      </c>
      <c r="GM3" s="6">
        <v>315.5</v>
      </c>
      <c r="GN3" s="6"/>
      <c r="GO3" s="6">
        <v>425</v>
      </c>
      <c r="GP3" s="6"/>
      <c r="GQ3" s="6">
        <v>409.5</v>
      </c>
      <c r="GR3" s="6">
        <v>337.33333333333331</v>
      </c>
      <c r="GS3" s="6">
        <v>419.5</v>
      </c>
      <c r="GT3" s="6">
        <v>285.5</v>
      </c>
      <c r="GU3" s="6"/>
      <c r="GV3" s="6">
        <v>511.33333333333337</v>
      </c>
      <c r="GW3" s="6">
        <v>517.66666666666652</v>
      </c>
      <c r="GX3" s="6">
        <v>510.75</v>
      </c>
      <c r="GY3" s="6">
        <v>492.41666666666663</v>
      </c>
      <c r="GZ3" s="6">
        <v>506.16666666666663</v>
      </c>
      <c r="HA3" s="6">
        <v>353</v>
      </c>
      <c r="HB3" s="6"/>
      <c r="HC3" s="6">
        <v>360</v>
      </c>
      <c r="HD3" s="6">
        <v>295.83333333333331</v>
      </c>
      <c r="HE3" s="6">
        <v>339</v>
      </c>
      <c r="HF3" s="6">
        <v>361.75</v>
      </c>
      <c r="HG3" s="6">
        <v>372.33333333333331</v>
      </c>
      <c r="HH3" s="6">
        <v>199.5</v>
      </c>
      <c r="HI3" s="6"/>
      <c r="HJ3" s="6">
        <v>357.83333333333331</v>
      </c>
      <c r="HK3" s="6">
        <v>333.33333333333337</v>
      </c>
      <c r="HL3" s="6">
        <v>365.16666666666674</v>
      </c>
      <c r="HM3" s="6">
        <v>349.5</v>
      </c>
      <c r="HN3" s="6">
        <v>295.33333333333337</v>
      </c>
      <c r="HO3" s="6">
        <v>239.91666666666663</v>
      </c>
      <c r="HP3" s="6"/>
      <c r="HQ3" s="6">
        <v>267.08333333333337</v>
      </c>
      <c r="HR3" s="6">
        <v>311.25</v>
      </c>
      <c r="HS3" s="6">
        <v>333.08333333333337</v>
      </c>
      <c r="HT3" s="6">
        <v>282.75</v>
      </c>
      <c r="HU3" s="6">
        <v>346.25</v>
      </c>
      <c r="HV3" s="6">
        <v>222.91666666666669</v>
      </c>
      <c r="HW3" s="6"/>
      <c r="HX3" s="6">
        <v>303.66666666666663</v>
      </c>
      <c r="HY3" s="6">
        <v>321.91666666666663</v>
      </c>
      <c r="HZ3" s="6">
        <v>367.33333333333337</v>
      </c>
      <c r="IA3" s="6">
        <v>344.99999999999994</v>
      </c>
      <c r="IB3" s="6">
        <v>338.33333333333331</v>
      </c>
      <c r="IC3" s="6">
        <v>206</v>
      </c>
      <c r="ID3" s="6"/>
      <c r="IE3" s="6">
        <v>357.83333333333331</v>
      </c>
      <c r="IF3" s="6">
        <v>367.74999999999994</v>
      </c>
      <c r="IG3" s="6">
        <v>281.83333333333331</v>
      </c>
      <c r="IH3" s="6">
        <v>329.58333333333331</v>
      </c>
      <c r="II3" s="6">
        <v>349.08333333333331</v>
      </c>
      <c r="IJ3" s="6">
        <v>218</v>
      </c>
      <c r="IK3" s="6"/>
      <c r="IL3" s="6">
        <v>352.25000000000006</v>
      </c>
      <c r="IM3" s="6">
        <v>357.75</v>
      </c>
      <c r="IN3" s="6">
        <v>359.08333333333331</v>
      </c>
      <c r="IO3" s="6">
        <v>337.00000000000006</v>
      </c>
      <c r="IP3" s="6">
        <v>342.50000000000006</v>
      </c>
      <c r="IQ3" s="6">
        <v>220.75</v>
      </c>
      <c r="IR3" s="6"/>
      <c r="IS3" s="6">
        <v>384.66666666666663</v>
      </c>
      <c r="IT3" s="6">
        <v>342.16666666666669</v>
      </c>
      <c r="IU3" s="6">
        <v>393.66666666666663</v>
      </c>
      <c r="IV3" s="6">
        <v>387.58333333333331</v>
      </c>
      <c r="IW3" s="6">
        <v>354.75000000000011</v>
      </c>
      <c r="IX3" s="6">
        <v>246.66666666666663</v>
      </c>
      <c r="IY3" s="6"/>
      <c r="IZ3" s="6">
        <v>378.33333333333337</v>
      </c>
      <c r="JA3" s="6">
        <v>343.66666666666663</v>
      </c>
      <c r="JB3" s="6">
        <v>399.58333333333331</v>
      </c>
      <c r="JC3" s="6">
        <v>364.58333333333337</v>
      </c>
      <c r="JD3" s="6">
        <v>372.58333333333331</v>
      </c>
      <c r="JE3" s="6">
        <v>270.5</v>
      </c>
      <c r="JF3" s="6"/>
      <c r="JG3" s="6">
        <v>340</v>
      </c>
      <c r="JH3" s="6">
        <v>269.33333333333326</v>
      </c>
      <c r="JI3" s="6">
        <v>296.5</v>
      </c>
      <c r="JJ3" s="6">
        <v>327.5</v>
      </c>
      <c r="JK3" s="6">
        <v>280.58333333333337</v>
      </c>
      <c r="JL3" s="6">
        <v>255.5</v>
      </c>
      <c r="JM3" s="6"/>
      <c r="JN3" s="6">
        <v>311.58333333333337</v>
      </c>
      <c r="JO3" s="6">
        <v>290.66666666666663</v>
      </c>
      <c r="JP3" s="6">
        <v>323.58333333333337</v>
      </c>
      <c r="JQ3" s="6">
        <v>325.66666666666674</v>
      </c>
      <c r="JR3" s="6">
        <v>320.25</v>
      </c>
      <c r="JS3" s="6">
        <v>239.41666666666663</v>
      </c>
      <c r="JT3" s="6"/>
      <c r="JU3" s="6">
        <v>335.25</v>
      </c>
      <c r="JV3" s="6">
        <v>337.23333333333335</v>
      </c>
      <c r="JW3" s="6">
        <v>342.58333333333337</v>
      </c>
      <c r="JX3" s="6">
        <v>320.91666666666663</v>
      </c>
      <c r="JY3" s="6">
        <v>313.25</v>
      </c>
      <c r="JZ3" s="6">
        <v>213</v>
      </c>
      <c r="KA3" s="6"/>
      <c r="KB3" s="6">
        <v>364.08333333333337</v>
      </c>
      <c r="KC3" s="6">
        <v>357.16666666666663</v>
      </c>
      <c r="KD3" s="6">
        <v>362.08333333333331</v>
      </c>
      <c r="KE3" s="6">
        <v>354.91666666666669</v>
      </c>
      <c r="KF3" s="6">
        <v>359.5</v>
      </c>
      <c r="KG3" s="6">
        <v>345</v>
      </c>
      <c r="KH3" s="6"/>
      <c r="KI3" s="6">
        <v>443.58333333333337</v>
      </c>
      <c r="KJ3" s="6">
        <v>483.66666666666663</v>
      </c>
      <c r="KK3" s="6">
        <v>471.08333333333331</v>
      </c>
      <c r="KL3" s="6">
        <v>493.58333333333326</v>
      </c>
      <c r="KM3" s="6">
        <v>462</v>
      </c>
      <c r="KN3" s="6">
        <v>414.66666666666674</v>
      </c>
      <c r="KO3" s="6"/>
      <c r="KP3" s="6">
        <v>375</v>
      </c>
      <c r="KQ3" s="6">
        <v>336.41666666666663</v>
      </c>
      <c r="KR3" s="6">
        <v>300.5</v>
      </c>
      <c r="KS3" s="6">
        <v>455.75</v>
      </c>
      <c r="KT3" s="6">
        <v>428.99999999999994</v>
      </c>
      <c r="KU3" s="6">
        <v>429</v>
      </c>
      <c r="KV3" s="6"/>
      <c r="KW3" s="6">
        <v>476.50000000000006</v>
      </c>
      <c r="KX3" s="6">
        <v>489.16666666666674</v>
      </c>
      <c r="KY3" s="6">
        <v>445.25</v>
      </c>
      <c r="KZ3" s="6">
        <v>370.08333333333331</v>
      </c>
      <c r="LA3" s="6">
        <v>348.33333333333337</v>
      </c>
      <c r="LB3" s="6">
        <v>255.5</v>
      </c>
      <c r="LC3" s="6"/>
      <c r="LD3" s="6">
        <v>313.58333333333331</v>
      </c>
      <c r="LE3" s="6">
        <v>313.33333333333331</v>
      </c>
      <c r="LF3" s="6">
        <v>299.41666666666663</v>
      </c>
      <c r="LG3" s="6">
        <v>297.33333333333326</v>
      </c>
      <c r="LH3" s="6">
        <v>284.91666666666663</v>
      </c>
      <c r="LI3" s="6">
        <v>195.5</v>
      </c>
      <c r="LJ3" s="6"/>
      <c r="LK3" s="6">
        <v>344.75</v>
      </c>
      <c r="LL3" s="6">
        <v>386.91666666666663</v>
      </c>
      <c r="LM3" s="6">
        <v>342.58333333333337</v>
      </c>
      <c r="LN3" s="6">
        <v>314.91666666666663</v>
      </c>
      <c r="LO3" s="6">
        <v>297.58333333333337</v>
      </c>
      <c r="LP3" s="6">
        <v>210.5</v>
      </c>
      <c r="LQ3" s="6"/>
      <c r="LR3" s="6">
        <v>284.25</v>
      </c>
      <c r="LS3" s="6">
        <v>292.41666666666663</v>
      </c>
      <c r="LT3" s="6">
        <v>322.41666666666663</v>
      </c>
      <c r="LU3" s="6">
        <v>337.75</v>
      </c>
      <c r="LV3" s="6">
        <v>283.41666666666669</v>
      </c>
      <c r="LW3" s="6">
        <v>164.66666666666663</v>
      </c>
      <c r="LX3" s="6"/>
      <c r="LY3" s="6">
        <v>302.5</v>
      </c>
      <c r="LZ3" s="6">
        <v>330</v>
      </c>
      <c r="MA3" s="6">
        <v>219.33333333333331</v>
      </c>
      <c r="MB3" s="6">
        <v>317.66666666666663</v>
      </c>
      <c r="MC3" s="6">
        <v>306</v>
      </c>
      <c r="MD3" s="6">
        <v>160.25000000000003</v>
      </c>
      <c r="ME3" s="6"/>
      <c r="MF3" s="6">
        <v>299.25</v>
      </c>
      <c r="MG3" s="6">
        <v>301.08333333333331</v>
      </c>
      <c r="MH3" s="6">
        <v>285</v>
      </c>
      <c r="MI3" s="6">
        <v>292.25</v>
      </c>
      <c r="MJ3" s="6">
        <v>278.75</v>
      </c>
      <c r="MK3" s="6">
        <v>168.25</v>
      </c>
      <c r="ML3" s="6"/>
      <c r="MM3" s="6">
        <v>258.58333333333331</v>
      </c>
      <c r="MN3" s="6">
        <v>283.66666666666669</v>
      </c>
      <c r="MO3" s="6">
        <v>370.58333333333337</v>
      </c>
      <c r="MP3" s="6">
        <v>326.16666666666663</v>
      </c>
      <c r="MQ3" s="6">
        <v>313.5</v>
      </c>
      <c r="MR3" s="6">
        <v>160.75</v>
      </c>
      <c r="MS3" s="6"/>
      <c r="MT3" s="3">
        <v>348.08333333333337</v>
      </c>
      <c r="MU3" s="3">
        <v>362.41666666666663</v>
      </c>
      <c r="MV3" s="3">
        <v>363.66666666666663</v>
      </c>
      <c r="MW3" s="3">
        <v>419.16666666666669</v>
      </c>
      <c r="MX3" s="3">
        <v>358</v>
      </c>
      <c r="MY3" s="3">
        <v>202.5</v>
      </c>
      <c r="MZ3" s="3"/>
      <c r="NA3" s="3">
        <v>336.08333333333331</v>
      </c>
      <c r="NB3" s="3">
        <v>454.99999999999994</v>
      </c>
      <c r="NC3" s="3">
        <v>214.83333333333331</v>
      </c>
      <c r="ND3" s="3"/>
      <c r="NG3" s="3"/>
    </row>
    <row r="4" spans="1:371" ht="16.8">
      <c r="A4" s="87">
        <f>SUM(C4:NC4)</f>
        <v>2378722</v>
      </c>
      <c r="B4" s="88" t="s">
        <v>423</v>
      </c>
      <c r="C4" s="7"/>
      <c r="D4" s="78">
        <v>11348</v>
      </c>
      <c r="E4" s="78">
        <v>8063</v>
      </c>
      <c r="F4" s="78">
        <v>6062</v>
      </c>
      <c r="G4" s="62"/>
      <c r="H4" s="78">
        <v>7685</v>
      </c>
      <c r="I4" s="78">
        <v>5245</v>
      </c>
      <c r="J4" s="78">
        <v>6341</v>
      </c>
      <c r="K4" s="78">
        <v>6048</v>
      </c>
      <c r="L4" s="78">
        <v>4990</v>
      </c>
      <c r="M4" s="78">
        <v>5650</v>
      </c>
      <c r="N4" s="26"/>
      <c r="O4" s="7">
        <v>5161</v>
      </c>
      <c r="P4" s="7">
        <v>4250</v>
      </c>
      <c r="Q4" s="7">
        <v>4635</v>
      </c>
      <c r="R4" s="7">
        <v>5280</v>
      </c>
      <c r="S4" s="7">
        <v>3743</v>
      </c>
      <c r="T4" s="7">
        <v>3630</v>
      </c>
      <c r="U4" s="7"/>
      <c r="V4" s="7">
        <v>5644</v>
      </c>
      <c r="W4" s="7">
        <v>4566</v>
      </c>
      <c r="X4" s="7">
        <v>6252</v>
      </c>
      <c r="Y4" s="7">
        <v>6105</v>
      </c>
      <c r="Z4" s="7">
        <v>5226</v>
      </c>
      <c r="AA4" s="7">
        <v>6126</v>
      </c>
      <c r="AC4" s="7">
        <v>5026</v>
      </c>
      <c r="AD4" s="7">
        <v>5308</v>
      </c>
      <c r="AE4" s="7">
        <v>5441</v>
      </c>
      <c r="AF4" s="7">
        <v>6415</v>
      </c>
      <c r="AG4" s="7">
        <v>4952</v>
      </c>
      <c r="AH4" s="7">
        <v>5415</v>
      </c>
      <c r="AJ4" s="7">
        <v>5088</v>
      </c>
      <c r="AK4" s="7">
        <v>4851</v>
      </c>
      <c r="AL4" s="7">
        <v>5055</v>
      </c>
      <c r="AM4" s="7">
        <v>5994</v>
      </c>
      <c r="AN4" s="7">
        <v>4791</v>
      </c>
      <c r="AO4" s="7">
        <v>5236</v>
      </c>
      <c r="AP4" s="7"/>
      <c r="AQ4" s="7">
        <v>5999</v>
      </c>
      <c r="AR4" s="7">
        <v>5102</v>
      </c>
      <c r="AS4" s="7">
        <v>4598</v>
      </c>
      <c r="AT4" s="7">
        <v>7252</v>
      </c>
      <c r="AU4" s="7">
        <v>5276</v>
      </c>
      <c r="AV4" s="7">
        <v>5454</v>
      </c>
      <c r="AX4" s="7">
        <v>7950</v>
      </c>
      <c r="AY4" s="7">
        <v>5091</v>
      </c>
      <c r="AZ4" s="7">
        <v>5948</v>
      </c>
      <c r="BA4" s="7">
        <v>6830</v>
      </c>
      <c r="BB4" s="7">
        <v>5553</v>
      </c>
      <c r="BE4" s="7">
        <v>10642</v>
      </c>
      <c r="BF4" s="7">
        <v>4678</v>
      </c>
      <c r="BG4" s="7">
        <v>6507</v>
      </c>
      <c r="BH4" s="7">
        <v>6428</v>
      </c>
      <c r="BI4" s="7">
        <v>2561</v>
      </c>
      <c r="BJ4" s="7">
        <v>2342</v>
      </c>
      <c r="BL4" s="7">
        <v>7223</v>
      </c>
      <c r="BM4" s="7">
        <v>4762</v>
      </c>
      <c r="BN4" s="7">
        <v>7229</v>
      </c>
      <c r="BO4" s="7">
        <v>6734</v>
      </c>
      <c r="BP4" s="7">
        <v>6273</v>
      </c>
      <c r="BQ4" s="7">
        <v>6268</v>
      </c>
      <c r="BS4" s="7">
        <v>6134</v>
      </c>
      <c r="BT4" s="7">
        <v>5189</v>
      </c>
      <c r="BU4" s="7">
        <v>5754</v>
      </c>
      <c r="BV4" s="7">
        <v>8978</v>
      </c>
      <c r="BW4" s="7">
        <v>10350</v>
      </c>
      <c r="BX4" s="7">
        <v>8309</v>
      </c>
      <c r="BZ4" s="7">
        <v>10622</v>
      </c>
      <c r="CA4" s="7">
        <v>7384</v>
      </c>
      <c r="CB4" s="7">
        <v>9155</v>
      </c>
      <c r="CC4" s="7">
        <v>9397</v>
      </c>
      <c r="CD4" s="7">
        <v>9016</v>
      </c>
      <c r="CE4" s="7">
        <v>9128</v>
      </c>
      <c r="CG4" s="7">
        <v>10924</v>
      </c>
      <c r="CH4" s="7">
        <v>8432</v>
      </c>
      <c r="CI4" s="7">
        <v>12799</v>
      </c>
      <c r="CJ4" s="7">
        <v>13823</v>
      </c>
      <c r="CK4" s="7">
        <v>13265</v>
      </c>
      <c r="CL4" s="7">
        <v>3255</v>
      </c>
      <c r="CP4" s="38">
        <v>18163</v>
      </c>
      <c r="CQ4" s="38">
        <v>10027</v>
      </c>
      <c r="CR4" s="38">
        <v>7077</v>
      </c>
      <c r="CS4" s="37">
        <v>6725</v>
      </c>
      <c r="CU4" s="38">
        <v>7841</v>
      </c>
      <c r="CV4" s="38">
        <v>6793</v>
      </c>
      <c r="CW4" s="38">
        <v>10266</v>
      </c>
      <c r="CX4" s="38">
        <v>8463</v>
      </c>
      <c r="CY4" s="38">
        <v>8340</v>
      </c>
      <c r="CZ4" s="38">
        <v>7776</v>
      </c>
      <c r="DA4" s="38"/>
      <c r="DB4" s="38">
        <v>8316</v>
      </c>
      <c r="DC4" s="38">
        <v>5678</v>
      </c>
      <c r="DD4" s="38">
        <v>7388</v>
      </c>
      <c r="DE4" s="38">
        <v>7084</v>
      </c>
      <c r="DF4" s="38">
        <v>7850</v>
      </c>
      <c r="DG4" s="38">
        <v>6792</v>
      </c>
      <c r="DH4" s="38"/>
      <c r="DI4" s="25">
        <v>6574</v>
      </c>
      <c r="DJ4" s="25">
        <v>7139</v>
      </c>
      <c r="DK4" s="25">
        <v>1442</v>
      </c>
      <c r="DM4" s="25">
        <v>18451</v>
      </c>
      <c r="DN4" s="25">
        <v>8534</v>
      </c>
      <c r="DP4" s="25">
        <v>8104</v>
      </c>
      <c r="DQ4" s="25">
        <v>5926</v>
      </c>
      <c r="DR4" s="25">
        <v>8009</v>
      </c>
      <c r="DS4" s="26"/>
      <c r="DT4" s="25">
        <v>10795</v>
      </c>
      <c r="DU4" s="90">
        <v>6592</v>
      </c>
      <c r="DW4" s="90">
        <v>9755</v>
      </c>
      <c r="DX4" s="90">
        <v>5820</v>
      </c>
      <c r="DY4" s="90">
        <v>7916</v>
      </c>
      <c r="DZ4" s="90">
        <v>8694</v>
      </c>
      <c r="EA4" s="90">
        <v>8970</v>
      </c>
      <c r="EB4" s="90">
        <v>7685</v>
      </c>
      <c r="ED4" s="90">
        <v>10558</v>
      </c>
      <c r="EE4" s="90">
        <v>6312</v>
      </c>
      <c r="EF4" s="90">
        <v>10895</v>
      </c>
      <c r="EG4" s="90">
        <v>10657</v>
      </c>
      <c r="EH4" s="90">
        <v>9737</v>
      </c>
      <c r="EI4" s="90">
        <v>8266</v>
      </c>
      <c r="EK4" s="90">
        <v>11439</v>
      </c>
      <c r="EL4" s="90">
        <v>3881</v>
      </c>
      <c r="EM4" s="90">
        <v>9300</v>
      </c>
      <c r="EN4" s="90">
        <v>10643</v>
      </c>
      <c r="EO4" s="90">
        <v>9797</v>
      </c>
      <c r="EP4" s="90">
        <v>10405</v>
      </c>
      <c r="ER4" s="90">
        <v>10814</v>
      </c>
      <c r="ES4" s="90">
        <v>6689</v>
      </c>
      <c r="ET4" s="90">
        <v>9623</v>
      </c>
      <c r="EU4" s="90">
        <v>10650</v>
      </c>
      <c r="EV4" s="90">
        <v>9029</v>
      </c>
      <c r="EW4" s="90">
        <v>11235</v>
      </c>
      <c r="EY4" s="90">
        <v>12198</v>
      </c>
      <c r="EZ4" s="90">
        <v>9263</v>
      </c>
      <c r="FA4" s="90">
        <v>13929</v>
      </c>
      <c r="FB4" s="90">
        <v>3017</v>
      </c>
      <c r="FC4" s="90"/>
      <c r="FG4" s="90">
        <v>14394</v>
      </c>
      <c r="FH4" s="90">
        <v>16392</v>
      </c>
      <c r="FI4" s="90">
        <v>8010</v>
      </c>
      <c r="FJ4" s="90">
        <v>9058</v>
      </c>
      <c r="FK4" s="90">
        <v>7961</v>
      </c>
      <c r="FM4" s="90">
        <v>9180</v>
      </c>
      <c r="FN4" s="90">
        <v>7200</v>
      </c>
      <c r="FO4" s="90">
        <v>10069</v>
      </c>
      <c r="FP4" s="90">
        <v>11490</v>
      </c>
      <c r="FQ4" s="90">
        <v>10615</v>
      </c>
      <c r="FR4" s="90">
        <v>10700</v>
      </c>
      <c r="FT4" s="90">
        <v>11191</v>
      </c>
      <c r="FU4" s="90">
        <v>6923</v>
      </c>
      <c r="FV4" s="90">
        <v>10575</v>
      </c>
      <c r="FW4" s="90">
        <v>10088</v>
      </c>
      <c r="FX4" s="90">
        <v>10136</v>
      </c>
      <c r="FY4" s="90">
        <v>10054</v>
      </c>
      <c r="GA4" s="7">
        <v>9268</v>
      </c>
      <c r="GB4" s="7">
        <v>6443</v>
      </c>
      <c r="GC4" s="7">
        <v>9023</v>
      </c>
      <c r="GD4" s="7">
        <v>9380</v>
      </c>
      <c r="GE4" s="7">
        <v>11310</v>
      </c>
      <c r="GF4" s="7">
        <v>9880</v>
      </c>
      <c r="GH4" s="90">
        <v>10467</v>
      </c>
      <c r="GI4" s="90">
        <v>6769</v>
      </c>
      <c r="GJ4" s="90">
        <v>8479</v>
      </c>
      <c r="GK4" s="90">
        <v>8687</v>
      </c>
      <c r="GL4" s="90">
        <v>7700</v>
      </c>
      <c r="GM4" s="90">
        <v>8431</v>
      </c>
      <c r="GO4" s="90">
        <v>7675</v>
      </c>
      <c r="GP4" s="90"/>
      <c r="GQ4" s="90">
        <v>9209</v>
      </c>
      <c r="GR4" s="90">
        <v>5990</v>
      </c>
      <c r="GS4" s="90">
        <v>10125</v>
      </c>
      <c r="GT4" s="90">
        <v>9440</v>
      </c>
      <c r="GV4" s="100">
        <v>8577</v>
      </c>
      <c r="GW4" s="100">
        <v>6203</v>
      </c>
      <c r="GX4" s="100">
        <v>8272</v>
      </c>
      <c r="GY4" s="100">
        <v>8851</v>
      </c>
      <c r="GZ4" s="100">
        <v>7912</v>
      </c>
      <c r="HA4" s="100">
        <v>8289</v>
      </c>
      <c r="HC4" s="90">
        <v>8296</v>
      </c>
      <c r="HD4" s="90">
        <v>7066</v>
      </c>
      <c r="HE4" s="90">
        <v>6318</v>
      </c>
      <c r="HF4" s="90">
        <v>7272</v>
      </c>
      <c r="HG4" s="90">
        <v>6688</v>
      </c>
      <c r="HH4" s="90">
        <v>7581</v>
      </c>
      <c r="HJ4" s="90">
        <v>6841</v>
      </c>
      <c r="HK4" s="90">
        <v>5390</v>
      </c>
      <c r="HL4" s="90">
        <v>6734</v>
      </c>
      <c r="HM4" s="90">
        <v>7053</v>
      </c>
      <c r="HN4" s="90">
        <v>6455</v>
      </c>
      <c r="HO4" s="90">
        <v>7228</v>
      </c>
      <c r="HP4" s="7"/>
      <c r="HQ4" s="90">
        <v>6938</v>
      </c>
      <c r="HR4" s="90">
        <v>4801</v>
      </c>
      <c r="HS4" s="90">
        <v>7048</v>
      </c>
      <c r="HT4" s="90">
        <v>7271</v>
      </c>
      <c r="HU4" s="90">
        <v>6622</v>
      </c>
      <c r="HV4" s="90">
        <v>7849</v>
      </c>
      <c r="HX4" s="100">
        <v>7517</v>
      </c>
      <c r="HY4" s="100">
        <v>5541</v>
      </c>
      <c r="HZ4" s="100">
        <v>7015</v>
      </c>
      <c r="IA4" s="100">
        <v>7196</v>
      </c>
      <c r="IB4" s="100">
        <v>6171</v>
      </c>
      <c r="IC4" s="100">
        <v>6868</v>
      </c>
      <c r="IE4" s="90">
        <v>6676</v>
      </c>
      <c r="IF4" s="90">
        <v>6306</v>
      </c>
      <c r="IG4" s="90">
        <v>7657</v>
      </c>
      <c r="IH4" s="90">
        <v>7891</v>
      </c>
      <c r="II4" s="90">
        <v>7875</v>
      </c>
      <c r="IJ4" s="90">
        <v>7733</v>
      </c>
      <c r="IL4" s="90">
        <v>8089</v>
      </c>
      <c r="IM4" s="90">
        <v>5601</v>
      </c>
      <c r="IN4" s="90">
        <v>7866</v>
      </c>
      <c r="IO4" s="90">
        <v>9917</v>
      </c>
      <c r="IP4" s="90">
        <v>7500</v>
      </c>
      <c r="IQ4" s="90">
        <v>7559</v>
      </c>
      <c r="IS4" s="90">
        <v>9623</v>
      </c>
      <c r="IT4" s="90">
        <v>6827</v>
      </c>
      <c r="IU4" s="90">
        <v>6833</v>
      </c>
      <c r="IV4" s="90">
        <v>9233</v>
      </c>
      <c r="IW4" s="90">
        <v>7235</v>
      </c>
      <c r="IX4" s="90">
        <v>8390</v>
      </c>
      <c r="IY4" s="90"/>
      <c r="IZ4" s="90">
        <v>8079</v>
      </c>
      <c r="JA4" s="90">
        <v>6129</v>
      </c>
      <c r="JB4" s="90">
        <v>7671</v>
      </c>
      <c r="JC4" s="90">
        <v>9469</v>
      </c>
      <c r="JD4" s="90">
        <v>7195</v>
      </c>
      <c r="JE4" s="90">
        <v>8019</v>
      </c>
      <c r="JF4" s="90"/>
      <c r="JG4" s="90">
        <v>7658</v>
      </c>
      <c r="JH4" s="90">
        <v>5378</v>
      </c>
      <c r="JI4" s="90">
        <v>7066</v>
      </c>
      <c r="JJ4" s="90">
        <v>7635</v>
      </c>
      <c r="JK4" s="90">
        <v>7243</v>
      </c>
      <c r="JL4" s="90">
        <v>7777</v>
      </c>
      <c r="JN4" s="90">
        <v>8601</v>
      </c>
      <c r="JO4" s="90">
        <v>5982</v>
      </c>
      <c r="JP4" s="90">
        <v>9368</v>
      </c>
      <c r="JQ4" s="90">
        <v>8959</v>
      </c>
      <c r="JR4" s="90">
        <v>8508</v>
      </c>
      <c r="JS4" s="90">
        <v>8412</v>
      </c>
      <c r="JU4" s="90">
        <v>8161</v>
      </c>
      <c r="JV4" s="90">
        <v>6495</v>
      </c>
      <c r="JW4" s="90">
        <v>7800</v>
      </c>
      <c r="JX4" s="90">
        <v>8997</v>
      </c>
      <c r="JY4" s="90">
        <v>7678</v>
      </c>
      <c r="JZ4" s="90">
        <v>7977</v>
      </c>
      <c r="KB4" s="90">
        <v>8218</v>
      </c>
      <c r="KC4" s="90">
        <v>6310</v>
      </c>
      <c r="KD4" s="90">
        <v>9063</v>
      </c>
      <c r="KE4" s="90">
        <v>8681</v>
      </c>
      <c r="KF4" s="90">
        <v>8571</v>
      </c>
      <c r="KG4" s="90">
        <v>8768</v>
      </c>
      <c r="KI4" s="90">
        <v>10105</v>
      </c>
      <c r="KJ4" s="90">
        <v>6951</v>
      </c>
      <c r="KK4" s="90">
        <v>10009</v>
      </c>
      <c r="KL4" s="90">
        <v>10398</v>
      </c>
      <c r="KM4" s="90">
        <v>9302</v>
      </c>
      <c r="KN4" s="90">
        <v>10240</v>
      </c>
      <c r="KP4" s="90">
        <v>11818</v>
      </c>
      <c r="KQ4" s="90">
        <v>7678</v>
      </c>
      <c r="KR4" s="90">
        <v>1978</v>
      </c>
      <c r="KS4" s="90">
        <v>11781</v>
      </c>
      <c r="KT4" s="90">
        <v>10375</v>
      </c>
      <c r="KU4" s="90">
        <v>13147</v>
      </c>
      <c r="KW4" s="101">
        <v>12512</v>
      </c>
      <c r="KX4" s="101">
        <v>6805</v>
      </c>
      <c r="KY4" s="101">
        <v>10122</v>
      </c>
      <c r="KZ4" s="101">
        <v>10912</v>
      </c>
      <c r="LA4" s="101">
        <v>8737</v>
      </c>
      <c r="LB4" s="101">
        <v>10575</v>
      </c>
      <c r="LD4" s="7">
        <v>11147</v>
      </c>
      <c r="LE4" s="7">
        <v>6043</v>
      </c>
      <c r="LF4" s="7">
        <v>8267</v>
      </c>
      <c r="LG4" s="7">
        <v>8640</v>
      </c>
      <c r="LH4" s="7">
        <v>8448</v>
      </c>
      <c r="LI4" s="7">
        <v>8379</v>
      </c>
      <c r="LK4" s="25">
        <v>9926</v>
      </c>
      <c r="LL4" s="25">
        <v>6424</v>
      </c>
      <c r="LM4" s="25">
        <v>8211</v>
      </c>
      <c r="LN4" s="25">
        <v>8754</v>
      </c>
      <c r="LO4" s="25">
        <v>8062</v>
      </c>
      <c r="LP4" s="25">
        <v>8423</v>
      </c>
      <c r="LR4" s="90">
        <v>9658</v>
      </c>
      <c r="LS4" s="90">
        <v>5231</v>
      </c>
      <c r="LT4" s="90">
        <v>7017</v>
      </c>
      <c r="LU4" s="90">
        <v>8838</v>
      </c>
      <c r="LV4" s="90">
        <v>7924</v>
      </c>
      <c r="LW4" s="90">
        <v>7520</v>
      </c>
      <c r="LY4" s="90">
        <v>8322</v>
      </c>
      <c r="LZ4" s="90">
        <v>3493</v>
      </c>
      <c r="MA4" s="90">
        <v>6193</v>
      </c>
      <c r="MB4" s="90">
        <v>6583</v>
      </c>
      <c r="MC4" s="90">
        <v>8877</v>
      </c>
      <c r="MD4" s="90">
        <v>7140</v>
      </c>
      <c r="MF4" s="90">
        <v>9181</v>
      </c>
      <c r="MG4" s="90">
        <v>5062</v>
      </c>
      <c r="MH4" s="90">
        <v>7710</v>
      </c>
      <c r="MI4" s="90">
        <v>7678</v>
      </c>
      <c r="MJ4" s="90">
        <v>7654</v>
      </c>
      <c r="MK4" s="90">
        <v>7372</v>
      </c>
      <c r="MM4" s="90">
        <v>10554</v>
      </c>
      <c r="MN4" s="90">
        <v>5652</v>
      </c>
      <c r="MO4" s="90">
        <v>7650</v>
      </c>
      <c r="MP4" s="90">
        <v>9504</v>
      </c>
      <c r="MQ4" s="90">
        <v>7662</v>
      </c>
      <c r="MR4" s="90">
        <v>8035</v>
      </c>
      <c r="MT4" s="90">
        <v>8392</v>
      </c>
      <c r="MU4" s="90">
        <v>4381</v>
      </c>
      <c r="MV4" s="90">
        <v>7248</v>
      </c>
      <c r="MW4" s="90">
        <v>8081</v>
      </c>
      <c r="MX4" s="90">
        <v>7789</v>
      </c>
      <c r="MY4" s="90">
        <v>6923</v>
      </c>
      <c r="NA4" s="90">
        <v>3393</v>
      </c>
      <c r="NB4" s="90">
        <v>5205</v>
      </c>
      <c r="NC4" s="90">
        <v>6219</v>
      </c>
    </row>
    <row r="5" spans="1:371">
      <c r="A5" s="91">
        <f>+A4/A3</f>
        <v>22.562347744845258</v>
      </c>
      <c r="B5" s="92" t="s">
        <v>424</v>
      </c>
      <c r="C5" s="7"/>
      <c r="D5" s="7">
        <f t="shared" ref="D5:M5" si="0">+D4/D3</f>
        <v>25.055381784728606</v>
      </c>
      <c r="E5" s="7">
        <f t="shared" si="0"/>
        <v>18.729384436701508</v>
      </c>
      <c r="F5" s="7">
        <f t="shared" si="0"/>
        <v>18.122571001494769</v>
      </c>
      <c r="G5" s="7"/>
      <c r="H5" s="7">
        <f t="shared" si="0"/>
        <v>18.125</v>
      </c>
      <c r="I5" s="7">
        <f t="shared" si="0"/>
        <v>7.9893373952779889</v>
      </c>
      <c r="J5" s="7">
        <f t="shared" si="0"/>
        <v>9.3227150208282286</v>
      </c>
      <c r="K5" s="7">
        <f t="shared" si="0"/>
        <v>9.5056974459724959</v>
      </c>
      <c r="L5" s="7">
        <f t="shared" si="0"/>
        <v>9.1840490797545993</v>
      </c>
      <c r="M5" s="7">
        <f t="shared" si="0"/>
        <v>17.879746835443036</v>
      </c>
      <c r="N5" s="7"/>
      <c r="O5" s="7">
        <f t="shared" ref="O5:BZ5" si="1">+O4/O3</f>
        <v>13.626402640264027</v>
      </c>
      <c r="P5" s="7">
        <f t="shared" si="1"/>
        <v>11.504624407850212</v>
      </c>
      <c r="Q5" s="7">
        <f t="shared" si="1"/>
        <v>12.597961494903739</v>
      </c>
      <c r="R5" s="7">
        <f t="shared" si="1"/>
        <v>15.533218926207402</v>
      </c>
      <c r="S5" s="7">
        <f t="shared" si="1"/>
        <v>10.435873605947956</v>
      </c>
      <c r="T5" s="7">
        <f t="shared" si="1"/>
        <v>14.404761904761905</v>
      </c>
      <c r="U5" s="7"/>
      <c r="V5" s="7">
        <f t="shared" si="1"/>
        <v>14.540145985401459</v>
      </c>
      <c r="W5" s="7">
        <f t="shared" si="1"/>
        <v>11.403121748178979</v>
      </c>
      <c r="X5" s="7">
        <f t="shared" si="1"/>
        <v>17.318559556786703</v>
      </c>
      <c r="Y5" s="7">
        <f t="shared" si="1"/>
        <v>16.684126622637216</v>
      </c>
      <c r="Z5" s="7">
        <f t="shared" si="1"/>
        <v>14.76271186440678</v>
      </c>
      <c r="AA5" s="7">
        <f t="shared" si="1"/>
        <v>27.046357615894038</v>
      </c>
      <c r="AC5" s="7">
        <f t="shared" si="1"/>
        <v>12.856960136431464</v>
      </c>
      <c r="AD5" s="7">
        <f t="shared" si="1"/>
        <v>12.996531320138748</v>
      </c>
      <c r="AE5" s="7">
        <f t="shared" si="1"/>
        <v>14.126352228472523</v>
      </c>
      <c r="AF5" s="7">
        <f t="shared" si="1"/>
        <v>16.554838709677419</v>
      </c>
      <c r="AG5" s="7">
        <f t="shared" si="1"/>
        <v>13.755555555555553</v>
      </c>
      <c r="AH5" s="7">
        <f t="shared" si="1"/>
        <v>20.589353612167301</v>
      </c>
      <c r="AJ5" s="7">
        <f t="shared" si="1"/>
        <v>13.051731509191962</v>
      </c>
      <c r="AK5" s="7">
        <f t="shared" si="1"/>
        <v>12.947508896797151</v>
      </c>
      <c r="AL5" s="7">
        <f t="shared" si="1"/>
        <v>13.45011086474501</v>
      </c>
      <c r="AM5" s="7">
        <f t="shared" si="1"/>
        <v>17.955067398901644</v>
      </c>
      <c r="AN5" s="7">
        <f t="shared" si="1"/>
        <v>15.488146551724139</v>
      </c>
      <c r="AO5" s="7">
        <f t="shared" si="1"/>
        <v>21.824244529350473</v>
      </c>
      <c r="AQ5" s="7">
        <f t="shared" si="1"/>
        <v>16.1335723890632</v>
      </c>
      <c r="AR5" s="7">
        <f t="shared" si="1"/>
        <v>14.348254042652918</v>
      </c>
      <c r="AS5" s="7">
        <f t="shared" si="1"/>
        <v>14.459119496855346</v>
      </c>
      <c r="AT5" s="7">
        <f t="shared" si="1"/>
        <v>22.342490372272142</v>
      </c>
      <c r="AU5" s="7">
        <f t="shared" si="1"/>
        <v>16.52623335943618</v>
      </c>
      <c r="AV5" s="7">
        <f t="shared" si="1"/>
        <v>25.047072330654416</v>
      </c>
      <c r="AX5" s="7">
        <f t="shared" si="1"/>
        <v>23.26829268292683</v>
      </c>
      <c r="AY5" s="7">
        <f t="shared" si="1"/>
        <v>14.528418549346018</v>
      </c>
      <c r="AZ5" s="7">
        <f t="shared" si="1"/>
        <v>17.597633136094675</v>
      </c>
      <c r="BA5" s="7">
        <f t="shared" si="1"/>
        <v>24.634806131650134</v>
      </c>
      <c r="BB5" s="7">
        <f t="shared" si="1"/>
        <v>23.20194986072423</v>
      </c>
      <c r="BC5" s="7"/>
      <c r="BE5" s="7">
        <f t="shared" si="1"/>
        <v>30.981077147016013</v>
      </c>
      <c r="BF5" s="7">
        <f t="shared" si="1"/>
        <v>14.240487062404869</v>
      </c>
      <c r="BG5" s="7">
        <f t="shared" si="1"/>
        <v>18.65360726230292</v>
      </c>
      <c r="BH5" s="7">
        <f t="shared" si="1"/>
        <v>17.333932584269668</v>
      </c>
      <c r="BI5" s="7">
        <f t="shared" si="1"/>
        <v>7.2090077410274453</v>
      </c>
      <c r="BJ5" s="7">
        <f t="shared" si="1"/>
        <v>12.457446808510639</v>
      </c>
      <c r="BL5" s="7">
        <f t="shared" si="1"/>
        <v>20.770668583752702</v>
      </c>
      <c r="BM5" s="7">
        <f t="shared" si="1"/>
        <v>13.240037071362375</v>
      </c>
      <c r="BN5" s="7">
        <f t="shared" si="1"/>
        <v>22.661442006269596</v>
      </c>
      <c r="BO5" s="7">
        <f t="shared" si="1"/>
        <v>21.276461295418649</v>
      </c>
      <c r="BP5" s="7">
        <f t="shared" si="1"/>
        <v>16.900763358778633</v>
      </c>
      <c r="BQ5" s="7">
        <f t="shared" si="1"/>
        <v>24.59646827992152</v>
      </c>
      <c r="BR5" s="7"/>
      <c r="BS5" s="7">
        <f t="shared" si="1"/>
        <v>33.186654643823289</v>
      </c>
      <c r="BT5" s="7">
        <f t="shared" si="1"/>
        <v>27.785809906291842</v>
      </c>
      <c r="BU5" s="7">
        <f t="shared" si="1"/>
        <v>33.963600590260732</v>
      </c>
      <c r="BV5" s="7">
        <f t="shared" si="1"/>
        <v>42.701545778834721</v>
      </c>
      <c r="BW5" s="7">
        <f t="shared" si="1"/>
        <v>49.959774738535806</v>
      </c>
      <c r="BX5" s="7">
        <f t="shared" si="1"/>
        <v>69.337969401947163</v>
      </c>
      <c r="BY5" s="7"/>
      <c r="BZ5" s="7">
        <f t="shared" si="1"/>
        <v>29.5534430790633</v>
      </c>
      <c r="CA5" s="7">
        <f t="shared" ref="CA5:EL5" si="2">+CA4/CA3</f>
        <v>21.07205707491082</v>
      </c>
      <c r="CB5" s="7">
        <f t="shared" si="2"/>
        <v>24.877717391304351</v>
      </c>
      <c r="CC5" s="7">
        <f t="shared" si="2"/>
        <v>26.169412856811327</v>
      </c>
      <c r="CD5" s="7">
        <f t="shared" si="2"/>
        <v>23.689949638712502</v>
      </c>
      <c r="CE5" s="7">
        <f t="shared" si="2"/>
        <v>33.273390036452007</v>
      </c>
      <c r="CF5" s="7"/>
      <c r="CG5" s="7">
        <f t="shared" si="2"/>
        <v>28.118404118404126</v>
      </c>
      <c r="CH5" s="7">
        <f t="shared" si="2"/>
        <v>21.83042071197411</v>
      </c>
      <c r="CI5" s="7">
        <f t="shared" si="2"/>
        <v>32.958798283261807</v>
      </c>
      <c r="CJ5" s="7">
        <f t="shared" si="2"/>
        <v>34.709353421217841</v>
      </c>
      <c r="CK5" s="7">
        <f t="shared" si="2"/>
        <v>34.454545454545467</v>
      </c>
      <c r="CL5" s="7">
        <f t="shared" si="2"/>
        <v>23.47355769230769</v>
      </c>
      <c r="CM5" s="7"/>
      <c r="CN5" s="7"/>
      <c r="CO5" s="7"/>
      <c r="CP5" s="7">
        <f t="shared" si="2"/>
        <v>42.313337216074551</v>
      </c>
      <c r="CQ5" s="7">
        <f t="shared" si="2"/>
        <v>22.08590308370044</v>
      </c>
      <c r="CR5" s="7">
        <f t="shared" si="2"/>
        <v>15.796875</v>
      </c>
      <c r="CS5" s="7">
        <f t="shared" si="2"/>
        <v>19.867060561299851</v>
      </c>
      <c r="CT5" s="7"/>
      <c r="CU5" s="7">
        <f t="shared" si="2"/>
        <v>23.96027501909855</v>
      </c>
      <c r="CV5" s="7">
        <f t="shared" si="2"/>
        <v>17.829396325459317</v>
      </c>
      <c r="CW5" s="7">
        <f t="shared" si="2"/>
        <v>30.13502935420744</v>
      </c>
      <c r="CX5" s="7">
        <f t="shared" si="2"/>
        <v>22.271052631578947</v>
      </c>
      <c r="CY5" s="7">
        <f t="shared" si="2"/>
        <v>21.522580645161291</v>
      </c>
      <c r="CZ5" s="7">
        <f t="shared" si="2"/>
        <v>29.566539923954373</v>
      </c>
      <c r="DA5" s="7"/>
      <c r="DB5" s="7">
        <f t="shared" si="2"/>
        <v>20.648044692737429</v>
      </c>
      <c r="DC5" s="7">
        <f t="shared" si="2"/>
        <v>15.882517482517482</v>
      </c>
      <c r="DD5" s="7">
        <f t="shared" si="2"/>
        <v>19.95857721746961</v>
      </c>
      <c r="DE5" s="7">
        <f t="shared" si="2"/>
        <v>20.139303482587064</v>
      </c>
      <c r="DF5" s="7">
        <f t="shared" si="2"/>
        <v>21.891703462700441</v>
      </c>
      <c r="DG5" s="7">
        <f t="shared" si="2"/>
        <v>25.039631336405531</v>
      </c>
      <c r="DH5" s="7"/>
      <c r="DI5" s="7">
        <f t="shared" si="2"/>
        <v>16.972461273666092</v>
      </c>
      <c r="DJ5" s="7">
        <f t="shared" si="2"/>
        <v>20.421454112038141</v>
      </c>
      <c r="DK5" s="7">
        <f t="shared" si="2"/>
        <v>8.9232673267326756</v>
      </c>
      <c r="DL5" s="7"/>
      <c r="DM5" s="7">
        <f t="shared" si="2"/>
        <v>72.215264187866921</v>
      </c>
      <c r="DN5" s="7">
        <f t="shared" si="2"/>
        <v>35.484407484407484</v>
      </c>
      <c r="DO5" s="7"/>
      <c r="DP5" s="7">
        <f t="shared" si="2"/>
        <v>22.55287569573284</v>
      </c>
      <c r="DQ5" s="7">
        <f t="shared" si="2"/>
        <v>16.030658250676286</v>
      </c>
      <c r="DR5" s="7">
        <f t="shared" si="2"/>
        <v>25.159162303664917</v>
      </c>
      <c r="DS5" s="7"/>
      <c r="DT5" s="7">
        <f t="shared" si="2"/>
        <v>30.501530492112078</v>
      </c>
      <c r="DU5" s="7">
        <f t="shared" si="2"/>
        <v>26.625378660383706</v>
      </c>
      <c r="DV5" s="7"/>
      <c r="DW5" s="7">
        <f t="shared" si="2"/>
        <v>26.23487225459435</v>
      </c>
      <c r="DX5" s="7">
        <f t="shared" si="2"/>
        <v>17.986093226886425</v>
      </c>
      <c r="DY5" s="7">
        <f t="shared" si="2"/>
        <v>20.827011620258713</v>
      </c>
      <c r="DZ5" s="7">
        <f t="shared" si="2"/>
        <v>24.710563713879676</v>
      </c>
      <c r="EA5" s="7">
        <f t="shared" si="2"/>
        <v>23.384749076689122</v>
      </c>
      <c r="EB5" s="7">
        <f t="shared" si="2"/>
        <v>28.58648481091134</v>
      </c>
      <c r="EC5" s="7"/>
      <c r="ED5" s="7">
        <f t="shared" si="2"/>
        <v>27.170491100150119</v>
      </c>
      <c r="EE5" s="7">
        <f t="shared" si="2"/>
        <v>16.694732201895526</v>
      </c>
      <c r="EF5" s="7">
        <f t="shared" si="2"/>
        <v>31.277511961722485</v>
      </c>
      <c r="EG5" s="7">
        <f t="shared" si="2"/>
        <v>30.608903781713735</v>
      </c>
      <c r="EH5" s="7">
        <f t="shared" si="2"/>
        <v>26.713305898491083</v>
      </c>
      <c r="EI5" s="7">
        <f t="shared" si="2"/>
        <v>33.33064516129032</v>
      </c>
      <c r="EJ5" s="7"/>
      <c r="EK5" s="7">
        <f t="shared" si="2"/>
        <v>46.125</v>
      </c>
      <c r="EL5" s="7">
        <f t="shared" si="2"/>
        <v>9.6863560732113125</v>
      </c>
      <c r="EM5" s="7">
        <f t="shared" ref="EM5:GX5" si="3">+EM4/EM3</f>
        <v>23.544303797468356</v>
      </c>
      <c r="EN5" s="7">
        <f t="shared" si="3"/>
        <v>27.536869340232858</v>
      </c>
      <c r="EO5" s="7">
        <f t="shared" si="3"/>
        <v>21.888661329361383</v>
      </c>
      <c r="EP5" s="7">
        <f t="shared" si="3"/>
        <v>36.831858407079643</v>
      </c>
      <c r="EQ5" s="7"/>
      <c r="ER5" s="7">
        <f t="shared" si="3"/>
        <v>20.903350515463917</v>
      </c>
      <c r="ES5" s="7">
        <f t="shared" si="3"/>
        <v>12.938104448742747</v>
      </c>
      <c r="ET5" s="7">
        <f t="shared" si="3"/>
        <v>17.768272041852594</v>
      </c>
      <c r="EU5" s="7">
        <f t="shared" si="3"/>
        <v>19.114567753514805</v>
      </c>
      <c r="EV5" s="7">
        <f t="shared" si="3"/>
        <v>16.401453224341509</v>
      </c>
      <c r="EW5" s="7">
        <f t="shared" si="3"/>
        <v>29.334203655352482</v>
      </c>
      <c r="EX5" s="7"/>
      <c r="EY5" s="7">
        <f t="shared" si="3"/>
        <v>29.158565737051799</v>
      </c>
      <c r="EZ5" s="7">
        <f t="shared" si="3"/>
        <v>23.545011650074141</v>
      </c>
      <c r="FA5" s="7">
        <f t="shared" si="3"/>
        <v>34.866082603254064</v>
      </c>
      <c r="FB5" s="7">
        <f t="shared" si="3"/>
        <v>15.625377643504534</v>
      </c>
      <c r="FC5" s="7"/>
      <c r="FD5" s="7"/>
      <c r="FE5" s="7"/>
      <c r="FF5" s="7"/>
      <c r="FG5" s="7">
        <f t="shared" si="3"/>
        <v>40.319327731092436</v>
      </c>
      <c r="FH5" s="7">
        <f t="shared" si="3"/>
        <v>47.62808716707022</v>
      </c>
      <c r="FI5" s="7">
        <f t="shared" si="3"/>
        <v>22.521087160262418</v>
      </c>
      <c r="FJ5" s="7">
        <f t="shared" si="3"/>
        <v>26.204435872709738</v>
      </c>
      <c r="FK5" s="7">
        <f t="shared" si="3"/>
        <v>32.133198789101918</v>
      </c>
      <c r="FL5" s="7"/>
      <c r="FM5" s="7">
        <f t="shared" si="3"/>
        <v>24.031413612565444</v>
      </c>
      <c r="FN5" s="7">
        <f t="shared" si="3"/>
        <v>16.868410777040218</v>
      </c>
      <c r="FO5" s="7">
        <f t="shared" si="3"/>
        <v>23.548625998830641</v>
      </c>
      <c r="FP5" s="7">
        <f t="shared" si="3"/>
        <v>26.459412780656304</v>
      </c>
      <c r="FQ5" s="7">
        <f t="shared" si="3"/>
        <v>23.961625282167041</v>
      </c>
      <c r="FR5" s="7">
        <f t="shared" si="3"/>
        <v>36.518771331058019</v>
      </c>
      <c r="FS5" s="7"/>
      <c r="FT5" s="7">
        <f t="shared" si="3"/>
        <v>24.859681599407622</v>
      </c>
      <c r="FU5" s="7">
        <f t="shared" si="3"/>
        <v>15.61872532430908</v>
      </c>
      <c r="FV5" s="7">
        <f t="shared" si="3"/>
        <v>24.474445515911281</v>
      </c>
      <c r="FW5" s="7">
        <f t="shared" si="3"/>
        <v>26.044750430292595</v>
      </c>
      <c r="FX5" s="7">
        <f t="shared" si="3"/>
        <v>25.172185430463578</v>
      </c>
      <c r="FY5" s="7">
        <f t="shared" si="3"/>
        <v>38.374045801526719</v>
      </c>
      <c r="FZ5" s="7"/>
      <c r="GA5" s="7">
        <f t="shared" si="3"/>
        <v>19.318394997394478</v>
      </c>
      <c r="GB5" s="7">
        <f t="shared" si="3"/>
        <v>13.042510121457489</v>
      </c>
      <c r="GC5" s="7">
        <f t="shared" si="3"/>
        <v>19.947678703021371</v>
      </c>
      <c r="GD5" s="7">
        <f t="shared" si="3"/>
        <v>20.573935295192836</v>
      </c>
      <c r="GE5" s="7">
        <f t="shared" si="3"/>
        <v>28.058714078974567</v>
      </c>
      <c r="GF5" s="7">
        <f t="shared" si="3"/>
        <v>35.539568345323744</v>
      </c>
      <c r="GG5" s="7"/>
      <c r="GH5" s="7">
        <f t="shared" si="3"/>
        <v>24.062068965517241</v>
      </c>
      <c r="GI5" s="7">
        <f t="shared" si="3"/>
        <v>15.26555158804736</v>
      </c>
      <c r="GJ5" s="7">
        <f t="shared" si="3"/>
        <v>19.55564097635979</v>
      </c>
      <c r="GK5" s="7">
        <f t="shared" si="3"/>
        <v>20.360156250000003</v>
      </c>
      <c r="GL5" s="7">
        <f t="shared" si="3"/>
        <v>17.556526695800876</v>
      </c>
      <c r="GM5" s="7">
        <f t="shared" si="3"/>
        <v>26.722662440570524</v>
      </c>
      <c r="GN5" s="7"/>
      <c r="GO5" s="7">
        <f t="shared" si="3"/>
        <v>18.058823529411764</v>
      </c>
      <c r="GP5" s="7"/>
      <c r="GQ5" s="7">
        <f t="shared" si="3"/>
        <v>22.488400488400487</v>
      </c>
      <c r="GR5" s="7">
        <f t="shared" si="3"/>
        <v>17.756916996047433</v>
      </c>
      <c r="GS5" s="7">
        <f t="shared" si="3"/>
        <v>24.135876042908222</v>
      </c>
      <c r="GT5" s="7">
        <f t="shared" si="3"/>
        <v>33.06479859894921</v>
      </c>
      <c r="GU5" s="7"/>
      <c r="GV5" s="7">
        <f t="shared" si="3"/>
        <v>16.773794002607559</v>
      </c>
      <c r="GW5" s="7">
        <f t="shared" si="3"/>
        <v>11.982614294913075</v>
      </c>
      <c r="GX5" s="7">
        <f t="shared" si="3"/>
        <v>16.195790504160549</v>
      </c>
      <c r="GY5" s="7">
        <f t="shared" ref="GY5:JJ5" si="4">+GY4/GY3</f>
        <v>17.974614994076834</v>
      </c>
      <c r="GZ5" s="7">
        <f t="shared" si="4"/>
        <v>15.631215014817254</v>
      </c>
      <c r="HA5" s="7">
        <f t="shared" si="4"/>
        <v>23.481586402266288</v>
      </c>
      <c r="HB5" s="7"/>
      <c r="HC5" s="7">
        <f t="shared" si="4"/>
        <v>23.044444444444444</v>
      </c>
      <c r="HD5" s="7">
        <f t="shared" si="4"/>
        <v>23.885070422535211</v>
      </c>
      <c r="HE5" s="7">
        <f t="shared" si="4"/>
        <v>18.63716814159292</v>
      </c>
      <c r="HF5" s="7">
        <f t="shared" si="4"/>
        <v>20.102280580511405</v>
      </c>
      <c r="HG5" s="7">
        <f t="shared" si="4"/>
        <v>17.962399283795882</v>
      </c>
      <c r="HH5" s="7">
        <f t="shared" si="4"/>
        <v>38</v>
      </c>
      <c r="HI5" s="7"/>
      <c r="HJ5" s="7">
        <f t="shared" si="4"/>
        <v>19.117838844899861</v>
      </c>
      <c r="HK5" s="7">
        <f t="shared" si="4"/>
        <v>16.169999999999998</v>
      </c>
      <c r="HL5" s="7">
        <f t="shared" si="4"/>
        <v>18.440894568690091</v>
      </c>
      <c r="HM5" s="7">
        <f t="shared" si="4"/>
        <v>20.180257510729614</v>
      </c>
      <c r="HN5" s="7">
        <f t="shared" si="4"/>
        <v>21.856659142212187</v>
      </c>
      <c r="HO5" s="7">
        <f t="shared" si="4"/>
        <v>30.127127474817648</v>
      </c>
      <c r="HP5" s="7"/>
      <c r="HQ5" s="7">
        <f t="shared" si="4"/>
        <v>25.976911076443056</v>
      </c>
      <c r="HR5" s="7">
        <f t="shared" si="4"/>
        <v>15.424899598393575</v>
      </c>
      <c r="HS5" s="7">
        <f t="shared" si="4"/>
        <v>21.159869902426816</v>
      </c>
      <c r="HT5" s="7">
        <f t="shared" si="4"/>
        <v>25.715296198054819</v>
      </c>
      <c r="HU5" s="7">
        <f t="shared" si="4"/>
        <v>19.124909747292421</v>
      </c>
      <c r="HV5" s="7">
        <f t="shared" si="4"/>
        <v>35.210467289719624</v>
      </c>
      <c r="HW5" s="7"/>
      <c r="HX5" s="7">
        <f t="shared" si="4"/>
        <v>24.754116355653132</v>
      </c>
      <c r="HY5" s="7">
        <f t="shared" si="4"/>
        <v>17.212529122443698</v>
      </c>
      <c r="HZ5" s="7">
        <f t="shared" si="4"/>
        <v>19.097096188747731</v>
      </c>
      <c r="IA5" s="7">
        <f t="shared" si="4"/>
        <v>20.857971014492758</v>
      </c>
      <c r="IB5" s="7">
        <f t="shared" si="4"/>
        <v>18.239408866995074</v>
      </c>
      <c r="IC5" s="7">
        <f t="shared" si="4"/>
        <v>33.339805825242721</v>
      </c>
      <c r="ID5" s="7"/>
      <c r="IE5" s="7">
        <f t="shared" si="4"/>
        <v>18.656730321378667</v>
      </c>
      <c r="IF5" s="7">
        <f t="shared" si="4"/>
        <v>17.14751869476547</v>
      </c>
      <c r="IG5" s="7">
        <f t="shared" si="4"/>
        <v>27.168539325842698</v>
      </c>
      <c r="IH5" s="7">
        <f t="shared" si="4"/>
        <v>23.942351453855881</v>
      </c>
      <c r="II5" s="7">
        <f t="shared" si="4"/>
        <v>22.559083313439963</v>
      </c>
      <c r="IJ5" s="7">
        <f t="shared" si="4"/>
        <v>35.472477064220186</v>
      </c>
      <c r="IK5" s="7"/>
      <c r="IL5" s="7">
        <f t="shared" si="4"/>
        <v>22.963804116394602</v>
      </c>
      <c r="IM5" s="7">
        <f t="shared" si="4"/>
        <v>15.656184486373165</v>
      </c>
      <c r="IN5" s="7">
        <f t="shared" si="4"/>
        <v>21.905778602924112</v>
      </c>
      <c r="IO5" s="7">
        <f t="shared" si="4"/>
        <v>29.42729970326409</v>
      </c>
      <c r="IP5" s="7">
        <f t="shared" si="4"/>
        <v>21.897810218978098</v>
      </c>
      <c r="IQ5" s="7">
        <f t="shared" si="4"/>
        <v>34.242355605889017</v>
      </c>
      <c r="IR5" s="7"/>
      <c r="IS5" s="7">
        <f t="shared" si="4"/>
        <v>25.016464471403815</v>
      </c>
      <c r="IT5" s="7">
        <f t="shared" si="4"/>
        <v>19.952264978080855</v>
      </c>
      <c r="IU5" s="7">
        <f t="shared" si="4"/>
        <v>17.357324301439458</v>
      </c>
      <c r="IV5" s="7">
        <f t="shared" si="4"/>
        <v>23.821973769081918</v>
      </c>
      <c r="IW5" s="7">
        <f t="shared" si="4"/>
        <v>20.394644115574341</v>
      </c>
      <c r="IX5" s="7">
        <f t="shared" si="4"/>
        <v>34.013513513513516</v>
      </c>
      <c r="IY5" s="7"/>
      <c r="IZ5" s="7">
        <f t="shared" si="4"/>
        <v>21.354185022026428</v>
      </c>
      <c r="JA5" s="7">
        <f t="shared" si="4"/>
        <v>17.834141610087297</v>
      </c>
      <c r="JB5" s="7">
        <f t="shared" si="4"/>
        <v>19.197497393117832</v>
      </c>
      <c r="JC5" s="7">
        <f t="shared" si="4"/>
        <v>25.972114285714284</v>
      </c>
      <c r="JD5" s="7">
        <f t="shared" si="4"/>
        <v>19.311116081413555</v>
      </c>
      <c r="JE5" s="7">
        <f t="shared" si="4"/>
        <v>29.645101663585951</v>
      </c>
      <c r="JF5" s="7"/>
      <c r="JG5" s="7">
        <f t="shared" si="4"/>
        <v>22.523529411764706</v>
      </c>
      <c r="JH5" s="7">
        <f t="shared" si="4"/>
        <v>19.967821782178223</v>
      </c>
      <c r="JI5" s="7">
        <f t="shared" si="4"/>
        <v>23.831365935919056</v>
      </c>
      <c r="JJ5" s="7">
        <f t="shared" si="4"/>
        <v>23.31297709923664</v>
      </c>
      <c r="JK5" s="7">
        <f t="shared" ref="JK5:LV5" si="5">+JK4/JK3</f>
        <v>25.814077814077809</v>
      </c>
      <c r="JL5" s="7">
        <f t="shared" si="5"/>
        <v>30.438356164383563</v>
      </c>
      <c r="JM5" s="7"/>
      <c r="JN5" s="7">
        <f t="shared" si="5"/>
        <v>27.604172238566459</v>
      </c>
      <c r="JO5" s="7">
        <f t="shared" si="5"/>
        <v>20.580275229357802</v>
      </c>
      <c r="JP5" s="7">
        <f t="shared" si="5"/>
        <v>28.950811228431622</v>
      </c>
      <c r="JQ5" s="7">
        <f t="shared" si="5"/>
        <v>27.509723643807568</v>
      </c>
      <c r="JR5" s="7">
        <f t="shared" si="5"/>
        <v>26.566744730679158</v>
      </c>
      <c r="JS5" s="7">
        <f t="shared" si="5"/>
        <v>35.135398538113478</v>
      </c>
      <c r="JT5" s="7"/>
      <c r="JU5" s="7">
        <f t="shared" si="5"/>
        <v>24.343027591349738</v>
      </c>
      <c r="JV5" s="7">
        <f t="shared" si="5"/>
        <v>19.259661955125036</v>
      </c>
      <c r="JW5" s="7">
        <f t="shared" si="5"/>
        <v>22.768182923862806</v>
      </c>
      <c r="JX5" s="7">
        <f t="shared" si="5"/>
        <v>28.035315502466894</v>
      </c>
      <c r="JY5" s="7">
        <f t="shared" si="5"/>
        <v>24.510774142059059</v>
      </c>
      <c r="JZ5" s="7">
        <f t="shared" si="5"/>
        <v>37.450704225352112</v>
      </c>
      <c r="KA5" s="7"/>
      <c r="KB5" s="7">
        <f t="shared" si="5"/>
        <v>22.571755550469213</v>
      </c>
      <c r="KC5" s="7">
        <f t="shared" si="5"/>
        <v>17.666822211852544</v>
      </c>
      <c r="KD5" s="7">
        <f t="shared" si="5"/>
        <v>25.030149597238207</v>
      </c>
      <c r="KE5" s="7">
        <f t="shared" si="5"/>
        <v>24.459262737731862</v>
      </c>
      <c r="KF5" s="7">
        <f t="shared" si="5"/>
        <v>23.84144645340751</v>
      </c>
      <c r="KG5" s="7">
        <f t="shared" si="5"/>
        <v>25.41449275362319</v>
      </c>
      <c r="KH5" s="7"/>
      <c r="KI5" s="7">
        <f t="shared" si="5"/>
        <v>22.780386999812134</v>
      </c>
      <c r="KJ5" s="7">
        <f t="shared" si="5"/>
        <v>14.37146795313577</v>
      </c>
      <c r="KK5" s="7">
        <f t="shared" si="5"/>
        <v>21.246771625685479</v>
      </c>
      <c r="KL5" s="7">
        <f t="shared" si="5"/>
        <v>21.066351511058588</v>
      </c>
      <c r="KM5" s="7">
        <f t="shared" si="5"/>
        <v>20.134199134199132</v>
      </c>
      <c r="KN5" s="7">
        <f t="shared" si="5"/>
        <v>24.694533762057873</v>
      </c>
      <c r="KO5" s="7"/>
      <c r="KP5" s="7">
        <f t="shared" si="5"/>
        <v>31.514666666666667</v>
      </c>
      <c r="KQ5" s="7">
        <f t="shared" si="5"/>
        <v>22.822888283378749</v>
      </c>
      <c r="KR5" s="7">
        <f t="shared" si="5"/>
        <v>6.5823627287853581</v>
      </c>
      <c r="KS5" s="7">
        <f t="shared" si="5"/>
        <v>25.849698299506308</v>
      </c>
      <c r="KT5" s="7">
        <f t="shared" si="5"/>
        <v>24.184149184149188</v>
      </c>
      <c r="KU5" s="7">
        <f t="shared" si="5"/>
        <v>30.645687645687644</v>
      </c>
      <c r="KV5" s="7"/>
      <c r="KW5" s="7">
        <f t="shared" si="5"/>
        <v>26.258132214060858</v>
      </c>
      <c r="KX5" s="7">
        <f t="shared" si="5"/>
        <v>13.911413969335603</v>
      </c>
      <c r="KY5" s="7">
        <f t="shared" si="5"/>
        <v>22.733295901179112</v>
      </c>
      <c r="KZ5" s="7">
        <f t="shared" si="5"/>
        <v>29.485251069578926</v>
      </c>
      <c r="LA5" s="7">
        <f t="shared" si="5"/>
        <v>25.082296650717701</v>
      </c>
      <c r="LB5" s="7">
        <f t="shared" si="5"/>
        <v>41.389432485322899</v>
      </c>
      <c r="LC5" s="7"/>
      <c r="LD5" s="7">
        <f t="shared" si="5"/>
        <v>35.547169811320757</v>
      </c>
      <c r="LE5" s="7">
        <f t="shared" si="5"/>
        <v>19.28617021276596</v>
      </c>
      <c r="LF5" s="7">
        <f t="shared" si="5"/>
        <v>27.610353465070975</v>
      </c>
      <c r="LG5" s="7">
        <f t="shared" si="5"/>
        <v>29.058295964125566</v>
      </c>
      <c r="LH5" s="7">
        <f t="shared" si="5"/>
        <v>29.650775080432879</v>
      </c>
      <c r="LI5" s="7">
        <f t="shared" si="5"/>
        <v>42.85933503836317</v>
      </c>
      <c r="LJ5" s="7"/>
      <c r="LK5" s="7">
        <f t="shared" si="5"/>
        <v>28.791878172588831</v>
      </c>
      <c r="LL5" s="7">
        <f t="shared" si="5"/>
        <v>16.603058367434851</v>
      </c>
      <c r="LM5" s="7">
        <f t="shared" si="5"/>
        <v>23.96789102408173</v>
      </c>
      <c r="LN5" s="7">
        <f t="shared" si="5"/>
        <v>27.79783011378672</v>
      </c>
      <c r="LO5" s="7">
        <f t="shared" si="5"/>
        <v>27.091570988518619</v>
      </c>
      <c r="LP5" s="7">
        <f t="shared" si="5"/>
        <v>40.014251781472687</v>
      </c>
      <c r="LQ5" s="7"/>
      <c r="LR5" s="7">
        <f t="shared" si="5"/>
        <v>33.977132805628848</v>
      </c>
      <c r="LS5" s="7">
        <f t="shared" si="5"/>
        <v>17.888857224280425</v>
      </c>
      <c r="LT5" s="7">
        <f t="shared" si="5"/>
        <v>21.763763246316881</v>
      </c>
      <c r="LU5" s="7">
        <f t="shared" si="5"/>
        <v>26.167283493708364</v>
      </c>
      <c r="LV5" s="7">
        <f t="shared" si="5"/>
        <v>27.958835636577476</v>
      </c>
      <c r="LW5" s="7">
        <f t="shared" ref="LW5:NC5" si="6">+LW4/LW3</f>
        <v>45.668016194331997</v>
      </c>
      <c r="LX5" s="7"/>
      <c r="LY5" s="7">
        <f t="shared" si="6"/>
        <v>27.510743801652893</v>
      </c>
      <c r="LZ5" s="7">
        <f t="shared" si="6"/>
        <v>10.584848484848484</v>
      </c>
      <c r="MA5" s="7">
        <f t="shared" si="6"/>
        <v>28.235562310030396</v>
      </c>
      <c r="MB5" s="7">
        <f t="shared" si="6"/>
        <v>20.722980062959078</v>
      </c>
      <c r="MC5" s="7">
        <f t="shared" si="6"/>
        <v>29.009803921568629</v>
      </c>
      <c r="MD5" s="7">
        <f t="shared" si="6"/>
        <v>44.555382215288603</v>
      </c>
      <c r="ME5" s="7"/>
      <c r="MF5" s="7">
        <f t="shared" si="6"/>
        <v>30.680033416875521</v>
      </c>
      <c r="MG5" s="7">
        <f t="shared" si="6"/>
        <v>16.812621090506504</v>
      </c>
      <c r="MH5" s="7">
        <f t="shared" si="6"/>
        <v>27.05263157894737</v>
      </c>
      <c r="MI5" s="7">
        <f t="shared" si="6"/>
        <v>26.272027373823782</v>
      </c>
      <c r="MJ5" s="7">
        <f t="shared" si="6"/>
        <v>27.458295964125561</v>
      </c>
      <c r="MK5" s="7">
        <f t="shared" si="6"/>
        <v>43.815750371471026</v>
      </c>
      <c r="ML5" s="7"/>
      <c r="MM5" s="7">
        <f t="shared" si="6"/>
        <v>40.814695456010313</v>
      </c>
      <c r="MN5" s="7">
        <f t="shared" si="6"/>
        <v>19.924794359576968</v>
      </c>
      <c r="MO5" s="7">
        <f t="shared" si="6"/>
        <v>20.64313020013492</v>
      </c>
      <c r="MP5" s="7">
        <f t="shared" si="6"/>
        <v>29.138477261113952</v>
      </c>
      <c r="MQ5" s="7">
        <f t="shared" si="6"/>
        <v>24.440191387559807</v>
      </c>
      <c r="MR5" s="7">
        <f t="shared" si="6"/>
        <v>49.984447900466563</v>
      </c>
      <c r="MS5" s="7"/>
      <c r="MT5" s="7">
        <f t="shared" si="6"/>
        <v>24.109169260234616</v>
      </c>
      <c r="MU5" s="7">
        <f t="shared" si="6"/>
        <v>12.088296160036791</v>
      </c>
      <c r="MV5" s="7">
        <f t="shared" si="6"/>
        <v>19.930339138405134</v>
      </c>
      <c r="MW5" s="7">
        <f t="shared" si="6"/>
        <v>19.27872763419483</v>
      </c>
      <c r="MX5" s="7">
        <f t="shared" si="6"/>
        <v>21.756983240223462</v>
      </c>
      <c r="MY5" s="7">
        <f t="shared" si="6"/>
        <v>34.187654320987654</v>
      </c>
      <c r="MZ5" s="7"/>
      <c r="NA5" s="7">
        <f t="shared" si="6"/>
        <v>10.095710389288371</v>
      </c>
      <c r="NB5" s="7">
        <f t="shared" si="6"/>
        <v>11.439560439560442</v>
      </c>
      <c r="NC5" s="7">
        <f t="shared" si="6"/>
        <v>28.948021722265324</v>
      </c>
    </row>
    <row r="6" spans="1:371">
      <c r="DI6" s="8"/>
      <c r="DJ6" s="8"/>
      <c r="DK6" s="8"/>
      <c r="DM6" s="8"/>
      <c r="DN6" s="8"/>
      <c r="DO6" s="8"/>
      <c r="DP6" s="8"/>
      <c r="GO6" s="36"/>
      <c r="GP6" s="36"/>
      <c r="GQ6" s="36"/>
      <c r="GR6" s="36"/>
      <c r="GS6" s="36"/>
      <c r="GT6" s="36"/>
      <c r="HQ6" s="36"/>
      <c r="IE6" s="36"/>
      <c r="MF6" s="36"/>
      <c r="MG6" s="36"/>
      <c r="MH6" s="36"/>
      <c r="MI6" s="36"/>
      <c r="MJ6" s="36"/>
      <c r="MK6" s="36"/>
      <c r="MM6" s="36"/>
      <c r="MT6" s="36"/>
    </row>
    <row r="7" spans="1:371">
      <c r="A7" s="10" t="s">
        <v>57</v>
      </c>
      <c r="B7" s="10" t="s">
        <v>56</v>
      </c>
      <c r="C7" s="11">
        <v>46023</v>
      </c>
      <c r="D7" s="11">
        <f>+C7+1</f>
        <v>46024</v>
      </c>
      <c r="E7" s="11">
        <f t="shared" ref="E7:BP7" si="7">+D7+1</f>
        <v>46025</v>
      </c>
      <c r="F7" s="11">
        <f t="shared" si="7"/>
        <v>46026</v>
      </c>
      <c r="G7" s="11">
        <f t="shared" si="7"/>
        <v>46027</v>
      </c>
      <c r="H7" s="11">
        <f t="shared" si="7"/>
        <v>46028</v>
      </c>
      <c r="I7" s="11">
        <f t="shared" si="7"/>
        <v>46029</v>
      </c>
      <c r="J7" s="11">
        <f t="shared" si="7"/>
        <v>46030</v>
      </c>
      <c r="K7" s="11">
        <f t="shared" si="7"/>
        <v>46031</v>
      </c>
      <c r="L7" s="11">
        <f t="shared" si="7"/>
        <v>46032</v>
      </c>
      <c r="M7" s="11">
        <f t="shared" si="7"/>
        <v>46033</v>
      </c>
      <c r="N7" s="11">
        <f t="shared" si="7"/>
        <v>46034</v>
      </c>
      <c r="O7" s="11">
        <f t="shared" si="7"/>
        <v>46035</v>
      </c>
      <c r="P7" s="11">
        <f t="shared" si="7"/>
        <v>46036</v>
      </c>
      <c r="Q7" s="11">
        <f t="shared" si="7"/>
        <v>46037</v>
      </c>
      <c r="R7" s="11">
        <f t="shared" si="7"/>
        <v>46038</v>
      </c>
      <c r="S7" s="11">
        <f t="shared" si="7"/>
        <v>46039</v>
      </c>
      <c r="T7" s="11">
        <f t="shared" si="7"/>
        <v>46040</v>
      </c>
      <c r="U7" s="11">
        <f t="shared" si="7"/>
        <v>46041</v>
      </c>
      <c r="V7" s="11">
        <f t="shared" si="7"/>
        <v>46042</v>
      </c>
      <c r="W7" s="11">
        <f t="shared" si="7"/>
        <v>46043</v>
      </c>
      <c r="X7" s="11">
        <f t="shared" si="7"/>
        <v>46044</v>
      </c>
      <c r="Y7" s="11">
        <f t="shared" si="7"/>
        <v>46045</v>
      </c>
      <c r="Z7" s="11">
        <f t="shared" si="7"/>
        <v>46046</v>
      </c>
      <c r="AA7" s="11">
        <f t="shared" si="7"/>
        <v>46047</v>
      </c>
      <c r="AB7" s="11">
        <f t="shared" si="7"/>
        <v>46048</v>
      </c>
      <c r="AC7" s="11">
        <f t="shared" si="7"/>
        <v>46049</v>
      </c>
      <c r="AD7" s="11">
        <f t="shared" si="7"/>
        <v>46050</v>
      </c>
      <c r="AE7" s="11">
        <f t="shared" si="7"/>
        <v>46051</v>
      </c>
      <c r="AF7" s="11">
        <f t="shared" si="7"/>
        <v>46052</v>
      </c>
      <c r="AG7" s="11">
        <f t="shared" si="7"/>
        <v>46053</v>
      </c>
      <c r="AH7" s="11">
        <f t="shared" si="7"/>
        <v>46054</v>
      </c>
      <c r="AI7" s="11">
        <f t="shared" si="7"/>
        <v>46055</v>
      </c>
      <c r="AJ7" s="11">
        <f t="shared" si="7"/>
        <v>46056</v>
      </c>
      <c r="AK7" s="11">
        <f t="shared" si="7"/>
        <v>46057</v>
      </c>
      <c r="AL7" s="11">
        <f t="shared" si="7"/>
        <v>46058</v>
      </c>
      <c r="AM7" s="11">
        <f t="shared" si="7"/>
        <v>46059</v>
      </c>
      <c r="AN7" s="11">
        <f t="shared" si="7"/>
        <v>46060</v>
      </c>
      <c r="AO7" s="11">
        <f t="shared" si="7"/>
        <v>46061</v>
      </c>
      <c r="AP7" s="11">
        <f t="shared" si="7"/>
        <v>46062</v>
      </c>
      <c r="AQ7" s="11">
        <f t="shared" si="7"/>
        <v>46063</v>
      </c>
      <c r="AR7" s="11">
        <f t="shared" si="7"/>
        <v>46064</v>
      </c>
      <c r="AS7" s="11">
        <f t="shared" si="7"/>
        <v>46065</v>
      </c>
      <c r="AT7" s="11">
        <f t="shared" si="7"/>
        <v>46066</v>
      </c>
      <c r="AU7" s="11">
        <f t="shared" si="7"/>
        <v>46067</v>
      </c>
      <c r="AV7" s="11">
        <f t="shared" si="7"/>
        <v>46068</v>
      </c>
      <c r="AW7" s="11">
        <f t="shared" si="7"/>
        <v>46069</v>
      </c>
      <c r="AX7" s="11">
        <f t="shared" si="7"/>
        <v>46070</v>
      </c>
      <c r="AY7" s="11">
        <f t="shared" si="7"/>
        <v>46071</v>
      </c>
      <c r="AZ7" s="11">
        <f t="shared" si="7"/>
        <v>46072</v>
      </c>
      <c r="BA7" s="11">
        <f t="shared" si="7"/>
        <v>46073</v>
      </c>
      <c r="BB7" s="11">
        <f t="shared" si="7"/>
        <v>46074</v>
      </c>
      <c r="BC7" s="11">
        <f t="shared" si="7"/>
        <v>46075</v>
      </c>
      <c r="BD7" s="11">
        <f t="shared" si="7"/>
        <v>46076</v>
      </c>
      <c r="BE7" s="11">
        <f t="shared" si="7"/>
        <v>46077</v>
      </c>
      <c r="BF7" s="11">
        <f t="shared" si="7"/>
        <v>46078</v>
      </c>
      <c r="BG7" s="11">
        <f t="shared" si="7"/>
        <v>46079</v>
      </c>
      <c r="BH7" s="11">
        <f t="shared" si="7"/>
        <v>46080</v>
      </c>
      <c r="BI7" s="11">
        <f t="shared" si="7"/>
        <v>46081</v>
      </c>
      <c r="BJ7" s="11">
        <f t="shared" si="7"/>
        <v>46082</v>
      </c>
      <c r="BK7" s="11">
        <f t="shared" si="7"/>
        <v>46083</v>
      </c>
      <c r="BL7" s="11">
        <f t="shared" si="7"/>
        <v>46084</v>
      </c>
      <c r="BM7" s="11">
        <f t="shared" si="7"/>
        <v>46085</v>
      </c>
      <c r="BN7" s="11">
        <f t="shared" si="7"/>
        <v>46086</v>
      </c>
      <c r="BO7" s="11">
        <f t="shared" si="7"/>
        <v>46087</v>
      </c>
      <c r="BP7" s="11">
        <f t="shared" si="7"/>
        <v>46088</v>
      </c>
      <c r="BQ7" s="11">
        <f t="shared" ref="BQ7:EB7" si="8">+BP7+1</f>
        <v>46089</v>
      </c>
      <c r="BR7" s="11">
        <f t="shared" si="8"/>
        <v>46090</v>
      </c>
      <c r="BS7" s="11">
        <f t="shared" si="8"/>
        <v>46091</v>
      </c>
      <c r="BT7" s="11">
        <f t="shared" si="8"/>
        <v>46092</v>
      </c>
      <c r="BU7" s="11">
        <f t="shared" si="8"/>
        <v>46093</v>
      </c>
      <c r="BV7" s="11">
        <f t="shared" si="8"/>
        <v>46094</v>
      </c>
      <c r="BW7" s="11">
        <f t="shared" si="8"/>
        <v>46095</v>
      </c>
      <c r="BX7" s="11">
        <f t="shared" si="8"/>
        <v>46096</v>
      </c>
      <c r="BY7" s="11">
        <f t="shared" si="8"/>
        <v>46097</v>
      </c>
      <c r="BZ7" s="11">
        <f t="shared" si="8"/>
        <v>46098</v>
      </c>
      <c r="CA7" s="11">
        <f t="shared" si="8"/>
        <v>46099</v>
      </c>
      <c r="CB7" s="11">
        <f t="shared" si="8"/>
        <v>46100</v>
      </c>
      <c r="CC7" s="11">
        <f t="shared" si="8"/>
        <v>46101</v>
      </c>
      <c r="CD7" s="11">
        <f t="shared" si="8"/>
        <v>46102</v>
      </c>
      <c r="CE7" s="11">
        <f t="shared" si="8"/>
        <v>46103</v>
      </c>
      <c r="CF7" s="11">
        <f t="shared" si="8"/>
        <v>46104</v>
      </c>
      <c r="CG7" s="11">
        <f t="shared" si="8"/>
        <v>46105</v>
      </c>
      <c r="CH7" s="11">
        <f t="shared" si="8"/>
        <v>46106</v>
      </c>
      <c r="CI7" s="11">
        <f t="shared" si="8"/>
        <v>46107</v>
      </c>
      <c r="CJ7" s="11">
        <f t="shared" si="8"/>
        <v>46108</v>
      </c>
      <c r="CK7" s="11">
        <f t="shared" si="8"/>
        <v>46109</v>
      </c>
      <c r="CL7" s="11">
        <f t="shared" si="8"/>
        <v>46110</v>
      </c>
      <c r="CM7" s="11">
        <f t="shared" si="8"/>
        <v>46111</v>
      </c>
      <c r="CN7" s="11">
        <f t="shared" si="8"/>
        <v>46112</v>
      </c>
      <c r="CO7" s="11">
        <f t="shared" si="8"/>
        <v>46113</v>
      </c>
      <c r="CP7" s="11">
        <f t="shared" si="8"/>
        <v>46114</v>
      </c>
      <c r="CQ7" s="11">
        <f t="shared" si="8"/>
        <v>46115</v>
      </c>
      <c r="CR7" s="11">
        <f t="shared" si="8"/>
        <v>46116</v>
      </c>
      <c r="CS7" s="11">
        <f t="shared" si="8"/>
        <v>46117</v>
      </c>
      <c r="CT7" s="11">
        <f t="shared" si="8"/>
        <v>46118</v>
      </c>
      <c r="CU7" s="11">
        <f t="shared" si="8"/>
        <v>46119</v>
      </c>
      <c r="CV7" s="11">
        <f t="shared" si="8"/>
        <v>46120</v>
      </c>
      <c r="CW7" s="11">
        <f t="shared" si="8"/>
        <v>46121</v>
      </c>
      <c r="CX7" s="11">
        <f t="shared" si="8"/>
        <v>46122</v>
      </c>
      <c r="CY7" s="11">
        <f t="shared" si="8"/>
        <v>46123</v>
      </c>
      <c r="CZ7" s="11">
        <f t="shared" si="8"/>
        <v>46124</v>
      </c>
      <c r="DA7" s="11">
        <f t="shared" si="8"/>
        <v>46125</v>
      </c>
      <c r="DB7" s="11">
        <f t="shared" si="8"/>
        <v>46126</v>
      </c>
      <c r="DC7" s="11">
        <f t="shared" si="8"/>
        <v>46127</v>
      </c>
      <c r="DD7" s="11">
        <f t="shared" si="8"/>
        <v>46128</v>
      </c>
      <c r="DE7" s="11">
        <f t="shared" si="8"/>
        <v>46129</v>
      </c>
      <c r="DF7" s="11">
        <f t="shared" si="8"/>
        <v>46130</v>
      </c>
      <c r="DG7" s="11">
        <f t="shared" si="8"/>
        <v>46131</v>
      </c>
      <c r="DH7" s="11">
        <f t="shared" si="8"/>
        <v>46132</v>
      </c>
      <c r="DI7" s="11">
        <f t="shared" si="8"/>
        <v>46133</v>
      </c>
      <c r="DJ7" s="11">
        <f t="shared" si="8"/>
        <v>46134</v>
      </c>
      <c r="DK7" s="11">
        <f t="shared" si="8"/>
        <v>46135</v>
      </c>
      <c r="DL7" s="11">
        <f t="shared" si="8"/>
        <v>46136</v>
      </c>
      <c r="DM7" s="11">
        <f t="shared" si="8"/>
        <v>46137</v>
      </c>
      <c r="DN7" s="11">
        <f t="shared" si="8"/>
        <v>46138</v>
      </c>
      <c r="DO7" s="11">
        <f t="shared" si="8"/>
        <v>46139</v>
      </c>
      <c r="DP7" s="11">
        <f t="shared" si="8"/>
        <v>46140</v>
      </c>
      <c r="DQ7" s="11">
        <f t="shared" si="8"/>
        <v>46141</v>
      </c>
      <c r="DR7" s="11">
        <f t="shared" si="8"/>
        <v>46142</v>
      </c>
      <c r="DS7" s="11">
        <f t="shared" si="8"/>
        <v>46143</v>
      </c>
      <c r="DT7" s="11">
        <f t="shared" si="8"/>
        <v>46144</v>
      </c>
      <c r="DU7" s="11">
        <f t="shared" si="8"/>
        <v>46145</v>
      </c>
      <c r="DV7" s="11">
        <f t="shared" si="8"/>
        <v>46146</v>
      </c>
      <c r="DW7" s="11">
        <f t="shared" si="8"/>
        <v>46147</v>
      </c>
      <c r="DX7" s="11">
        <f t="shared" si="8"/>
        <v>46148</v>
      </c>
      <c r="DY7" s="11">
        <f t="shared" si="8"/>
        <v>46149</v>
      </c>
      <c r="DZ7" s="11">
        <f t="shared" si="8"/>
        <v>46150</v>
      </c>
      <c r="EA7" s="11">
        <f t="shared" si="8"/>
        <v>46151</v>
      </c>
      <c r="EB7" s="11">
        <f t="shared" si="8"/>
        <v>46152</v>
      </c>
      <c r="EC7" s="11">
        <f t="shared" ref="EC7:GN7" si="9">+EB7+1</f>
        <v>46153</v>
      </c>
      <c r="ED7" s="11">
        <f t="shared" si="9"/>
        <v>46154</v>
      </c>
      <c r="EE7" s="11">
        <f t="shared" si="9"/>
        <v>46155</v>
      </c>
      <c r="EF7" s="11">
        <f t="shared" si="9"/>
        <v>46156</v>
      </c>
      <c r="EG7" s="11">
        <f t="shared" si="9"/>
        <v>46157</v>
      </c>
      <c r="EH7" s="11">
        <f t="shared" si="9"/>
        <v>46158</v>
      </c>
      <c r="EI7" s="11">
        <f t="shared" si="9"/>
        <v>46159</v>
      </c>
      <c r="EJ7" s="11">
        <f t="shared" si="9"/>
        <v>46160</v>
      </c>
      <c r="EK7" s="11">
        <f t="shared" si="9"/>
        <v>46161</v>
      </c>
      <c r="EL7" s="11">
        <f t="shared" si="9"/>
        <v>46162</v>
      </c>
      <c r="EM7" s="11">
        <f t="shared" si="9"/>
        <v>46163</v>
      </c>
      <c r="EN7" s="11">
        <f t="shared" si="9"/>
        <v>46164</v>
      </c>
      <c r="EO7" s="11">
        <f t="shared" si="9"/>
        <v>46165</v>
      </c>
      <c r="EP7" s="11">
        <f t="shared" si="9"/>
        <v>46166</v>
      </c>
      <c r="EQ7" s="11">
        <f t="shared" si="9"/>
        <v>46167</v>
      </c>
      <c r="ER7" s="11">
        <f t="shared" si="9"/>
        <v>46168</v>
      </c>
      <c r="ES7" s="11">
        <f t="shared" si="9"/>
        <v>46169</v>
      </c>
      <c r="ET7" s="11">
        <f t="shared" si="9"/>
        <v>46170</v>
      </c>
      <c r="EU7" s="11">
        <f t="shared" si="9"/>
        <v>46171</v>
      </c>
      <c r="EV7" s="11">
        <f t="shared" si="9"/>
        <v>46172</v>
      </c>
      <c r="EW7" s="11">
        <f t="shared" si="9"/>
        <v>46173</v>
      </c>
      <c r="EX7" s="11">
        <f t="shared" si="9"/>
        <v>46174</v>
      </c>
      <c r="EY7" s="11">
        <f t="shared" si="9"/>
        <v>46175</v>
      </c>
      <c r="EZ7" s="11">
        <f t="shared" si="9"/>
        <v>46176</v>
      </c>
      <c r="FA7" s="11">
        <f t="shared" si="9"/>
        <v>46177</v>
      </c>
      <c r="FB7" s="11">
        <f t="shared" si="9"/>
        <v>46178</v>
      </c>
      <c r="FC7" s="11">
        <f t="shared" si="9"/>
        <v>46179</v>
      </c>
      <c r="FD7" s="11">
        <f t="shared" si="9"/>
        <v>46180</v>
      </c>
      <c r="FE7" s="11">
        <f t="shared" si="9"/>
        <v>46181</v>
      </c>
      <c r="FF7" s="11">
        <f t="shared" si="9"/>
        <v>46182</v>
      </c>
      <c r="FG7" s="11">
        <f t="shared" si="9"/>
        <v>46183</v>
      </c>
      <c r="FH7" s="11">
        <f t="shared" si="9"/>
        <v>46184</v>
      </c>
      <c r="FI7" s="11">
        <f t="shared" si="9"/>
        <v>46185</v>
      </c>
      <c r="FJ7" s="11">
        <f t="shared" si="9"/>
        <v>46186</v>
      </c>
      <c r="FK7" s="11">
        <f t="shared" si="9"/>
        <v>46187</v>
      </c>
      <c r="FL7" s="11">
        <f t="shared" si="9"/>
        <v>46188</v>
      </c>
      <c r="FM7" s="11">
        <f t="shared" si="9"/>
        <v>46189</v>
      </c>
      <c r="FN7" s="11">
        <f t="shared" si="9"/>
        <v>46190</v>
      </c>
      <c r="FO7" s="11">
        <f t="shared" si="9"/>
        <v>46191</v>
      </c>
      <c r="FP7" s="11">
        <f t="shared" si="9"/>
        <v>46192</v>
      </c>
      <c r="FQ7" s="11">
        <f t="shared" si="9"/>
        <v>46193</v>
      </c>
      <c r="FR7" s="11">
        <f t="shared" si="9"/>
        <v>46194</v>
      </c>
      <c r="FS7" s="11">
        <f t="shared" si="9"/>
        <v>46195</v>
      </c>
      <c r="FT7" s="11">
        <f t="shared" si="9"/>
        <v>46196</v>
      </c>
      <c r="FU7" s="11">
        <f t="shared" si="9"/>
        <v>46197</v>
      </c>
      <c r="FV7" s="11">
        <f t="shared" si="9"/>
        <v>46198</v>
      </c>
      <c r="FW7" s="11">
        <f t="shared" si="9"/>
        <v>46199</v>
      </c>
      <c r="FX7" s="11">
        <f t="shared" si="9"/>
        <v>46200</v>
      </c>
      <c r="FY7" s="11">
        <f t="shared" si="9"/>
        <v>46201</v>
      </c>
      <c r="FZ7" s="11">
        <f t="shared" si="9"/>
        <v>46202</v>
      </c>
      <c r="GA7" s="11">
        <f t="shared" si="9"/>
        <v>46203</v>
      </c>
      <c r="GB7" s="11">
        <f t="shared" si="9"/>
        <v>46204</v>
      </c>
      <c r="GC7" s="11">
        <f t="shared" si="9"/>
        <v>46205</v>
      </c>
      <c r="GD7" s="11">
        <f t="shared" si="9"/>
        <v>46206</v>
      </c>
      <c r="GE7" s="11">
        <f t="shared" si="9"/>
        <v>46207</v>
      </c>
      <c r="GF7" s="11">
        <f t="shared" si="9"/>
        <v>46208</v>
      </c>
      <c r="GG7" s="11">
        <f t="shared" si="9"/>
        <v>46209</v>
      </c>
      <c r="GH7" s="11">
        <f t="shared" si="9"/>
        <v>46210</v>
      </c>
      <c r="GI7" s="11">
        <f t="shared" si="9"/>
        <v>46211</v>
      </c>
      <c r="GJ7" s="11">
        <f t="shared" si="9"/>
        <v>46212</v>
      </c>
      <c r="GK7" s="11">
        <f t="shared" si="9"/>
        <v>46213</v>
      </c>
      <c r="GL7" s="11">
        <f t="shared" si="9"/>
        <v>46214</v>
      </c>
      <c r="GM7" s="11">
        <f t="shared" si="9"/>
        <v>46215</v>
      </c>
      <c r="GN7" s="11">
        <f t="shared" si="9"/>
        <v>46216</v>
      </c>
      <c r="GO7" s="11">
        <f t="shared" ref="GO7:IZ7" si="10">+GN7+1</f>
        <v>46217</v>
      </c>
      <c r="GP7" s="11">
        <f t="shared" si="10"/>
        <v>46218</v>
      </c>
      <c r="GQ7" s="11">
        <f t="shared" si="10"/>
        <v>46219</v>
      </c>
      <c r="GR7" s="11">
        <f t="shared" si="10"/>
        <v>46220</v>
      </c>
      <c r="GS7" s="11">
        <f t="shared" si="10"/>
        <v>46221</v>
      </c>
      <c r="GT7" s="11">
        <f t="shared" si="10"/>
        <v>46222</v>
      </c>
      <c r="GU7" s="11">
        <f t="shared" si="10"/>
        <v>46223</v>
      </c>
      <c r="GV7" s="11">
        <f t="shared" si="10"/>
        <v>46224</v>
      </c>
      <c r="GW7" s="11">
        <f t="shared" si="10"/>
        <v>46225</v>
      </c>
      <c r="GX7" s="11">
        <f t="shared" si="10"/>
        <v>46226</v>
      </c>
      <c r="GY7" s="11">
        <f t="shared" si="10"/>
        <v>46227</v>
      </c>
      <c r="GZ7" s="11">
        <f t="shared" si="10"/>
        <v>46228</v>
      </c>
      <c r="HA7" s="11">
        <f t="shared" si="10"/>
        <v>46229</v>
      </c>
      <c r="HB7" s="11">
        <f t="shared" si="10"/>
        <v>46230</v>
      </c>
      <c r="HC7" s="11">
        <f t="shared" si="10"/>
        <v>46231</v>
      </c>
      <c r="HD7" s="11">
        <f t="shared" si="10"/>
        <v>46232</v>
      </c>
      <c r="HE7" s="11">
        <f t="shared" si="10"/>
        <v>46233</v>
      </c>
      <c r="HF7" s="11">
        <f t="shared" si="10"/>
        <v>46234</v>
      </c>
      <c r="HG7" s="11">
        <f t="shared" si="10"/>
        <v>46235</v>
      </c>
      <c r="HH7" s="11">
        <f t="shared" si="10"/>
        <v>46236</v>
      </c>
      <c r="HI7" s="11">
        <f t="shared" si="10"/>
        <v>46237</v>
      </c>
      <c r="HJ7" s="11">
        <f t="shared" si="10"/>
        <v>46238</v>
      </c>
      <c r="HK7" s="11">
        <f t="shared" si="10"/>
        <v>46239</v>
      </c>
      <c r="HL7" s="11">
        <f t="shared" si="10"/>
        <v>46240</v>
      </c>
      <c r="HM7" s="11">
        <f t="shared" si="10"/>
        <v>46241</v>
      </c>
      <c r="HN7" s="11">
        <f t="shared" si="10"/>
        <v>46242</v>
      </c>
      <c r="HO7" s="11">
        <f t="shared" si="10"/>
        <v>46243</v>
      </c>
      <c r="HP7" s="11">
        <f t="shared" si="10"/>
        <v>46244</v>
      </c>
      <c r="HQ7" s="11">
        <f t="shared" si="10"/>
        <v>46245</v>
      </c>
      <c r="HR7" s="11">
        <f t="shared" si="10"/>
        <v>46246</v>
      </c>
      <c r="HS7" s="11">
        <f t="shared" si="10"/>
        <v>46247</v>
      </c>
      <c r="HT7" s="11">
        <f t="shared" si="10"/>
        <v>46248</v>
      </c>
      <c r="HU7" s="11">
        <f t="shared" si="10"/>
        <v>46249</v>
      </c>
      <c r="HV7" s="11">
        <f t="shared" si="10"/>
        <v>46250</v>
      </c>
      <c r="HW7" s="11">
        <f t="shared" si="10"/>
        <v>46251</v>
      </c>
      <c r="HX7" s="11">
        <f t="shared" si="10"/>
        <v>46252</v>
      </c>
      <c r="HY7" s="11">
        <f t="shared" si="10"/>
        <v>46253</v>
      </c>
      <c r="HZ7" s="11">
        <f t="shared" si="10"/>
        <v>46254</v>
      </c>
      <c r="IA7" s="11">
        <f t="shared" si="10"/>
        <v>46255</v>
      </c>
      <c r="IB7" s="11">
        <f t="shared" si="10"/>
        <v>46256</v>
      </c>
      <c r="IC7" s="11">
        <f t="shared" si="10"/>
        <v>46257</v>
      </c>
      <c r="ID7" s="11">
        <f t="shared" si="10"/>
        <v>46258</v>
      </c>
      <c r="IE7" s="11">
        <f t="shared" si="10"/>
        <v>46259</v>
      </c>
      <c r="IF7" s="11">
        <f t="shared" si="10"/>
        <v>46260</v>
      </c>
      <c r="IG7" s="11">
        <f t="shared" si="10"/>
        <v>46261</v>
      </c>
      <c r="IH7" s="11">
        <f t="shared" si="10"/>
        <v>46262</v>
      </c>
      <c r="II7" s="11">
        <f t="shared" si="10"/>
        <v>46263</v>
      </c>
      <c r="IJ7" s="11">
        <f t="shared" si="10"/>
        <v>46264</v>
      </c>
      <c r="IK7" s="11">
        <f t="shared" si="10"/>
        <v>46265</v>
      </c>
      <c r="IL7" s="11">
        <f t="shared" si="10"/>
        <v>46266</v>
      </c>
      <c r="IM7" s="11">
        <f t="shared" si="10"/>
        <v>46267</v>
      </c>
      <c r="IN7" s="11">
        <f t="shared" si="10"/>
        <v>46268</v>
      </c>
      <c r="IO7" s="11">
        <f t="shared" si="10"/>
        <v>46269</v>
      </c>
      <c r="IP7" s="11">
        <f t="shared" si="10"/>
        <v>46270</v>
      </c>
      <c r="IQ7" s="11">
        <f t="shared" si="10"/>
        <v>46271</v>
      </c>
      <c r="IR7" s="11">
        <f t="shared" si="10"/>
        <v>46272</v>
      </c>
      <c r="IS7" s="11">
        <f t="shared" si="10"/>
        <v>46273</v>
      </c>
      <c r="IT7" s="11">
        <f t="shared" si="10"/>
        <v>46274</v>
      </c>
      <c r="IU7" s="11">
        <f t="shared" si="10"/>
        <v>46275</v>
      </c>
      <c r="IV7" s="11">
        <f t="shared" si="10"/>
        <v>46276</v>
      </c>
      <c r="IW7" s="11">
        <f t="shared" si="10"/>
        <v>46277</v>
      </c>
      <c r="IX7" s="11">
        <f t="shared" si="10"/>
        <v>46278</v>
      </c>
      <c r="IY7" s="11">
        <f t="shared" si="10"/>
        <v>46279</v>
      </c>
      <c r="IZ7" s="11">
        <f t="shared" si="10"/>
        <v>46280</v>
      </c>
      <c r="JA7" s="11">
        <f t="shared" ref="JA7:LL7" si="11">+IZ7+1</f>
        <v>46281</v>
      </c>
      <c r="JB7" s="11">
        <f t="shared" si="11"/>
        <v>46282</v>
      </c>
      <c r="JC7" s="11">
        <f t="shared" si="11"/>
        <v>46283</v>
      </c>
      <c r="JD7" s="11">
        <f t="shared" si="11"/>
        <v>46284</v>
      </c>
      <c r="JE7" s="11">
        <f t="shared" si="11"/>
        <v>46285</v>
      </c>
      <c r="JF7" s="11">
        <f t="shared" si="11"/>
        <v>46286</v>
      </c>
      <c r="JG7" s="11">
        <f t="shared" si="11"/>
        <v>46287</v>
      </c>
      <c r="JH7" s="11">
        <f t="shared" si="11"/>
        <v>46288</v>
      </c>
      <c r="JI7" s="11">
        <f t="shared" si="11"/>
        <v>46289</v>
      </c>
      <c r="JJ7" s="11">
        <f t="shared" si="11"/>
        <v>46290</v>
      </c>
      <c r="JK7" s="11">
        <f t="shared" si="11"/>
        <v>46291</v>
      </c>
      <c r="JL7" s="11">
        <f t="shared" si="11"/>
        <v>46292</v>
      </c>
      <c r="JM7" s="11">
        <f t="shared" si="11"/>
        <v>46293</v>
      </c>
      <c r="JN7" s="11">
        <f t="shared" si="11"/>
        <v>46294</v>
      </c>
      <c r="JO7" s="11">
        <f t="shared" si="11"/>
        <v>46295</v>
      </c>
      <c r="JP7" s="11">
        <f t="shared" si="11"/>
        <v>46296</v>
      </c>
      <c r="JQ7" s="11">
        <f t="shared" si="11"/>
        <v>46297</v>
      </c>
      <c r="JR7" s="11">
        <f t="shared" si="11"/>
        <v>46298</v>
      </c>
      <c r="JS7" s="11">
        <f t="shared" si="11"/>
        <v>46299</v>
      </c>
      <c r="JT7" s="11">
        <f t="shared" si="11"/>
        <v>46300</v>
      </c>
      <c r="JU7" s="11">
        <f t="shared" si="11"/>
        <v>46301</v>
      </c>
      <c r="JV7" s="11">
        <f t="shared" si="11"/>
        <v>46302</v>
      </c>
      <c r="JW7" s="11">
        <f t="shared" si="11"/>
        <v>46303</v>
      </c>
      <c r="JX7" s="11">
        <f t="shared" si="11"/>
        <v>46304</v>
      </c>
      <c r="JY7" s="11">
        <f t="shared" si="11"/>
        <v>46305</v>
      </c>
      <c r="JZ7" s="11">
        <f t="shared" si="11"/>
        <v>46306</v>
      </c>
      <c r="KA7" s="11">
        <f t="shared" si="11"/>
        <v>46307</v>
      </c>
      <c r="KB7" s="11">
        <f t="shared" si="11"/>
        <v>46308</v>
      </c>
      <c r="KC7" s="11">
        <f t="shared" si="11"/>
        <v>46309</v>
      </c>
      <c r="KD7" s="11">
        <f t="shared" si="11"/>
        <v>46310</v>
      </c>
      <c r="KE7" s="11">
        <f t="shared" si="11"/>
        <v>46311</v>
      </c>
      <c r="KF7" s="11">
        <f t="shared" si="11"/>
        <v>46312</v>
      </c>
      <c r="KG7" s="11">
        <f t="shared" si="11"/>
        <v>46313</v>
      </c>
      <c r="KH7" s="11">
        <f t="shared" si="11"/>
        <v>46314</v>
      </c>
      <c r="KI7" s="11">
        <f t="shared" si="11"/>
        <v>46315</v>
      </c>
      <c r="KJ7" s="11">
        <f t="shared" si="11"/>
        <v>46316</v>
      </c>
      <c r="KK7" s="11">
        <f t="shared" si="11"/>
        <v>46317</v>
      </c>
      <c r="KL7" s="11">
        <f t="shared" si="11"/>
        <v>46318</v>
      </c>
      <c r="KM7" s="11">
        <f t="shared" si="11"/>
        <v>46319</v>
      </c>
      <c r="KN7" s="11">
        <f t="shared" si="11"/>
        <v>46320</v>
      </c>
      <c r="KO7" s="11">
        <f t="shared" si="11"/>
        <v>46321</v>
      </c>
      <c r="KP7" s="11">
        <f t="shared" si="11"/>
        <v>46322</v>
      </c>
      <c r="KQ7" s="11">
        <f t="shared" si="11"/>
        <v>46323</v>
      </c>
      <c r="KR7" s="11">
        <f t="shared" si="11"/>
        <v>46324</v>
      </c>
      <c r="KS7" s="11">
        <f t="shared" si="11"/>
        <v>46325</v>
      </c>
      <c r="KT7" s="11">
        <f t="shared" si="11"/>
        <v>46326</v>
      </c>
      <c r="KU7" s="11">
        <f t="shared" si="11"/>
        <v>46327</v>
      </c>
      <c r="KV7" s="11">
        <f t="shared" si="11"/>
        <v>46328</v>
      </c>
      <c r="KW7" s="11">
        <f t="shared" si="11"/>
        <v>46329</v>
      </c>
      <c r="KX7" s="11">
        <f t="shared" si="11"/>
        <v>46330</v>
      </c>
      <c r="KY7" s="11">
        <f t="shared" si="11"/>
        <v>46331</v>
      </c>
      <c r="KZ7" s="11">
        <f t="shared" si="11"/>
        <v>46332</v>
      </c>
      <c r="LA7" s="11">
        <f t="shared" si="11"/>
        <v>46333</v>
      </c>
      <c r="LB7" s="11">
        <f t="shared" si="11"/>
        <v>46334</v>
      </c>
      <c r="LC7" s="11">
        <f t="shared" si="11"/>
        <v>46335</v>
      </c>
      <c r="LD7" s="11">
        <f t="shared" si="11"/>
        <v>46336</v>
      </c>
      <c r="LE7" s="11">
        <f t="shared" si="11"/>
        <v>46337</v>
      </c>
      <c r="LF7" s="11">
        <f t="shared" si="11"/>
        <v>46338</v>
      </c>
      <c r="LG7" s="11">
        <f t="shared" si="11"/>
        <v>46339</v>
      </c>
      <c r="LH7" s="11">
        <f t="shared" si="11"/>
        <v>46340</v>
      </c>
      <c r="LI7" s="11">
        <f t="shared" si="11"/>
        <v>46341</v>
      </c>
      <c r="LJ7" s="11">
        <f t="shared" si="11"/>
        <v>46342</v>
      </c>
      <c r="LK7" s="11">
        <f t="shared" si="11"/>
        <v>46343</v>
      </c>
      <c r="LL7" s="11">
        <f t="shared" si="11"/>
        <v>46344</v>
      </c>
      <c r="LM7" s="11">
        <f t="shared" ref="LM7:NC7" si="12">+LL7+1</f>
        <v>46345</v>
      </c>
      <c r="LN7" s="11">
        <f t="shared" si="12"/>
        <v>46346</v>
      </c>
      <c r="LO7" s="11">
        <f t="shared" si="12"/>
        <v>46347</v>
      </c>
      <c r="LP7" s="11">
        <f t="shared" si="12"/>
        <v>46348</v>
      </c>
      <c r="LQ7" s="11">
        <f t="shared" si="12"/>
        <v>46349</v>
      </c>
      <c r="LR7" s="11">
        <f t="shared" si="12"/>
        <v>46350</v>
      </c>
      <c r="LS7" s="11">
        <f t="shared" si="12"/>
        <v>46351</v>
      </c>
      <c r="LT7" s="11">
        <f t="shared" si="12"/>
        <v>46352</v>
      </c>
      <c r="LU7" s="11">
        <f t="shared" si="12"/>
        <v>46353</v>
      </c>
      <c r="LV7" s="11">
        <f t="shared" si="12"/>
        <v>46354</v>
      </c>
      <c r="LW7" s="11">
        <f t="shared" si="12"/>
        <v>46355</v>
      </c>
      <c r="LX7" s="11">
        <f t="shared" si="12"/>
        <v>46356</v>
      </c>
      <c r="LY7" s="11">
        <f t="shared" si="12"/>
        <v>46357</v>
      </c>
      <c r="LZ7" s="11">
        <f t="shared" si="12"/>
        <v>46358</v>
      </c>
      <c r="MA7" s="11">
        <f t="shared" si="12"/>
        <v>46359</v>
      </c>
      <c r="MB7" s="11">
        <f t="shared" si="12"/>
        <v>46360</v>
      </c>
      <c r="MC7" s="11">
        <f t="shared" si="12"/>
        <v>46361</v>
      </c>
      <c r="MD7" s="11">
        <f t="shared" si="12"/>
        <v>46362</v>
      </c>
      <c r="ME7" s="11">
        <f t="shared" si="12"/>
        <v>46363</v>
      </c>
      <c r="MF7" s="11">
        <f t="shared" si="12"/>
        <v>46364</v>
      </c>
      <c r="MG7" s="11">
        <f t="shared" si="12"/>
        <v>46365</v>
      </c>
      <c r="MH7" s="11">
        <f t="shared" si="12"/>
        <v>46366</v>
      </c>
      <c r="MI7" s="11">
        <f t="shared" si="12"/>
        <v>46367</v>
      </c>
      <c r="MJ7" s="11">
        <f t="shared" si="12"/>
        <v>46368</v>
      </c>
      <c r="MK7" s="11">
        <f t="shared" si="12"/>
        <v>46369</v>
      </c>
      <c r="ML7" s="11">
        <f t="shared" si="12"/>
        <v>46370</v>
      </c>
      <c r="MM7" s="11">
        <f t="shared" si="12"/>
        <v>46371</v>
      </c>
      <c r="MN7" s="11">
        <f t="shared" si="12"/>
        <v>46372</v>
      </c>
      <c r="MO7" s="11">
        <f t="shared" si="12"/>
        <v>46373</v>
      </c>
      <c r="MP7" s="11">
        <f t="shared" si="12"/>
        <v>46374</v>
      </c>
      <c r="MQ7" s="11">
        <f t="shared" si="12"/>
        <v>46375</v>
      </c>
      <c r="MR7" s="11">
        <f t="shared" si="12"/>
        <v>46376</v>
      </c>
      <c r="MS7" s="11">
        <f t="shared" si="12"/>
        <v>46377</v>
      </c>
      <c r="MT7" s="11">
        <f t="shared" si="12"/>
        <v>46378</v>
      </c>
      <c r="MU7" s="11">
        <f t="shared" si="12"/>
        <v>46379</v>
      </c>
      <c r="MV7" s="11">
        <f t="shared" si="12"/>
        <v>46380</v>
      </c>
      <c r="MW7" s="11">
        <f t="shared" si="12"/>
        <v>46381</v>
      </c>
      <c r="MX7" s="11">
        <f t="shared" si="12"/>
        <v>46382</v>
      </c>
      <c r="MY7" s="11">
        <f t="shared" si="12"/>
        <v>46383</v>
      </c>
      <c r="MZ7" s="11">
        <f t="shared" si="12"/>
        <v>46384</v>
      </c>
      <c r="NA7" s="11">
        <f t="shared" si="12"/>
        <v>46385</v>
      </c>
      <c r="NB7" s="11">
        <f t="shared" si="12"/>
        <v>46386</v>
      </c>
      <c r="NC7" s="11">
        <f t="shared" si="12"/>
        <v>46387</v>
      </c>
    </row>
    <row r="8" spans="1:371">
      <c r="A8" s="12"/>
      <c r="B8" s="12" t="s">
        <v>10</v>
      </c>
      <c r="C8" s="8" t="s">
        <v>54</v>
      </c>
      <c r="D8" s="8" t="s">
        <v>54</v>
      </c>
      <c r="E8" s="8" t="s">
        <v>54</v>
      </c>
      <c r="F8" s="8" t="s">
        <v>54</v>
      </c>
      <c r="G8" s="8" t="s">
        <v>425</v>
      </c>
      <c r="H8" s="8" t="s">
        <v>425</v>
      </c>
      <c r="I8" s="8" t="s">
        <v>425</v>
      </c>
      <c r="J8" s="8" t="s">
        <v>425</v>
      </c>
      <c r="K8" s="8" t="s">
        <v>425</v>
      </c>
      <c r="L8" s="8" t="s">
        <v>425</v>
      </c>
      <c r="M8" s="8" t="s">
        <v>425</v>
      </c>
      <c r="N8" s="32" t="s">
        <v>2</v>
      </c>
      <c r="O8" s="32" t="s">
        <v>2</v>
      </c>
      <c r="P8" s="32" t="s">
        <v>2</v>
      </c>
      <c r="Q8" s="32" t="s">
        <v>2</v>
      </c>
      <c r="R8" s="32" t="s">
        <v>2</v>
      </c>
      <c r="S8" s="32" t="s">
        <v>2</v>
      </c>
      <c r="T8" s="32" t="s">
        <v>2</v>
      </c>
      <c r="U8" s="32" t="s">
        <v>3</v>
      </c>
      <c r="V8" s="32" t="s">
        <v>3</v>
      </c>
      <c r="W8" s="32" t="s">
        <v>3</v>
      </c>
      <c r="X8" s="32" t="s">
        <v>3</v>
      </c>
      <c r="Y8" s="32" t="s">
        <v>3</v>
      </c>
      <c r="Z8" s="32" t="s">
        <v>3</v>
      </c>
      <c r="AA8" s="32" t="s">
        <v>3</v>
      </c>
      <c r="AB8" s="32" t="s">
        <v>4</v>
      </c>
      <c r="AC8" s="32" t="s">
        <v>4</v>
      </c>
      <c r="AD8" s="32" t="s">
        <v>4</v>
      </c>
      <c r="AE8" s="32" t="s">
        <v>4</v>
      </c>
      <c r="AF8" s="32" t="s">
        <v>4</v>
      </c>
      <c r="AG8" s="32" t="s">
        <v>4</v>
      </c>
      <c r="AH8" s="32" t="s">
        <v>4</v>
      </c>
      <c r="AI8" s="32" t="s">
        <v>5</v>
      </c>
      <c r="AJ8" s="32" t="s">
        <v>5</v>
      </c>
      <c r="AK8" s="32" t="s">
        <v>5</v>
      </c>
      <c r="AL8" s="32" t="s">
        <v>5</v>
      </c>
      <c r="AM8" s="32" t="s">
        <v>5</v>
      </c>
      <c r="AN8" s="32" t="s">
        <v>5</v>
      </c>
      <c r="AO8" s="32" t="s">
        <v>5</v>
      </c>
      <c r="AP8" s="32" t="s">
        <v>6</v>
      </c>
      <c r="AQ8" s="32" t="s">
        <v>6</v>
      </c>
      <c r="AR8" s="32" t="s">
        <v>6</v>
      </c>
      <c r="AS8" s="32" t="s">
        <v>6</v>
      </c>
      <c r="AT8" s="32" t="s">
        <v>6</v>
      </c>
      <c r="AU8" s="32" t="s">
        <v>6</v>
      </c>
      <c r="AV8" s="32" t="s">
        <v>6</v>
      </c>
      <c r="AW8" s="8" t="s">
        <v>7</v>
      </c>
      <c r="AX8" s="8" t="s">
        <v>7</v>
      </c>
      <c r="AY8" s="8" t="s">
        <v>7</v>
      </c>
      <c r="AZ8" s="8" t="s">
        <v>7</v>
      </c>
      <c r="BA8" s="8" t="s">
        <v>7</v>
      </c>
      <c r="BB8" s="8" t="s">
        <v>7</v>
      </c>
      <c r="BC8" s="8" t="s">
        <v>7</v>
      </c>
      <c r="BD8" s="32" t="s">
        <v>8</v>
      </c>
      <c r="BE8" s="32" t="s">
        <v>8</v>
      </c>
      <c r="BF8" s="32" t="s">
        <v>8</v>
      </c>
      <c r="BG8" s="32" t="s">
        <v>8</v>
      </c>
      <c r="BH8" s="32" t="s">
        <v>8</v>
      </c>
      <c r="BI8" s="32" t="s">
        <v>8</v>
      </c>
      <c r="BJ8" s="32" t="s">
        <v>8</v>
      </c>
      <c r="BK8" s="32" t="s">
        <v>11</v>
      </c>
      <c r="BL8" s="32" t="s">
        <v>11</v>
      </c>
      <c r="BM8" s="32" t="s">
        <v>11</v>
      </c>
      <c r="BN8" s="32" t="s">
        <v>11</v>
      </c>
      <c r="BO8" s="32" t="s">
        <v>11</v>
      </c>
      <c r="BP8" s="32" t="s">
        <v>11</v>
      </c>
      <c r="BQ8" s="32" t="s">
        <v>11</v>
      </c>
      <c r="BR8" s="32" t="s">
        <v>12</v>
      </c>
      <c r="BS8" s="32" t="s">
        <v>12</v>
      </c>
      <c r="BT8" s="32" t="s">
        <v>12</v>
      </c>
      <c r="BU8" s="32" t="s">
        <v>12</v>
      </c>
      <c r="BV8" s="32" t="s">
        <v>12</v>
      </c>
      <c r="BW8" s="32" t="s">
        <v>12</v>
      </c>
      <c r="BX8" s="32" t="s">
        <v>12</v>
      </c>
      <c r="BY8" s="32" t="s">
        <v>13</v>
      </c>
      <c r="BZ8" s="32" t="s">
        <v>13</v>
      </c>
      <c r="CA8" s="32" t="s">
        <v>13</v>
      </c>
      <c r="CB8" s="32" t="s">
        <v>13</v>
      </c>
      <c r="CC8" s="32" t="s">
        <v>13</v>
      </c>
      <c r="CD8" s="32" t="s">
        <v>13</v>
      </c>
      <c r="CE8" s="32" t="s">
        <v>13</v>
      </c>
      <c r="CF8" s="32" t="s">
        <v>14</v>
      </c>
      <c r="CG8" s="32" t="s">
        <v>14</v>
      </c>
      <c r="CH8" s="32" t="s">
        <v>14</v>
      </c>
      <c r="CI8" s="32" t="s">
        <v>14</v>
      </c>
      <c r="CJ8" s="32" t="s">
        <v>14</v>
      </c>
      <c r="CK8" s="32" t="s">
        <v>14</v>
      </c>
      <c r="CL8" s="32" t="s">
        <v>14</v>
      </c>
      <c r="CM8" s="32" t="s">
        <v>15</v>
      </c>
      <c r="CN8" s="32" t="s">
        <v>15</v>
      </c>
      <c r="CO8" s="32" t="s">
        <v>15</v>
      </c>
      <c r="CP8" s="32" t="s">
        <v>15</v>
      </c>
      <c r="CQ8" s="32" t="s">
        <v>15</v>
      </c>
      <c r="CR8" s="32" t="s">
        <v>15</v>
      </c>
      <c r="CS8" s="32" t="s">
        <v>15</v>
      </c>
      <c r="CT8" s="32" t="s">
        <v>16</v>
      </c>
      <c r="CU8" s="32" t="s">
        <v>16</v>
      </c>
      <c r="CV8" s="32" t="s">
        <v>16</v>
      </c>
      <c r="CW8" s="32" t="s">
        <v>16</v>
      </c>
      <c r="CX8" s="32" t="s">
        <v>16</v>
      </c>
      <c r="CY8" s="32" t="s">
        <v>16</v>
      </c>
      <c r="CZ8" s="32" t="s">
        <v>16</v>
      </c>
      <c r="DA8" s="32" t="s">
        <v>17</v>
      </c>
      <c r="DB8" s="32" t="s">
        <v>17</v>
      </c>
      <c r="DC8" s="32" t="s">
        <v>17</v>
      </c>
      <c r="DD8" s="32" t="s">
        <v>17</v>
      </c>
      <c r="DE8" s="32" t="s">
        <v>17</v>
      </c>
      <c r="DF8" s="32" t="s">
        <v>17</v>
      </c>
      <c r="DG8" s="32" t="s">
        <v>17</v>
      </c>
      <c r="DH8" s="32" t="s">
        <v>18</v>
      </c>
      <c r="DI8" s="32" t="s">
        <v>18</v>
      </c>
      <c r="DJ8" s="32" t="s">
        <v>18</v>
      </c>
      <c r="DK8" s="32" t="s">
        <v>18</v>
      </c>
      <c r="DL8" s="32" t="s">
        <v>18</v>
      </c>
      <c r="DM8" s="32" t="s">
        <v>18</v>
      </c>
      <c r="DN8" s="32" t="s">
        <v>18</v>
      </c>
      <c r="DO8" s="32" t="s">
        <v>19</v>
      </c>
      <c r="DP8" s="32" t="s">
        <v>19</v>
      </c>
      <c r="DQ8" s="32" t="s">
        <v>19</v>
      </c>
      <c r="DR8" s="32" t="s">
        <v>19</v>
      </c>
      <c r="DS8" s="32" t="s">
        <v>19</v>
      </c>
      <c r="DT8" s="32" t="s">
        <v>19</v>
      </c>
      <c r="DU8" s="32" t="s">
        <v>19</v>
      </c>
      <c r="DV8" s="32" t="s">
        <v>20</v>
      </c>
      <c r="DW8" s="32" t="s">
        <v>20</v>
      </c>
      <c r="DX8" s="32" t="s">
        <v>20</v>
      </c>
      <c r="DY8" s="32" t="s">
        <v>20</v>
      </c>
      <c r="DZ8" s="32" t="s">
        <v>20</v>
      </c>
      <c r="EA8" s="32" t="s">
        <v>20</v>
      </c>
      <c r="EB8" s="32" t="s">
        <v>20</v>
      </c>
      <c r="EC8" s="8" t="s">
        <v>21</v>
      </c>
      <c r="ED8" s="8" t="s">
        <v>21</v>
      </c>
      <c r="EE8" s="8" t="s">
        <v>21</v>
      </c>
      <c r="EF8" s="8" t="s">
        <v>21</v>
      </c>
      <c r="EG8" s="8" t="s">
        <v>21</v>
      </c>
      <c r="EH8" s="8" t="s">
        <v>21</v>
      </c>
      <c r="EI8" s="8" t="s">
        <v>21</v>
      </c>
      <c r="EJ8" s="8" t="s">
        <v>22</v>
      </c>
      <c r="EK8" s="8" t="s">
        <v>22</v>
      </c>
      <c r="EL8" s="8" t="s">
        <v>22</v>
      </c>
      <c r="EM8" s="8" t="s">
        <v>22</v>
      </c>
      <c r="EN8" s="8" t="s">
        <v>22</v>
      </c>
      <c r="EO8" s="8" t="s">
        <v>22</v>
      </c>
      <c r="EP8" s="8" t="s">
        <v>22</v>
      </c>
      <c r="EQ8" s="8" t="s">
        <v>23</v>
      </c>
      <c r="ER8" s="8" t="s">
        <v>23</v>
      </c>
      <c r="ES8" s="8" t="s">
        <v>23</v>
      </c>
      <c r="ET8" s="8" t="s">
        <v>23</v>
      </c>
      <c r="EU8" s="8" t="s">
        <v>23</v>
      </c>
      <c r="EV8" s="8" t="s">
        <v>23</v>
      </c>
      <c r="EW8" s="8" t="s">
        <v>23</v>
      </c>
      <c r="EX8" s="32" t="s">
        <v>24</v>
      </c>
      <c r="EY8" s="32" t="s">
        <v>24</v>
      </c>
      <c r="EZ8" s="32" t="s">
        <v>24</v>
      </c>
      <c r="FA8" s="32" t="s">
        <v>24</v>
      </c>
      <c r="FB8" s="32" t="s">
        <v>24</v>
      </c>
      <c r="FC8" s="32" t="s">
        <v>24</v>
      </c>
      <c r="FD8" s="32" t="s">
        <v>24</v>
      </c>
      <c r="FE8" s="32" t="s">
        <v>25</v>
      </c>
      <c r="FF8" s="32" t="s">
        <v>25</v>
      </c>
      <c r="FG8" s="32" t="s">
        <v>25</v>
      </c>
      <c r="FH8" s="32" t="s">
        <v>25</v>
      </c>
      <c r="FI8" s="32" t="s">
        <v>25</v>
      </c>
      <c r="FJ8" s="32" t="s">
        <v>25</v>
      </c>
      <c r="FK8" s="32" t="s">
        <v>25</v>
      </c>
      <c r="FL8" s="32" t="s">
        <v>26</v>
      </c>
      <c r="FM8" s="32" t="s">
        <v>26</v>
      </c>
      <c r="FN8" s="32" t="s">
        <v>26</v>
      </c>
      <c r="FO8" s="32" t="s">
        <v>26</v>
      </c>
      <c r="FP8" s="32" t="s">
        <v>26</v>
      </c>
      <c r="FQ8" s="32" t="s">
        <v>26</v>
      </c>
      <c r="FR8" s="32" t="s">
        <v>26</v>
      </c>
      <c r="FS8" s="32" t="s">
        <v>27</v>
      </c>
      <c r="FT8" s="32" t="s">
        <v>27</v>
      </c>
      <c r="FU8" s="32" t="s">
        <v>27</v>
      </c>
      <c r="FV8" s="32" t="s">
        <v>27</v>
      </c>
      <c r="FW8" s="32" t="s">
        <v>27</v>
      </c>
      <c r="FX8" s="32" t="s">
        <v>27</v>
      </c>
      <c r="FY8" s="32" t="s">
        <v>27</v>
      </c>
      <c r="FZ8" s="32" t="s">
        <v>28</v>
      </c>
      <c r="GA8" s="32" t="s">
        <v>28</v>
      </c>
      <c r="GB8" s="32" t="s">
        <v>28</v>
      </c>
      <c r="GC8" s="32" t="s">
        <v>28</v>
      </c>
      <c r="GD8" s="32" t="s">
        <v>28</v>
      </c>
      <c r="GE8" s="32" t="s">
        <v>28</v>
      </c>
      <c r="GF8" s="32" t="s">
        <v>28</v>
      </c>
      <c r="GG8" s="32" t="s">
        <v>29</v>
      </c>
      <c r="GH8" s="32" t="s">
        <v>29</v>
      </c>
      <c r="GI8" s="32" t="s">
        <v>29</v>
      </c>
      <c r="GJ8" s="32" t="s">
        <v>29</v>
      </c>
      <c r="GK8" s="32" t="s">
        <v>29</v>
      </c>
      <c r="GL8" s="32" t="s">
        <v>29</v>
      </c>
      <c r="GM8" s="32" t="s">
        <v>29</v>
      </c>
      <c r="GN8" s="8" t="s">
        <v>30</v>
      </c>
      <c r="GO8" s="8" t="s">
        <v>30</v>
      </c>
      <c r="GP8" s="8" t="s">
        <v>30</v>
      </c>
      <c r="GQ8" s="8" t="s">
        <v>30</v>
      </c>
      <c r="GR8" s="8" t="s">
        <v>30</v>
      </c>
      <c r="GS8" s="8" t="s">
        <v>30</v>
      </c>
      <c r="GT8" s="8" t="s">
        <v>30</v>
      </c>
      <c r="GU8" s="8" t="s">
        <v>31</v>
      </c>
      <c r="GV8" s="8" t="s">
        <v>31</v>
      </c>
      <c r="GW8" s="8" t="s">
        <v>31</v>
      </c>
      <c r="GX8" s="8" t="s">
        <v>31</v>
      </c>
      <c r="GY8" s="8" t="s">
        <v>31</v>
      </c>
      <c r="GZ8" s="8" t="s">
        <v>31</v>
      </c>
      <c r="HA8" s="8" t="s">
        <v>31</v>
      </c>
      <c r="HB8" s="8" t="s">
        <v>32</v>
      </c>
      <c r="HC8" s="8" t="s">
        <v>32</v>
      </c>
      <c r="HD8" s="8" t="s">
        <v>32</v>
      </c>
      <c r="HE8" s="8" t="s">
        <v>32</v>
      </c>
      <c r="HF8" s="8" t="s">
        <v>32</v>
      </c>
      <c r="HG8" s="8" t="s">
        <v>32</v>
      </c>
      <c r="HH8" s="8" t="s">
        <v>32</v>
      </c>
      <c r="HI8" s="32" t="s">
        <v>33</v>
      </c>
      <c r="HJ8" s="32" t="s">
        <v>33</v>
      </c>
      <c r="HK8" s="32" t="s">
        <v>33</v>
      </c>
      <c r="HL8" s="32" t="s">
        <v>33</v>
      </c>
      <c r="HM8" s="32" t="s">
        <v>33</v>
      </c>
      <c r="HN8" s="32" t="s">
        <v>33</v>
      </c>
      <c r="HO8" s="32" t="s">
        <v>33</v>
      </c>
      <c r="HP8" s="32" t="s">
        <v>34</v>
      </c>
      <c r="HQ8" s="32" t="s">
        <v>34</v>
      </c>
      <c r="HR8" s="32" t="s">
        <v>34</v>
      </c>
      <c r="HS8" s="32" t="s">
        <v>34</v>
      </c>
      <c r="HT8" s="32" t="s">
        <v>34</v>
      </c>
      <c r="HU8" s="32" t="s">
        <v>34</v>
      </c>
      <c r="HV8" s="32" t="s">
        <v>34</v>
      </c>
      <c r="HW8" s="32" t="s">
        <v>35</v>
      </c>
      <c r="HX8" s="32" t="s">
        <v>35</v>
      </c>
      <c r="HY8" s="32" t="s">
        <v>35</v>
      </c>
      <c r="HZ8" s="32" t="s">
        <v>35</v>
      </c>
      <c r="IA8" s="32" t="s">
        <v>35</v>
      </c>
      <c r="IB8" s="32" t="s">
        <v>35</v>
      </c>
      <c r="IC8" s="32" t="s">
        <v>35</v>
      </c>
      <c r="ID8" s="32" t="s">
        <v>36</v>
      </c>
      <c r="IE8" s="32" t="s">
        <v>36</v>
      </c>
      <c r="IF8" s="32" t="s">
        <v>36</v>
      </c>
      <c r="IG8" s="32" t="s">
        <v>36</v>
      </c>
      <c r="IH8" s="32" t="s">
        <v>36</v>
      </c>
      <c r="II8" s="32" t="s">
        <v>36</v>
      </c>
      <c r="IJ8" s="32" t="s">
        <v>36</v>
      </c>
      <c r="IK8" s="32" t="s">
        <v>37</v>
      </c>
      <c r="IL8" s="32" t="s">
        <v>37</v>
      </c>
      <c r="IM8" s="32" t="s">
        <v>37</v>
      </c>
      <c r="IN8" s="32" t="s">
        <v>37</v>
      </c>
      <c r="IO8" s="32" t="s">
        <v>37</v>
      </c>
      <c r="IP8" s="32" t="s">
        <v>37</v>
      </c>
      <c r="IQ8" s="32" t="s">
        <v>37</v>
      </c>
      <c r="IR8" s="32" t="s">
        <v>38</v>
      </c>
      <c r="IS8" s="32" t="s">
        <v>38</v>
      </c>
      <c r="IT8" s="32" t="s">
        <v>38</v>
      </c>
      <c r="IU8" s="32" t="s">
        <v>38</v>
      </c>
      <c r="IV8" s="32" t="s">
        <v>38</v>
      </c>
      <c r="IW8" s="32" t="s">
        <v>38</v>
      </c>
      <c r="IX8" s="32" t="s">
        <v>38</v>
      </c>
      <c r="IY8" s="32" t="s">
        <v>39</v>
      </c>
      <c r="IZ8" s="32" t="s">
        <v>39</v>
      </c>
      <c r="JA8" s="32" t="s">
        <v>39</v>
      </c>
      <c r="JB8" s="32" t="s">
        <v>39</v>
      </c>
      <c r="JC8" s="32" t="s">
        <v>39</v>
      </c>
      <c r="JD8" s="32" t="s">
        <v>39</v>
      </c>
      <c r="JE8" s="32" t="s">
        <v>39</v>
      </c>
      <c r="JF8" s="32" t="s">
        <v>40</v>
      </c>
      <c r="JG8" s="32" t="s">
        <v>40</v>
      </c>
      <c r="JH8" s="32" t="s">
        <v>40</v>
      </c>
      <c r="JI8" s="32" t="s">
        <v>40</v>
      </c>
      <c r="JJ8" s="32" t="s">
        <v>40</v>
      </c>
      <c r="JK8" s="32" t="s">
        <v>40</v>
      </c>
      <c r="JL8" s="32" t="s">
        <v>40</v>
      </c>
      <c r="JM8" s="32" t="s">
        <v>41</v>
      </c>
      <c r="JN8" s="32" t="s">
        <v>41</v>
      </c>
      <c r="JO8" s="32" t="s">
        <v>41</v>
      </c>
      <c r="JP8" s="32" t="s">
        <v>41</v>
      </c>
      <c r="JQ8" s="32" t="s">
        <v>41</v>
      </c>
      <c r="JR8" s="32" t="s">
        <v>41</v>
      </c>
      <c r="JS8" s="32" t="s">
        <v>41</v>
      </c>
      <c r="JT8" s="32" t="s">
        <v>42</v>
      </c>
      <c r="JU8" s="32" t="s">
        <v>42</v>
      </c>
      <c r="JV8" s="32" t="s">
        <v>42</v>
      </c>
      <c r="JW8" s="32" t="s">
        <v>42</v>
      </c>
      <c r="JX8" s="32" t="s">
        <v>42</v>
      </c>
      <c r="JY8" s="32" t="s">
        <v>42</v>
      </c>
      <c r="JZ8" s="32" t="s">
        <v>42</v>
      </c>
      <c r="KA8" s="8"/>
      <c r="KB8" s="20"/>
      <c r="KC8" s="8"/>
      <c r="KD8" s="8"/>
      <c r="KE8" s="8"/>
      <c r="KF8" s="8"/>
      <c r="KG8" s="8"/>
      <c r="KH8" s="8"/>
      <c r="KI8" s="20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36"/>
      <c r="KV8" s="8"/>
      <c r="KW8" s="8"/>
      <c r="KX8" s="8"/>
      <c r="KY8" s="8"/>
      <c r="KZ8" s="8"/>
      <c r="LA8" s="8"/>
      <c r="LB8" s="8"/>
      <c r="LC8" s="8"/>
      <c r="LD8" s="8"/>
      <c r="LE8" s="20"/>
      <c r="LF8" s="20"/>
      <c r="LG8" s="8"/>
      <c r="LH8" s="8"/>
      <c r="LI8" s="8"/>
      <c r="LJ8" s="8"/>
      <c r="LK8" s="20"/>
      <c r="LL8" s="8"/>
      <c r="LM8" s="8"/>
      <c r="LN8" s="8"/>
      <c r="LO8" s="8"/>
      <c r="LP8" s="8"/>
      <c r="LQ8" s="8"/>
      <c r="LR8" s="20"/>
      <c r="LS8" s="8"/>
      <c r="LT8" s="8"/>
      <c r="LU8" s="8"/>
      <c r="LV8" s="8"/>
      <c r="LW8" s="8"/>
      <c r="LX8" s="8"/>
      <c r="LY8" s="20"/>
      <c r="LZ8" s="1"/>
      <c r="MA8" s="1"/>
      <c r="MB8" s="1"/>
      <c r="MC8" s="1"/>
      <c r="MD8" s="8"/>
      <c r="ME8" s="8"/>
      <c r="MF8" s="1"/>
      <c r="MG8" s="1"/>
      <c r="MH8" s="1"/>
      <c r="MI8" s="1"/>
      <c r="MJ8" s="1"/>
      <c r="MK8" s="1"/>
      <c r="ML8" s="1"/>
      <c r="MM8" s="1"/>
      <c r="MN8" s="1"/>
      <c r="MO8" s="1"/>
      <c r="MP8" s="34"/>
      <c r="MQ8" s="1"/>
      <c r="MR8" s="1"/>
      <c r="MS8" s="1"/>
      <c r="MT8" s="20"/>
      <c r="MU8" s="8"/>
      <c r="MV8" s="8"/>
      <c r="MW8" s="8"/>
      <c r="MX8" s="8"/>
      <c r="MY8" s="8"/>
      <c r="MZ8" s="8"/>
      <c r="NA8" s="8"/>
      <c r="NB8" s="8"/>
      <c r="NC8" s="8"/>
    </row>
    <row r="9" spans="1:371">
      <c r="A9" s="13">
        <f>+SUM(C9:NC9)</f>
        <v>95992.291666666657</v>
      </c>
      <c r="B9" s="14" t="s">
        <v>427</v>
      </c>
      <c r="C9" s="101"/>
      <c r="D9" s="101">
        <v>401.91666666666669</v>
      </c>
      <c r="E9" s="101">
        <v>382.5</v>
      </c>
      <c r="F9" s="101"/>
      <c r="G9" s="3">
        <v>383.50000000000006</v>
      </c>
      <c r="H9" s="3">
        <v>393.41666666666663</v>
      </c>
      <c r="I9" s="3">
        <v>399.58333333333337</v>
      </c>
      <c r="J9" s="3">
        <v>376.33333333333337</v>
      </c>
      <c r="K9" s="3">
        <v>352</v>
      </c>
      <c r="L9" s="3">
        <v>266.66666666666663</v>
      </c>
      <c r="M9" s="3"/>
      <c r="N9" s="3">
        <v>293.25</v>
      </c>
      <c r="O9" s="3">
        <v>410.58333333333337</v>
      </c>
      <c r="P9" s="3">
        <v>399.66666666666669</v>
      </c>
      <c r="Q9" s="3">
        <v>418.5</v>
      </c>
      <c r="R9" s="3">
        <v>394.25</v>
      </c>
      <c r="S9" s="3">
        <v>253.33333333333331</v>
      </c>
      <c r="T9" s="8"/>
      <c r="U9" s="7">
        <v>313</v>
      </c>
      <c r="V9" s="7">
        <v>347</v>
      </c>
      <c r="W9" s="7">
        <v>425.66666666666669</v>
      </c>
      <c r="X9" s="7">
        <v>499.83333333333337</v>
      </c>
      <c r="Y9" s="7">
        <v>375.08333333333337</v>
      </c>
      <c r="Z9" s="7">
        <v>277.16666666666663</v>
      </c>
      <c r="AA9" s="8"/>
      <c r="AB9" s="7">
        <v>469.91666666666669</v>
      </c>
      <c r="AC9" s="7">
        <v>447.75000000000006</v>
      </c>
      <c r="AD9" s="7">
        <v>425.25</v>
      </c>
      <c r="AE9" s="7">
        <v>440.25</v>
      </c>
      <c r="AF9" s="7">
        <v>440.58333333333337</v>
      </c>
      <c r="AG9" s="7">
        <v>351.91666666666669</v>
      </c>
      <c r="AH9" s="8"/>
      <c r="AI9" s="3">
        <v>436</v>
      </c>
      <c r="AJ9" s="3">
        <v>449.08333333333337</v>
      </c>
      <c r="AK9" s="3">
        <v>448.75</v>
      </c>
      <c r="AL9" s="3">
        <v>470.33333333333337</v>
      </c>
      <c r="AM9" s="3">
        <v>456.16666666666663</v>
      </c>
      <c r="AN9" s="3">
        <v>307.5</v>
      </c>
      <c r="AO9" s="8"/>
      <c r="AP9" s="7">
        <v>407.41666666666669</v>
      </c>
      <c r="AQ9" s="7">
        <v>436.66666666666663</v>
      </c>
      <c r="AR9" s="7">
        <v>390.66666666666663</v>
      </c>
      <c r="AS9" s="7">
        <v>403.83333333333331</v>
      </c>
      <c r="AT9" s="7">
        <v>394.25</v>
      </c>
      <c r="AU9" s="7">
        <v>265.58333333333331</v>
      </c>
      <c r="AV9" s="7"/>
      <c r="AW9" s="3">
        <v>441.25</v>
      </c>
      <c r="AX9" s="3">
        <v>433.83333333333331</v>
      </c>
      <c r="AY9" s="3">
        <v>441.25</v>
      </c>
      <c r="AZ9" s="3">
        <v>431.66666666666669</v>
      </c>
      <c r="BA9" s="3">
        <v>447.33333333333331</v>
      </c>
      <c r="BB9" s="3">
        <v>291.66666666666663</v>
      </c>
      <c r="BC9" s="8"/>
      <c r="BD9" s="2">
        <v>431.99999999999989</v>
      </c>
      <c r="BE9" s="2">
        <v>401.99999999999989</v>
      </c>
      <c r="BF9" s="2">
        <v>395.0833333333332</v>
      </c>
      <c r="BG9" s="7">
        <v>358.58333333333331</v>
      </c>
      <c r="BH9" s="7">
        <v>343.24999999999994</v>
      </c>
      <c r="BI9" s="7">
        <v>243.66666666666663</v>
      </c>
      <c r="BJ9" s="8"/>
      <c r="BK9" s="2">
        <v>379.66666666666663</v>
      </c>
      <c r="BL9" s="2">
        <v>398.91666666666663</v>
      </c>
      <c r="BM9" s="2">
        <v>397.08333333333326</v>
      </c>
      <c r="BN9" s="2">
        <v>431.99999999999994</v>
      </c>
      <c r="BO9" s="2">
        <v>400.41666666666663</v>
      </c>
      <c r="BP9" s="2">
        <v>306.58333333333337</v>
      </c>
      <c r="BQ9" s="2"/>
      <c r="BR9" s="2">
        <v>414.33333333333337</v>
      </c>
      <c r="BS9" s="2">
        <v>371.83333333333337</v>
      </c>
      <c r="BT9" s="2">
        <v>391.33333333333337</v>
      </c>
      <c r="BU9" s="2">
        <v>395.58333333333331</v>
      </c>
      <c r="BV9" s="2">
        <v>408.5</v>
      </c>
      <c r="BW9" s="2">
        <v>304.16666666666669</v>
      </c>
      <c r="BX9" s="2">
        <v>18.583333333333343</v>
      </c>
      <c r="BY9" s="3">
        <v>447.16666666666663</v>
      </c>
      <c r="BZ9" s="3">
        <v>432.16666666666669</v>
      </c>
      <c r="CA9" s="3">
        <v>459.08333333333331</v>
      </c>
      <c r="CB9" s="3"/>
      <c r="CC9" s="3"/>
      <c r="CD9" s="3"/>
      <c r="CE9" s="3"/>
      <c r="CF9" s="3">
        <v>419.5</v>
      </c>
      <c r="CG9" s="3">
        <v>430.5</v>
      </c>
      <c r="CH9" s="3">
        <v>419.5</v>
      </c>
      <c r="CI9" s="3">
        <v>419.83333333333337</v>
      </c>
      <c r="CJ9" s="3">
        <v>368.91666666666669</v>
      </c>
      <c r="CK9" s="3">
        <v>330</v>
      </c>
      <c r="CL9" s="3"/>
      <c r="CM9" s="3">
        <v>403.33333333333331</v>
      </c>
      <c r="CN9" s="3">
        <v>419.24999999999994</v>
      </c>
      <c r="CO9" s="3">
        <v>434.66666666666669</v>
      </c>
      <c r="CP9" s="3">
        <v>403.83333333333337</v>
      </c>
      <c r="CQ9" s="3">
        <v>395.75</v>
      </c>
      <c r="CR9" s="3">
        <v>257.58333333333337</v>
      </c>
      <c r="CS9" s="3"/>
      <c r="CT9" s="3">
        <v>429.66666666666663</v>
      </c>
      <c r="CU9" s="3">
        <v>393.16666666666669</v>
      </c>
      <c r="CV9" s="3">
        <v>403.16666666666669</v>
      </c>
      <c r="CW9" s="3">
        <v>418.25</v>
      </c>
      <c r="CX9" s="3">
        <v>394.25</v>
      </c>
      <c r="CY9" s="3">
        <v>247.25</v>
      </c>
      <c r="CZ9" s="3"/>
      <c r="DA9" s="7">
        <v>429.75</v>
      </c>
      <c r="DB9" s="7">
        <v>282.49999999999994</v>
      </c>
      <c r="DC9" s="7">
        <v>386.08333333333331</v>
      </c>
      <c r="DD9" s="7">
        <v>357.58333333333331</v>
      </c>
      <c r="DE9" s="7">
        <v>389.91666666666663</v>
      </c>
      <c r="DF9" s="7">
        <v>277.5</v>
      </c>
      <c r="DG9" s="7"/>
      <c r="DH9" s="2">
        <v>458.58333333333337</v>
      </c>
      <c r="DI9" s="2">
        <v>381.58333333333331</v>
      </c>
      <c r="DJ9" s="2">
        <v>396.16666666666669</v>
      </c>
      <c r="DK9" s="2">
        <v>239.75</v>
      </c>
      <c r="DL9" s="2">
        <v>428.16666666666663</v>
      </c>
      <c r="DM9" s="2">
        <v>336.91666666666663</v>
      </c>
      <c r="DN9" s="2"/>
      <c r="DO9" s="7">
        <v>412</v>
      </c>
      <c r="DP9" s="7">
        <v>400.41666666666663</v>
      </c>
      <c r="DQ9" s="7">
        <v>404.66666666666669</v>
      </c>
      <c r="DR9" s="7">
        <v>377.83333333333331</v>
      </c>
      <c r="DS9" s="7"/>
      <c r="DT9" s="7">
        <v>276.25</v>
      </c>
      <c r="DU9" s="7"/>
      <c r="DV9" s="7">
        <v>379.25</v>
      </c>
      <c r="DW9" s="7">
        <v>403.16666666666663</v>
      </c>
      <c r="DX9" s="7">
        <v>417.41666666666663</v>
      </c>
      <c r="DY9" s="7">
        <v>442.66666666666663</v>
      </c>
      <c r="DZ9" s="7">
        <v>389.16666666666663</v>
      </c>
      <c r="EA9" s="7">
        <v>262.25</v>
      </c>
      <c r="EB9" s="7"/>
      <c r="EC9" s="7">
        <v>481.24999999999994</v>
      </c>
      <c r="ED9" s="7">
        <v>455.75</v>
      </c>
      <c r="EE9" s="7">
        <v>452.08333333333331</v>
      </c>
      <c r="EF9" s="7">
        <v>444.58333333333331</v>
      </c>
      <c r="EG9" s="7">
        <v>471.75</v>
      </c>
      <c r="EH9" s="7">
        <v>305</v>
      </c>
      <c r="EI9" s="7"/>
      <c r="EJ9" s="7">
        <v>436.16666666666663</v>
      </c>
      <c r="EK9" s="7">
        <v>266.25</v>
      </c>
      <c r="EL9" s="7">
        <v>433.25</v>
      </c>
      <c r="EM9" s="7">
        <v>454.16666666666669</v>
      </c>
      <c r="EN9" s="7">
        <v>447.66666666666669</v>
      </c>
      <c r="EO9" s="7">
        <v>305.33333333333337</v>
      </c>
      <c r="EP9" s="7"/>
      <c r="EQ9" s="7">
        <v>454.00000000000006</v>
      </c>
      <c r="ER9" s="7"/>
      <c r="ES9" s="7"/>
      <c r="ET9" s="7"/>
      <c r="EU9" s="7"/>
      <c r="EV9" s="7"/>
      <c r="EW9" s="7"/>
      <c r="EX9" s="7">
        <v>389.5</v>
      </c>
      <c r="EY9" s="7">
        <v>431.58333333333337</v>
      </c>
      <c r="EZ9" s="7">
        <v>411.75</v>
      </c>
      <c r="FA9" s="7">
        <v>401.75</v>
      </c>
      <c r="FB9" s="7">
        <v>376.08333333333337</v>
      </c>
      <c r="FC9" s="7">
        <v>233.83333333333331</v>
      </c>
      <c r="FD9" s="8"/>
      <c r="FE9" s="3">
        <v>426.75</v>
      </c>
      <c r="FF9" s="3">
        <v>376.25</v>
      </c>
      <c r="FG9" s="3">
        <v>418.58333333333337</v>
      </c>
      <c r="FH9" s="3">
        <v>405.16666666666663</v>
      </c>
      <c r="FI9" s="3">
        <v>409.91666666666669</v>
      </c>
      <c r="FJ9" s="3">
        <v>270</v>
      </c>
      <c r="FK9" s="3"/>
      <c r="FL9" s="3">
        <v>411.16666666666663</v>
      </c>
      <c r="FM9" s="3">
        <v>411.25</v>
      </c>
      <c r="FN9" s="3">
        <v>423.75</v>
      </c>
      <c r="FO9" s="3">
        <v>398.5</v>
      </c>
      <c r="FP9" s="3">
        <v>373.91666666666663</v>
      </c>
      <c r="FQ9" s="3">
        <v>232</v>
      </c>
      <c r="FR9" s="3"/>
      <c r="FS9" s="7">
        <v>470</v>
      </c>
      <c r="FT9" s="7">
        <v>455.5</v>
      </c>
      <c r="FU9" s="7">
        <v>454.58333333333337</v>
      </c>
      <c r="FV9" s="7">
        <v>447.16666666666669</v>
      </c>
      <c r="FW9" s="7">
        <v>410.08333333333337</v>
      </c>
      <c r="FX9" s="7">
        <v>251.75</v>
      </c>
      <c r="FY9" s="7"/>
      <c r="FZ9" s="7">
        <v>489.41666666666674</v>
      </c>
      <c r="GA9" s="7">
        <v>489.41666666666674</v>
      </c>
      <c r="GB9" s="7">
        <v>476.08333333333337</v>
      </c>
      <c r="GC9" s="7">
        <v>466.66666666666669</v>
      </c>
      <c r="GD9" s="7">
        <v>465.5</v>
      </c>
      <c r="GE9" s="7">
        <v>236.33333333333337</v>
      </c>
      <c r="GF9" s="7"/>
      <c r="GG9" s="2">
        <v>413.58333333333331</v>
      </c>
      <c r="GH9" s="2">
        <v>434.16666666666663</v>
      </c>
      <c r="GI9" s="2">
        <v>448.33333333333331</v>
      </c>
      <c r="GJ9" s="2">
        <v>405.83333333333331</v>
      </c>
      <c r="GK9" s="2">
        <v>350.41666666666663</v>
      </c>
      <c r="GL9" s="2">
        <v>262.5</v>
      </c>
      <c r="GM9" s="2">
        <v>60</v>
      </c>
      <c r="GN9" s="3">
        <v>373.08333333333331</v>
      </c>
      <c r="GO9" s="3">
        <v>338.08333333333331</v>
      </c>
      <c r="GP9" s="3">
        <v>50.75</v>
      </c>
      <c r="GQ9" s="3">
        <v>397.16666666666663</v>
      </c>
      <c r="GR9" s="3">
        <v>354.83333333333331</v>
      </c>
      <c r="GS9" s="3">
        <v>232.33333333333331</v>
      </c>
      <c r="GT9" s="3"/>
      <c r="GU9" s="7">
        <v>438.25000000000006</v>
      </c>
      <c r="GV9" s="7">
        <v>460.25000000000006</v>
      </c>
      <c r="GW9" s="7">
        <v>461.41666666666674</v>
      </c>
      <c r="GX9" s="7">
        <v>434.16666666666663</v>
      </c>
      <c r="GY9" s="7">
        <v>457.66666666666674</v>
      </c>
      <c r="GZ9" s="7">
        <v>269.5</v>
      </c>
      <c r="HA9" s="7">
        <v>30</v>
      </c>
      <c r="HB9" s="2">
        <v>455.1666666666668</v>
      </c>
      <c r="HC9" s="2">
        <v>434.4166666666668</v>
      </c>
      <c r="HD9" s="2">
        <v>444.25000000000006</v>
      </c>
      <c r="HE9" s="2">
        <v>430.1666666666668</v>
      </c>
      <c r="HF9" s="2">
        <v>437.41666666666674</v>
      </c>
      <c r="HG9" s="2">
        <v>284.25</v>
      </c>
      <c r="HH9" s="8"/>
      <c r="HI9" s="2">
        <v>421.75</v>
      </c>
      <c r="HJ9" s="2">
        <v>388.66666666666674</v>
      </c>
      <c r="HK9" s="2">
        <v>400.58333333333337</v>
      </c>
      <c r="HL9" s="2">
        <v>402.41666666666674</v>
      </c>
      <c r="HM9" s="2">
        <v>356.75</v>
      </c>
      <c r="HN9" s="2">
        <v>236.66666666666669</v>
      </c>
      <c r="HO9" s="2">
        <v>45</v>
      </c>
      <c r="HP9" s="2">
        <v>385.66666666666669</v>
      </c>
      <c r="HQ9" s="2">
        <v>437.08333333333331</v>
      </c>
      <c r="HR9" s="2">
        <v>444.66666666666663</v>
      </c>
      <c r="HS9" s="2">
        <v>427.00000000000006</v>
      </c>
      <c r="HT9" s="2">
        <v>439.16666666666663</v>
      </c>
      <c r="HU9" s="2">
        <v>343.41666666666669</v>
      </c>
      <c r="HV9" s="20"/>
      <c r="HW9" s="3">
        <v>491.33333333333331</v>
      </c>
      <c r="HX9" s="3">
        <v>518.08333333333326</v>
      </c>
      <c r="HY9" s="3">
        <v>479.50000000000006</v>
      </c>
      <c r="HZ9" s="3">
        <v>477.91666666666669</v>
      </c>
      <c r="IA9" s="3">
        <v>562.58333333333337</v>
      </c>
      <c r="IB9" s="3">
        <v>367.08333333333331</v>
      </c>
      <c r="IC9" s="3">
        <v>250.16666666666669</v>
      </c>
      <c r="ID9" s="3">
        <v>532.75</v>
      </c>
      <c r="IE9" s="3">
        <v>502.49999999999994</v>
      </c>
      <c r="IF9" s="3">
        <v>491.49999999999994</v>
      </c>
      <c r="IG9" s="3">
        <v>467.66666666666669</v>
      </c>
      <c r="IH9" s="3">
        <v>470.5</v>
      </c>
      <c r="II9" s="3">
        <v>305.41666666666663</v>
      </c>
      <c r="IJ9" s="8"/>
      <c r="IK9" s="2">
        <v>500.33333333333337</v>
      </c>
      <c r="IL9" s="2">
        <v>461.91666666666663</v>
      </c>
      <c r="IM9" s="2">
        <v>480.83333333333337</v>
      </c>
      <c r="IN9" s="2">
        <v>504.00000000000006</v>
      </c>
      <c r="IO9" s="2">
        <v>477.5</v>
      </c>
      <c r="IP9" s="2">
        <v>375</v>
      </c>
      <c r="IQ9" s="2">
        <v>140.83333333333331</v>
      </c>
      <c r="IR9" s="7">
        <v>551</v>
      </c>
      <c r="IS9" s="7">
        <v>495.33333333333331</v>
      </c>
      <c r="IT9" s="7">
        <v>508.08333333333331</v>
      </c>
      <c r="IU9" s="7">
        <v>510.16666666666669</v>
      </c>
      <c r="IV9" s="7">
        <v>553.16666666666674</v>
      </c>
      <c r="IW9" s="7">
        <v>351.83333333333337</v>
      </c>
      <c r="IX9" s="8"/>
      <c r="IY9" s="7">
        <v>481</v>
      </c>
      <c r="IZ9" s="7">
        <v>527.25</v>
      </c>
      <c r="JA9" s="7">
        <v>486</v>
      </c>
      <c r="JB9" s="7">
        <v>491.25000000000006</v>
      </c>
      <c r="JC9" s="7">
        <v>454.33333333333331</v>
      </c>
      <c r="JD9" s="7">
        <v>297.83333333333337</v>
      </c>
      <c r="JE9" s="8"/>
      <c r="JF9" s="7">
        <v>462.25</v>
      </c>
      <c r="JG9" s="7">
        <v>497.41666666666669</v>
      </c>
      <c r="JH9" s="7">
        <v>502.83333333333331</v>
      </c>
      <c r="JI9" s="7">
        <v>510.25000000000006</v>
      </c>
      <c r="JJ9" s="7">
        <v>486.91666666666663</v>
      </c>
      <c r="JK9" s="7">
        <v>349.08333333333331</v>
      </c>
      <c r="JL9" s="8"/>
      <c r="JM9" s="7">
        <v>536.41666666666674</v>
      </c>
      <c r="JN9" s="7">
        <v>519.45833333333326</v>
      </c>
      <c r="JO9" s="7">
        <v>541.66666666666674</v>
      </c>
      <c r="JP9" s="7">
        <v>489.83333333333331</v>
      </c>
      <c r="JQ9" s="7">
        <v>462.16666666666663</v>
      </c>
      <c r="JR9" s="7">
        <v>475.5</v>
      </c>
      <c r="JS9" s="8"/>
      <c r="JT9" s="47">
        <v>534.08333333333326</v>
      </c>
      <c r="JU9" s="47">
        <v>505.75</v>
      </c>
      <c r="JV9" s="47">
        <v>522.33333333333337</v>
      </c>
      <c r="JW9" s="7">
        <v>511.41666666666669</v>
      </c>
      <c r="JX9" s="7">
        <v>672.25</v>
      </c>
      <c r="JY9" s="7">
        <v>697.5</v>
      </c>
      <c r="JZ9" s="8"/>
      <c r="KA9" s="8"/>
      <c r="KB9" s="8"/>
      <c r="KC9" s="8"/>
      <c r="KD9" s="8"/>
      <c r="KE9" s="8"/>
      <c r="KF9" s="8"/>
      <c r="KG9" s="8"/>
      <c r="KH9" s="8"/>
      <c r="KI9" s="8"/>
      <c r="KJ9" s="8"/>
      <c r="KK9" s="8"/>
      <c r="KL9" s="8"/>
      <c r="KM9" s="8"/>
      <c r="KN9" s="8"/>
      <c r="KO9" s="8"/>
      <c r="KP9" s="8"/>
      <c r="KQ9" s="8"/>
      <c r="KR9" s="8"/>
      <c r="KS9" s="8"/>
      <c r="KT9" s="8"/>
      <c r="KU9" s="36"/>
      <c r="KV9" s="8"/>
      <c r="KW9" s="8"/>
      <c r="KX9" s="8"/>
      <c r="KY9" s="8"/>
      <c r="KZ9" s="8"/>
      <c r="LA9" s="8"/>
      <c r="LB9" s="8"/>
      <c r="LC9" s="8"/>
      <c r="LD9" s="8"/>
      <c r="LE9" s="20"/>
      <c r="LF9" s="20"/>
      <c r="LG9" s="8"/>
      <c r="LH9" s="8"/>
      <c r="LI9" s="8"/>
      <c r="LJ9" s="8"/>
      <c r="LK9" s="8"/>
      <c r="LL9" s="8"/>
      <c r="LM9" s="8"/>
      <c r="LN9" s="8"/>
      <c r="LO9" s="8"/>
      <c r="LP9" s="8"/>
      <c r="LQ9" s="8"/>
      <c r="LR9" s="8"/>
      <c r="LS9" s="8"/>
      <c r="LT9" s="8"/>
      <c r="LU9" s="8"/>
      <c r="LV9" s="8"/>
      <c r="LW9" s="8"/>
      <c r="LX9" s="8"/>
      <c r="LY9" s="20"/>
      <c r="LZ9" s="62"/>
      <c r="MA9" s="62"/>
      <c r="MB9" s="62"/>
      <c r="MC9" s="62"/>
      <c r="MD9" s="8"/>
      <c r="ME9" s="8"/>
      <c r="MF9"/>
      <c r="MG9"/>
      <c r="MH9"/>
      <c r="MI9"/>
      <c r="MJ9"/>
      <c r="MK9"/>
      <c r="ML9"/>
      <c r="MM9" s="62"/>
      <c r="MN9" s="62"/>
      <c r="MO9" s="62"/>
      <c r="MP9" s="34"/>
      <c r="MQ9" s="62"/>
      <c r="MR9" s="62"/>
      <c r="MS9" s="62"/>
      <c r="MT9" s="8"/>
      <c r="MU9" s="8"/>
      <c r="MV9" s="8"/>
      <c r="MW9" s="8"/>
      <c r="MX9" s="8"/>
      <c r="MY9" s="8"/>
      <c r="MZ9" s="8"/>
      <c r="NA9" s="8"/>
      <c r="NB9" s="8"/>
      <c r="NC9" s="8"/>
    </row>
    <row r="10" spans="1:371" ht="14.4" customHeight="1">
      <c r="A10" s="15">
        <f>+SUM(C10:NC10)</f>
        <v>2527781</v>
      </c>
      <c r="B10" s="16" t="s">
        <v>423</v>
      </c>
      <c r="C10" s="101"/>
      <c r="D10" s="101">
        <v>9002</v>
      </c>
      <c r="E10" s="101">
        <v>5649</v>
      </c>
      <c r="F10" s="101"/>
      <c r="G10" s="78">
        <v>6954</v>
      </c>
      <c r="H10" s="78">
        <v>5004</v>
      </c>
      <c r="I10" s="78">
        <v>8418</v>
      </c>
      <c r="J10" s="78">
        <v>8204</v>
      </c>
      <c r="K10" s="78">
        <v>8074</v>
      </c>
      <c r="L10" s="78">
        <v>7286</v>
      </c>
      <c r="M10" s="78"/>
      <c r="N10" s="78">
        <v>8557</v>
      </c>
      <c r="O10" s="78">
        <v>6162</v>
      </c>
      <c r="P10" s="78">
        <v>7455</v>
      </c>
      <c r="Q10" s="78">
        <v>8421</v>
      </c>
      <c r="R10" s="78">
        <v>8232</v>
      </c>
      <c r="S10" s="78">
        <v>8523</v>
      </c>
      <c r="T10" s="78"/>
      <c r="U10" s="101">
        <v>8279</v>
      </c>
      <c r="V10" s="101">
        <v>4866</v>
      </c>
      <c r="W10" s="101">
        <v>8170</v>
      </c>
      <c r="X10" s="101">
        <v>7865</v>
      </c>
      <c r="Y10" s="101">
        <v>6582</v>
      </c>
      <c r="Z10" s="101">
        <v>6165</v>
      </c>
      <c r="AA10" s="8"/>
      <c r="AB10" s="101">
        <v>7561</v>
      </c>
      <c r="AC10" s="101">
        <v>5892</v>
      </c>
      <c r="AD10" s="101">
        <v>7969</v>
      </c>
      <c r="AE10" s="101">
        <v>8088</v>
      </c>
      <c r="AF10" s="101">
        <v>7559</v>
      </c>
      <c r="AG10" s="101">
        <v>7586</v>
      </c>
      <c r="AH10" s="8"/>
      <c r="AI10" s="101">
        <v>9683</v>
      </c>
      <c r="AJ10" s="101">
        <v>5560</v>
      </c>
      <c r="AK10" s="101">
        <v>7197</v>
      </c>
      <c r="AL10" s="101">
        <v>8242</v>
      </c>
      <c r="AM10" s="101">
        <v>6939</v>
      </c>
      <c r="AN10" s="101">
        <v>7672</v>
      </c>
      <c r="AO10" s="8"/>
      <c r="AP10" s="101">
        <v>8159</v>
      </c>
      <c r="AQ10" s="101">
        <v>5270</v>
      </c>
      <c r="AR10" s="101">
        <v>6565</v>
      </c>
      <c r="AS10" s="101">
        <v>6925</v>
      </c>
      <c r="AT10" s="101">
        <v>5753</v>
      </c>
      <c r="AU10" s="101">
        <v>6414</v>
      </c>
      <c r="AV10" s="8"/>
      <c r="AW10" s="78">
        <v>6724</v>
      </c>
      <c r="AX10" s="78">
        <v>5136</v>
      </c>
      <c r="AY10" s="78">
        <v>6127</v>
      </c>
      <c r="AZ10" s="78">
        <v>6739</v>
      </c>
      <c r="BA10" s="78">
        <v>6231</v>
      </c>
      <c r="BB10" s="190">
        <v>7124</v>
      </c>
      <c r="BC10" s="8"/>
      <c r="BD10" s="7">
        <v>7405</v>
      </c>
      <c r="BE10" s="7">
        <v>5556</v>
      </c>
      <c r="BF10" s="7">
        <v>7569</v>
      </c>
      <c r="BG10" s="7">
        <v>7783</v>
      </c>
      <c r="BH10" s="7">
        <v>7622</v>
      </c>
      <c r="BI10" s="7">
        <v>7766</v>
      </c>
      <c r="BJ10" s="8"/>
      <c r="BK10" s="101">
        <v>8722</v>
      </c>
      <c r="BL10" s="101">
        <v>6673</v>
      </c>
      <c r="BM10" s="101">
        <v>8421</v>
      </c>
      <c r="BN10" s="101">
        <v>10165</v>
      </c>
      <c r="BO10" s="101">
        <v>8769</v>
      </c>
      <c r="BP10" s="101">
        <v>9753</v>
      </c>
      <c r="BQ10" s="8"/>
      <c r="BR10" s="101">
        <v>11737</v>
      </c>
      <c r="BS10" s="101">
        <v>7379</v>
      </c>
      <c r="BT10" s="101">
        <v>11239</v>
      </c>
      <c r="BU10" s="101">
        <v>12235</v>
      </c>
      <c r="BV10" s="101">
        <v>10153</v>
      </c>
      <c r="BW10" s="101">
        <v>12320</v>
      </c>
      <c r="BX10" s="8"/>
      <c r="BY10" s="78">
        <v>14586</v>
      </c>
      <c r="BZ10" s="78">
        <v>9037</v>
      </c>
      <c r="CA10" s="190">
        <v>14716</v>
      </c>
      <c r="CB10" s="8"/>
      <c r="CC10" s="8"/>
      <c r="CD10" s="8"/>
      <c r="CE10" s="8"/>
      <c r="CF10" s="101">
        <v>14817</v>
      </c>
      <c r="CG10" s="101">
        <v>22922</v>
      </c>
      <c r="CH10" s="101">
        <v>13721</v>
      </c>
      <c r="CI10" s="101">
        <v>10608</v>
      </c>
      <c r="CJ10" s="101">
        <v>9716</v>
      </c>
      <c r="CK10" s="101">
        <v>10191</v>
      </c>
      <c r="CL10" s="8"/>
      <c r="CM10" s="101">
        <v>11524</v>
      </c>
      <c r="CN10" s="101">
        <v>8820</v>
      </c>
      <c r="CO10" s="101">
        <v>11585</v>
      </c>
      <c r="CP10" s="101">
        <v>10786</v>
      </c>
      <c r="CQ10" s="101">
        <v>10435</v>
      </c>
      <c r="CR10" s="101">
        <v>9696</v>
      </c>
      <c r="CS10" s="8"/>
      <c r="CT10" s="101">
        <v>10046</v>
      </c>
      <c r="CU10" s="101">
        <v>8368</v>
      </c>
      <c r="CV10" s="101">
        <v>10253</v>
      </c>
      <c r="CW10" s="101">
        <v>10282</v>
      </c>
      <c r="CX10" s="101">
        <v>9678</v>
      </c>
      <c r="CY10" s="101">
        <v>9860</v>
      </c>
      <c r="CZ10" s="8"/>
      <c r="DA10" s="101">
        <v>10542</v>
      </c>
      <c r="DB10" s="101">
        <v>8726</v>
      </c>
      <c r="DC10" s="101">
        <v>9955</v>
      </c>
      <c r="DD10" s="101">
        <v>10277</v>
      </c>
      <c r="DE10" s="101">
        <v>10055</v>
      </c>
      <c r="DF10" s="101">
        <v>10442</v>
      </c>
      <c r="DG10" s="8"/>
      <c r="DH10" s="101">
        <v>11256</v>
      </c>
      <c r="DI10" s="101">
        <v>8278</v>
      </c>
      <c r="DJ10" s="101">
        <v>11351</v>
      </c>
      <c r="DK10" s="101">
        <v>11797</v>
      </c>
      <c r="DL10" s="101">
        <v>7557</v>
      </c>
      <c r="DM10" s="101">
        <v>11624</v>
      </c>
      <c r="DN10" s="8"/>
      <c r="DO10" s="101">
        <v>13061</v>
      </c>
      <c r="DP10" s="101">
        <v>9009</v>
      </c>
      <c r="DQ10" s="101">
        <v>11395</v>
      </c>
      <c r="DR10" s="101">
        <v>11404</v>
      </c>
      <c r="DS10" s="101"/>
      <c r="DT10" s="101">
        <v>12968</v>
      </c>
      <c r="DU10" s="8"/>
      <c r="DV10" s="7">
        <v>9274</v>
      </c>
      <c r="DW10" s="7">
        <v>7629</v>
      </c>
      <c r="DX10" s="7">
        <v>11642</v>
      </c>
      <c r="DY10" s="7">
        <v>12266</v>
      </c>
      <c r="DZ10" s="7">
        <v>11070</v>
      </c>
      <c r="EA10" s="7">
        <v>11050</v>
      </c>
      <c r="EB10" s="8"/>
      <c r="EC10" s="78">
        <v>12067</v>
      </c>
      <c r="ED10" s="78">
        <v>9210</v>
      </c>
      <c r="EE10" s="78">
        <v>12108</v>
      </c>
      <c r="EF10" s="78">
        <v>11693</v>
      </c>
      <c r="EG10" s="78">
        <v>11180</v>
      </c>
      <c r="EH10" s="78">
        <v>11300</v>
      </c>
      <c r="EI10" s="190"/>
      <c r="EJ10" s="78">
        <v>14275</v>
      </c>
      <c r="EK10" s="78">
        <v>10015</v>
      </c>
      <c r="EL10" s="78">
        <v>9970</v>
      </c>
      <c r="EM10" s="78">
        <v>14452</v>
      </c>
      <c r="EN10" s="78">
        <v>15292</v>
      </c>
      <c r="EO10" s="78">
        <v>17606</v>
      </c>
      <c r="EP10" s="78"/>
      <c r="EQ10" s="78">
        <v>17234</v>
      </c>
      <c r="ER10" s="8"/>
      <c r="ES10" s="8"/>
      <c r="ET10" s="8"/>
      <c r="EU10" s="8"/>
      <c r="EV10" s="8"/>
      <c r="EW10" s="8"/>
      <c r="EX10" s="7">
        <v>16125</v>
      </c>
      <c r="EY10" s="7">
        <v>16435</v>
      </c>
      <c r="EZ10" s="7">
        <v>13081</v>
      </c>
      <c r="FA10" s="7">
        <v>12456</v>
      </c>
      <c r="FB10" s="7">
        <v>12380</v>
      </c>
      <c r="FC10" s="7">
        <v>12380</v>
      </c>
      <c r="FD10" s="8"/>
      <c r="FE10" s="101">
        <v>13771</v>
      </c>
      <c r="FF10" s="101">
        <v>10621</v>
      </c>
      <c r="FG10" s="101">
        <v>13447</v>
      </c>
      <c r="FH10" s="101">
        <v>13225</v>
      </c>
      <c r="FI10" s="101">
        <v>11574</v>
      </c>
      <c r="FJ10" s="101">
        <v>11856</v>
      </c>
      <c r="FK10" s="8"/>
      <c r="FL10" s="101">
        <v>12066</v>
      </c>
      <c r="FM10" s="101">
        <v>10044</v>
      </c>
      <c r="FN10" s="101">
        <v>13820</v>
      </c>
      <c r="FO10" s="101">
        <v>15874</v>
      </c>
      <c r="FP10" s="101">
        <v>13074</v>
      </c>
      <c r="FQ10" s="101">
        <v>11580</v>
      </c>
      <c r="FR10" s="8"/>
      <c r="FS10" s="7">
        <v>14839</v>
      </c>
      <c r="FT10" s="7">
        <v>10676</v>
      </c>
      <c r="FU10" s="7">
        <v>12642</v>
      </c>
      <c r="FV10" s="7">
        <v>11969</v>
      </c>
      <c r="FW10" s="7">
        <v>11766</v>
      </c>
      <c r="FX10" s="7">
        <v>11146</v>
      </c>
      <c r="FY10" s="8"/>
      <c r="FZ10" s="7">
        <v>12779</v>
      </c>
      <c r="GA10" s="7">
        <v>8969</v>
      </c>
      <c r="GB10" s="7">
        <v>12751</v>
      </c>
      <c r="GC10" s="7">
        <v>12169</v>
      </c>
      <c r="GD10" s="7">
        <v>15088</v>
      </c>
      <c r="GE10" s="7">
        <v>12689</v>
      </c>
      <c r="GF10" s="8"/>
      <c r="GG10" s="101">
        <v>13761</v>
      </c>
      <c r="GH10" s="101">
        <v>8506</v>
      </c>
      <c r="GI10" s="101">
        <v>12564</v>
      </c>
      <c r="GJ10" s="101">
        <v>11818</v>
      </c>
      <c r="GK10" s="101">
        <v>11020</v>
      </c>
      <c r="GL10" s="101">
        <v>10446</v>
      </c>
      <c r="GM10" s="8"/>
      <c r="GN10" s="101">
        <v>11442</v>
      </c>
      <c r="GO10" s="101">
        <v>7876</v>
      </c>
      <c r="GP10" s="101">
        <v>1606</v>
      </c>
      <c r="GQ10" s="101">
        <v>12238</v>
      </c>
      <c r="GR10" s="101">
        <v>12377</v>
      </c>
      <c r="GS10" s="101">
        <v>12960</v>
      </c>
      <c r="GT10" s="8"/>
      <c r="GU10" s="101">
        <v>13920</v>
      </c>
      <c r="GV10" s="101">
        <v>9412</v>
      </c>
      <c r="GW10" s="101">
        <v>10303</v>
      </c>
      <c r="GX10" s="101">
        <v>11275</v>
      </c>
      <c r="GY10" s="101">
        <v>9995</v>
      </c>
      <c r="GZ10" s="101">
        <v>9839</v>
      </c>
      <c r="HA10" s="8"/>
      <c r="HB10" s="101">
        <v>10771</v>
      </c>
      <c r="HC10" s="101">
        <v>9101</v>
      </c>
      <c r="HD10" s="101">
        <v>11975</v>
      </c>
      <c r="HE10" s="101">
        <v>12636</v>
      </c>
      <c r="HF10" s="101">
        <v>11445</v>
      </c>
      <c r="HG10" s="101">
        <v>11202</v>
      </c>
      <c r="HH10" s="8"/>
      <c r="HI10" s="101">
        <v>13634</v>
      </c>
      <c r="HJ10" s="101">
        <v>7721</v>
      </c>
      <c r="HK10" s="101">
        <v>10498</v>
      </c>
      <c r="HL10" s="101">
        <v>10570</v>
      </c>
      <c r="HM10" s="101">
        <v>10398</v>
      </c>
      <c r="HN10" s="101">
        <v>12082</v>
      </c>
      <c r="HO10" s="8"/>
      <c r="HP10" s="101">
        <v>10703</v>
      </c>
      <c r="HQ10" s="101">
        <v>12010</v>
      </c>
      <c r="HR10" s="101">
        <v>10116</v>
      </c>
      <c r="HS10" s="101">
        <v>10955</v>
      </c>
      <c r="HT10" s="101">
        <v>12460</v>
      </c>
      <c r="HU10" s="101">
        <v>9408</v>
      </c>
      <c r="HV10" s="8"/>
      <c r="HW10" s="101">
        <v>13363</v>
      </c>
      <c r="HX10" s="101">
        <v>14153</v>
      </c>
      <c r="HY10" s="101">
        <v>13365</v>
      </c>
      <c r="HZ10" s="101">
        <v>14556</v>
      </c>
      <c r="IA10" s="101">
        <v>16750</v>
      </c>
      <c r="IB10" s="101">
        <v>15283</v>
      </c>
      <c r="IC10" s="101">
        <v>2505</v>
      </c>
      <c r="ID10" s="101">
        <v>12206</v>
      </c>
      <c r="IE10" s="101">
        <v>13124</v>
      </c>
      <c r="IF10" s="101">
        <v>14983</v>
      </c>
      <c r="IG10" s="101">
        <v>15210</v>
      </c>
      <c r="IH10" s="101">
        <v>14735</v>
      </c>
      <c r="II10" s="101">
        <v>12564</v>
      </c>
      <c r="IJ10" s="8"/>
      <c r="IK10" s="78">
        <v>14391</v>
      </c>
      <c r="IL10" s="78">
        <v>13956</v>
      </c>
      <c r="IM10" s="78">
        <v>13326</v>
      </c>
      <c r="IN10" s="78">
        <v>12997</v>
      </c>
      <c r="IO10" s="78">
        <v>11667</v>
      </c>
      <c r="IP10" s="78">
        <v>10577</v>
      </c>
      <c r="IQ10" s="8"/>
      <c r="IR10" s="78">
        <v>12252</v>
      </c>
      <c r="IS10" s="78">
        <v>9192</v>
      </c>
      <c r="IT10" s="78">
        <v>12637</v>
      </c>
      <c r="IU10" s="78">
        <v>13718</v>
      </c>
      <c r="IV10" s="78">
        <v>12951</v>
      </c>
      <c r="IW10" s="78">
        <v>12395</v>
      </c>
      <c r="IX10" s="8"/>
      <c r="IY10" s="78">
        <v>13659</v>
      </c>
      <c r="IZ10" s="78">
        <v>9783</v>
      </c>
      <c r="JA10" s="78">
        <v>11269</v>
      </c>
      <c r="JB10" s="78">
        <v>15789</v>
      </c>
      <c r="JC10" s="78">
        <v>14087</v>
      </c>
      <c r="JD10" s="78">
        <v>10983</v>
      </c>
      <c r="JE10" s="8"/>
      <c r="JF10" s="78">
        <v>14029</v>
      </c>
      <c r="JG10" s="78">
        <v>13526</v>
      </c>
      <c r="JH10" s="78">
        <v>13296</v>
      </c>
      <c r="JI10" s="78">
        <v>15166</v>
      </c>
      <c r="JJ10" s="78">
        <v>11757</v>
      </c>
      <c r="JK10" s="78">
        <v>12212</v>
      </c>
      <c r="JL10" s="78"/>
      <c r="JM10" s="78">
        <v>12539</v>
      </c>
      <c r="JN10" s="78">
        <v>10623</v>
      </c>
      <c r="JO10" s="78">
        <v>10190</v>
      </c>
      <c r="JP10" s="78">
        <v>10818</v>
      </c>
      <c r="JQ10" s="78">
        <v>13172</v>
      </c>
      <c r="JR10" s="78">
        <v>14268</v>
      </c>
      <c r="JS10" s="8"/>
      <c r="JT10" s="78">
        <v>13795</v>
      </c>
      <c r="JU10" s="78">
        <v>13108</v>
      </c>
      <c r="JV10" s="78">
        <v>11236</v>
      </c>
      <c r="JW10" s="78">
        <v>14450</v>
      </c>
      <c r="JX10" s="78">
        <v>14017</v>
      </c>
      <c r="JY10" s="78">
        <v>13891</v>
      </c>
      <c r="JZ10" s="8"/>
      <c r="KA10" s="8"/>
      <c r="KB10" s="20"/>
      <c r="KC10" s="8"/>
      <c r="KD10" s="8"/>
      <c r="KE10" s="8"/>
      <c r="KF10" s="8"/>
      <c r="KG10" s="8"/>
      <c r="KH10" s="8"/>
      <c r="KI10" s="8"/>
      <c r="KJ10" s="8"/>
      <c r="KK10" s="8"/>
      <c r="KL10" s="8"/>
      <c r="KM10" s="8"/>
      <c r="KN10" s="8"/>
      <c r="KO10" s="8"/>
      <c r="KP10" s="8"/>
      <c r="KQ10" s="8"/>
      <c r="KR10" s="8"/>
      <c r="KS10" s="8"/>
      <c r="KT10" s="8"/>
      <c r="KU10" s="8"/>
      <c r="KV10" s="8"/>
      <c r="KW10" s="8"/>
      <c r="KX10" s="8"/>
      <c r="KY10" s="8"/>
      <c r="KZ10" s="8"/>
      <c r="LA10" s="8"/>
      <c r="LB10" s="8"/>
      <c r="LC10" s="8"/>
      <c r="LD10" s="8"/>
      <c r="LE10" s="20"/>
      <c r="LF10" s="8"/>
      <c r="LG10" s="8"/>
      <c r="LH10" s="8"/>
      <c r="LI10" s="8"/>
      <c r="LJ10" s="8"/>
      <c r="LK10" s="8"/>
      <c r="LL10" s="8"/>
      <c r="LM10" s="8"/>
      <c r="LN10" s="8"/>
      <c r="LO10" s="8"/>
      <c r="LP10" s="8"/>
      <c r="LQ10" s="8"/>
      <c r="LR10" s="8"/>
      <c r="LS10" s="8"/>
      <c r="LT10" s="8"/>
      <c r="LU10" s="8"/>
      <c r="LV10" s="8"/>
      <c r="LW10" s="8"/>
      <c r="LX10" s="8"/>
      <c r="LY10" s="20"/>
      <c r="LZ10" s="8"/>
      <c r="MA10" s="8"/>
      <c r="MB10" s="8"/>
      <c r="MC10" s="8"/>
      <c r="MD10" s="8"/>
      <c r="ME10" s="8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 s="8"/>
      <c r="MU10" s="8"/>
      <c r="MV10" s="7"/>
      <c r="MW10" s="8"/>
      <c r="MX10" s="8"/>
      <c r="MY10" s="8"/>
      <c r="MZ10" s="78"/>
      <c r="NA10" s="8"/>
      <c r="NB10" s="8"/>
      <c r="NC10" s="8"/>
    </row>
    <row r="11" spans="1:371" ht="14.4" customHeight="1">
      <c r="A11" s="17">
        <f>+A10/A9</f>
        <v>26.333166508595529</v>
      </c>
      <c r="B11" s="18" t="s">
        <v>424</v>
      </c>
      <c r="C11" s="101"/>
      <c r="D11" s="101">
        <f t="shared" ref="D11:BO11" si="13">+IFERROR(D10/D9,"")</f>
        <v>22.397677793904208</v>
      </c>
      <c r="E11" s="101">
        <f t="shared" si="13"/>
        <v>14.768627450980393</v>
      </c>
      <c r="F11" s="101"/>
      <c r="G11" s="101">
        <f t="shared" si="13"/>
        <v>18.132985658409385</v>
      </c>
      <c r="H11" s="101">
        <f t="shared" si="13"/>
        <v>12.719339123067147</v>
      </c>
      <c r="I11" s="101">
        <f t="shared" si="13"/>
        <v>21.066944734098016</v>
      </c>
      <c r="J11" s="101">
        <f t="shared" si="13"/>
        <v>21.799822852081487</v>
      </c>
      <c r="K11" s="101">
        <f t="shared" si="13"/>
        <v>22.9375</v>
      </c>
      <c r="L11" s="101">
        <f t="shared" si="13"/>
        <v>27.322500000000005</v>
      </c>
      <c r="M11" s="101"/>
      <c r="N11" s="101">
        <f t="shared" si="13"/>
        <v>29.17988064791134</v>
      </c>
      <c r="O11" s="101">
        <f t="shared" si="13"/>
        <v>15.007915567282321</v>
      </c>
      <c r="P11" s="101">
        <f t="shared" si="13"/>
        <v>18.653044203502919</v>
      </c>
      <c r="Q11" s="101">
        <f t="shared" si="13"/>
        <v>20.121863799283155</v>
      </c>
      <c r="R11" s="101">
        <f t="shared" si="13"/>
        <v>20.880152187698162</v>
      </c>
      <c r="S11" s="101">
        <f t="shared" si="13"/>
        <v>33.643421052631581</v>
      </c>
      <c r="T11" s="101" t="str">
        <f t="shared" si="13"/>
        <v/>
      </c>
      <c r="U11" s="101">
        <f t="shared" si="13"/>
        <v>26.450479233226837</v>
      </c>
      <c r="V11" s="101">
        <f t="shared" si="13"/>
        <v>14.023054755043228</v>
      </c>
      <c r="W11" s="101">
        <f t="shared" si="13"/>
        <v>19.193422083007047</v>
      </c>
      <c r="X11" s="101">
        <f t="shared" si="13"/>
        <v>15.735245081693897</v>
      </c>
      <c r="Y11" s="101">
        <f t="shared" si="13"/>
        <v>17.548100422128414</v>
      </c>
      <c r="Z11" s="101">
        <f t="shared" si="13"/>
        <v>22.242934455802768</v>
      </c>
      <c r="AA11" s="101" t="str">
        <f t="shared" si="13"/>
        <v/>
      </c>
      <c r="AB11" s="101">
        <f t="shared" si="13"/>
        <v>16.090086894839509</v>
      </c>
      <c r="AC11" s="101">
        <f t="shared" si="13"/>
        <v>13.159128978224453</v>
      </c>
      <c r="AD11" s="101">
        <f t="shared" si="13"/>
        <v>18.739564961787185</v>
      </c>
      <c r="AE11" s="101">
        <f t="shared" si="13"/>
        <v>18.371379897785349</v>
      </c>
      <c r="AF11" s="101">
        <f t="shared" si="13"/>
        <v>17.156799697370907</v>
      </c>
      <c r="AG11" s="101">
        <f t="shared" si="13"/>
        <v>21.556239640066302</v>
      </c>
      <c r="AH11" s="101" t="str">
        <f t="shared" si="13"/>
        <v/>
      </c>
      <c r="AI11" s="101">
        <f t="shared" si="13"/>
        <v>22.208715596330276</v>
      </c>
      <c r="AJ11" s="101">
        <f t="shared" si="13"/>
        <v>12.380775654110224</v>
      </c>
      <c r="AK11" s="101">
        <f t="shared" si="13"/>
        <v>16.037883008356545</v>
      </c>
      <c r="AL11" s="101">
        <f t="shared" si="13"/>
        <v>17.523742026931252</v>
      </c>
      <c r="AM11" s="101">
        <f t="shared" si="13"/>
        <v>15.211545487760322</v>
      </c>
      <c r="AN11" s="101">
        <f t="shared" si="13"/>
        <v>24.949593495934959</v>
      </c>
      <c r="AO11" s="101" t="str">
        <f t="shared" si="13"/>
        <v/>
      </c>
      <c r="AP11" s="101">
        <f t="shared" si="13"/>
        <v>20.026181223154019</v>
      </c>
      <c r="AQ11" s="101">
        <f t="shared" si="13"/>
        <v>12.068702290076336</v>
      </c>
      <c r="AR11" s="101">
        <f t="shared" si="13"/>
        <v>16.804607508532424</v>
      </c>
      <c r="AS11" s="101">
        <f t="shared" si="13"/>
        <v>17.148163433759802</v>
      </c>
      <c r="AT11" s="101">
        <f t="shared" si="13"/>
        <v>14.592263792010145</v>
      </c>
      <c r="AU11" s="101">
        <f t="shared" si="13"/>
        <v>24.15061186068403</v>
      </c>
      <c r="AV11" s="101" t="str">
        <f t="shared" si="13"/>
        <v/>
      </c>
      <c r="AW11" s="101">
        <f t="shared" si="13"/>
        <v>15.238526912181303</v>
      </c>
      <c r="AX11" s="101">
        <f t="shared" si="13"/>
        <v>11.838647714175952</v>
      </c>
      <c r="AY11" s="101">
        <f t="shared" si="13"/>
        <v>13.885552407932011</v>
      </c>
      <c r="AZ11" s="101">
        <f t="shared" si="13"/>
        <v>15.611583011583011</v>
      </c>
      <c r="BA11" s="101">
        <f t="shared" si="13"/>
        <v>13.929210134128168</v>
      </c>
      <c r="BB11" s="101">
        <f t="shared" si="13"/>
        <v>24.425142857142859</v>
      </c>
      <c r="BC11" s="101" t="str">
        <f t="shared" si="13"/>
        <v/>
      </c>
      <c r="BD11" s="101">
        <f t="shared" si="13"/>
        <v>17.141203703703709</v>
      </c>
      <c r="BE11" s="101">
        <f t="shared" si="13"/>
        <v>13.820895522388064</v>
      </c>
      <c r="BF11" s="101">
        <f t="shared" si="13"/>
        <v>19.157983547774737</v>
      </c>
      <c r="BG11" s="101">
        <f t="shared" si="13"/>
        <v>21.704857076458286</v>
      </c>
      <c r="BH11" s="101">
        <f t="shared" si="13"/>
        <v>22.205389657683906</v>
      </c>
      <c r="BI11" s="101">
        <f t="shared" si="13"/>
        <v>31.871409028727776</v>
      </c>
      <c r="BJ11" s="101" t="str">
        <f t="shared" si="13"/>
        <v/>
      </c>
      <c r="BK11" s="101">
        <f t="shared" si="13"/>
        <v>22.972783143107993</v>
      </c>
      <c r="BL11" s="101">
        <f t="shared" si="13"/>
        <v>16.72780447044078</v>
      </c>
      <c r="BM11" s="101">
        <f t="shared" si="13"/>
        <v>21.207135362014693</v>
      </c>
      <c r="BN11" s="101">
        <f t="shared" si="13"/>
        <v>23.530092592592595</v>
      </c>
      <c r="BO11" s="101">
        <f t="shared" si="13"/>
        <v>21.899687825182102</v>
      </c>
      <c r="BP11" s="101">
        <f t="shared" ref="BP11:EB11" si="14">+IFERROR(BP10/BP9,"")</f>
        <v>31.811905409078548</v>
      </c>
      <c r="BQ11" s="101" t="str">
        <f t="shared" si="14"/>
        <v/>
      </c>
      <c r="BR11" s="101">
        <f t="shared" si="14"/>
        <v>28.32743362831858</v>
      </c>
      <c r="BS11" s="101">
        <f t="shared" si="14"/>
        <v>19.844912595248765</v>
      </c>
      <c r="BT11" s="101">
        <f t="shared" si="14"/>
        <v>28.719761499148209</v>
      </c>
      <c r="BU11" s="101">
        <f t="shared" si="14"/>
        <v>30.929007794396462</v>
      </c>
      <c r="BV11" s="101">
        <f t="shared" si="14"/>
        <v>24.854345165238676</v>
      </c>
      <c r="BW11" s="101">
        <f t="shared" si="14"/>
        <v>40.504109589041093</v>
      </c>
      <c r="BX11" s="101">
        <f t="shared" si="14"/>
        <v>0</v>
      </c>
      <c r="BY11" s="101">
        <f t="shared" si="14"/>
        <v>32.618710398807309</v>
      </c>
      <c r="BZ11" s="101">
        <f t="shared" si="14"/>
        <v>20.910913999228693</v>
      </c>
      <c r="CA11" s="101">
        <f t="shared" si="14"/>
        <v>32.05518242875295</v>
      </c>
      <c r="CB11" s="101" t="str">
        <f t="shared" si="14"/>
        <v/>
      </c>
      <c r="CC11" s="101" t="str">
        <f t="shared" si="14"/>
        <v/>
      </c>
      <c r="CD11" s="101" t="str">
        <f t="shared" si="14"/>
        <v/>
      </c>
      <c r="CE11" s="101" t="str">
        <f t="shared" si="14"/>
        <v/>
      </c>
      <c r="CF11" s="101">
        <f t="shared" si="14"/>
        <v>35.320619785458881</v>
      </c>
      <c r="CG11" s="101">
        <f t="shared" si="14"/>
        <v>53.245063879210221</v>
      </c>
      <c r="CH11" s="101">
        <f t="shared" si="14"/>
        <v>32.707985697258643</v>
      </c>
      <c r="CI11" s="101">
        <f t="shared" si="14"/>
        <v>25.267169511710993</v>
      </c>
      <c r="CJ11" s="101">
        <f t="shared" si="14"/>
        <v>26.336571041337248</v>
      </c>
      <c r="CK11" s="101">
        <f t="shared" si="14"/>
        <v>30.881818181818183</v>
      </c>
      <c r="CL11" s="101" t="str">
        <f t="shared" si="14"/>
        <v/>
      </c>
      <c r="CM11" s="101">
        <f t="shared" si="14"/>
        <v>28.571900826446281</v>
      </c>
      <c r="CN11" s="101">
        <f t="shared" si="14"/>
        <v>21.037567084078717</v>
      </c>
      <c r="CO11" s="101">
        <f t="shared" si="14"/>
        <v>26.652607361963188</v>
      </c>
      <c r="CP11" s="101">
        <f t="shared" si="14"/>
        <v>26.70903838217086</v>
      </c>
      <c r="CQ11" s="101">
        <f t="shared" si="14"/>
        <v>26.36765634870499</v>
      </c>
      <c r="CR11" s="101">
        <f t="shared" si="14"/>
        <v>37.642186994500157</v>
      </c>
      <c r="CS11" s="101" t="str">
        <f t="shared" si="14"/>
        <v/>
      </c>
      <c r="CT11" s="101">
        <f t="shared" si="14"/>
        <v>23.380915438324283</v>
      </c>
      <c r="CU11" s="101">
        <f t="shared" si="14"/>
        <v>21.283594743535396</v>
      </c>
      <c r="CV11" s="101">
        <f t="shared" si="14"/>
        <v>25.431169904919386</v>
      </c>
      <c r="CW11" s="101">
        <f t="shared" si="14"/>
        <v>24.5833831440526</v>
      </c>
      <c r="CX11" s="101">
        <f t="shared" si="14"/>
        <v>24.547875713379835</v>
      </c>
      <c r="CY11" s="101">
        <f t="shared" si="14"/>
        <v>39.878665318503536</v>
      </c>
      <c r="CZ11" s="101" t="str">
        <f t="shared" si="14"/>
        <v/>
      </c>
      <c r="DA11" s="101">
        <f t="shared" si="14"/>
        <v>24.530541012216403</v>
      </c>
      <c r="DB11" s="101">
        <f t="shared" si="14"/>
        <v>30.888495575221246</v>
      </c>
      <c r="DC11" s="101">
        <f t="shared" si="14"/>
        <v>25.784588819339522</v>
      </c>
      <c r="DD11" s="101">
        <f t="shared" si="14"/>
        <v>28.74015381030063</v>
      </c>
      <c r="DE11" s="101">
        <f t="shared" si="14"/>
        <v>25.787561444753155</v>
      </c>
      <c r="DF11" s="101">
        <f t="shared" si="14"/>
        <v>37.62882882882883</v>
      </c>
      <c r="DG11" s="101" t="str">
        <f t="shared" si="14"/>
        <v/>
      </c>
      <c r="DH11" s="101">
        <f t="shared" si="14"/>
        <v>24.545157186988913</v>
      </c>
      <c r="DI11" s="101">
        <f t="shared" si="14"/>
        <v>21.693819611268836</v>
      </c>
      <c r="DJ11" s="101">
        <f t="shared" si="14"/>
        <v>28.652082456878418</v>
      </c>
      <c r="DK11" s="101">
        <f t="shared" si="14"/>
        <v>49.205422314911367</v>
      </c>
      <c r="DL11" s="101">
        <f t="shared" si="14"/>
        <v>17.64966913195796</v>
      </c>
      <c r="DM11" s="101">
        <f t="shared" si="14"/>
        <v>34.501113034875097</v>
      </c>
      <c r="DN11" s="101" t="str">
        <f t="shared" si="14"/>
        <v/>
      </c>
      <c r="DO11" s="101">
        <f t="shared" si="14"/>
        <v>31.70145631067961</v>
      </c>
      <c r="DP11" s="101">
        <f t="shared" si="14"/>
        <v>22.499063475546308</v>
      </c>
      <c r="DQ11" s="101">
        <f t="shared" si="14"/>
        <v>28.158978583196046</v>
      </c>
      <c r="DR11" s="101">
        <f t="shared" si="14"/>
        <v>30.182620202911338</v>
      </c>
      <c r="DS11" s="101" t="str">
        <f t="shared" si="14"/>
        <v/>
      </c>
      <c r="DT11" s="101">
        <f t="shared" si="14"/>
        <v>46.942986425339363</v>
      </c>
      <c r="DU11" s="101" t="str">
        <f t="shared" si="14"/>
        <v/>
      </c>
      <c r="DV11" s="101">
        <f t="shared" si="14"/>
        <v>24.453526697429137</v>
      </c>
      <c r="DW11" s="101">
        <f t="shared" si="14"/>
        <v>18.922695328648203</v>
      </c>
      <c r="DX11" s="101">
        <f t="shared" si="14"/>
        <v>27.890596925534041</v>
      </c>
      <c r="DY11" s="101">
        <f t="shared" si="14"/>
        <v>27.709337349397593</v>
      </c>
      <c r="DZ11" s="101">
        <f t="shared" si="14"/>
        <v>28.445396145610282</v>
      </c>
      <c r="EA11" s="101">
        <f t="shared" si="14"/>
        <v>42.135367016205912</v>
      </c>
      <c r="EB11" s="101" t="str">
        <f t="shared" si="14"/>
        <v/>
      </c>
      <c r="EC11" s="101">
        <f t="shared" ref="EC11:GN11" si="15">+IFERROR(EC10/EC9,"")</f>
        <v>25.074285714285718</v>
      </c>
      <c r="ED11" s="101">
        <f t="shared" si="15"/>
        <v>20.208447613823367</v>
      </c>
      <c r="EE11" s="101">
        <f t="shared" si="15"/>
        <v>26.782672811059911</v>
      </c>
      <c r="EF11" s="101">
        <f t="shared" si="15"/>
        <v>26.301030927835054</v>
      </c>
      <c r="EG11" s="101">
        <f t="shared" si="15"/>
        <v>23.698993110757815</v>
      </c>
      <c r="EH11" s="101">
        <f t="shared" si="15"/>
        <v>37.049180327868854</v>
      </c>
      <c r="EI11" s="101" t="str">
        <f t="shared" si="15"/>
        <v/>
      </c>
      <c r="EJ11" s="101">
        <f t="shared" si="15"/>
        <v>32.728314864348491</v>
      </c>
      <c r="EK11" s="101">
        <f t="shared" si="15"/>
        <v>37.6150234741784</v>
      </c>
      <c r="EL11" s="101">
        <f t="shared" si="15"/>
        <v>23.01211771494518</v>
      </c>
      <c r="EM11" s="101">
        <f t="shared" si="15"/>
        <v>31.820917431192658</v>
      </c>
      <c r="EN11" s="101">
        <f t="shared" si="15"/>
        <v>34.159344750558446</v>
      </c>
      <c r="EO11" s="101">
        <f t="shared" si="15"/>
        <v>57.661572052401738</v>
      </c>
      <c r="EP11" s="101" t="str">
        <f t="shared" si="15"/>
        <v/>
      </c>
      <c r="EQ11" s="101">
        <f t="shared" si="15"/>
        <v>37.960352422907484</v>
      </c>
      <c r="ER11" s="101" t="str">
        <f t="shared" si="15"/>
        <v/>
      </c>
      <c r="ES11" s="101" t="str">
        <f t="shared" si="15"/>
        <v/>
      </c>
      <c r="ET11" s="101" t="str">
        <f t="shared" si="15"/>
        <v/>
      </c>
      <c r="EU11" s="101" t="str">
        <f t="shared" si="15"/>
        <v/>
      </c>
      <c r="EV11" s="101" t="str">
        <f t="shared" si="15"/>
        <v/>
      </c>
      <c r="EW11" s="101" t="str">
        <f t="shared" si="15"/>
        <v/>
      </c>
      <c r="EX11" s="101">
        <f t="shared" si="15"/>
        <v>41.399229781771503</v>
      </c>
      <c r="EY11" s="101">
        <f t="shared" si="15"/>
        <v>38.08071056188453</v>
      </c>
      <c r="EZ11" s="101">
        <f t="shared" si="15"/>
        <v>31.769277474195508</v>
      </c>
      <c r="FA11" s="101">
        <f t="shared" si="15"/>
        <v>31.004355942750468</v>
      </c>
      <c r="FB11" s="101">
        <f t="shared" si="15"/>
        <v>32.918236206514507</v>
      </c>
      <c r="FC11" s="101">
        <f t="shared" si="15"/>
        <v>52.943692088382043</v>
      </c>
      <c r="FD11" s="101" t="str">
        <f t="shared" si="15"/>
        <v/>
      </c>
      <c r="FE11" s="101">
        <f t="shared" si="15"/>
        <v>32.26947861745753</v>
      </c>
      <c r="FF11" s="101">
        <f t="shared" si="15"/>
        <v>28.228571428571428</v>
      </c>
      <c r="FG11" s="101">
        <f t="shared" si="15"/>
        <v>32.125024885526578</v>
      </c>
      <c r="FH11" s="101">
        <f t="shared" si="15"/>
        <v>32.640888523241465</v>
      </c>
      <c r="FI11" s="101">
        <f t="shared" si="15"/>
        <v>28.235007115267329</v>
      </c>
      <c r="FJ11" s="101">
        <f t="shared" si="15"/>
        <v>43.911111111111111</v>
      </c>
      <c r="FK11" s="101" t="str">
        <f t="shared" si="15"/>
        <v/>
      </c>
      <c r="FL11" s="101">
        <f t="shared" si="15"/>
        <v>29.345764085934334</v>
      </c>
      <c r="FM11" s="101">
        <f t="shared" si="15"/>
        <v>24.423100303951369</v>
      </c>
      <c r="FN11" s="101">
        <f t="shared" si="15"/>
        <v>32.613569321533923</v>
      </c>
      <c r="FO11" s="101">
        <f t="shared" si="15"/>
        <v>39.834378920953576</v>
      </c>
      <c r="FP11" s="101">
        <f t="shared" si="15"/>
        <v>34.965010028972593</v>
      </c>
      <c r="FQ11" s="101">
        <f t="shared" si="15"/>
        <v>49.913793103448278</v>
      </c>
      <c r="FR11" s="101" t="str">
        <f t="shared" si="15"/>
        <v/>
      </c>
      <c r="FS11" s="101">
        <f t="shared" si="15"/>
        <v>31.572340425531916</v>
      </c>
      <c r="FT11" s="101">
        <f t="shared" si="15"/>
        <v>23.437980241492866</v>
      </c>
      <c r="FU11" s="101">
        <f t="shared" si="15"/>
        <v>27.81008249312557</v>
      </c>
      <c r="FV11" s="101">
        <f t="shared" si="15"/>
        <v>26.766306373462541</v>
      </c>
      <c r="FW11" s="101">
        <f t="shared" si="15"/>
        <v>28.69172932330827</v>
      </c>
      <c r="FX11" s="101">
        <f t="shared" si="15"/>
        <v>44.274081429990069</v>
      </c>
      <c r="FY11" s="101" t="str">
        <f t="shared" si="15"/>
        <v/>
      </c>
      <c r="FZ11" s="101">
        <f t="shared" si="15"/>
        <v>26.110675974799928</v>
      </c>
      <c r="GA11" s="101">
        <f t="shared" si="15"/>
        <v>18.325898178103181</v>
      </c>
      <c r="GB11" s="101">
        <f t="shared" si="15"/>
        <v>26.783126203395764</v>
      </c>
      <c r="GC11" s="101">
        <f t="shared" si="15"/>
        <v>26.076428571428572</v>
      </c>
      <c r="GD11" s="101">
        <f t="shared" si="15"/>
        <v>32.412459720730396</v>
      </c>
      <c r="GE11" s="101">
        <f t="shared" si="15"/>
        <v>53.691114245416074</v>
      </c>
      <c r="GF11" s="101" t="str">
        <f t="shared" si="15"/>
        <v/>
      </c>
      <c r="GG11" s="101">
        <f t="shared" si="15"/>
        <v>33.272617368527101</v>
      </c>
      <c r="GH11" s="101">
        <f t="shared" si="15"/>
        <v>19.591554702495202</v>
      </c>
      <c r="GI11" s="101">
        <f t="shared" si="15"/>
        <v>28.023791821561339</v>
      </c>
      <c r="GJ11" s="101">
        <f t="shared" si="15"/>
        <v>29.120328542094459</v>
      </c>
      <c r="GK11" s="101">
        <f t="shared" si="15"/>
        <v>31.448275862068968</v>
      </c>
      <c r="GL11" s="101">
        <f t="shared" si="15"/>
        <v>39.794285714285714</v>
      </c>
      <c r="GM11" s="101"/>
      <c r="GN11" s="101">
        <f t="shared" si="15"/>
        <v>30.668751396024124</v>
      </c>
      <c r="GO11" s="101">
        <f t="shared" ref="GO11:IZ11" si="16">+IFERROR(GO10/GO9,"")</f>
        <v>23.296031550406706</v>
      </c>
      <c r="GP11" s="101">
        <f t="shared" si="16"/>
        <v>31.645320197044335</v>
      </c>
      <c r="GQ11" s="101">
        <f t="shared" si="16"/>
        <v>30.813260595887538</v>
      </c>
      <c r="GR11" s="101">
        <f t="shared" si="16"/>
        <v>34.881164866134334</v>
      </c>
      <c r="GS11" s="101">
        <f t="shared" si="16"/>
        <v>55.781922525107611</v>
      </c>
      <c r="GT11" s="101" t="str">
        <f t="shared" si="16"/>
        <v/>
      </c>
      <c r="GU11" s="101">
        <f t="shared" si="16"/>
        <v>31.762692527096402</v>
      </c>
      <c r="GV11" s="101">
        <f t="shared" si="16"/>
        <v>20.449755567626287</v>
      </c>
      <c r="GW11" s="101">
        <f t="shared" si="16"/>
        <v>22.329059057251214</v>
      </c>
      <c r="GX11" s="101">
        <f t="shared" si="16"/>
        <v>25.969289827255281</v>
      </c>
      <c r="GY11" s="101">
        <f t="shared" si="16"/>
        <v>21.839038601602326</v>
      </c>
      <c r="GZ11" s="101">
        <f t="shared" si="16"/>
        <v>36.508348794063082</v>
      </c>
      <c r="HA11" s="101"/>
      <c r="HB11" s="101">
        <f t="shared" si="16"/>
        <v>23.663859392164035</v>
      </c>
      <c r="HC11" s="101">
        <f t="shared" si="16"/>
        <v>20.949932860157293</v>
      </c>
      <c r="HD11" s="101">
        <f t="shared" si="16"/>
        <v>26.955543050084408</v>
      </c>
      <c r="HE11" s="101">
        <f t="shared" si="16"/>
        <v>29.374660984114676</v>
      </c>
      <c r="HF11" s="101">
        <f t="shared" si="16"/>
        <v>26.164983806439317</v>
      </c>
      <c r="HG11" s="101">
        <f t="shared" si="16"/>
        <v>39.4089709762533</v>
      </c>
      <c r="HH11" s="101" t="str">
        <f t="shared" si="16"/>
        <v/>
      </c>
      <c r="HI11" s="101">
        <f t="shared" si="16"/>
        <v>32.327208061647895</v>
      </c>
      <c r="HJ11" s="101">
        <f t="shared" si="16"/>
        <v>19.86535162950257</v>
      </c>
      <c r="HK11" s="101">
        <f t="shared" si="16"/>
        <v>26.206781776575824</v>
      </c>
      <c r="HL11" s="101">
        <f t="shared" si="16"/>
        <v>26.266307724166488</v>
      </c>
      <c r="HM11" s="101">
        <f t="shared" si="16"/>
        <v>29.146461107217938</v>
      </c>
      <c r="HN11" s="101">
        <f t="shared" si="16"/>
        <v>51.050704225352106</v>
      </c>
      <c r="HO11" s="101">
        <f t="shared" si="16"/>
        <v>0</v>
      </c>
      <c r="HP11" s="101">
        <f t="shared" si="16"/>
        <v>27.751944684528954</v>
      </c>
      <c r="HQ11" s="101">
        <f t="shared" si="16"/>
        <v>27.477597712106771</v>
      </c>
      <c r="HR11" s="101">
        <f t="shared" si="16"/>
        <v>22.749625187406298</v>
      </c>
      <c r="HS11" s="101">
        <f t="shared" si="16"/>
        <v>25.655737704918028</v>
      </c>
      <c r="HT11" s="101">
        <f t="shared" si="16"/>
        <v>28.371916508538902</v>
      </c>
      <c r="HU11" s="101">
        <f t="shared" si="16"/>
        <v>27.395292404756127</v>
      </c>
      <c r="HV11" s="101" t="str">
        <f t="shared" si="16"/>
        <v/>
      </c>
      <c r="HW11" s="101">
        <f t="shared" si="16"/>
        <v>27.197421981004073</v>
      </c>
      <c r="HX11" s="101">
        <f t="shared" si="16"/>
        <v>27.3179990349043</v>
      </c>
      <c r="HY11" s="101">
        <f t="shared" si="16"/>
        <v>27.872784150156409</v>
      </c>
      <c r="HZ11" s="101">
        <f t="shared" si="16"/>
        <v>30.457192676547514</v>
      </c>
      <c r="IA11" s="101">
        <f t="shared" si="16"/>
        <v>29.773366908606132</v>
      </c>
      <c r="IB11" s="101">
        <f t="shared" si="16"/>
        <v>41.633598183881958</v>
      </c>
      <c r="IC11" s="101">
        <f t="shared" si="16"/>
        <v>10.013324450366422</v>
      </c>
      <c r="ID11" s="101">
        <f t="shared" si="16"/>
        <v>22.911309244486155</v>
      </c>
      <c r="IE11" s="101">
        <f t="shared" si="16"/>
        <v>26.117412935323387</v>
      </c>
      <c r="IF11" s="101">
        <f t="shared" si="16"/>
        <v>30.484231943031538</v>
      </c>
      <c r="IG11" s="101">
        <f t="shared" si="16"/>
        <v>32.523164647184601</v>
      </c>
      <c r="IH11" s="101">
        <f t="shared" si="16"/>
        <v>31.317747077577046</v>
      </c>
      <c r="II11" s="101">
        <f t="shared" si="16"/>
        <v>41.137244201909965</v>
      </c>
      <c r="IJ11" s="101" t="str">
        <f t="shared" si="16"/>
        <v/>
      </c>
      <c r="IK11" s="101">
        <f t="shared" si="16"/>
        <v>28.762824783477679</v>
      </c>
      <c r="IL11" s="101">
        <f t="shared" si="16"/>
        <v>30.213241926754467</v>
      </c>
      <c r="IM11" s="101">
        <f t="shared" si="16"/>
        <v>27.714384748700173</v>
      </c>
      <c r="IN11" s="101">
        <f t="shared" si="16"/>
        <v>25.787698412698411</v>
      </c>
      <c r="IO11" s="101">
        <f t="shared" si="16"/>
        <v>24.433507853403142</v>
      </c>
      <c r="IP11" s="101">
        <f t="shared" si="16"/>
        <v>28.205333333333332</v>
      </c>
      <c r="IQ11" s="101">
        <f t="shared" si="16"/>
        <v>0</v>
      </c>
      <c r="IR11" s="101">
        <f t="shared" si="16"/>
        <v>22.235934664246823</v>
      </c>
      <c r="IS11" s="101">
        <f t="shared" si="16"/>
        <v>18.557200538358011</v>
      </c>
      <c r="IT11" s="101">
        <f t="shared" si="16"/>
        <v>24.871904215187797</v>
      </c>
      <c r="IU11" s="101">
        <f t="shared" si="16"/>
        <v>26.889251878471086</v>
      </c>
      <c r="IV11" s="101">
        <f t="shared" si="16"/>
        <v>23.412473636637539</v>
      </c>
      <c r="IW11" s="101">
        <f t="shared" si="16"/>
        <v>35.229748934154422</v>
      </c>
      <c r="IX11" s="101" t="str">
        <f t="shared" si="16"/>
        <v/>
      </c>
      <c r="IY11" s="101">
        <f t="shared" si="16"/>
        <v>28.397089397089395</v>
      </c>
      <c r="IZ11" s="101">
        <f t="shared" si="16"/>
        <v>18.554765291607396</v>
      </c>
      <c r="JA11" s="101">
        <f t="shared" ref="JA11:JZ11" si="17">+IFERROR(JA10/JA9,"")</f>
        <v>23.18724279835391</v>
      </c>
      <c r="JB11" s="101">
        <f t="shared" si="17"/>
        <v>32.140458015267171</v>
      </c>
      <c r="JC11" s="101">
        <f t="shared" si="17"/>
        <v>31.00586940572267</v>
      </c>
      <c r="JD11" s="101">
        <f t="shared" si="17"/>
        <v>36.876329043088973</v>
      </c>
      <c r="JE11" s="101" t="str">
        <f t="shared" si="17"/>
        <v/>
      </c>
      <c r="JF11" s="101">
        <f t="shared" si="17"/>
        <v>30.349378042184966</v>
      </c>
      <c r="JG11" s="101">
        <f t="shared" si="17"/>
        <v>27.192494555201876</v>
      </c>
      <c r="JH11" s="101">
        <f t="shared" si="17"/>
        <v>26.442161087172689</v>
      </c>
      <c r="JI11" s="101">
        <f t="shared" si="17"/>
        <v>29.722684958353746</v>
      </c>
      <c r="JJ11" s="101">
        <f t="shared" si="17"/>
        <v>24.145815505733356</v>
      </c>
      <c r="JK11" s="101">
        <f t="shared" si="17"/>
        <v>34.983050847457626</v>
      </c>
      <c r="JL11" s="101" t="str">
        <f t="shared" si="17"/>
        <v/>
      </c>
      <c r="JM11" s="101">
        <f t="shared" si="17"/>
        <v>23.375485474599966</v>
      </c>
      <c r="JN11" s="101">
        <f t="shared" si="17"/>
        <v>20.450148391754233</v>
      </c>
      <c r="JO11" s="101">
        <f t="shared" si="17"/>
        <v>18.812307692307691</v>
      </c>
      <c r="JP11" s="101">
        <f t="shared" si="17"/>
        <v>22.085062946580472</v>
      </c>
      <c r="JQ11" s="101">
        <f t="shared" si="17"/>
        <v>28.500540930400291</v>
      </c>
      <c r="JR11" s="101">
        <f t="shared" si="17"/>
        <v>30.006309148264986</v>
      </c>
      <c r="JS11" s="101" t="str">
        <f t="shared" si="17"/>
        <v/>
      </c>
      <c r="JT11" s="101">
        <f t="shared" si="17"/>
        <v>25.829302543298489</v>
      </c>
      <c r="JU11" s="101">
        <f t="shared" si="17"/>
        <v>25.917943648047455</v>
      </c>
      <c r="JV11" s="101">
        <f t="shared" si="17"/>
        <v>21.511167836630502</v>
      </c>
      <c r="JW11" s="101">
        <f t="shared" si="17"/>
        <v>28.254847645429361</v>
      </c>
      <c r="JX11" s="101">
        <f t="shared" si="17"/>
        <v>20.850873930829305</v>
      </c>
      <c r="JY11" s="101">
        <f t="shared" si="17"/>
        <v>19.915412186379928</v>
      </c>
      <c r="JZ11" s="101" t="str">
        <f t="shared" si="17"/>
        <v/>
      </c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  <c r="KW11" s="8"/>
      <c r="KX11" s="8"/>
      <c r="KY11" s="8"/>
      <c r="KZ11" s="8"/>
      <c r="LA11" s="8"/>
      <c r="LB11" s="8"/>
      <c r="LC11" s="8"/>
      <c r="LD11" s="8"/>
      <c r="LE11" s="8"/>
      <c r="LF11" s="8"/>
      <c r="LG11" s="8"/>
      <c r="LH11" s="8"/>
      <c r="LI11" s="8"/>
      <c r="LJ11" s="8"/>
      <c r="LK11" s="8"/>
      <c r="LL11" s="8"/>
      <c r="LM11" s="8"/>
      <c r="LN11" s="8"/>
      <c r="LO11" s="8"/>
      <c r="LP11" s="8"/>
      <c r="LQ11" s="8"/>
      <c r="LR11" s="8"/>
      <c r="LS11" s="8"/>
      <c r="LT11" s="8"/>
      <c r="LU11" s="8"/>
      <c r="LV11" s="8"/>
      <c r="LW11" s="8"/>
      <c r="LX11" s="8"/>
      <c r="LY11" s="83"/>
      <c r="LZ11" s="34"/>
      <c r="MA11" s="34"/>
      <c r="MB11" s="34"/>
      <c r="MC11" s="34"/>
      <c r="MD11" s="34"/>
      <c r="ME11" s="34"/>
      <c r="MF11" s="34"/>
      <c r="MG11" s="34"/>
      <c r="MH11" s="34"/>
      <c r="MI11" s="34"/>
      <c r="MJ11" s="34"/>
      <c r="MK11" s="34"/>
      <c r="ML11" s="34"/>
      <c r="MM11" s="34"/>
      <c r="MN11" s="34"/>
      <c r="MO11" s="34"/>
      <c r="MP11" s="34"/>
      <c r="MQ11" s="34"/>
      <c r="MR11" s="34"/>
      <c r="MS11" s="34"/>
      <c r="MT11" s="8"/>
      <c r="MU11" s="8"/>
      <c r="MV11" s="7"/>
      <c r="MW11" s="8"/>
      <c r="MX11" s="8"/>
      <c r="MY11" s="8"/>
      <c r="MZ11" s="78"/>
      <c r="NA11" s="8"/>
      <c r="NB11" s="8"/>
      <c r="NC11" s="8"/>
    </row>
    <row r="12" spans="1:371" ht="14.4" customHeight="1">
      <c r="C12" s="36"/>
      <c r="G12" s="77"/>
      <c r="H12" s="78"/>
      <c r="N12" s="36"/>
      <c r="AI12" s="36"/>
      <c r="AP12" s="20"/>
      <c r="BA12" s="36"/>
      <c r="BB12" s="36"/>
      <c r="BC12" s="36"/>
      <c r="BK12" s="36"/>
      <c r="BR12" s="8"/>
      <c r="BW12" s="118"/>
      <c r="BX12" s="118"/>
      <c r="BY12" s="3"/>
      <c r="BZ12"/>
      <c r="CA12"/>
      <c r="CB12"/>
      <c r="CC12"/>
      <c r="CD12"/>
      <c r="CE12"/>
      <c r="CF12" s="3"/>
      <c r="CG12"/>
      <c r="CM12" s="3"/>
      <c r="CT12" s="3"/>
      <c r="CU12" s="38"/>
      <c r="CW12" s="118"/>
      <c r="CX12" s="118"/>
      <c r="DA12" s="3"/>
      <c r="DH12" s="3"/>
      <c r="DI12" s="94"/>
      <c r="DN12" s="95"/>
      <c r="DO12" s="20"/>
      <c r="DS12" s="8"/>
      <c r="DT12" s="8"/>
      <c r="DV12" s="36"/>
      <c r="EC12" s="36"/>
      <c r="EE12" s="242"/>
      <c r="EF12" s="242"/>
      <c r="EH12" s="24"/>
      <c r="EI12" s="93"/>
      <c r="EJ12" s="36"/>
      <c r="EQ12" s="36"/>
      <c r="ER12" s="8"/>
      <c r="ES12" s="8"/>
      <c r="ET12" s="8"/>
      <c r="EX12" s="36"/>
      <c r="EY12" s="24"/>
      <c r="EZ12" s="25"/>
      <c r="FE12" s="7"/>
      <c r="FI12" s="24"/>
      <c r="FJ12" s="25"/>
      <c r="FL12" s="7"/>
      <c r="FM12" s="25"/>
      <c r="FO12" s="118"/>
      <c r="FP12" s="118"/>
      <c r="FS12" s="20"/>
      <c r="FV12" s="95"/>
      <c r="FW12" s="95"/>
      <c r="FZ12" s="20"/>
      <c r="GE12" s="59"/>
      <c r="GF12" s="35"/>
      <c r="GG12" s="36"/>
      <c r="GI12" s="24"/>
      <c r="GJ12" s="25"/>
      <c r="GM12" s="8"/>
      <c r="GN12" s="8"/>
      <c r="GS12" s="8"/>
      <c r="GT12" s="8"/>
      <c r="GU12" s="36"/>
      <c r="GZ12" s="24"/>
      <c r="HA12" s="25"/>
      <c r="HB12" s="20"/>
      <c r="HC12" s="8"/>
      <c r="HI12" s="20"/>
      <c r="HJ12" s="24"/>
      <c r="HK12" s="25"/>
      <c r="HO12" s="24"/>
      <c r="HP12" s="20"/>
      <c r="HT12" s="96"/>
      <c r="HU12" s="96"/>
      <c r="HW12" s="36"/>
      <c r="IC12" s="24"/>
      <c r="ID12" s="20"/>
      <c r="IK12" s="36"/>
      <c r="IL12" s="95"/>
      <c r="IM12" s="95"/>
      <c r="IR12" s="20"/>
      <c r="IS12" s="8"/>
      <c r="IT12" s="8"/>
      <c r="IU12" s="8"/>
      <c r="IY12" s="36"/>
      <c r="JF12" s="36"/>
      <c r="JM12" s="224"/>
      <c r="JN12" s="25"/>
      <c r="JQ12" s="8"/>
      <c r="JR12" s="8"/>
      <c r="JT12" s="36"/>
      <c r="JZ12" s="24"/>
      <c r="KA12" s="25"/>
      <c r="KG12" s="24"/>
      <c r="KH12" s="25"/>
      <c r="KO12" s="24"/>
      <c r="KP12" s="25"/>
      <c r="KX12" s="77"/>
      <c r="KY12" s="78"/>
      <c r="LA12" s="96"/>
      <c r="LB12" s="96"/>
      <c r="LN12" s="24"/>
      <c r="LO12" s="24"/>
      <c r="LP12" s="25"/>
      <c r="LX12" s="24"/>
      <c r="LY12" s="25"/>
      <c r="MF12" s="24"/>
      <c r="MG12" s="25"/>
      <c r="MM12" s="8"/>
      <c r="MN12" s="8"/>
      <c r="MS12" s="77"/>
      <c r="MT12" s="78"/>
      <c r="MZ12" s="78"/>
    </row>
    <row r="13" spans="1:371" ht="16.8" customHeight="1">
      <c r="C13" s="36"/>
      <c r="F13" s="118"/>
      <c r="G13" s="119"/>
      <c r="H13" s="78"/>
      <c r="N13" s="36"/>
      <c r="R13" s="78"/>
      <c r="U13" s="36"/>
      <c r="V13" s="36"/>
      <c r="AB13" s="119"/>
      <c r="AC13" s="118"/>
      <c r="AI13" s="36"/>
      <c r="AP13" s="20"/>
      <c r="AV13" s="118"/>
      <c r="AW13" s="119"/>
      <c r="BE13" s="36"/>
      <c r="BF13" s="118"/>
      <c r="BG13" s="118"/>
      <c r="BK13" s="36"/>
      <c r="BR13" s="8"/>
      <c r="BT13" s="36"/>
      <c r="BW13" s="77"/>
      <c r="BX13" s="78"/>
      <c r="BY13" s="3"/>
      <c r="BZ13"/>
      <c r="CA13" s="118"/>
      <c r="CB13" s="118"/>
      <c r="CC13"/>
      <c r="CD13"/>
      <c r="CE13"/>
      <c r="CF13" s="3"/>
      <c r="CG13"/>
      <c r="CI13" s="118"/>
      <c r="CJ13" s="118"/>
      <c r="CM13" s="3"/>
      <c r="CT13" s="3"/>
      <c r="CU13" s="38"/>
      <c r="CW13" s="77"/>
      <c r="CX13" s="78"/>
      <c r="DA13" s="3"/>
      <c r="DD13" s="118"/>
      <c r="DE13" s="118"/>
      <c r="DH13" s="3"/>
      <c r="DI13" s="25"/>
      <c r="DL13" s="118"/>
      <c r="DM13" s="118"/>
      <c r="DN13" s="24"/>
      <c r="DO13" s="20"/>
      <c r="DS13" s="241"/>
      <c r="DT13" s="241"/>
      <c r="DV13" s="36"/>
      <c r="EC13" s="36"/>
      <c r="ED13" s="118"/>
      <c r="EE13" s="118"/>
      <c r="EF13" s="95"/>
      <c r="EH13" s="24"/>
      <c r="EI13" s="93"/>
      <c r="EJ13" s="36"/>
      <c r="EQ13" s="36"/>
      <c r="ER13" s="96"/>
      <c r="ES13" s="96"/>
      <c r="ET13" s="96"/>
      <c r="EX13" s="36"/>
      <c r="EY13" s="24"/>
      <c r="EZ13" s="25"/>
      <c r="FE13" s="7"/>
      <c r="FG13" s="118"/>
      <c r="FH13" s="118"/>
      <c r="FI13" s="24"/>
      <c r="FJ13" s="26"/>
      <c r="FL13" s="7"/>
      <c r="FM13" s="25"/>
      <c r="FO13" s="77"/>
      <c r="FP13" s="78"/>
      <c r="FS13" s="20"/>
      <c r="FV13" s="24"/>
      <c r="FW13" s="25"/>
      <c r="FZ13" s="20"/>
      <c r="GB13" s="59"/>
      <c r="GC13" s="35"/>
      <c r="GE13" s="59"/>
      <c r="GF13" s="35"/>
      <c r="GG13" s="36"/>
      <c r="GI13" s="24"/>
      <c r="GJ13" s="25"/>
      <c r="GM13" s="95"/>
      <c r="GN13" s="94"/>
      <c r="GS13" s="42"/>
      <c r="GT13" s="42"/>
      <c r="GU13" s="36"/>
      <c r="GZ13" s="24"/>
      <c r="HA13" s="25"/>
      <c r="HB13" s="20"/>
      <c r="HC13" s="8"/>
      <c r="HI13" s="20"/>
      <c r="HJ13" s="118"/>
      <c r="HK13" s="25"/>
      <c r="HO13" s="24"/>
      <c r="HP13" s="20"/>
      <c r="HT13" s="54"/>
      <c r="HU13" s="55"/>
      <c r="HW13" s="36"/>
      <c r="IC13" s="24"/>
      <c r="ID13" s="20"/>
      <c r="IE13" s="118"/>
      <c r="IF13" s="118"/>
      <c r="IK13" s="36"/>
      <c r="IL13" s="24"/>
      <c r="IM13" s="25"/>
      <c r="IR13" s="20"/>
      <c r="IS13" s="118"/>
      <c r="IT13" s="118"/>
      <c r="IU13" s="95"/>
      <c r="IY13" s="36"/>
      <c r="JF13" s="36"/>
      <c r="JM13" s="224"/>
      <c r="JN13" s="25"/>
      <c r="JQ13" s="95"/>
      <c r="JR13" s="95"/>
      <c r="JT13" s="36"/>
      <c r="JZ13" s="24"/>
      <c r="KA13" s="25"/>
      <c r="KG13" s="24"/>
      <c r="KH13" s="25"/>
      <c r="KO13" s="24"/>
      <c r="KP13" s="25"/>
      <c r="KX13" s="77"/>
      <c r="KY13" s="78"/>
      <c r="LA13" s="54"/>
      <c r="LB13" s="55"/>
      <c r="LN13" s="24"/>
      <c r="LO13" s="24"/>
      <c r="LP13" s="25"/>
      <c r="LX13" s="24"/>
      <c r="LY13" s="25"/>
      <c r="MF13" s="24"/>
      <c r="MG13" s="25"/>
      <c r="MM13" s="96"/>
      <c r="MN13" s="96"/>
      <c r="MS13" s="77"/>
      <c r="MT13" s="62"/>
    </row>
    <row r="14" spans="1:371" ht="16.8">
      <c r="C14" s="36"/>
      <c r="F14" s="77"/>
      <c r="G14" s="119"/>
      <c r="H14" s="78"/>
      <c r="N14" s="36"/>
      <c r="U14" s="36"/>
      <c r="V14" s="118"/>
      <c r="AB14" s="119"/>
      <c r="AC14" s="78"/>
      <c r="AF14" s="93"/>
      <c r="AG14" s="93"/>
      <c r="AI14" s="36"/>
      <c r="AP14" s="20"/>
      <c r="AR14" s="191"/>
      <c r="AS14" s="118"/>
      <c r="AV14" s="77"/>
      <c r="AW14" s="119"/>
      <c r="BD14" s="118"/>
      <c r="BE14" s="36"/>
      <c r="BF14" s="77"/>
      <c r="BG14" s="78"/>
      <c r="BK14" s="36"/>
      <c r="BR14" s="8"/>
      <c r="BW14" s="77"/>
      <c r="BX14" s="78"/>
      <c r="BY14" s="36"/>
      <c r="CA14" s="77"/>
      <c r="CB14" s="78"/>
      <c r="CC14" s="37"/>
      <c r="CF14" s="36"/>
      <c r="CI14" s="77"/>
      <c r="CJ14" s="78"/>
      <c r="CM14" s="36"/>
      <c r="CT14" s="36"/>
      <c r="CU14" s="38"/>
      <c r="CW14" s="77"/>
      <c r="CX14" s="78"/>
      <c r="DA14" s="36"/>
      <c r="DD14" s="77"/>
      <c r="DE14" s="78"/>
      <c r="DH14" s="36"/>
      <c r="DI14" s="25"/>
      <c r="DL14" s="77"/>
      <c r="DM14" s="78"/>
      <c r="DN14" s="24"/>
      <c r="DO14" s="20"/>
      <c r="DS14" s="96"/>
      <c r="DT14" s="96"/>
      <c r="DV14" s="216"/>
      <c r="EC14" s="36"/>
      <c r="ED14" s="77"/>
      <c r="EE14" s="78"/>
      <c r="EF14" s="25"/>
      <c r="EH14" s="24"/>
      <c r="EI14" s="93"/>
      <c r="EJ14" s="36"/>
      <c r="EQ14" s="36"/>
      <c r="ER14" s="54"/>
      <c r="ES14" s="56"/>
      <c r="ET14" s="55"/>
      <c r="EX14" s="36"/>
      <c r="EY14" s="24"/>
      <c r="EZ14" s="25"/>
      <c r="FE14" s="7"/>
      <c r="FG14" s="77"/>
      <c r="FH14" s="78"/>
      <c r="FL14" s="7"/>
      <c r="FM14" s="25"/>
      <c r="FO14" s="77"/>
      <c r="FP14" s="78"/>
      <c r="FS14" s="20"/>
      <c r="FT14" s="118"/>
      <c r="FV14" s="24"/>
      <c r="FW14" s="25"/>
      <c r="FZ14" s="20"/>
      <c r="GB14" s="59"/>
      <c r="GC14" s="35"/>
      <c r="GE14" s="59"/>
      <c r="GF14" s="35"/>
      <c r="GG14" s="36"/>
      <c r="GH14" s="118"/>
      <c r="GI14" s="118"/>
      <c r="GJ14" s="25"/>
      <c r="GM14" s="24"/>
      <c r="GN14" s="94"/>
      <c r="GS14" s="54"/>
      <c r="GT14" s="55"/>
      <c r="GZ14" s="24"/>
      <c r="HA14" s="25"/>
      <c r="HB14" s="20"/>
      <c r="HC14" s="96"/>
      <c r="HI14" s="20"/>
      <c r="HJ14" s="78"/>
      <c r="HK14" s="25"/>
      <c r="HO14" s="24"/>
      <c r="HP14" s="20"/>
      <c r="HT14" s="54"/>
      <c r="HU14" s="55"/>
      <c r="HW14" s="36"/>
      <c r="HY14" s="118"/>
      <c r="HZ14" s="118"/>
      <c r="IC14" s="24"/>
      <c r="ID14" s="20"/>
      <c r="IE14" s="77"/>
      <c r="IF14" s="78"/>
      <c r="IK14" s="36"/>
      <c r="IL14" s="24"/>
      <c r="IM14" s="25"/>
      <c r="IR14" s="20"/>
      <c r="IS14" s="77"/>
      <c r="IT14" s="78"/>
      <c r="IU14" s="25"/>
      <c r="IY14" s="36"/>
      <c r="JF14" s="237"/>
      <c r="JG14"/>
      <c r="JM14" s="119"/>
      <c r="JN14" s="118"/>
      <c r="JQ14" s="24"/>
      <c r="JR14" s="25"/>
      <c r="JT14" s="36"/>
      <c r="JZ14" s="24"/>
      <c r="KA14" s="25"/>
      <c r="KG14" s="24"/>
      <c r="KH14" s="25"/>
      <c r="KO14" s="24"/>
      <c r="KP14" s="25"/>
      <c r="KX14" s="77"/>
      <c r="KY14" s="78"/>
      <c r="LA14" s="54"/>
      <c r="LB14" s="55"/>
      <c r="LN14" s="24"/>
      <c r="LO14" s="24"/>
      <c r="LP14" s="26"/>
      <c r="LX14" s="24"/>
      <c r="LY14" s="25"/>
      <c r="MF14" s="24"/>
      <c r="MG14" s="25"/>
      <c r="MM14" s="54"/>
      <c r="MN14" s="55"/>
    </row>
    <row r="15" spans="1:371" ht="16.8">
      <c r="F15" s="77"/>
      <c r="G15" s="78"/>
      <c r="H15" s="78"/>
      <c r="J15" s="163"/>
      <c r="K15"/>
      <c r="U15" s="77"/>
      <c r="V15" s="78"/>
      <c r="AB15" s="187"/>
      <c r="AC15" s="78"/>
      <c r="AD15" s="36"/>
      <c r="AF15" s="24"/>
      <c r="AG15" s="38"/>
      <c r="AI15" s="36"/>
      <c r="AP15" s="118"/>
      <c r="AQ15" s="118"/>
      <c r="AR15" s="191"/>
      <c r="AS15" s="78"/>
      <c r="AV15" s="77"/>
      <c r="AW15" s="78"/>
      <c r="AX15" s="118"/>
      <c r="AY15" s="118"/>
      <c r="BD15" s="77"/>
      <c r="BE15" s="78"/>
      <c r="BF15" s="77"/>
      <c r="BG15" s="78"/>
      <c r="BW15" s="77"/>
      <c r="BX15" s="78"/>
      <c r="BY15" s="36"/>
      <c r="CA15" s="77"/>
      <c r="CB15" s="78"/>
      <c r="CC15" s="37"/>
      <c r="CI15" s="77"/>
      <c r="CJ15" s="78"/>
      <c r="CO15" s="118"/>
      <c r="CP15" s="118"/>
      <c r="CT15" s="24"/>
      <c r="CU15" s="38"/>
      <c r="CW15" s="77"/>
      <c r="CX15" s="78"/>
      <c r="DD15" s="77"/>
      <c r="DE15" s="78"/>
      <c r="DH15" s="24"/>
      <c r="DI15" s="25"/>
      <c r="DL15" s="77"/>
      <c r="DM15" s="78"/>
      <c r="DN15" s="24"/>
      <c r="DO15" s="25"/>
      <c r="DQ15" s="118"/>
      <c r="DR15" s="118"/>
      <c r="DS15" s="54"/>
      <c r="DT15" s="55"/>
      <c r="EA15" s="59"/>
      <c r="EB15" s="35"/>
      <c r="ED15" s="77"/>
      <c r="EE15" s="78"/>
      <c r="EF15" s="25"/>
      <c r="EH15" s="24"/>
      <c r="EI15" s="93"/>
      <c r="EJ15" s="25"/>
      <c r="ER15" s="54"/>
      <c r="ES15" s="56"/>
      <c r="ET15" s="55"/>
      <c r="EY15" s="24"/>
      <c r="EZ15" s="26"/>
      <c r="FG15" s="77"/>
      <c r="FH15" s="78"/>
      <c r="FL15" s="24"/>
      <c r="FM15" s="26"/>
      <c r="FO15" s="77"/>
      <c r="FP15" s="78"/>
      <c r="FS15" s="219"/>
      <c r="FT15" s="78"/>
      <c r="FV15" s="24"/>
      <c r="FW15" s="25"/>
      <c r="GB15" s="59"/>
      <c r="GC15" s="35"/>
      <c r="GE15" s="59"/>
      <c r="GF15" s="35"/>
      <c r="GH15" s="77"/>
      <c r="GI15" s="78"/>
      <c r="GJ15" s="25"/>
      <c r="GM15" s="24"/>
      <c r="GN15" s="34"/>
      <c r="GO15" s="118"/>
      <c r="GP15" s="118"/>
      <c r="GS15" s="54"/>
      <c r="GT15" s="55"/>
      <c r="GU15" s="36"/>
      <c r="GZ15" s="24"/>
      <c r="HA15" s="25"/>
      <c r="HB15" s="54"/>
      <c r="HC15"/>
      <c r="HD15"/>
      <c r="HI15" s="77"/>
      <c r="HJ15" s="78"/>
      <c r="HK15" s="25"/>
      <c r="HO15" s="24"/>
      <c r="HP15" s="25"/>
      <c r="HT15" s="54"/>
      <c r="HU15" s="55"/>
      <c r="HY15" s="77"/>
      <c r="HZ15" s="78"/>
      <c r="IC15" s="24"/>
      <c r="ID15" s="26"/>
      <c r="IE15" s="77"/>
      <c r="IF15" s="78"/>
      <c r="IK15" s="118"/>
      <c r="IL15" s="118"/>
      <c r="IM15" s="25"/>
      <c r="IR15" s="24"/>
      <c r="IS15" s="77"/>
      <c r="IT15" s="78"/>
      <c r="IU15" s="25"/>
      <c r="IY15" s="163"/>
      <c r="IZ15"/>
      <c r="JF15"/>
      <c r="JG15"/>
      <c r="JM15" s="77"/>
      <c r="JN15" s="78"/>
      <c r="JQ15" s="24"/>
      <c r="JR15" s="25"/>
      <c r="JU15" s="163"/>
      <c r="JV15"/>
      <c r="JZ15" s="24"/>
      <c r="KA15" s="25"/>
      <c r="KG15" s="24"/>
      <c r="KH15" s="26"/>
      <c r="KO15" s="24"/>
      <c r="KP15" s="25"/>
      <c r="KX15" s="77"/>
      <c r="KY15" s="78"/>
      <c r="LA15" s="54"/>
      <c r="LB15" s="55"/>
      <c r="LX15" s="24"/>
      <c r="LY15" s="25"/>
      <c r="MF15" s="24"/>
      <c r="MG15" s="26"/>
      <c r="MM15" s="54"/>
      <c r="MN15" s="55"/>
    </row>
    <row r="16" spans="1:371" ht="16.8">
      <c r="F16" s="77"/>
      <c r="G16" s="78"/>
      <c r="H16" s="62"/>
      <c r="J16"/>
      <c r="K16"/>
      <c r="U16" s="77"/>
      <c r="V16" s="78"/>
      <c r="AB16" s="77"/>
      <c r="AC16" s="78"/>
      <c r="AD16" s="36"/>
      <c r="AF16" s="24"/>
      <c r="AG16" s="38"/>
      <c r="AP16" s="77"/>
      <c r="AQ16" s="78"/>
      <c r="AR16" s="185"/>
      <c r="AS16" s="78"/>
      <c r="AV16" s="77"/>
      <c r="AW16" s="190"/>
      <c r="AX16" s="77"/>
      <c r="AY16" s="78"/>
      <c r="BD16" s="77"/>
      <c r="BE16" s="78"/>
      <c r="BF16" s="77"/>
      <c r="BG16" s="78"/>
      <c r="BM16" s="118"/>
      <c r="BN16" s="118"/>
      <c r="BW16" s="77"/>
      <c r="BX16" s="78"/>
      <c r="CA16" s="77"/>
      <c r="CB16" s="190"/>
      <c r="CC16" s="37"/>
      <c r="CI16" s="77"/>
      <c r="CJ16" s="78"/>
      <c r="CO16" s="77"/>
      <c r="CP16" s="78"/>
      <c r="CT16" s="24"/>
      <c r="CU16" s="38"/>
      <c r="CW16" s="77"/>
      <c r="CX16" s="78"/>
      <c r="DD16" s="77"/>
      <c r="DE16" s="78"/>
      <c r="DH16" s="24"/>
      <c r="DI16" s="26"/>
      <c r="DL16" s="77"/>
      <c r="DM16" s="78"/>
      <c r="DN16" s="24"/>
      <c r="DO16" s="26"/>
      <c r="DQ16" s="77"/>
      <c r="DR16" s="78"/>
      <c r="DS16" s="54"/>
      <c r="DT16" s="55"/>
      <c r="EA16" s="59"/>
      <c r="EB16" s="35"/>
      <c r="ED16" s="77"/>
      <c r="EE16" s="78"/>
      <c r="EF16" s="25"/>
      <c r="EH16" s="24"/>
      <c r="EI16" s="93"/>
      <c r="EJ16" s="26"/>
      <c r="ER16" s="54"/>
      <c r="ES16" s="56"/>
      <c r="ET16" s="55"/>
      <c r="FG16" s="77"/>
      <c r="FH16" s="78"/>
      <c r="FO16" s="77"/>
      <c r="FP16" s="78"/>
      <c r="FS16" s="77"/>
      <c r="FT16" s="78"/>
      <c r="FV16" s="24"/>
      <c r="FW16" s="25"/>
      <c r="GB16" s="59"/>
      <c r="GC16" s="35"/>
      <c r="GE16" s="59"/>
      <c r="GH16" s="77"/>
      <c r="GI16" s="78"/>
      <c r="GJ16" s="26"/>
      <c r="GM16" s="24"/>
      <c r="GN16" s="25"/>
      <c r="GO16" s="77"/>
      <c r="GP16" s="78"/>
      <c r="GS16" s="54"/>
      <c r="GT16" s="55"/>
      <c r="GZ16" s="24"/>
      <c r="HA16" s="26"/>
      <c r="HB16" s="54"/>
      <c r="HC16"/>
      <c r="HD16"/>
      <c r="HI16" s="77"/>
      <c r="HJ16" s="78"/>
      <c r="HK16" s="26"/>
      <c r="HO16" s="24"/>
      <c r="HP16" s="26"/>
      <c r="HQ16" s="163"/>
      <c r="HR16"/>
      <c r="HT16" s="54"/>
      <c r="HU16" s="55"/>
      <c r="HY16" s="77"/>
      <c r="HZ16" s="78"/>
      <c r="IC16" s="8"/>
      <c r="ID16" s="8"/>
      <c r="IE16" s="77"/>
      <c r="IF16" s="78"/>
      <c r="IK16" s="77"/>
      <c r="IL16" s="78"/>
      <c r="IM16" s="25"/>
      <c r="IR16" s="24"/>
      <c r="IS16" s="77"/>
      <c r="IT16" s="78"/>
      <c r="IU16" s="25"/>
      <c r="IY16"/>
      <c r="IZ16"/>
      <c r="JF16" s="167"/>
      <c r="JG16" s="167"/>
      <c r="JM16" s="77"/>
      <c r="JN16" s="78"/>
      <c r="JQ16" s="24"/>
      <c r="JR16" s="25"/>
      <c r="JU16"/>
      <c r="JV16"/>
      <c r="JZ16" s="24"/>
      <c r="KA16" s="25"/>
      <c r="KO16" s="24"/>
      <c r="KP16" s="26"/>
      <c r="KX16" s="77"/>
      <c r="KY16" s="62"/>
      <c r="LA16" s="54"/>
      <c r="LB16" s="55"/>
      <c r="LX16" s="24"/>
      <c r="LY16" s="26"/>
      <c r="MM16" s="54"/>
      <c r="MN16" s="55"/>
    </row>
    <row r="17" spans="6:352" ht="16.8">
      <c r="F17" s="77"/>
      <c r="G17" s="78"/>
      <c r="H17"/>
      <c r="J17" s="167"/>
      <c r="K17" s="167"/>
      <c r="U17" s="77"/>
      <c r="V17" s="78"/>
      <c r="AB17" s="77"/>
      <c r="AC17" s="78"/>
      <c r="AF17" s="24"/>
      <c r="AG17" s="37"/>
      <c r="AI17" s="118"/>
      <c r="AJ17" s="118"/>
      <c r="AP17" s="77"/>
      <c r="AQ17" s="78"/>
      <c r="AR17" s="77"/>
      <c r="AS17" s="78"/>
      <c r="AX17" s="77"/>
      <c r="AY17" s="78"/>
      <c r="BD17" s="77"/>
      <c r="BE17" s="190"/>
      <c r="BF17" s="77"/>
      <c r="BG17" s="78"/>
      <c r="BM17" s="77"/>
      <c r="BN17" s="78"/>
      <c r="BW17" s="77"/>
      <c r="BX17" s="78"/>
      <c r="CI17" s="77"/>
      <c r="CJ17" s="78"/>
      <c r="CO17" s="77"/>
      <c r="CP17" s="78"/>
      <c r="CT17" s="24"/>
      <c r="CU17" s="37"/>
      <c r="CW17" s="77"/>
      <c r="CX17" s="78"/>
      <c r="DD17" s="77"/>
      <c r="DE17" s="78"/>
      <c r="DH17" s="24"/>
      <c r="DI17" s="25"/>
      <c r="DL17" s="77"/>
      <c r="DM17" s="78"/>
      <c r="DN17" s="24"/>
      <c r="DO17" s="25"/>
      <c r="DQ17" s="77"/>
      <c r="DR17" s="78"/>
      <c r="DS17" s="54"/>
      <c r="DT17" s="55"/>
      <c r="EA17" s="59"/>
      <c r="EB17" s="35"/>
      <c r="ED17" s="77"/>
      <c r="EE17" s="78"/>
      <c r="EF17" s="25"/>
      <c r="ER17" s="54"/>
      <c r="ES17" s="56"/>
      <c r="ET17" s="55"/>
      <c r="EW17" s="118"/>
      <c r="EX17" s="118"/>
      <c r="FG17" s="77"/>
      <c r="FH17" s="78"/>
      <c r="FO17" s="77"/>
      <c r="FP17" s="78"/>
      <c r="FS17" s="77"/>
      <c r="FT17" s="78"/>
      <c r="FV17" s="24"/>
      <c r="FW17" s="25"/>
      <c r="GB17" s="59"/>
      <c r="GC17" s="35"/>
      <c r="GH17" s="77"/>
      <c r="GI17" s="78"/>
      <c r="GM17" s="24"/>
      <c r="GN17" s="25"/>
      <c r="GO17" s="77"/>
      <c r="GP17" s="78"/>
      <c r="GS17" s="54"/>
      <c r="GT17" s="55"/>
      <c r="GU17" s="77"/>
      <c r="GV17" s="78"/>
      <c r="HB17" s="54"/>
      <c r="HC17" s="118"/>
      <c r="HD17" s="118"/>
      <c r="HI17" s="77"/>
      <c r="HJ17" s="78"/>
      <c r="HO17" s="8"/>
      <c r="HP17" s="8"/>
      <c r="HQ17"/>
      <c r="HR17"/>
      <c r="HT17" s="54"/>
      <c r="HU17" s="55"/>
      <c r="HY17" s="77"/>
      <c r="HZ17" s="78"/>
      <c r="IC17" s="8"/>
      <c r="ID17" s="8"/>
      <c r="IE17" s="77"/>
      <c r="IF17" s="78"/>
      <c r="IK17" s="77"/>
      <c r="IL17" s="78"/>
      <c r="IM17" s="25"/>
      <c r="IR17" s="24"/>
      <c r="IS17" s="77"/>
      <c r="IT17" s="78"/>
      <c r="IU17" s="25"/>
      <c r="IY17" s="167"/>
      <c r="IZ17" s="167"/>
      <c r="JF17" s="168"/>
      <c r="JG17" s="166"/>
      <c r="JM17" s="77"/>
      <c r="JN17" s="78"/>
      <c r="JQ17" s="24"/>
      <c r="JR17" s="25"/>
      <c r="JU17" s="167"/>
      <c r="JV17" s="167"/>
      <c r="JZ17" s="24"/>
      <c r="KA17" s="26"/>
      <c r="LA17" s="54"/>
      <c r="LB17" s="55"/>
      <c r="LX17" s="8"/>
      <c r="LY17" s="8"/>
      <c r="MM17" s="54"/>
      <c r="MN17" s="55"/>
    </row>
    <row r="18" spans="6:352" ht="16.8">
      <c r="F18" s="77"/>
      <c r="G18" s="78"/>
      <c r="H18"/>
      <c r="J18" s="168"/>
      <c r="K18" s="166"/>
      <c r="U18" s="77"/>
      <c r="V18" s="78"/>
      <c r="AB18" s="77"/>
      <c r="AC18" s="78"/>
      <c r="AI18" s="77"/>
      <c r="AJ18" s="78"/>
      <c r="AP18" s="77"/>
      <c r="AQ18" s="78"/>
      <c r="AR18" s="77"/>
      <c r="AS18" s="78"/>
      <c r="AX18" s="77"/>
      <c r="AY18" s="78"/>
      <c r="BF18" s="77"/>
      <c r="BG18" s="78"/>
      <c r="BM18" s="77"/>
      <c r="BN18" s="78"/>
      <c r="BW18" s="77"/>
      <c r="BX18" s="190"/>
      <c r="CI18" s="77"/>
      <c r="CJ18" s="78"/>
      <c r="CO18" s="77"/>
      <c r="CP18" s="78"/>
      <c r="CW18" s="77"/>
      <c r="CX18" s="190"/>
      <c r="DD18" s="77"/>
      <c r="DE18" s="78"/>
      <c r="DH18" s="24"/>
      <c r="DI18" s="26"/>
      <c r="DL18" s="77"/>
      <c r="DM18" s="78"/>
      <c r="DN18" s="24"/>
      <c r="DO18" s="26"/>
      <c r="DQ18" s="77"/>
      <c r="DR18" s="78"/>
      <c r="DS18" s="54"/>
      <c r="DT18" s="55"/>
      <c r="EA18" s="59"/>
      <c r="EB18" s="35"/>
      <c r="ED18" s="77"/>
      <c r="EE18" s="78"/>
      <c r="EF18" s="25"/>
      <c r="ER18" s="54"/>
      <c r="ES18" s="56"/>
      <c r="ET18" s="55"/>
      <c r="EW18" s="77"/>
      <c r="EX18" s="78"/>
      <c r="FG18" s="77"/>
      <c r="FH18" s="78"/>
      <c r="FO18" s="77"/>
      <c r="FP18" s="190"/>
      <c r="FS18" s="77"/>
      <c r="FT18" s="78"/>
      <c r="FV18" s="24"/>
      <c r="FW18" s="26"/>
      <c r="GB18" s="59"/>
      <c r="GH18" s="77"/>
      <c r="GI18" s="78"/>
      <c r="GM18" s="24"/>
      <c r="GN18" s="25"/>
      <c r="GO18" s="77"/>
      <c r="GP18" s="78"/>
      <c r="GS18" s="54"/>
      <c r="GT18" s="55"/>
      <c r="GU18" s="77"/>
      <c r="GV18" s="78"/>
      <c r="HB18" s="54"/>
      <c r="HC18" s="77"/>
      <c r="HD18" s="190"/>
      <c r="HI18" s="77"/>
      <c r="HJ18" s="78"/>
      <c r="HO18" s="8"/>
      <c r="HP18" s="8"/>
      <c r="HQ18" s="167"/>
      <c r="HR18" s="167"/>
      <c r="HT18" s="54"/>
      <c r="HU18" s="56"/>
      <c r="HY18" s="77"/>
      <c r="HZ18" s="78"/>
      <c r="IE18" s="77"/>
      <c r="IF18" s="78"/>
      <c r="IG18" s="234"/>
      <c r="IK18" s="77"/>
      <c r="IL18" s="78"/>
      <c r="IM18" s="26"/>
      <c r="IR18" s="24"/>
      <c r="IS18" s="77"/>
      <c r="IT18" s="78"/>
      <c r="IU18" s="25"/>
      <c r="IY18" s="168"/>
      <c r="IZ18" s="166"/>
      <c r="JF18" s="168"/>
      <c r="JG18" s="166"/>
      <c r="JM18" s="77"/>
      <c r="JN18" s="78"/>
      <c r="JQ18" s="24"/>
      <c r="JR18" s="25"/>
      <c r="JU18" s="168"/>
      <c r="JV18" s="166"/>
      <c r="LA18" s="54"/>
      <c r="LB18" s="56"/>
      <c r="LX18" s="8"/>
      <c r="LY18" s="8"/>
      <c r="MM18" s="54"/>
      <c r="MN18" s="55"/>
    </row>
    <row r="19" spans="6:352" ht="16.8">
      <c r="F19" s="77"/>
      <c r="G19" s="62"/>
      <c r="H19" s="78"/>
      <c r="J19" s="168"/>
      <c r="K19" s="166"/>
      <c r="U19" s="77"/>
      <c r="V19" s="78"/>
      <c r="AB19" s="77"/>
      <c r="AC19" s="62"/>
      <c r="AI19" s="77"/>
      <c r="AJ19" s="78"/>
      <c r="AP19" s="77"/>
      <c r="AQ19" s="62"/>
      <c r="AR19" s="77"/>
      <c r="AS19" s="78"/>
      <c r="AX19" s="77"/>
      <c r="AY19" s="78"/>
      <c r="BF19" s="77"/>
      <c r="BG19" s="190"/>
      <c r="BM19" s="77"/>
      <c r="BN19" s="78"/>
      <c r="BW19"/>
      <c r="BX19"/>
      <c r="CI19" s="77"/>
      <c r="CJ19" s="190"/>
      <c r="CO19" s="77"/>
      <c r="CP19" s="78"/>
      <c r="DD19" s="77"/>
      <c r="DE19" s="190"/>
      <c r="DL19" s="77"/>
      <c r="DM19" s="190"/>
      <c r="DQ19" s="77"/>
      <c r="DR19" s="78"/>
      <c r="DS19" s="54"/>
      <c r="DT19" s="55"/>
      <c r="EA19" s="59"/>
      <c r="EB19" s="35"/>
      <c r="ED19" s="77"/>
      <c r="EE19" s="78"/>
      <c r="EF19" s="26"/>
      <c r="ER19" s="54"/>
      <c r="ES19" s="56"/>
      <c r="ET19" s="56"/>
      <c r="EW19" s="77"/>
      <c r="EX19" s="78"/>
      <c r="FG19" s="77"/>
      <c r="FH19" s="190"/>
      <c r="FO19"/>
      <c r="FP19"/>
      <c r="FS19" s="77"/>
      <c r="FT19" s="78"/>
      <c r="GH19" s="77"/>
      <c r="GI19" s="78"/>
      <c r="GM19" s="24"/>
      <c r="GN19" s="26"/>
      <c r="GO19" s="77"/>
      <c r="GP19" s="78"/>
      <c r="GS19" s="54"/>
      <c r="GT19" s="56"/>
      <c r="GU19" s="77"/>
      <c r="GV19" s="78"/>
      <c r="HB19" s="54"/>
      <c r="HC19" s="77"/>
      <c r="HD19" s="78"/>
      <c r="HI19" s="77"/>
      <c r="HJ19" s="190"/>
      <c r="HQ19" s="168"/>
      <c r="HR19" s="166"/>
      <c r="HT19" s="8"/>
      <c r="HU19" s="8"/>
      <c r="HY19" s="77"/>
      <c r="HZ19" s="78"/>
      <c r="IE19" s="77"/>
      <c r="IF19" s="190"/>
      <c r="IG19" s="234"/>
      <c r="IK19" s="77"/>
      <c r="IL19" s="78"/>
      <c r="IR19" s="24"/>
      <c r="IS19" s="77"/>
      <c r="IT19" s="190"/>
      <c r="IU19" s="25"/>
      <c r="IY19" s="168"/>
      <c r="IZ19" s="166"/>
      <c r="JF19" s="168"/>
      <c r="JG19" s="166"/>
      <c r="JM19" s="77"/>
      <c r="JN19" s="78"/>
      <c r="JQ19" s="24"/>
      <c r="JR19" s="26"/>
      <c r="JU19" s="168"/>
      <c r="JV19" s="166"/>
      <c r="LA19" s="8"/>
      <c r="LB19" s="8"/>
      <c r="MM19" s="54"/>
      <c r="MN19" s="56"/>
    </row>
    <row r="20" spans="6:352" ht="16.8">
      <c r="F20"/>
      <c r="G20"/>
      <c r="H20" s="62"/>
      <c r="J20" s="168"/>
      <c r="K20" s="166"/>
      <c r="U20" s="77"/>
      <c r="V20" s="62"/>
      <c r="AI20" s="77"/>
      <c r="AJ20" s="78"/>
      <c r="AR20" s="77"/>
      <c r="AS20" s="190"/>
      <c r="AX20" s="77"/>
      <c r="AY20" s="78"/>
      <c r="BM20" s="77"/>
      <c r="BN20" s="78"/>
      <c r="CO20" s="77"/>
      <c r="CP20" s="78"/>
      <c r="DL20"/>
      <c r="DM20"/>
      <c r="DQ20" s="77"/>
      <c r="DR20" s="190"/>
      <c r="DS20" s="54"/>
      <c r="DT20" s="56"/>
      <c r="EA20" s="59"/>
      <c r="ED20" s="190"/>
      <c r="EE20" s="190"/>
      <c r="ER20" s="8"/>
      <c r="ES20" s="8"/>
      <c r="ET20" s="8"/>
      <c r="EW20" s="77"/>
      <c r="EX20" s="78"/>
      <c r="FG20"/>
      <c r="FH20"/>
      <c r="FO20"/>
      <c r="FP20"/>
      <c r="FS20" s="77"/>
      <c r="FT20" s="190"/>
      <c r="GH20" s="77"/>
      <c r="GI20" s="190"/>
      <c r="GO20" s="77"/>
      <c r="GP20" s="78"/>
      <c r="GS20" s="8"/>
      <c r="GT20" s="8"/>
      <c r="GU20" s="77"/>
      <c r="GV20" s="78"/>
      <c r="HB20" s="54"/>
      <c r="HC20" s="77"/>
      <c r="HD20" s="190"/>
      <c r="HQ20" s="168"/>
      <c r="HR20" s="166"/>
      <c r="HT20" s="53"/>
      <c r="HU20" s="8"/>
      <c r="HY20" s="77"/>
      <c r="HZ20" s="78"/>
      <c r="IK20" s="77"/>
      <c r="IL20" s="78"/>
      <c r="IR20" s="24"/>
      <c r="IS20" s="93"/>
      <c r="IT20" s="26"/>
      <c r="IU20" s="26"/>
      <c r="IY20" s="168"/>
      <c r="IZ20" s="166"/>
      <c r="JF20" s="168"/>
      <c r="JG20" s="166"/>
      <c r="JM20" s="77"/>
      <c r="JN20" s="190"/>
      <c r="JU20" s="168"/>
      <c r="JV20" s="166"/>
      <c r="LA20" s="53"/>
      <c r="LB20" s="8"/>
      <c r="MM20" s="8"/>
      <c r="MN20" s="8"/>
    </row>
    <row r="21" spans="6:352" ht="16.8">
      <c r="F21"/>
      <c r="G21"/>
      <c r="H21" s="62"/>
      <c r="J21" s="168"/>
      <c r="K21" s="166"/>
      <c r="U21"/>
      <c r="V21"/>
      <c r="AI21" s="77"/>
      <c r="AJ21" s="78"/>
      <c r="AX21" s="77"/>
      <c r="AY21" s="190"/>
      <c r="BM21" s="77"/>
      <c r="BN21" s="78"/>
      <c r="CO21" s="77"/>
      <c r="CP21" s="190"/>
      <c r="DL21"/>
      <c r="DM21"/>
      <c r="DQ21" s="77"/>
      <c r="DR21" s="190"/>
      <c r="DS21" s="8"/>
      <c r="DT21" s="8"/>
      <c r="ED21" s="77"/>
      <c r="EE21" s="78"/>
      <c r="ER21" s="53"/>
      <c r="ES21" s="8"/>
      <c r="ET21" s="8"/>
      <c r="EW21" s="77"/>
      <c r="EX21" s="78"/>
      <c r="FG21"/>
      <c r="FH21"/>
      <c r="GO21" s="77"/>
      <c r="GP21" s="190"/>
      <c r="GS21" s="53"/>
      <c r="GT21" s="8"/>
      <c r="GU21" s="77"/>
      <c r="GV21" s="78"/>
      <c r="HB21" s="8"/>
      <c r="HC21" s="77"/>
      <c r="HD21" s="190"/>
      <c r="HQ21" s="168"/>
      <c r="HR21" s="166"/>
      <c r="HT21" s="57"/>
      <c r="HU21" s="8"/>
      <c r="HY21" s="77"/>
      <c r="HZ21" s="190"/>
      <c r="IK21" s="77"/>
      <c r="IL21" s="190"/>
      <c r="IR21" s="24"/>
      <c r="IS21" s="93"/>
      <c r="IT21" s="93"/>
      <c r="IU21" s="25"/>
      <c r="IY21" s="168"/>
      <c r="IZ21" s="166"/>
      <c r="JF21" s="168"/>
      <c r="JG21" s="166"/>
      <c r="JU21" s="168"/>
      <c r="JV21" s="166"/>
      <c r="LA21" s="57"/>
      <c r="LB21" s="8"/>
      <c r="MM21" s="53"/>
      <c r="MN21" s="8"/>
    </row>
    <row r="22" spans="6:352" ht="16.8">
      <c r="J22" s="168"/>
      <c r="K22" s="166"/>
      <c r="U22"/>
      <c r="V22"/>
      <c r="AI22" s="77"/>
      <c r="AJ22" s="78"/>
      <c r="BM22" s="77"/>
      <c r="BN22" s="190"/>
      <c r="DS22" s="53"/>
      <c r="DT22" s="8"/>
      <c r="ED22" s="77"/>
      <c r="EE22" s="78"/>
      <c r="ER22" s="57"/>
      <c r="ES22" s="8"/>
      <c r="ET22" s="8"/>
      <c r="EW22" s="77"/>
      <c r="EX22" s="78"/>
      <c r="GS22" s="57"/>
      <c r="GT22" s="8"/>
      <c r="GU22" s="77"/>
      <c r="GV22" s="78"/>
      <c r="HB22" s="53"/>
      <c r="HC22" s="77"/>
      <c r="HD22" s="190"/>
      <c r="HQ22" s="168"/>
      <c r="HR22" s="166"/>
      <c r="HT22" s="57"/>
      <c r="HU22" s="8"/>
      <c r="IR22" s="24"/>
      <c r="IS22" s="93"/>
      <c r="IT22" s="93"/>
      <c r="IU22" s="25"/>
      <c r="IY22" s="168"/>
      <c r="IZ22" s="166"/>
      <c r="JF22" s="168"/>
      <c r="JG22" s="81"/>
      <c r="JU22" s="168"/>
      <c r="JV22" s="166"/>
      <c r="LA22" s="57"/>
      <c r="LB22" s="8"/>
      <c r="MM22" s="57"/>
      <c r="MN22" s="8"/>
    </row>
    <row r="23" spans="6:352" ht="16.8">
      <c r="J23" s="168"/>
      <c r="K23" s="81"/>
      <c r="AI23" s="77"/>
      <c r="AJ23" s="62"/>
      <c r="DS23" s="57"/>
      <c r="DT23" s="8"/>
      <c r="ED23" s="77"/>
      <c r="EE23" s="78"/>
      <c r="ER23" s="57"/>
      <c r="ES23" s="8"/>
      <c r="ET23" s="8"/>
      <c r="EW23" s="77"/>
      <c r="EX23" s="190"/>
      <c r="GS23" s="57"/>
      <c r="GT23" s="8"/>
      <c r="HB23" s="57"/>
      <c r="HC23" s="77"/>
      <c r="HD23" s="190"/>
      <c r="HQ23" s="168"/>
      <c r="HR23" s="166"/>
      <c r="IR23" s="24"/>
      <c r="IS23" s="93"/>
      <c r="IT23" s="93"/>
      <c r="IU23" s="25"/>
      <c r="IY23" s="168"/>
      <c r="IZ23" s="81"/>
      <c r="JF23"/>
      <c r="JG23"/>
      <c r="JU23" s="168"/>
      <c r="JV23" s="81"/>
      <c r="MM23" s="57"/>
      <c r="MN23" s="8"/>
    </row>
    <row r="24" spans="6:352" ht="16.8">
      <c r="J24"/>
      <c r="K24"/>
      <c r="AI24"/>
      <c r="AJ24"/>
      <c r="DS24" s="57"/>
      <c r="DT24" s="8"/>
      <c r="ED24" s="77"/>
      <c r="EE24" s="78"/>
      <c r="HB24" s="57"/>
      <c r="HC24" s="8"/>
      <c r="HQ24" s="168"/>
      <c r="HR24" s="81"/>
      <c r="IR24" s="24"/>
      <c r="IS24" s="93"/>
      <c r="IT24" s="93"/>
      <c r="IU24" s="25"/>
      <c r="IY24"/>
      <c r="IZ24"/>
      <c r="JF24" s="163"/>
      <c r="JG24"/>
      <c r="JU24"/>
      <c r="JV24"/>
    </row>
    <row r="25" spans="6:352">
      <c r="J25" s="163"/>
      <c r="K25"/>
      <c r="AI25"/>
      <c r="AJ25"/>
      <c r="ED25" s="77"/>
      <c r="EE25" s="78"/>
      <c r="HQ25"/>
      <c r="HR25"/>
      <c r="IR25" s="24"/>
      <c r="IS25" s="93"/>
      <c r="IT25" s="93"/>
      <c r="IU25" s="25"/>
      <c r="IY25" s="163"/>
      <c r="IZ25"/>
      <c r="JF25" s="162"/>
      <c r="JG25"/>
      <c r="JU25" s="163"/>
      <c r="JV25"/>
    </row>
    <row r="26" spans="6:352">
      <c r="J26" s="162"/>
      <c r="K26"/>
      <c r="ED26" s="77"/>
      <c r="EE26" s="190"/>
      <c r="HQ26" s="163"/>
      <c r="HR26"/>
      <c r="IR26" s="24"/>
      <c r="IS26" s="93"/>
      <c r="IT26" s="93"/>
      <c r="IU26" s="26"/>
      <c r="IY26" s="162"/>
      <c r="IZ26"/>
      <c r="JF26" s="162"/>
      <c r="JG26"/>
      <c r="JU26" s="162"/>
      <c r="JV26"/>
    </row>
    <row r="27" spans="6:352">
      <c r="J27" s="162"/>
      <c r="K27"/>
      <c r="HQ27" s="162"/>
      <c r="HR27"/>
      <c r="IU27" s="38"/>
      <c r="IY27" s="162"/>
      <c r="IZ27"/>
      <c r="JU27" s="162"/>
      <c r="JV27"/>
    </row>
    <row r="28" spans="6:352">
      <c r="EE28" s="38"/>
      <c r="HQ28" s="162"/>
      <c r="HR28"/>
    </row>
  </sheetData>
  <mergeCells count="2">
    <mergeCell ref="DS13:DT13"/>
    <mergeCell ref="EE12:EF12"/>
  </mergeCells>
  <phoneticPr fontId="6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DB6A9-DF76-407E-9F42-621633144817}">
  <dimension ref="A1:I1130"/>
  <sheetViews>
    <sheetView tabSelected="1" workbookViewId="0">
      <selection activeCell="I19" sqref="I19"/>
    </sheetView>
  </sheetViews>
  <sheetFormatPr defaultRowHeight="14.4"/>
  <cols>
    <col min="1" max="2" width="7" bestFit="1" customWidth="1"/>
    <col min="3" max="4" width="14.5546875" customWidth="1"/>
    <col min="5" max="6" width="24.33203125" bestFit="1" customWidth="1"/>
    <col min="7" max="7" width="38.21875" bestFit="1" customWidth="1"/>
    <col min="8" max="8" width="17.6640625" bestFit="1" customWidth="1"/>
    <col min="9" max="9" width="9" bestFit="1" customWidth="1"/>
  </cols>
  <sheetData>
    <row r="1" spans="1:8">
      <c r="A1" t="s">
        <v>1423</v>
      </c>
      <c r="B1" t="s">
        <v>3187</v>
      </c>
      <c r="C1" t="s">
        <v>1412</v>
      </c>
      <c r="D1" t="s">
        <v>1425</v>
      </c>
      <c r="E1" t="s">
        <v>1413</v>
      </c>
      <c r="F1" t="s">
        <v>1517</v>
      </c>
      <c r="G1" t="s">
        <v>1414</v>
      </c>
      <c r="H1" t="s">
        <v>3208</v>
      </c>
    </row>
    <row r="2" spans="1:8">
      <c r="A2">
        <v>145116</v>
      </c>
      <c r="B2" t="s">
        <v>459</v>
      </c>
      <c r="C2" t="s">
        <v>460</v>
      </c>
      <c r="D2" t="s">
        <v>1426</v>
      </c>
      <c r="E2" t="s">
        <v>476</v>
      </c>
      <c r="F2" t="s">
        <v>1362</v>
      </c>
      <c r="G2" t="s">
        <v>1518</v>
      </c>
      <c r="H2" t="s">
        <v>1832</v>
      </c>
    </row>
    <row r="3" spans="1:8">
      <c r="A3">
        <v>229311</v>
      </c>
      <c r="B3" t="s">
        <v>461</v>
      </c>
      <c r="C3" t="s">
        <v>462</v>
      </c>
      <c r="D3" t="s">
        <v>1427</v>
      </c>
      <c r="E3" t="s">
        <v>640</v>
      </c>
      <c r="F3" t="s">
        <v>1366</v>
      </c>
      <c r="G3" t="s">
        <v>1519</v>
      </c>
      <c r="H3" t="s">
        <v>58</v>
      </c>
    </row>
    <row r="4" spans="1:8">
      <c r="A4">
        <v>198836</v>
      </c>
      <c r="B4" t="s">
        <v>463</v>
      </c>
      <c r="C4" t="s">
        <v>464</v>
      </c>
      <c r="D4" t="s">
        <v>1427</v>
      </c>
      <c r="E4" t="s">
        <v>1100</v>
      </c>
      <c r="F4" t="s">
        <v>1366</v>
      </c>
      <c r="G4" t="s">
        <v>1520</v>
      </c>
      <c r="H4" t="s">
        <v>61</v>
      </c>
    </row>
    <row r="5" spans="1:8">
      <c r="A5">
        <v>145013</v>
      </c>
      <c r="B5" t="s">
        <v>465</v>
      </c>
      <c r="C5" t="s">
        <v>466</v>
      </c>
      <c r="D5" t="s">
        <v>1427</v>
      </c>
      <c r="E5" t="s">
        <v>923</v>
      </c>
      <c r="F5" t="s">
        <v>1366</v>
      </c>
      <c r="G5" t="s">
        <v>1521</v>
      </c>
      <c r="H5" t="s">
        <v>61</v>
      </c>
    </row>
    <row r="6" spans="1:8">
      <c r="A6">
        <v>259919</v>
      </c>
      <c r="B6" t="s">
        <v>467</v>
      </c>
      <c r="C6" t="s">
        <v>468</v>
      </c>
      <c r="D6" t="s">
        <v>1427</v>
      </c>
      <c r="E6" t="s">
        <v>1201</v>
      </c>
      <c r="F6" t="s">
        <v>1362</v>
      </c>
      <c r="G6" t="s">
        <v>1523</v>
      </c>
      <c r="H6" t="s">
        <v>67</v>
      </c>
    </row>
    <row r="7" spans="1:8">
      <c r="A7">
        <v>103363</v>
      </c>
      <c r="B7" t="s">
        <v>469</v>
      </c>
      <c r="C7" t="s">
        <v>470</v>
      </c>
      <c r="D7" t="s">
        <v>1428</v>
      </c>
      <c r="E7" t="s">
        <v>1006</v>
      </c>
      <c r="F7" t="s">
        <v>1359</v>
      </c>
      <c r="G7" t="s">
        <v>1522</v>
      </c>
      <c r="H7" t="s">
        <v>60</v>
      </c>
    </row>
    <row r="8" spans="1:8">
      <c r="A8">
        <v>229212</v>
      </c>
      <c r="B8" t="s">
        <v>471</v>
      </c>
      <c r="C8" t="s">
        <v>472</v>
      </c>
      <c r="D8" t="s">
        <v>1427</v>
      </c>
      <c r="E8" t="s">
        <v>596</v>
      </c>
      <c r="F8" t="s">
        <v>1363</v>
      </c>
      <c r="G8" t="s">
        <v>1524</v>
      </c>
      <c r="H8" t="s">
        <v>62</v>
      </c>
    </row>
    <row r="9" spans="1:8">
      <c r="A9">
        <v>150081</v>
      </c>
      <c r="B9" t="s">
        <v>473</v>
      </c>
      <c r="C9" t="s">
        <v>474</v>
      </c>
      <c r="D9" t="s">
        <v>1427</v>
      </c>
      <c r="E9" t="s">
        <v>1100</v>
      </c>
      <c r="F9" t="s">
        <v>1366</v>
      </c>
      <c r="G9" t="s">
        <v>1525</v>
      </c>
      <c r="H9" t="s">
        <v>61</v>
      </c>
    </row>
    <row r="10" spans="1:8">
      <c r="A10">
        <v>181122</v>
      </c>
      <c r="B10" t="s">
        <v>475</v>
      </c>
      <c r="C10" t="s">
        <v>476</v>
      </c>
      <c r="D10" t="s">
        <v>1429</v>
      </c>
      <c r="E10" t="s">
        <v>1362</v>
      </c>
      <c r="F10" t="s">
        <v>1368</v>
      </c>
      <c r="G10" t="s">
        <v>1413</v>
      </c>
      <c r="H10" t="s">
        <v>1832</v>
      </c>
    </row>
    <row r="11" spans="1:8">
      <c r="A11">
        <v>158438</v>
      </c>
      <c r="B11" t="s">
        <v>477</v>
      </c>
      <c r="C11" t="s">
        <v>478</v>
      </c>
      <c r="D11" t="s">
        <v>1427</v>
      </c>
      <c r="E11" t="s">
        <v>931</v>
      </c>
      <c r="F11" t="s">
        <v>1366</v>
      </c>
      <c r="G11" t="s">
        <v>1526</v>
      </c>
      <c r="H11" t="s">
        <v>61</v>
      </c>
    </row>
    <row r="12" spans="1:8">
      <c r="A12">
        <v>194601</v>
      </c>
      <c r="B12" t="s">
        <v>479</v>
      </c>
      <c r="C12" t="s">
        <v>480</v>
      </c>
      <c r="D12" t="s">
        <v>1427</v>
      </c>
      <c r="E12" t="s">
        <v>949</v>
      </c>
      <c r="F12" t="s">
        <v>1363</v>
      </c>
      <c r="G12" t="s">
        <v>1524</v>
      </c>
      <c r="H12" t="s">
        <v>62</v>
      </c>
    </row>
    <row r="13" spans="1:8">
      <c r="A13">
        <v>310995</v>
      </c>
      <c r="B13" t="s">
        <v>481</v>
      </c>
      <c r="C13" t="s">
        <v>482</v>
      </c>
      <c r="D13" t="s">
        <v>1427</v>
      </c>
      <c r="E13" t="s">
        <v>941</v>
      </c>
      <c r="F13" t="s">
        <v>1359</v>
      </c>
      <c r="G13" t="s">
        <v>1527</v>
      </c>
      <c r="H13" t="s">
        <v>59</v>
      </c>
    </row>
    <row r="14" spans="1:8">
      <c r="A14">
        <v>311132</v>
      </c>
      <c r="B14" t="s">
        <v>483</v>
      </c>
      <c r="C14" t="s">
        <v>484</v>
      </c>
      <c r="D14" t="s">
        <v>1427</v>
      </c>
      <c r="E14" t="s">
        <v>1261</v>
      </c>
      <c r="F14" t="s">
        <v>1362</v>
      </c>
      <c r="G14" t="s">
        <v>1523</v>
      </c>
      <c r="H14" t="s">
        <v>67</v>
      </c>
    </row>
    <row r="15" spans="1:8">
      <c r="A15">
        <v>297625</v>
      </c>
      <c r="B15" t="s">
        <v>485</v>
      </c>
      <c r="C15" t="s">
        <v>486</v>
      </c>
      <c r="D15" t="s">
        <v>1427</v>
      </c>
      <c r="E15" t="s">
        <v>1179</v>
      </c>
      <c r="F15" t="s">
        <v>1369</v>
      </c>
      <c r="G15" t="s">
        <v>1528</v>
      </c>
      <c r="H15" t="s">
        <v>65</v>
      </c>
    </row>
    <row r="16" spans="1:8">
      <c r="A16">
        <v>272706</v>
      </c>
      <c r="B16" t="s">
        <v>487</v>
      </c>
      <c r="C16" t="s">
        <v>488</v>
      </c>
      <c r="D16" t="s">
        <v>1427</v>
      </c>
      <c r="E16" t="s">
        <v>1326</v>
      </c>
      <c r="F16" t="s">
        <v>1369</v>
      </c>
      <c r="G16" t="s">
        <v>1528</v>
      </c>
      <c r="H16" t="s">
        <v>65</v>
      </c>
    </row>
    <row r="17" spans="1:8">
      <c r="A17">
        <v>310987</v>
      </c>
      <c r="B17" t="s">
        <v>489</v>
      </c>
      <c r="C17" t="s">
        <v>490</v>
      </c>
      <c r="D17" t="s">
        <v>1427</v>
      </c>
      <c r="E17" t="s">
        <v>1179</v>
      </c>
      <c r="F17" t="s">
        <v>1369</v>
      </c>
      <c r="G17" t="s">
        <v>1528</v>
      </c>
      <c r="H17" t="s">
        <v>65</v>
      </c>
    </row>
    <row r="18" spans="1:8">
      <c r="A18">
        <v>194972</v>
      </c>
      <c r="B18" t="s">
        <v>491</v>
      </c>
      <c r="C18" t="s">
        <v>492</v>
      </c>
      <c r="D18" t="s">
        <v>1427</v>
      </c>
      <c r="E18" t="s">
        <v>1100</v>
      </c>
      <c r="F18" t="s">
        <v>1366</v>
      </c>
      <c r="G18" t="s">
        <v>1525</v>
      </c>
      <c r="H18" t="s">
        <v>61</v>
      </c>
    </row>
    <row r="19" spans="1:8">
      <c r="A19">
        <v>82146</v>
      </c>
      <c r="B19" t="s">
        <v>493</v>
      </c>
      <c r="C19" t="s">
        <v>494</v>
      </c>
      <c r="D19" t="s">
        <v>1427</v>
      </c>
      <c r="E19" t="s">
        <v>690</v>
      </c>
      <c r="F19" t="s">
        <v>1359</v>
      </c>
      <c r="G19" t="s">
        <v>1527</v>
      </c>
      <c r="H19" t="s">
        <v>59</v>
      </c>
    </row>
    <row r="20" spans="1:8">
      <c r="A20">
        <v>86391</v>
      </c>
      <c r="B20" t="s">
        <v>495</v>
      </c>
      <c r="C20" t="s">
        <v>496</v>
      </c>
      <c r="D20" t="s">
        <v>1426</v>
      </c>
      <c r="E20" t="s">
        <v>690</v>
      </c>
      <c r="F20" t="s">
        <v>1359</v>
      </c>
      <c r="G20" t="s">
        <v>1518</v>
      </c>
      <c r="H20" t="s">
        <v>1832</v>
      </c>
    </row>
    <row r="21" spans="1:8">
      <c r="A21">
        <v>274433</v>
      </c>
      <c r="B21" t="s">
        <v>497</v>
      </c>
      <c r="C21" t="s">
        <v>498</v>
      </c>
      <c r="D21" t="s">
        <v>1427</v>
      </c>
      <c r="E21" t="s">
        <v>1006</v>
      </c>
      <c r="F21" t="s">
        <v>1359</v>
      </c>
      <c r="G21" t="s">
        <v>1527</v>
      </c>
      <c r="H21" t="s">
        <v>59</v>
      </c>
    </row>
    <row r="22" spans="1:8">
      <c r="A22">
        <v>229143</v>
      </c>
      <c r="B22" t="s">
        <v>499</v>
      </c>
      <c r="C22" t="s">
        <v>500</v>
      </c>
      <c r="D22" t="s">
        <v>1427</v>
      </c>
      <c r="E22" t="s">
        <v>2380</v>
      </c>
      <c r="F22" t="s">
        <v>602</v>
      </c>
      <c r="G22" t="s">
        <v>1528</v>
      </c>
      <c r="H22" t="s">
        <v>65</v>
      </c>
    </row>
    <row r="23" spans="1:8">
      <c r="A23">
        <v>310708</v>
      </c>
      <c r="B23" t="s">
        <v>501</v>
      </c>
      <c r="C23" t="s">
        <v>502</v>
      </c>
      <c r="D23" t="s">
        <v>1427</v>
      </c>
      <c r="E23" t="s">
        <v>2380</v>
      </c>
      <c r="F23" t="s">
        <v>602</v>
      </c>
      <c r="G23" t="s">
        <v>1528</v>
      </c>
      <c r="H23" t="s">
        <v>65</v>
      </c>
    </row>
    <row r="24" spans="1:8">
      <c r="A24">
        <v>105429</v>
      </c>
      <c r="B24" t="s">
        <v>503</v>
      </c>
      <c r="C24" t="s">
        <v>504</v>
      </c>
      <c r="D24" t="s">
        <v>1427</v>
      </c>
      <c r="E24" t="s">
        <v>596</v>
      </c>
      <c r="F24" t="s">
        <v>1363</v>
      </c>
      <c r="G24" t="s">
        <v>1522</v>
      </c>
      <c r="H24" t="s">
        <v>62</v>
      </c>
    </row>
    <row r="25" spans="1:8">
      <c r="A25">
        <v>299281</v>
      </c>
      <c r="B25" t="s">
        <v>505</v>
      </c>
      <c r="C25" t="s">
        <v>506</v>
      </c>
      <c r="D25" t="s">
        <v>1427</v>
      </c>
      <c r="E25" t="s">
        <v>1326</v>
      </c>
      <c r="F25" t="s">
        <v>1369</v>
      </c>
      <c r="G25" t="s">
        <v>1528</v>
      </c>
      <c r="H25" t="s">
        <v>65</v>
      </c>
    </row>
    <row r="26" spans="1:8">
      <c r="A26">
        <v>198627</v>
      </c>
      <c r="B26" t="s">
        <v>507</v>
      </c>
      <c r="C26" t="s">
        <v>508</v>
      </c>
      <c r="D26" t="s">
        <v>1427</v>
      </c>
      <c r="E26" t="s">
        <v>512</v>
      </c>
      <c r="F26" t="s">
        <v>602</v>
      </c>
      <c r="G26" t="s">
        <v>1528</v>
      </c>
      <c r="H26" t="s">
        <v>65</v>
      </c>
    </row>
    <row r="27" spans="1:8">
      <c r="A27">
        <v>65220</v>
      </c>
      <c r="B27" t="s">
        <v>509</v>
      </c>
      <c r="C27" t="s">
        <v>510</v>
      </c>
      <c r="D27" t="s">
        <v>1427</v>
      </c>
      <c r="E27" t="s">
        <v>923</v>
      </c>
      <c r="F27" t="s">
        <v>1366</v>
      </c>
      <c r="G27" t="s">
        <v>1529</v>
      </c>
      <c r="H27" t="s">
        <v>68</v>
      </c>
    </row>
    <row r="28" spans="1:8">
      <c r="A28">
        <v>86394</v>
      </c>
      <c r="B28" t="s">
        <v>511</v>
      </c>
      <c r="C28" t="s">
        <v>512</v>
      </c>
      <c r="D28" t="s">
        <v>1429</v>
      </c>
      <c r="E28" t="s">
        <v>602</v>
      </c>
      <c r="F28" t="s">
        <v>1368</v>
      </c>
      <c r="G28" t="s">
        <v>1413</v>
      </c>
      <c r="H28" t="s">
        <v>1832</v>
      </c>
    </row>
    <row r="29" spans="1:8">
      <c r="A29">
        <v>283504</v>
      </c>
      <c r="B29" t="s">
        <v>513</v>
      </c>
      <c r="C29" t="s">
        <v>514</v>
      </c>
      <c r="D29" t="s">
        <v>1427</v>
      </c>
      <c r="E29" t="s">
        <v>584</v>
      </c>
      <c r="F29" t="s">
        <v>1362</v>
      </c>
      <c r="G29" t="s">
        <v>1523</v>
      </c>
      <c r="H29" t="s">
        <v>67</v>
      </c>
    </row>
    <row r="30" spans="1:8">
      <c r="A30">
        <v>239045</v>
      </c>
      <c r="B30" t="s">
        <v>515</v>
      </c>
      <c r="C30" t="s">
        <v>516</v>
      </c>
      <c r="D30" t="s">
        <v>1427</v>
      </c>
      <c r="E30" t="s">
        <v>941</v>
      </c>
      <c r="F30" t="s">
        <v>1359</v>
      </c>
      <c r="G30" t="s">
        <v>1527</v>
      </c>
      <c r="H30" t="s">
        <v>59</v>
      </c>
    </row>
    <row r="31" spans="1:8">
      <c r="A31">
        <v>221725</v>
      </c>
      <c r="B31" t="s">
        <v>517</v>
      </c>
      <c r="C31" t="s">
        <v>518</v>
      </c>
      <c r="D31" t="s">
        <v>1427</v>
      </c>
      <c r="E31" t="s">
        <v>512</v>
      </c>
      <c r="F31" t="s">
        <v>602</v>
      </c>
      <c r="G31" t="s">
        <v>1528</v>
      </c>
      <c r="H31" t="s">
        <v>65</v>
      </c>
    </row>
    <row r="32" spans="1:8">
      <c r="A32">
        <v>274391</v>
      </c>
      <c r="B32" t="s">
        <v>519</v>
      </c>
      <c r="C32" t="s">
        <v>520</v>
      </c>
      <c r="D32" t="s">
        <v>1427</v>
      </c>
      <c r="E32" t="s">
        <v>1261</v>
      </c>
      <c r="F32" t="s">
        <v>1362</v>
      </c>
      <c r="G32" t="s">
        <v>1523</v>
      </c>
      <c r="H32" t="s">
        <v>67</v>
      </c>
    </row>
    <row r="33" spans="1:8">
      <c r="A33">
        <v>273688</v>
      </c>
      <c r="B33" t="s">
        <v>521</v>
      </c>
      <c r="C33" t="s">
        <v>522</v>
      </c>
      <c r="D33" t="s">
        <v>1427</v>
      </c>
      <c r="E33" t="s">
        <v>1195</v>
      </c>
      <c r="F33" t="s">
        <v>1363</v>
      </c>
      <c r="G33" t="s">
        <v>1530</v>
      </c>
      <c r="H33" t="s">
        <v>66</v>
      </c>
    </row>
    <row r="34" spans="1:8">
      <c r="A34">
        <v>275796</v>
      </c>
      <c r="B34" t="s">
        <v>525</v>
      </c>
      <c r="C34" t="s">
        <v>526</v>
      </c>
      <c r="D34" t="s">
        <v>1427</v>
      </c>
      <c r="E34" t="s">
        <v>584</v>
      </c>
      <c r="F34" t="s">
        <v>1362</v>
      </c>
      <c r="G34" t="s">
        <v>1531</v>
      </c>
      <c r="H34" t="s">
        <v>67</v>
      </c>
    </row>
    <row r="35" spans="1:8">
      <c r="A35">
        <v>278976</v>
      </c>
      <c r="B35" t="s">
        <v>527</v>
      </c>
      <c r="C35" t="s">
        <v>528</v>
      </c>
      <c r="D35" t="s">
        <v>1427</v>
      </c>
      <c r="E35" t="s">
        <v>1195</v>
      </c>
      <c r="F35" t="s">
        <v>1363</v>
      </c>
      <c r="G35" t="s">
        <v>1530</v>
      </c>
      <c r="H35" t="s">
        <v>66</v>
      </c>
    </row>
    <row r="36" spans="1:8">
      <c r="A36">
        <v>310999</v>
      </c>
      <c r="B36" t="s">
        <v>529</v>
      </c>
      <c r="C36" t="s">
        <v>530</v>
      </c>
      <c r="D36" t="s">
        <v>1427</v>
      </c>
      <c r="E36" t="s">
        <v>1100</v>
      </c>
      <c r="F36" t="s">
        <v>1366</v>
      </c>
      <c r="G36" t="s">
        <v>1539</v>
      </c>
      <c r="H36" t="s">
        <v>61</v>
      </c>
    </row>
    <row r="37" spans="1:8">
      <c r="A37">
        <v>107733</v>
      </c>
      <c r="B37" t="s">
        <v>531</v>
      </c>
      <c r="C37" t="s">
        <v>532</v>
      </c>
      <c r="D37" t="s">
        <v>1427</v>
      </c>
      <c r="E37" t="s">
        <v>1326</v>
      </c>
      <c r="F37" t="s">
        <v>1369</v>
      </c>
      <c r="G37" t="s">
        <v>1520</v>
      </c>
      <c r="H37" t="s">
        <v>65</v>
      </c>
    </row>
    <row r="38" spans="1:8">
      <c r="A38">
        <v>311036</v>
      </c>
      <c r="B38" t="s">
        <v>533</v>
      </c>
      <c r="C38" t="s">
        <v>534</v>
      </c>
      <c r="D38" t="s">
        <v>1427</v>
      </c>
      <c r="E38" t="s">
        <v>789</v>
      </c>
      <c r="F38" t="s">
        <v>1369</v>
      </c>
      <c r="G38" t="s">
        <v>1528</v>
      </c>
      <c r="H38" t="s">
        <v>65</v>
      </c>
    </row>
    <row r="39" spans="1:8">
      <c r="A39">
        <v>201932</v>
      </c>
      <c r="B39" t="s">
        <v>535</v>
      </c>
      <c r="C39" t="s">
        <v>536</v>
      </c>
      <c r="D39" t="s">
        <v>1427</v>
      </c>
      <c r="E39" t="s">
        <v>1334</v>
      </c>
      <c r="F39" t="s">
        <v>1362</v>
      </c>
      <c r="G39" t="s">
        <v>1532</v>
      </c>
      <c r="H39" t="s">
        <v>67</v>
      </c>
    </row>
    <row r="40" spans="1:8">
      <c r="A40">
        <v>245766</v>
      </c>
      <c r="B40" t="s">
        <v>537</v>
      </c>
      <c r="C40" t="s">
        <v>538</v>
      </c>
      <c r="D40" t="s">
        <v>1427</v>
      </c>
      <c r="E40" t="s">
        <v>931</v>
      </c>
      <c r="F40" t="s">
        <v>1366</v>
      </c>
      <c r="G40" t="s">
        <v>1520</v>
      </c>
      <c r="H40" t="s">
        <v>61</v>
      </c>
    </row>
    <row r="41" spans="1:8">
      <c r="A41">
        <v>274263</v>
      </c>
      <c r="B41" t="s">
        <v>539</v>
      </c>
      <c r="C41" t="s">
        <v>540</v>
      </c>
      <c r="D41" t="s">
        <v>1427</v>
      </c>
      <c r="E41" t="s">
        <v>690</v>
      </c>
      <c r="F41" t="s">
        <v>1359</v>
      </c>
      <c r="G41" t="s">
        <v>1527</v>
      </c>
      <c r="H41" t="s">
        <v>59</v>
      </c>
    </row>
    <row r="42" spans="1:8">
      <c r="A42">
        <v>240742</v>
      </c>
      <c r="B42" t="s">
        <v>541</v>
      </c>
      <c r="C42" t="s">
        <v>542</v>
      </c>
      <c r="D42" t="s">
        <v>1427</v>
      </c>
      <c r="E42" t="s">
        <v>2381</v>
      </c>
      <c r="F42" t="s">
        <v>1363</v>
      </c>
      <c r="G42" t="s">
        <v>1524</v>
      </c>
      <c r="H42" t="s">
        <v>62</v>
      </c>
    </row>
    <row r="43" spans="1:8">
      <c r="A43">
        <v>81328</v>
      </c>
      <c r="B43" t="s">
        <v>543</v>
      </c>
      <c r="C43" t="s">
        <v>544</v>
      </c>
      <c r="D43" t="s">
        <v>1427</v>
      </c>
      <c r="E43" t="s">
        <v>1100</v>
      </c>
      <c r="F43" t="s">
        <v>1366</v>
      </c>
      <c r="G43" t="s">
        <v>1533</v>
      </c>
      <c r="H43" t="s">
        <v>61</v>
      </c>
    </row>
    <row r="44" spans="1:8">
      <c r="A44">
        <v>202084</v>
      </c>
      <c r="B44" t="s">
        <v>545</v>
      </c>
      <c r="C44" t="s">
        <v>546</v>
      </c>
      <c r="D44" t="s">
        <v>1427</v>
      </c>
      <c r="E44" t="s">
        <v>931</v>
      </c>
      <c r="F44" t="s">
        <v>1366</v>
      </c>
      <c r="G44" t="s">
        <v>1534</v>
      </c>
      <c r="H44" t="s">
        <v>61</v>
      </c>
    </row>
    <row r="45" spans="1:8">
      <c r="A45">
        <v>29994</v>
      </c>
      <c r="B45" t="s">
        <v>547</v>
      </c>
      <c r="C45" t="s">
        <v>548</v>
      </c>
      <c r="D45" t="s">
        <v>1427</v>
      </c>
      <c r="E45" t="s">
        <v>1369</v>
      </c>
      <c r="F45" t="s">
        <v>1368</v>
      </c>
      <c r="G45" t="s">
        <v>1535</v>
      </c>
      <c r="H45" t="s">
        <v>63</v>
      </c>
    </row>
    <row r="46" spans="1:8">
      <c r="A46">
        <v>245674</v>
      </c>
      <c r="B46" t="s">
        <v>549</v>
      </c>
      <c r="C46" t="s">
        <v>550</v>
      </c>
      <c r="D46" t="s">
        <v>1427</v>
      </c>
      <c r="E46" t="s">
        <v>2381</v>
      </c>
      <c r="F46" t="s">
        <v>1363</v>
      </c>
      <c r="G46" t="s">
        <v>1524</v>
      </c>
      <c r="H46" t="s">
        <v>62</v>
      </c>
    </row>
    <row r="47" spans="1:8">
      <c r="A47">
        <v>272915</v>
      </c>
      <c r="B47" t="s">
        <v>551</v>
      </c>
      <c r="C47" t="s">
        <v>552</v>
      </c>
      <c r="D47" t="s">
        <v>1427</v>
      </c>
      <c r="E47" t="s">
        <v>1006</v>
      </c>
      <c r="F47" t="s">
        <v>1359</v>
      </c>
      <c r="G47" t="s">
        <v>1527</v>
      </c>
      <c r="H47" t="s">
        <v>59</v>
      </c>
    </row>
    <row r="48" spans="1:8">
      <c r="A48">
        <v>260248</v>
      </c>
      <c r="B48" t="s">
        <v>1438</v>
      </c>
      <c r="C48" t="s">
        <v>1430</v>
      </c>
      <c r="D48" t="s">
        <v>1427</v>
      </c>
      <c r="E48" t="s">
        <v>476</v>
      </c>
      <c r="F48" t="s">
        <v>1362</v>
      </c>
      <c r="G48" t="s">
        <v>1523</v>
      </c>
      <c r="H48" t="s">
        <v>67</v>
      </c>
    </row>
    <row r="49" spans="1:8">
      <c r="A49">
        <v>221748</v>
      </c>
      <c r="B49" t="s">
        <v>553</v>
      </c>
      <c r="C49" t="s">
        <v>554</v>
      </c>
      <c r="D49" t="s">
        <v>1427</v>
      </c>
      <c r="E49" t="s">
        <v>512</v>
      </c>
      <c r="F49" t="s">
        <v>602</v>
      </c>
      <c r="G49" t="s">
        <v>1528</v>
      </c>
      <c r="H49" t="s">
        <v>65</v>
      </c>
    </row>
    <row r="50" spans="1:8">
      <c r="A50">
        <v>279075</v>
      </c>
      <c r="B50" t="s">
        <v>555</v>
      </c>
      <c r="C50" t="s">
        <v>556</v>
      </c>
      <c r="D50" t="s">
        <v>1427</v>
      </c>
      <c r="E50" t="s">
        <v>941</v>
      </c>
      <c r="F50" t="s">
        <v>1359</v>
      </c>
      <c r="G50" t="s">
        <v>1527</v>
      </c>
      <c r="H50" t="s">
        <v>59</v>
      </c>
    </row>
    <row r="51" spans="1:8">
      <c r="A51">
        <v>299090</v>
      </c>
      <c r="B51" t="s">
        <v>557</v>
      </c>
      <c r="C51" t="s">
        <v>558</v>
      </c>
      <c r="D51" t="s">
        <v>1427</v>
      </c>
      <c r="E51" t="s">
        <v>1179</v>
      </c>
      <c r="F51" t="s">
        <v>1369</v>
      </c>
      <c r="G51" t="s">
        <v>1528</v>
      </c>
      <c r="H51" t="s">
        <v>65</v>
      </c>
    </row>
    <row r="52" spans="1:8">
      <c r="A52">
        <v>198840</v>
      </c>
      <c r="B52" t="s">
        <v>559</v>
      </c>
      <c r="C52" t="s">
        <v>560</v>
      </c>
      <c r="D52" t="s">
        <v>1427</v>
      </c>
      <c r="E52" t="s">
        <v>1100</v>
      </c>
      <c r="F52" t="s">
        <v>1366</v>
      </c>
      <c r="G52" t="s">
        <v>1520</v>
      </c>
      <c r="H52" t="s">
        <v>61</v>
      </c>
    </row>
    <row r="53" spans="1:8">
      <c r="A53">
        <v>194651</v>
      </c>
      <c r="B53" t="s">
        <v>561</v>
      </c>
      <c r="C53" t="s">
        <v>562</v>
      </c>
      <c r="D53" t="s">
        <v>1427</v>
      </c>
      <c r="E53" t="s">
        <v>789</v>
      </c>
      <c r="F53" t="s">
        <v>1369</v>
      </c>
      <c r="G53" t="s">
        <v>1528</v>
      </c>
      <c r="H53" t="s">
        <v>65</v>
      </c>
    </row>
    <row r="54" spans="1:8">
      <c r="A54">
        <v>273400</v>
      </c>
      <c r="B54" t="s">
        <v>563</v>
      </c>
      <c r="C54" t="s">
        <v>564</v>
      </c>
      <c r="D54" t="s">
        <v>1427</v>
      </c>
      <c r="E54" t="s">
        <v>1326</v>
      </c>
      <c r="F54" t="s">
        <v>1369</v>
      </c>
      <c r="G54" t="s">
        <v>1528</v>
      </c>
      <c r="H54" t="s">
        <v>65</v>
      </c>
    </row>
    <row r="55" spans="1:8">
      <c r="A55">
        <v>260820</v>
      </c>
      <c r="B55" t="s">
        <v>565</v>
      </c>
      <c r="C55" t="s">
        <v>566</v>
      </c>
      <c r="D55" t="s">
        <v>1427</v>
      </c>
      <c r="E55" t="s">
        <v>789</v>
      </c>
      <c r="F55" t="s">
        <v>1369</v>
      </c>
      <c r="G55" t="s">
        <v>1528</v>
      </c>
      <c r="H55" t="s">
        <v>65</v>
      </c>
    </row>
    <row r="56" spans="1:8">
      <c r="A56">
        <v>299290</v>
      </c>
      <c r="B56" t="s">
        <v>1345</v>
      </c>
      <c r="C56" t="s">
        <v>1346</v>
      </c>
      <c r="D56" t="s">
        <v>1427</v>
      </c>
      <c r="E56" t="s">
        <v>512</v>
      </c>
      <c r="F56" t="s">
        <v>602</v>
      </c>
      <c r="G56" t="s">
        <v>1528</v>
      </c>
      <c r="H56" t="s">
        <v>65</v>
      </c>
    </row>
    <row r="57" spans="1:8">
      <c r="A57">
        <v>276124</v>
      </c>
      <c r="B57" t="s">
        <v>567</v>
      </c>
      <c r="C57" t="s">
        <v>568</v>
      </c>
      <c r="D57" t="s">
        <v>1427</v>
      </c>
      <c r="E57" t="s">
        <v>1332</v>
      </c>
      <c r="F57" t="s">
        <v>602</v>
      </c>
      <c r="G57" t="s">
        <v>1528</v>
      </c>
      <c r="H57" t="s">
        <v>65</v>
      </c>
    </row>
    <row r="58" spans="1:8">
      <c r="A58">
        <v>310920</v>
      </c>
      <c r="B58" t="s">
        <v>569</v>
      </c>
      <c r="C58" t="s">
        <v>570</v>
      </c>
      <c r="D58" t="s">
        <v>1427</v>
      </c>
      <c r="E58" t="s">
        <v>1332</v>
      </c>
      <c r="F58" t="s">
        <v>602</v>
      </c>
      <c r="G58" t="s">
        <v>1528</v>
      </c>
      <c r="H58" t="s">
        <v>65</v>
      </c>
    </row>
    <row r="59" spans="1:8">
      <c r="A59">
        <v>229292</v>
      </c>
      <c r="B59" t="s">
        <v>571</v>
      </c>
      <c r="C59" t="s">
        <v>572</v>
      </c>
      <c r="D59" t="s">
        <v>1427</v>
      </c>
      <c r="E59" t="s">
        <v>2380</v>
      </c>
      <c r="F59" t="s">
        <v>602</v>
      </c>
      <c r="G59" t="s">
        <v>1528</v>
      </c>
      <c r="H59" t="s">
        <v>65</v>
      </c>
    </row>
    <row r="60" spans="1:8">
      <c r="A60">
        <v>32904</v>
      </c>
      <c r="B60" t="s">
        <v>573</v>
      </c>
      <c r="C60" t="s">
        <v>574</v>
      </c>
      <c r="D60" t="s">
        <v>1427</v>
      </c>
      <c r="E60" t="s">
        <v>923</v>
      </c>
      <c r="F60" t="s">
        <v>1366</v>
      </c>
      <c r="G60" t="s">
        <v>1521</v>
      </c>
      <c r="H60" t="s">
        <v>61</v>
      </c>
    </row>
    <row r="61" spans="1:8">
      <c r="A61">
        <v>196265</v>
      </c>
      <c r="B61" t="s">
        <v>575</v>
      </c>
      <c r="C61" t="s">
        <v>576</v>
      </c>
      <c r="D61" t="s">
        <v>1427</v>
      </c>
      <c r="E61" t="s">
        <v>1201</v>
      </c>
      <c r="F61" t="s">
        <v>1362</v>
      </c>
      <c r="G61" t="s">
        <v>1523</v>
      </c>
      <c r="H61" t="s">
        <v>67</v>
      </c>
    </row>
    <row r="62" spans="1:8">
      <c r="A62">
        <v>159082</v>
      </c>
      <c r="B62" t="s">
        <v>577</v>
      </c>
      <c r="C62" t="s">
        <v>578</v>
      </c>
      <c r="D62" t="s">
        <v>1427</v>
      </c>
      <c r="E62" t="s">
        <v>815</v>
      </c>
      <c r="F62" t="s">
        <v>1363</v>
      </c>
      <c r="G62" t="s">
        <v>1536</v>
      </c>
      <c r="H62" t="s">
        <v>64</v>
      </c>
    </row>
    <row r="63" spans="1:8">
      <c r="A63">
        <v>86302</v>
      </c>
      <c r="B63" t="s">
        <v>579</v>
      </c>
      <c r="C63" t="s">
        <v>580</v>
      </c>
      <c r="D63" t="s">
        <v>1427</v>
      </c>
      <c r="E63" t="s">
        <v>923</v>
      </c>
      <c r="F63" t="s">
        <v>1366</v>
      </c>
      <c r="G63" t="s">
        <v>1521</v>
      </c>
      <c r="H63" t="s">
        <v>61</v>
      </c>
    </row>
    <row r="64" spans="1:8">
      <c r="A64">
        <v>82660</v>
      </c>
      <c r="B64" t="s">
        <v>581</v>
      </c>
      <c r="C64" t="s">
        <v>582</v>
      </c>
      <c r="D64" t="s">
        <v>1427</v>
      </c>
      <c r="E64" t="s">
        <v>941</v>
      </c>
      <c r="F64" t="s">
        <v>1359</v>
      </c>
      <c r="G64" t="s">
        <v>1527</v>
      </c>
      <c r="H64" t="s">
        <v>59</v>
      </c>
    </row>
    <row r="65" spans="1:8">
      <c r="A65">
        <v>141193</v>
      </c>
      <c r="B65" t="s">
        <v>583</v>
      </c>
      <c r="C65" t="s">
        <v>584</v>
      </c>
      <c r="D65" t="s">
        <v>1429</v>
      </c>
      <c r="E65" t="s">
        <v>1362</v>
      </c>
      <c r="F65" t="s">
        <v>1368</v>
      </c>
      <c r="G65" t="s">
        <v>1413</v>
      </c>
      <c r="H65" t="s">
        <v>1832</v>
      </c>
    </row>
    <row r="66" spans="1:8">
      <c r="A66">
        <v>240692</v>
      </c>
      <c r="B66" t="s">
        <v>585</v>
      </c>
      <c r="C66" t="s">
        <v>586</v>
      </c>
      <c r="D66" t="s">
        <v>1427</v>
      </c>
      <c r="E66" t="s">
        <v>789</v>
      </c>
      <c r="F66" t="s">
        <v>1369</v>
      </c>
      <c r="G66" t="s">
        <v>1528</v>
      </c>
      <c r="H66" t="s">
        <v>65</v>
      </c>
    </row>
    <row r="67" spans="1:8">
      <c r="A67">
        <v>158836</v>
      </c>
      <c r="B67" t="s">
        <v>587</v>
      </c>
      <c r="C67" t="s">
        <v>588</v>
      </c>
      <c r="D67" t="s">
        <v>1427</v>
      </c>
      <c r="E67" t="s">
        <v>512</v>
      </c>
      <c r="F67" t="s">
        <v>602</v>
      </c>
      <c r="G67" t="s">
        <v>1537</v>
      </c>
      <c r="H67" t="s">
        <v>65</v>
      </c>
    </row>
    <row r="68" spans="1:8">
      <c r="A68">
        <v>299268</v>
      </c>
      <c r="B68" t="s">
        <v>589</v>
      </c>
      <c r="C68" t="s">
        <v>590</v>
      </c>
      <c r="D68" t="s">
        <v>1427</v>
      </c>
      <c r="E68" t="s">
        <v>512</v>
      </c>
      <c r="F68" t="s">
        <v>602</v>
      </c>
      <c r="G68" t="s">
        <v>1528</v>
      </c>
      <c r="H68" t="s">
        <v>65</v>
      </c>
    </row>
    <row r="69" spans="1:8">
      <c r="A69">
        <v>231273</v>
      </c>
      <c r="B69" t="s">
        <v>591</v>
      </c>
      <c r="C69" t="s">
        <v>592</v>
      </c>
      <c r="D69" t="s">
        <v>1427</v>
      </c>
      <c r="E69" t="s">
        <v>2380</v>
      </c>
      <c r="F69" t="s">
        <v>602</v>
      </c>
      <c r="G69" t="s">
        <v>1528</v>
      </c>
      <c r="H69" t="s">
        <v>65</v>
      </c>
    </row>
    <row r="70" spans="1:8">
      <c r="A70">
        <v>215423</v>
      </c>
      <c r="B70" t="s">
        <v>593</v>
      </c>
      <c r="C70" t="s">
        <v>594</v>
      </c>
      <c r="D70" t="s">
        <v>1427</v>
      </c>
      <c r="E70" t="s">
        <v>2380</v>
      </c>
      <c r="F70" t="s">
        <v>602</v>
      </c>
      <c r="G70" t="s">
        <v>1528</v>
      </c>
      <c r="H70" t="s">
        <v>65</v>
      </c>
    </row>
    <row r="71" spans="1:8">
      <c r="A71">
        <v>65305</v>
      </c>
      <c r="B71" t="s">
        <v>595</v>
      </c>
      <c r="C71" t="s">
        <v>596</v>
      </c>
      <c r="D71" t="s">
        <v>1429</v>
      </c>
      <c r="E71" t="s">
        <v>1363</v>
      </c>
      <c r="F71" t="s">
        <v>1368</v>
      </c>
      <c r="G71" t="s">
        <v>1413</v>
      </c>
      <c r="H71" t="s">
        <v>1832</v>
      </c>
    </row>
    <row r="72" spans="1:8">
      <c r="A72">
        <v>150091</v>
      </c>
      <c r="B72" t="s">
        <v>597</v>
      </c>
      <c r="C72" t="s">
        <v>598</v>
      </c>
      <c r="D72" t="s">
        <v>1434</v>
      </c>
      <c r="E72" t="s">
        <v>1006</v>
      </c>
      <c r="F72" t="s">
        <v>1359</v>
      </c>
      <c r="G72" t="s">
        <v>1522</v>
      </c>
      <c r="H72" t="s">
        <v>60</v>
      </c>
    </row>
    <row r="73" spans="1:8">
      <c r="A73">
        <v>195031</v>
      </c>
      <c r="B73" t="s">
        <v>599</v>
      </c>
      <c r="C73" t="s">
        <v>600</v>
      </c>
      <c r="D73" t="s">
        <v>1427</v>
      </c>
      <c r="E73" t="s">
        <v>931</v>
      </c>
      <c r="F73" t="s">
        <v>1366</v>
      </c>
      <c r="G73" t="s">
        <v>1538</v>
      </c>
      <c r="H73" t="s">
        <v>61</v>
      </c>
    </row>
    <row r="74" spans="1:8">
      <c r="A74">
        <v>221142</v>
      </c>
      <c r="B74" t="s">
        <v>603</v>
      </c>
      <c r="C74" t="s">
        <v>604</v>
      </c>
      <c r="D74" t="s">
        <v>1427</v>
      </c>
      <c r="E74" t="s">
        <v>1006</v>
      </c>
      <c r="F74" t="s">
        <v>1359</v>
      </c>
      <c r="G74" t="s">
        <v>1527</v>
      </c>
      <c r="H74" t="s">
        <v>59</v>
      </c>
    </row>
    <row r="75" spans="1:8">
      <c r="A75">
        <v>230559</v>
      </c>
      <c r="B75" t="s">
        <v>605</v>
      </c>
      <c r="C75" t="s">
        <v>1782</v>
      </c>
      <c r="D75" t="s">
        <v>1427</v>
      </c>
      <c r="E75" t="s">
        <v>512</v>
      </c>
      <c r="F75" t="s">
        <v>602</v>
      </c>
      <c r="G75" t="s">
        <v>1528</v>
      </c>
      <c r="H75" t="s">
        <v>65</v>
      </c>
    </row>
    <row r="76" spans="1:8">
      <c r="A76">
        <v>187504</v>
      </c>
      <c r="B76" t="s">
        <v>606</v>
      </c>
      <c r="C76" t="s">
        <v>607</v>
      </c>
      <c r="D76" t="s">
        <v>1427</v>
      </c>
      <c r="E76" t="s">
        <v>789</v>
      </c>
      <c r="F76" t="s">
        <v>1369</v>
      </c>
      <c r="G76" t="s">
        <v>1528</v>
      </c>
      <c r="H76" t="s">
        <v>65</v>
      </c>
    </row>
    <row r="77" spans="1:8">
      <c r="A77">
        <v>194879</v>
      </c>
      <c r="B77" t="s">
        <v>608</v>
      </c>
      <c r="C77" t="s">
        <v>2382</v>
      </c>
      <c r="D77" t="s">
        <v>1427</v>
      </c>
      <c r="E77" t="s">
        <v>1179</v>
      </c>
      <c r="F77" t="s">
        <v>1369</v>
      </c>
      <c r="G77" t="s">
        <v>1528</v>
      </c>
      <c r="H77" t="s">
        <v>65</v>
      </c>
    </row>
    <row r="78" spans="1:8">
      <c r="A78">
        <v>172965</v>
      </c>
      <c r="B78" t="s">
        <v>609</v>
      </c>
      <c r="C78" t="s">
        <v>610</v>
      </c>
      <c r="D78" t="s">
        <v>1427</v>
      </c>
      <c r="E78" t="s">
        <v>923</v>
      </c>
      <c r="F78" t="s">
        <v>1366</v>
      </c>
      <c r="G78" t="s">
        <v>1529</v>
      </c>
      <c r="H78" t="s">
        <v>68</v>
      </c>
    </row>
    <row r="79" spans="1:8">
      <c r="A79">
        <v>194987</v>
      </c>
      <c r="B79" t="s">
        <v>611</v>
      </c>
      <c r="C79" t="s">
        <v>612</v>
      </c>
      <c r="D79" t="s">
        <v>1427</v>
      </c>
      <c r="E79" t="s">
        <v>1058</v>
      </c>
      <c r="F79" t="s">
        <v>1366</v>
      </c>
      <c r="G79" t="s">
        <v>1519</v>
      </c>
      <c r="H79" t="s">
        <v>58</v>
      </c>
    </row>
    <row r="80" spans="1:8">
      <c r="A80">
        <v>292099</v>
      </c>
      <c r="B80" t="s">
        <v>613</v>
      </c>
      <c r="C80" t="s">
        <v>614</v>
      </c>
      <c r="D80" t="s">
        <v>1427</v>
      </c>
      <c r="E80" t="s">
        <v>941</v>
      </c>
      <c r="F80" t="s">
        <v>1359</v>
      </c>
      <c r="G80" t="s">
        <v>1527</v>
      </c>
      <c r="H80" t="s">
        <v>59</v>
      </c>
    </row>
    <row r="81" spans="1:8">
      <c r="A81">
        <v>230860</v>
      </c>
      <c r="B81" t="s">
        <v>615</v>
      </c>
      <c r="C81" t="s">
        <v>616</v>
      </c>
      <c r="D81" t="s">
        <v>1427</v>
      </c>
      <c r="E81" t="s">
        <v>789</v>
      </c>
      <c r="F81" t="s">
        <v>1369</v>
      </c>
      <c r="G81" t="s">
        <v>1528</v>
      </c>
      <c r="H81" t="s">
        <v>65</v>
      </c>
    </row>
    <row r="82" spans="1:8">
      <c r="A82">
        <v>275826</v>
      </c>
      <c r="B82" t="s">
        <v>617</v>
      </c>
      <c r="C82" t="s">
        <v>618</v>
      </c>
      <c r="D82" t="s">
        <v>1427</v>
      </c>
      <c r="E82" t="s">
        <v>2380</v>
      </c>
      <c r="F82" t="s">
        <v>602</v>
      </c>
      <c r="G82" t="s">
        <v>1528</v>
      </c>
      <c r="H82" t="s">
        <v>65</v>
      </c>
    </row>
    <row r="83" spans="1:8">
      <c r="A83">
        <v>161133</v>
      </c>
      <c r="B83" t="s">
        <v>619</v>
      </c>
      <c r="C83" t="s">
        <v>620</v>
      </c>
      <c r="D83" t="s">
        <v>1427</v>
      </c>
      <c r="E83" t="s">
        <v>1195</v>
      </c>
      <c r="F83" t="s">
        <v>1363</v>
      </c>
      <c r="G83" t="s">
        <v>1530</v>
      </c>
      <c r="H83" t="s">
        <v>66</v>
      </c>
    </row>
    <row r="84" spans="1:8">
      <c r="A84">
        <v>276032</v>
      </c>
      <c r="B84" t="s">
        <v>621</v>
      </c>
      <c r="C84" t="s">
        <v>622</v>
      </c>
      <c r="D84" t="s">
        <v>1427</v>
      </c>
      <c r="E84" t="s">
        <v>1068</v>
      </c>
      <c r="F84" t="s">
        <v>1362</v>
      </c>
      <c r="G84" t="s">
        <v>1523</v>
      </c>
      <c r="H84" t="s">
        <v>67</v>
      </c>
    </row>
    <row r="85" spans="1:8">
      <c r="A85">
        <v>56737</v>
      </c>
      <c r="B85" t="s">
        <v>623</v>
      </c>
      <c r="C85" t="s">
        <v>624</v>
      </c>
      <c r="D85" t="s">
        <v>1428</v>
      </c>
      <c r="E85" t="s">
        <v>1369</v>
      </c>
      <c r="F85" t="s">
        <v>1368</v>
      </c>
      <c r="G85" t="s">
        <v>1522</v>
      </c>
      <c r="H85" t="s">
        <v>63</v>
      </c>
    </row>
    <row r="86" spans="1:8">
      <c r="A86">
        <v>310880</v>
      </c>
      <c r="B86" t="s">
        <v>625</v>
      </c>
      <c r="C86" t="s">
        <v>626</v>
      </c>
      <c r="D86" t="s">
        <v>1427</v>
      </c>
      <c r="E86" t="s">
        <v>949</v>
      </c>
      <c r="F86" t="s">
        <v>1363</v>
      </c>
      <c r="G86" t="s">
        <v>1524</v>
      </c>
      <c r="H86" t="s">
        <v>62</v>
      </c>
    </row>
    <row r="87" spans="1:8">
      <c r="A87">
        <v>189841</v>
      </c>
      <c r="B87" t="s">
        <v>627</v>
      </c>
      <c r="C87" t="s">
        <v>628</v>
      </c>
      <c r="D87" t="s">
        <v>1427</v>
      </c>
      <c r="E87" t="s">
        <v>1100</v>
      </c>
      <c r="F87" t="s">
        <v>1366</v>
      </c>
      <c r="G87" t="s">
        <v>1520</v>
      </c>
      <c r="H87" t="s">
        <v>61</v>
      </c>
    </row>
    <row r="88" spans="1:8">
      <c r="A88">
        <v>310819</v>
      </c>
      <c r="B88" t="s">
        <v>629</v>
      </c>
      <c r="C88" t="s">
        <v>630</v>
      </c>
      <c r="D88" t="s">
        <v>1427</v>
      </c>
      <c r="E88" t="s">
        <v>1068</v>
      </c>
      <c r="F88" t="s">
        <v>1362</v>
      </c>
      <c r="G88" t="s">
        <v>1523</v>
      </c>
      <c r="H88" t="s">
        <v>67</v>
      </c>
    </row>
    <row r="89" spans="1:8">
      <c r="A89">
        <v>260816</v>
      </c>
      <c r="B89" t="s">
        <v>631</v>
      </c>
      <c r="C89" t="s">
        <v>632</v>
      </c>
      <c r="D89" t="s">
        <v>1427</v>
      </c>
      <c r="E89" t="s">
        <v>789</v>
      </c>
      <c r="F89" t="s">
        <v>1369</v>
      </c>
      <c r="G89" t="s">
        <v>1528</v>
      </c>
      <c r="H89" t="s">
        <v>65</v>
      </c>
    </row>
    <row r="90" spans="1:8">
      <c r="A90">
        <v>260757</v>
      </c>
      <c r="B90" t="s">
        <v>633</v>
      </c>
      <c r="C90" t="s">
        <v>634</v>
      </c>
      <c r="D90" t="s">
        <v>1427</v>
      </c>
      <c r="E90" t="s">
        <v>2380</v>
      </c>
      <c r="F90" t="s">
        <v>602</v>
      </c>
      <c r="G90" t="s">
        <v>1528</v>
      </c>
      <c r="H90" t="s">
        <v>65</v>
      </c>
    </row>
    <row r="91" spans="1:8">
      <c r="A91">
        <v>298995</v>
      </c>
      <c r="B91" t="s">
        <v>635</v>
      </c>
      <c r="C91" t="s">
        <v>636</v>
      </c>
      <c r="D91" t="s">
        <v>1427</v>
      </c>
      <c r="E91" t="s">
        <v>1179</v>
      </c>
      <c r="F91" t="s">
        <v>1369</v>
      </c>
      <c r="G91" t="s">
        <v>1528</v>
      </c>
      <c r="H91" t="s">
        <v>65</v>
      </c>
    </row>
    <row r="92" spans="1:8">
      <c r="A92">
        <v>107157</v>
      </c>
      <c r="B92" t="s">
        <v>637</v>
      </c>
      <c r="C92" t="s">
        <v>638</v>
      </c>
      <c r="D92" t="s">
        <v>1427</v>
      </c>
      <c r="E92" t="s">
        <v>1326</v>
      </c>
      <c r="F92" t="s">
        <v>1369</v>
      </c>
      <c r="G92" t="s">
        <v>1528</v>
      </c>
      <c r="H92" t="s">
        <v>65</v>
      </c>
    </row>
    <row r="93" spans="1:8">
      <c r="A93">
        <v>106490</v>
      </c>
      <c r="B93" t="s">
        <v>639</v>
      </c>
      <c r="C93" t="s">
        <v>640</v>
      </c>
      <c r="D93" t="s">
        <v>1429</v>
      </c>
      <c r="E93" t="s">
        <v>1366</v>
      </c>
      <c r="F93" t="s">
        <v>1368</v>
      </c>
      <c r="G93" t="s">
        <v>1413</v>
      </c>
      <c r="H93" t="s">
        <v>1832</v>
      </c>
    </row>
    <row r="94" spans="1:8">
      <c r="A94">
        <v>297904</v>
      </c>
      <c r="B94" t="s">
        <v>641</v>
      </c>
      <c r="C94" t="s">
        <v>642</v>
      </c>
      <c r="D94" t="s">
        <v>1427</v>
      </c>
      <c r="E94" t="s">
        <v>1334</v>
      </c>
      <c r="F94" t="s">
        <v>1362</v>
      </c>
      <c r="G94" t="s">
        <v>1523</v>
      </c>
      <c r="H94" t="s">
        <v>67</v>
      </c>
    </row>
    <row r="95" spans="1:8">
      <c r="A95">
        <v>86494</v>
      </c>
      <c r="B95" t="s">
        <v>643</v>
      </c>
      <c r="C95" t="s">
        <v>644</v>
      </c>
      <c r="D95" t="s">
        <v>1427</v>
      </c>
      <c r="E95" t="s">
        <v>1100</v>
      </c>
      <c r="F95" t="s">
        <v>1366</v>
      </c>
      <c r="G95" t="s">
        <v>1539</v>
      </c>
      <c r="H95" t="s">
        <v>61</v>
      </c>
    </row>
    <row r="96" spans="1:8">
      <c r="A96">
        <v>279151</v>
      </c>
      <c r="B96" t="s">
        <v>645</v>
      </c>
      <c r="C96" t="s">
        <v>646</v>
      </c>
      <c r="D96" t="s">
        <v>1427</v>
      </c>
      <c r="E96" t="s">
        <v>1326</v>
      </c>
      <c r="F96" t="s">
        <v>1369</v>
      </c>
      <c r="G96" t="s">
        <v>1528</v>
      </c>
      <c r="H96" t="s">
        <v>65</v>
      </c>
    </row>
    <row r="97" spans="1:8">
      <c r="A97">
        <v>80247</v>
      </c>
      <c r="B97" t="s">
        <v>647</v>
      </c>
      <c r="C97" t="s">
        <v>648</v>
      </c>
      <c r="D97" t="s">
        <v>1427</v>
      </c>
      <c r="E97" t="s">
        <v>923</v>
      </c>
      <c r="F97" t="s">
        <v>1366</v>
      </c>
      <c r="G97" t="s">
        <v>1521</v>
      </c>
      <c r="H97" t="s">
        <v>61</v>
      </c>
    </row>
    <row r="98" spans="1:8">
      <c r="A98">
        <v>263668</v>
      </c>
      <c r="B98" t="s">
        <v>649</v>
      </c>
      <c r="C98" t="s">
        <v>650</v>
      </c>
      <c r="D98" t="s">
        <v>1427</v>
      </c>
      <c r="E98" t="s">
        <v>1006</v>
      </c>
      <c r="F98" t="s">
        <v>1359</v>
      </c>
      <c r="G98" t="s">
        <v>1540</v>
      </c>
      <c r="H98" t="s">
        <v>59</v>
      </c>
    </row>
    <row r="99" spans="1:8">
      <c r="A99">
        <v>273547</v>
      </c>
      <c r="B99" t="s">
        <v>651</v>
      </c>
      <c r="C99" t="s">
        <v>652</v>
      </c>
      <c r="D99" t="s">
        <v>1427</v>
      </c>
      <c r="E99" t="s">
        <v>789</v>
      </c>
      <c r="F99" t="s">
        <v>1369</v>
      </c>
      <c r="G99" t="s">
        <v>1528</v>
      </c>
      <c r="H99" t="s">
        <v>65</v>
      </c>
    </row>
    <row r="100" spans="1:8">
      <c r="A100">
        <v>221398</v>
      </c>
      <c r="B100" t="s">
        <v>653</v>
      </c>
      <c r="C100" t="s">
        <v>654</v>
      </c>
      <c r="D100" t="s">
        <v>1427</v>
      </c>
      <c r="E100" t="s">
        <v>1332</v>
      </c>
      <c r="F100" t="s">
        <v>602</v>
      </c>
      <c r="G100" t="s">
        <v>1528</v>
      </c>
      <c r="H100" t="s">
        <v>65</v>
      </c>
    </row>
    <row r="101" spans="1:8">
      <c r="A101">
        <v>275594</v>
      </c>
      <c r="B101" t="s">
        <v>655</v>
      </c>
      <c r="C101" t="s">
        <v>656</v>
      </c>
      <c r="D101" t="s">
        <v>1427</v>
      </c>
      <c r="E101" t="s">
        <v>1195</v>
      </c>
      <c r="F101" t="s">
        <v>1363</v>
      </c>
      <c r="G101" t="s">
        <v>1530</v>
      </c>
      <c r="H101" t="s">
        <v>66</v>
      </c>
    </row>
    <row r="102" spans="1:8">
      <c r="A102">
        <v>230808</v>
      </c>
      <c r="B102" t="s">
        <v>657</v>
      </c>
      <c r="C102" t="s">
        <v>658</v>
      </c>
      <c r="D102" t="s">
        <v>1427</v>
      </c>
      <c r="E102" t="s">
        <v>1334</v>
      </c>
      <c r="F102" t="s">
        <v>1362</v>
      </c>
      <c r="G102" t="s">
        <v>1523</v>
      </c>
      <c r="H102" t="s">
        <v>67</v>
      </c>
    </row>
    <row r="103" spans="1:8">
      <c r="A103">
        <v>211916</v>
      </c>
      <c r="B103" t="s">
        <v>659</v>
      </c>
      <c r="C103" t="s">
        <v>660</v>
      </c>
      <c r="D103" t="s">
        <v>1427</v>
      </c>
      <c r="E103" t="s">
        <v>1195</v>
      </c>
      <c r="F103" t="s">
        <v>1363</v>
      </c>
      <c r="G103" t="s">
        <v>1530</v>
      </c>
      <c r="H103" t="s">
        <v>66</v>
      </c>
    </row>
    <row r="104" spans="1:8">
      <c r="A104">
        <v>277479</v>
      </c>
      <c r="B104" t="s">
        <v>661</v>
      </c>
      <c r="C104" t="s">
        <v>662</v>
      </c>
      <c r="D104" t="s">
        <v>1427</v>
      </c>
      <c r="E104" t="s">
        <v>1201</v>
      </c>
      <c r="F104" t="s">
        <v>1362</v>
      </c>
      <c r="G104" t="s">
        <v>1523</v>
      </c>
      <c r="H104" t="s">
        <v>67</v>
      </c>
    </row>
    <row r="105" spans="1:8">
      <c r="A105">
        <v>194708</v>
      </c>
      <c r="B105" t="s">
        <v>663</v>
      </c>
      <c r="C105" t="s">
        <v>664</v>
      </c>
      <c r="D105" t="s">
        <v>1427</v>
      </c>
      <c r="E105" t="s">
        <v>1006</v>
      </c>
      <c r="F105" t="s">
        <v>1359</v>
      </c>
      <c r="G105" t="s">
        <v>1540</v>
      </c>
      <c r="H105" t="s">
        <v>60</v>
      </c>
    </row>
    <row r="106" spans="1:8">
      <c r="A106">
        <v>221709</v>
      </c>
      <c r="B106" t="s">
        <v>665</v>
      </c>
      <c r="C106" t="s">
        <v>666</v>
      </c>
      <c r="D106" t="s">
        <v>1427</v>
      </c>
      <c r="E106" t="s">
        <v>1332</v>
      </c>
      <c r="F106" t="s">
        <v>602</v>
      </c>
      <c r="G106" t="s">
        <v>1528</v>
      </c>
      <c r="H106" t="s">
        <v>65</v>
      </c>
    </row>
    <row r="107" spans="1:8">
      <c r="A107">
        <v>80829</v>
      </c>
      <c r="B107" t="s">
        <v>667</v>
      </c>
      <c r="C107" t="s">
        <v>668</v>
      </c>
      <c r="D107" t="s">
        <v>1427</v>
      </c>
      <c r="E107" t="s">
        <v>2381</v>
      </c>
      <c r="F107" t="s">
        <v>1363</v>
      </c>
      <c r="G107" t="s">
        <v>1524</v>
      </c>
      <c r="H107" t="s">
        <v>1832</v>
      </c>
    </row>
    <row r="108" spans="1:8">
      <c r="A108">
        <v>246262</v>
      </c>
      <c r="B108" t="s">
        <v>669</v>
      </c>
      <c r="C108" t="s">
        <v>670</v>
      </c>
      <c r="D108" t="s">
        <v>1427</v>
      </c>
      <c r="E108" t="s">
        <v>640</v>
      </c>
      <c r="F108" t="s">
        <v>1366</v>
      </c>
      <c r="G108" t="s">
        <v>1519</v>
      </c>
      <c r="H108" t="s">
        <v>58</v>
      </c>
    </row>
    <row r="109" spans="1:8">
      <c r="A109">
        <v>197085</v>
      </c>
      <c r="B109" t="s">
        <v>671</v>
      </c>
      <c r="C109" t="s">
        <v>672</v>
      </c>
      <c r="D109" t="s">
        <v>1427</v>
      </c>
      <c r="E109" t="s">
        <v>923</v>
      </c>
      <c r="F109" t="s">
        <v>1366</v>
      </c>
      <c r="G109" t="s">
        <v>1529</v>
      </c>
      <c r="H109" t="s">
        <v>68</v>
      </c>
    </row>
    <row r="110" spans="1:8">
      <c r="A110">
        <v>160864</v>
      </c>
      <c r="B110" t="s">
        <v>673</v>
      </c>
      <c r="C110" t="s">
        <v>674</v>
      </c>
      <c r="D110" t="s">
        <v>1426</v>
      </c>
      <c r="E110" t="s">
        <v>2380</v>
      </c>
      <c r="F110" t="s">
        <v>602</v>
      </c>
      <c r="G110" t="s">
        <v>1518</v>
      </c>
      <c r="H110" t="s">
        <v>1832</v>
      </c>
    </row>
    <row r="111" spans="1:8">
      <c r="A111">
        <v>267037</v>
      </c>
      <c r="B111" t="s">
        <v>675</v>
      </c>
      <c r="C111" t="s">
        <v>676</v>
      </c>
      <c r="D111" t="s">
        <v>1427</v>
      </c>
      <c r="E111" t="s">
        <v>1332</v>
      </c>
      <c r="F111" t="s">
        <v>602</v>
      </c>
      <c r="G111" t="s">
        <v>1528</v>
      </c>
      <c r="H111" t="s">
        <v>65</v>
      </c>
    </row>
    <row r="112" spans="1:8">
      <c r="A112">
        <v>220910</v>
      </c>
      <c r="B112" t="s">
        <v>677</v>
      </c>
      <c r="C112" t="s">
        <v>678</v>
      </c>
      <c r="D112" t="s">
        <v>1427</v>
      </c>
      <c r="E112" t="s">
        <v>941</v>
      </c>
      <c r="F112" t="s">
        <v>1359</v>
      </c>
      <c r="G112" t="s">
        <v>1527</v>
      </c>
      <c r="H112" t="s">
        <v>59</v>
      </c>
    </row>
    <row r="113" spans="1:8">
      <c r="A113">
        <v>118806</v>
      </c>
      <c r="B113" t="s">
        <v>679</v>
      </c>
      <c r="C113" t="s">
        <v>680</v>
      </c>
      <c r="D113" t="s">
        <v>1427</v>
      </c>
      <c r="E113" t="s">
        <v>923</v>
      </c>
      <c r="F113" t="s">
        <v>1366</v>
      </c>
      <c r="G113" t="s">
        <v>1521</v>
      </c>
      <c r="H113" t="s">
        <v>61</v>
      </c>
    </row>
    <row r="114" spans="1:8">
      <c r="A114">
        <v>221719</v>
      </c>
      <c r="B114" t="s">
        <v>681</v>
      </c>
      <c r="C114" t="s">
        <v>682</v>
      </c>
      <c r="D114" t="s">
        <v>1427</v>
      </c>
      <c r="E114" t="s">
        <v>1332</v>
      </c>
      <c r="F114" t="s">
        <v>602</v>
      </c>
      <c r="G114" t="s">
        <v>1528</v>
      </c>
      <c r="H114" t="s">
        <v>65</v>
      </c>
    </row>
    <row r="115" spans="1:8">
      <c r="A115">
        <v>275774</v>
      </c>
      <c r="B115" t="s">
        <v>683</v>
      </c>
      <c r="C115" t="s">
        <v>684</v>
      </c>
      <c r="D115" t="s">
        <v>1427</v>
      </c>
      <c r="E115" t="s">
        <v>1201</v>
      </c>
      <c r="F115" t="s">
        <v>1362</v>
      </c>
      <c r="G115" t="s">
        <v>1523</v>
      </c>
      <c r="H115" t="s">
        <v>67</v>
      </c>
    </row>
    <row r="116" spans="1:8">
      <c r="A116">
        <v>181816</v>
      </c>
      <c r="B116" t="s">
        <v>685</v>
      </c>
      <c r="C116" t="s">
        <v>686</v>
      </c>
      <c r="D116" t="s">
        <v>1427</v>
      </c>
      <c r="E116" t="s">
        <v>2380</v>
      </c>
      <c r="F116" t="s">
        <v>602</v>
      </c>
      <c r="G116" t="s">
        <v>1528</v>
      </c>
      <c r="H116" t="s">
        <v>65</v>
      </c>
    </row>
    <row r="117" spans="1:8">
      <c r="A117">
        <v>195696</v>
      </c>
      <c r="B117" t="s">
        <v>687</v>
      </c>
      <c r="C117" t="s">
        <v>688</v>
      </c>
      <c r="D117" t="s">
        <v>1427</v>
      </c>
      <c r="E117" t="s">
        <v>923</v>
      </c>
      <c r="F117" t="s">
        <v>1366</v>
      </c>
      <c r="G117" t="s">
        <v>1529</v>
      </c>
      <c r="H117" t="s">
        <v>68</v>
      </c>
    </row>
    <row r="118" spans="1:8">
      <c r="A118">
        <v>159279</v>
      </c>
      <c r="B118" t="s">
        <v>689</v>
      </c>
      <c r="C118" t="s">
        <v>690</v>
      </c>
      <c r="D118" t="s">
        <v>1429</v>
      </c>
      <c r="E118" t="s">
        <v>1359</v>
      </c>
      <c r="F118" t="s">
        <v>1368</v>
      </c>
      <c r="G118" t="s">
        <v>1413</v>
      </c>
      <c r="H118" t="s">
        <v>1832</v>
      </c>
    </row>
    <row r="119" spans="1:8">
      <c r="A119">
        <v>196104</v>
      </c>
      <c r="B119" t="s">
        <v>691</v>
      </c>
      <c r="C119" t="s">
        <v>692</v>
      </c>
      <c r="D119" t="s">
        <v>1427</v>
      </c>
      <c r="E119" t="s">
        <v>1201</v>
      </c>
      <c r="F119" t="s">
        <v>1362</v>
      </c>
      <c r="G119" t="s">
        <v>1523</v>
      </c>
      <c r="H119" t="s">
        <v>67</v>
      </c>
    </row>
    <row r="120" spans="1:8">
      <c r="A120">
        <v>187994</v>
      </c>
      <c r="B120" t="s">
        <v>693</v>
      </c>
      <c r="C120" t="s">
        <v>694</v>
      </c>
      <c r="D120" t="s">
        <v>1426</v>
      </c>
      <c r="E120" t="s">
        <v>1006</v>
      </c>
      <c r="F120" t="s">
        <v>1359</v>
      </c>
      <c r="G120" t="s">
        <v>1518</v>
      </c>
      <c r="H120" t="s">
        <v>1832</v>
      </c>
    </row>
    <row r="121" spans="1:8">
      <c r="A121">
        <v>277739</v>
      </c>
      <c r="B121" t="s">
        <v>695</v>
      </c>
      <c r="C121" t="s">
        <v>696</v>
      </c>
      <c r="D121" t="s">
        <v>1427</v>
      </c>
      <c r="E121" t="s">
        <v>1006</v>
      </c>
      <c r="F121" t="s">
        <v>1359</v>
      </c>
      <c r="G121" t="s">
        <v>1527</v>
      </c>
      <c r="H121" t="s">
        <v>59</v>
      </c>
    </row>
    <row r="122" spans="1:8">
      <c r="A122">
        <v>293570</v>
      </c>
      <c r="B122" t="s">
        <v>697</v>
      </c>
      <c r="C122" t="s">
        <v>698</v>
      </c>
      <c r="D122" t="s">
        <v>1427</v>
      </c>
      <c r="E122" t="s">
        <v>949</v>
      </c>
      <c r="F122" t="s">
        <v>1363</v>
      </c>
      <c r="G122" t="s">
        <v>1524</v>
      </c>
      <c r="H122" t="s">
        <v>62</v>
      </c>
    </row>
    <row r="123" spans="1:8">
      <c r="A123">
        <v>266572</v>
      </c>
      <c r="B123" t="s">
        <v>699</v>
      </c>
      <c r="C123" t="s">
        <v>700</v>
      </c>
      <c r="D123" t="s">
        <v>1427</v>
      </c>
      <c r="E123" t="s">
        <v>1006</v>
      </c>
      <c r="F123" t="s">
        <v>1359</v>
      </c>
      <c r="G123" t="s">
        <v>1527</v>
      </c>
      <c r="H123" t="s">
        <v>59</v>
      </c>
    </row>
    <row r="124" spans="1:8">
      <c r="A124">
        <v>303499</v>
      </c>
      <c r="B124" t="s">
        <v>701</v>
      </c>
      <c r="C124" t="s">
        <v>702</v>
      </c>
      <c r="D124" t="s">
        <v>1427</v>
      </c>
      <c r="E124" t="s">
        <v>1261</v>
      </c>
      <c r="F124" t="s">
        <v>1362</v>
      </c>
      <c r="G124" t="s">
        <v>1523</v>
      </c>
      <c r="H124" t="s">
        <v>67</v>
      </c>
    </row>
    <row r="125" spans="1:8">
      <c r="A125">
        <v>274757</v>
      </c>
      <c r="B125" t="s">
        <v>703</v>
      </c>
      <c r="C125" t="s">
        <v>704</v>
      </c>
      <c r="D125" t="s">
        <v>1427</v>
      </c>
      <c r="E125" t="s">
        <v>690</v>
      </c>
      <c r="F125" t="s">
        <v>1359</v>
      </c>
      <c r="G125" t="s">
        <v>1527</v>
      </c>
      <c r="H125" t="s">
        <v>59</v>
      </c>
    </row>
    <row r="126" spans="1:8">
      <c r="A126">
        <v>105400</v>
      </c>
      <c r="B126" t="s">
        <v>705</v>
      </c>
      <c r="C126" t="s">
        <v>706</v>
      </c>
      <c r="D126" t="s">
        <v>1427</v>
      </c>
      <c r="E126" t="s">
        <v>941</v>
      </c>
      <c r="F126" t="s">
        <v>1359</v>
      </c>
      <c r="G126" t="s">
        <v>1540</v>
      </c>
      <c r="H126" t="s">
        <v>60</v>
      </c>
    </row>
    <row r="127" spans="1:8">
      <c r="A127">
        <v>278785</v>
      </c>
      <c r="B127" t="s">
        <v>707</v>
      </c>
      <c r="C127" t="s">
        <v>708</v>
      </c>
      <c r="D127" t="s">
        <v>1427</v>
      </c>
      <c r="E127" t="s">
        <v>1332</v>
      </c>
      <c r="F127" t="s">
        <v>602</v>
      </c>
      <c r="G127" t="s">
        <v>1528</v>
      </c>
      <c r="H127" t="s">
        <v>65</v>
      </c>
    </row>
    <row r="128" spans="1:8">
      <c r="A128">
        <v>194731</v>
      </c>
      <c r="B128" t="s">
        <v>709</v>
      </c>
      <c r="C128" t="s">
        <v>710</v>
      </c>
      <c r="D128" t="s">
        <v>1427</v>
      </c>
      <c r="E128" t="s">
        <v>640</v>
      </c>
      <c r="F128" t="s">
        <v>1366</v>
      </c>
      <c r="G128" t="s">
        <v>1519</v>
      </c>
      <c r="H128" t="s">
        <v>58</v>
      </c>
    </row>
    <row r="129" spans="1:8">
      <c r="A129">
        <v>274765</v>
      </c>
      <c r="B129" t="s">
        <v>711</v>
      </c>
      <c r="C129" t="s">
        <v>712</v>
      </c>
      <c r="D129" t="s">
        <v>1427</v>
      </c>
      <c r="E129" t="s">
        <v>1201</v>
      </c>
      <c r="F129" t="s">
        <v>1362</v>
      </c>
      <c r="G129" t="s">
        <v>1523</v>
      </c>
      <c r="H129" t="s">
        <v>67</v>
      </c>
    </row>
    <row r="130" spans="1:8">
      <c r="A130">
        <v>310935</v>
      </c>
      <c r="B130" t="s">
        <v>713</v>
      </c>
      <c r="C130" t="s">
        <v>714</v>
      </c>
      <c r="D130" t="s">
        <v>1427</v>
      </c>
      <c r="E130" t="s">
        <v>1332</v>
      </c>
      <c r="F130" t="s">
        <v>602</v>
      </c>
      <c r="G130" t="s">
        <v>1528</v>
      </c>
      <c r="H130" t="s">
        <v>65</v>
      </c>
    </row>
    <row r="131" spans="1:8">
      <c r="A131">
        <v>259994</v>
      </c>
      <c r="B131" t="s">
        <v>715</v>
      </c>
      <c r="C131" t="s">
        <v>716</v>
      </c>
      <c r="D131" t="s">
        <v>1427</v>
      </c>
      <c r="E131" t="s">
        <v>815</v>
      </c>
      <c r="F131" t="s">
        <v>1363</v>
      </c>
      <c r="G131" t="s">
        <v>1536</v>
      </c>
      <c r="H131" t="s">
        <v>64</v>
      </c>
    </row>
    <row r="132" spans="1:8">
      <c r="A132">
        <v>292230</v>
      </c>
      <c r="B132" t="s">
        <v>717</v>
      </c>
      <c r="C132" t="s">
        <v>718</v>
      </c>
      <c r="D132" t="s">
        <v>1427</v>
      </c>
      <c r="E132" t="s">
        <v>1326</v>
      </c>
      <c r="F132" t="s">
        <v>1369</v>
      </c>
      <c r="G132" t="s">
        <v>1528</v>
      </c>
      <c r="H132" t="s">
        <v>65</v>
      </c>
    </row>
    <row r="133" spans="1:8">
      <c r="A133">
        <v>299603</v>
      </c>
      <c r="B133" t="s">
        <v>719</v>
      </c>
      <c r="C133" t="s">
        <v>720</v>
      </c>
      <c r="D133" t="s">
        <v>1427</v>
      </c>
      <c r="E133" t="s">
        <v>1326</v>
      </c>
      <c r="F133" t="s">
        <v>1369</v>
      </c>
      <c r="G133" t="s">
        <v>1528</v>
      </c>
      <c r="H133" t="s">
        <v>65</v>
      </c>
    </row>
    <row r="134" spans="1:8">
      <c r="A134">
        <v>196095</v>
      </c>
      <c r="B134" t="s">
        <v>721</v>
      </c>
      <c r="C134" t="s">
        <v>1783</v>
      </c>
      <c r="D134" t="s">
        <v>1427</v>
      </c>
      <c r="E134" t="s">
        <v>690</v>
      </c>
      <c r="F134" t="s">
        <v>1359</v>
      </c>
      <c r="G134" t="s">
        <v>1527</v>
      </c>
      <c r="H134" t="s">
        <v>59</v>
      </c>
    </row>
    <row r="135" spans="1:8">
      <c r="A135">
        <v>293453</v>
      </c>
      <c r="B135" t="s">
        <v>722</v>
      </c>
      <c r="C135" t="s">
        <v>723</v>
      </c>
      <c r="D135" t="s">
        <v>1427</v>
      </c>
      <c r="E135" t="s">
        <v>1326</v>
      </c>
      <c r="F135" t="s">
        <v>1369</v>
      </c>
      <c r="G135" t="s">
        <v>1528</v>
      </c>
      <c r="H135" t="s">
        <v>65</v>
      </c>
    </row>
    <row r="136" spans="1:8">
      <c r="A136">
        <v>310711</v>
      </c>
      <c r="B136" t="s">
        <v>724</v>
      </c>
      <c r="C136" t="s">
        <v>725</v>
      </c>
      <c r="D136" t="s">
        <v>1427</v>
      </c>
      <c r="E136" t="s">
        <v>2380</v>
      </c>
      <c r="F136" t="s">
        <v>602</v>
      </c>
      <c r="G136" t="s">
        <v>1528</v>
      </c>
      <c r="H136" t="s">
        <v>65</v>
      </c>
    </row>
    <row r="137" spans="1:8">
      <c r="A137">
        <v>278709</v>
      </c>
      <c r="B137" t="s">
        <v>726</v>
      </c>
      <c r="C137" t="s">
        <v>727</v>
      </c>
      <c r="D137" t="s">
        <v>1427</v>
      </c>
      <c r="E137" t="s">
        <v>1195</v>
      </c>
      <c r="F137" t="s">
        <v>1363</v>
      </c>
      <c r="G137" t="s">
        <v>1530</v>
      </c>
      <c r="H137" t="s">
        <v>66</v>
      </c>
    </row>
    <row r="138" spans="1:8">
      <c r="A138">
        <v>145041</v>
      </c>
      <c r="B138" t="s">
        <v>728</v>
      </c>
      <c r="C138" t="s">
        <v>729</v>
      </c>
      <c r="D138" t="s">
        <v>1427</v>
      </c>
      <c r="E138" t="s">
        <v>931</v>
      </c>
      <c r="F138" t="s">
        <v>1366</v>
      </c>
      <c r="G138" t="s">
        <v>1523</v>
      </c>
      <c r="H138" t="s">
        <v>61</v>
      </c>
    </row>
    <row r="139" spans="1:8">
      <c r="A139">
        <v>231088</v>
      </c>
      <c r="B139" t="s">
        <v>730</v>
      </c>
      <c r="C139" t="s">
        <v>731</v>
      </c>
      <c r="D139" t="s">
        <v>1427</v>
      </c>
      <c r="E139" t="s">
        <v>596</v>
      </c>
      <c r="F139" t="s">
        <v>1363</v>
      </c>
      <c r="G139" t="s">
        <v>1524</v>
      </c>
      <c r="H139" t="s">
        <v>62</v>
      </c>
    </row>
    <row r="140" spans="1:8">
      <c r="A140">
        <v>194804</v>
      </c>
      <c r="B140" t="s">
        <v>1347</v>
      </c>
      <c r="C140" t="s">
        <v>1348</v>
      </c>
      <c r="D140" t="s">
        <v>1427</v>
      </c>
      <c r="E140" t="s">
        <v>1100</v>
      </c>
      <c r="F140" t="s">
        <v>1366</v>
      </c>
      <c r="G140" t="s">
        <v>1534</v>
      </c>
      <c r="H140" t="s">
        <v>61</v>
      </c>
    </row>
    <row r="141" spans="1:8">
      <c r="A141">
        <v>273687</v>
      </c>
      <c r="B141" t="s">
        <v>732</v>
      </c>
      <c r="C141" t="s">
        <v>733</v>
      </c>
      <c r="D141" t="s">
        <v>1427</v>
      </c>
      <c r="E141" t="s">
        <v>1195</v>
      </c>
      <c r="F141" t="s">
        <v>1363</v>
      </c>
      <c r="G141" t="s">
        <v>1530</v>
      </c>
      <c r="H141" t="s">
        <v>66</v>
      </c>
    </row>
    <row r="142" spans="1:8">
      <c r="A142">
        <v>172954</v>
      </c>
      <c r="B142" t="s">
        <v>734</v>
      </c>
      <c r="C142" t="s">
        <v>735</v>
      </c>
      <c r="D142" t="s">
        <v>1427</v>
      </c>
      <c r="E142" t="s">
        <v>1332</v>
      </c>
      <c r="F142" t="s">
        <v>602</v>
      </c>
      <c r="G142" t="s">
        <v>1541</v>
      </c>
      <c r="H142" t="s">
        <v>65</v>
      </c>
    </row>
    <row r="143" spans="1:8">
      <c r="A143">
        <v>77701</v>
      </c>
      <c r="B143" t="s">
        <v>736</v>
      </c>
      <c r="C143" t="s">
        <v>737</v>
      </c>
      <c r="D143" t="s">
        <v>1427</v>
      </c>
      <c r="E143" t="s">
        <v>1100</v>
      </c>
      <c r="F143" t="s">
        <v>1366</v>
      </c>
      <c r="G143" t="s">
        <v>1534</v>
      </c>
      <c r="H143" t="s">
        <v>61</v>
      </c>
    </row>
    <row r="144" spans="1:8">
      <c r="A144">
        <v>181312</v>
      </c>
      <c r="B144" t="s">
        <v>738</v>
      </c>
      <c r="C144" t="s">
        <v>739</v>
      </c>
      <c r="D144" t="s">
        <v>1426</v>
      </c>
      <c r="E144" t="s">
        <v>941</v>
      </c>
      <c r="F144" t="s">
        <v>1359</v>
      </c>
      <c r="G144" t="s">
        <v>1518</v>
      </c>
      <c r="H144" t="s">
        <v>1832</v>
      </c>
    </row>
    <row r="145" spans="1:8">
      <c r="A145">
        <v>194575</v>
      </c>
      <c r="B145" t="s">
        <v>740</v>
      </c>
      <c r="C145" t="s">
        <v>741</v>
      </c>
      <c r="D145" t="s">
        <v>1427</v>
      </c>
      <c r="E145" t="s">
        <v>1326</v>
      </c>
      <c r="F145" t="s">
        <v>1369</v>
      </c>
      <c r="G145" t="s">
        <v>1528</v>
      </c>
      <c r="H145" t="s">
        <v>65</v>
      </c>
    </row>
    <row r="146" spans="1:8">
      <c r="A146">
        <v>198043</v>
      </c>
      <c r="B146" t="s">
        <v>742</v>
      </c>
      <c r="C146" t="s">
        <v>743</v>
      </c>
      <c r="D146" t="s">
        <v>1427</v>
      </c>
      <c r="E146" t="s">
        <v>1195</v>
      </c>
      <c r="F146" t="s">
        <v>1363</v>
      </c>
      <c r="G146" t="s">
        <v>1530</v>
      </c>
      <c r="H146" t="s">
        <v>66</v>
      </c>
    </row>
    <row r="147" spans="1:8">
      <c r="A147">
        <v>173037</v>
      </c>
      <c r="B147" t="s">
        <v>744</v>
      </c>
      <c r="C147" t="s">
        <v>745</v>
      </c>
      <c r="D147" t="s">
        <v>1427</v>
      </c>
      <c r="E147" t="s">
        <v>2380</v>
      </c>
      <c r="F147" t="s">
        <v>602</v>
      </c>
      <c r="G147" t="s">
        <v>1528</v>
      </c>
      <c r="H147" t="s">
        <v>65</v>
      </c>
    </row>
    <row r="148" spans="1:8">
      <c r="A148">
        <v>100885</v>
      </c>
      <c r="B148" t="s">
        <v>746</v>
      </c>
      <c r="C148" t="s">
        <v>747</v>
      </c>
      <c r="D148" t="s">
        <v>1427</v>
      </c>
      <c r="E148" t="s">
        <v>2380</v>
      </c>
      <c r="F148" t="s">
        <v>602</v>
      </c>
      <c r="G148" t="s">
        <v>1520</v>
      </c>
      <c r="H148" t="s">
        <v>65</v>
      </c>
    </row>
    <row r="149" spans="1:8">
      <c r="A149">
        <v>241933</v>
      </c>
      <c r="B149" t="s">
        <v>748</v>
      </c>
      <c r="C149" t="s">
        <v>749</v>
      </c>
      <c r="D149" t="s">
        <v>1427</v>
      </c>
      <c r="E149" t="s">
        <v>584</v>
      </c>
      <c r="F149" t="s">
        <v>1362</v>
      </c>
      <c r="G149" t="s">
        <v>1523</v>
      </c>
      <c r="H149" t="s">
        <v>67</v>
      </c>
    </row>
    <row r="150" spans="1:8">
      <c r="A150">
        <v>273376</v>
      </c>
      <c r="B150" t="s">
        <v>750</v>
      </c>
      <c r="C150" t="s">
        <v>751</v>
      </c>
      <c r="D150" t="s">
        <v>1427</v>
      </c>
      <c r="E150" t="s">
        <v>1326</v>
      </c>
      <c r="F150" t="s">
        <v>1369</v>
      </c>
      <c r="G150" t="s">
        <v>1528</v>
      </c>
      <c r="H150" t="s">
        <v>65</v>
      </c>
    </row>
    <row r="151" spans="1:8">
      <c r="A151">
        <v>181984</v>
      </c>
      <c r="B151" t="s">
        <v>752</v>
      </c>
      <c r="C151" t="s">
        <v>753</v>
      </c>
      <c r="D151" t="s">
        <v>1427</v>
      </c>
      <c r="E151" t="s">
        <v>815</v>
      </c>
      <c r="F151" t="s">
        <v>1363</v>
      </c>
      <c r="G151" t="s">
        <v>1536</v>
      </c>
      <c r="H151" t="s">
        <v>64</v>
      </c>
    </row>
    <row r="152" spans="1:8">
      <c r="A152">
        <v>230571</v>
      </c>
      <c r="B152" t="s">
        <v>754</v>
      </c>
      <c r="C152" t="s">
        <v>755</v>
      </c>
      <c r="D152" t="s">
        <v>1427</v>
      </c>
      <c r="E152" t="s">
        <v>1326</v>
      </c>
      <c r="F152" t="s">
        <v>1369</v>
      </c>
      <c r="G152" t="s">
        <v>1528</v>
      </c>
      <c r="H152" t="s">
        <v>65</v>
      </c>
    </row>
    <row r="153" spans="1:8">
      <c r="A153">
        <v>224360</v>
      </c>
      <c r="B153" t="s">
        <v>756</v>
      </c>
      <c r="C153" t="s">
        <v>2251</v>
      </c>
      <c r="D153" t="s">
        <v>1427</v>
      </c>
      <c r="E153" t="s">
        <v>815</v>
      </c>
      <c r="F153" t="s">
        <v>1363</v>
      </c>
      <c r="G153" t="s">
        <v>1536</v>
      </c>
      <c r="H153" t="s">
        <v>66</v>
      </c>
    </row>
    <row r="154" spans="1:8">
      <c r="A154">
        <v>277339</v>
      </c>
      <c r="B154" t="s">
        <v>757</v>
      </c>
      <c r="C154" t="s">
        <v>758</v>
      </c>
      <c r="D154" t="s">
        <v>1427</v>
      </c>
      <c r="E154" t="s">
        <v>476</v>
      </c>
      <c r="F154" t="s">
        <v>1362</v>
      </c>
      <c r="G154" t="s">
        <v>1523</v>
      </c>
      <c r="H154" t="s">
        <v>67</v>
      </c>
    </row>
    <row r="155" spans="1:8">
      <c r="A155">
        <v>297622</v>
      </c>
      <c r="B155" t="s">
        <v>759</v>
      </c>
      <c r="C155" t="s">
        <v>760</v>
      </c>
      <c r="D155" t="s">
        <v>1427</v>
      </c>
      <c r="E155" t="s">
        <v>1179</v>
      </c>
      <c r="F155" t="s">
        <v>1369</v>
      </c>
      <c r="G155" t="s">
        <v>1528</v>
      </c>
      <c r="H155" t="s">
        <v>65</v>
      </c>
    </row>
    <row r="156" spans="1:8">
      <c r="A156">
        <v>145021</v>
      </c>
      <c r="B156" t="s">
        <v>761</v>
      </c>
      <c r="C156" t="s">
        <v>762</v>
      </c>
      <c r="D156" t="s">
        <v>1427</v>
      </c>
      <c r="E156" t="s">
        <v>1332</v>
      </c>
      <c r="F156" t="s">
        <v>602</v>
      </c>
      <c r="G156" t="s">
        <v>1537</v>
      </c>
      <c r="H156" t="s">
        <v>65</v>
      </c>
    </row>
    <row r="157" spans="1:8">
      <c r="A157">
        <v>196352</v>
      </c>
      <c r="B157" t="s">
        <v>763</v>
      </c>
      <c r="C157" t="s">
        <v>764</v>
      </c>
      <c r="D157" t="s">
        <v>1427</v>
      </c>
      <c r="E157" t="s">
        <v>923</v>
      </c>
      <c r="F157" t="s">
        <v>1366</v>
      </c>
      <c r="G157" t="s">
        <v>1529</v>
      </c>
      <c r="H157" t="s">
        <v>68</v>
      </c>
    </row>
    <row r="158" spans="1:8">
      <c r="A158">
        <v>111870</v>
      </c>
      <c r="B158" t="s">
        <v>765</v>
      </c>
      <c r="C158" t="s">
        <v>766</v>
      </c>
      <c r="D158" t="s">
        <v>1427</v>
      </c>
      <c r="E158" t="s">
        <v>789</v>
      </c>
      <c r="F158" t="s">
        <v>1369</v>
      </c>
      <c r="G158" t="s">
        <v>1541</v>
      </c>
      <c r="H158" t="s">
        <v>65</v>
      </c>
    </row>
    <row r="159" spans="1:8">
      <c r="A159">
        <v>311001</v>
      </c>
      <c r="B159" t="s">
        <v>767</v>
      </c>
      <c r="C159" t="s">
        <v>768</v>
      </c>
      <c r="D159" t="s">
        <v>1427</v>
      </c>
      <c r="E159" t="s">
        <v>789</v>
      </c>
      <c r="F159" t="s">
        <v>1369</v>
      </c>
      <c r="G159" t="s">
        <v>1528</v>
      </c>
      <c r="H159" t="s">
        <v>65</v>
      </c>
    </row>
    <row r="160" spans="1:8">
      <c r="A160">
        <v>229175</v>
      </c>
      <c r="B160" t="s">
        <v>769</v>
      </c>
      <c r="C160" t="s">
        <v>770</v>
      </c>
      <c r="D160" t="s">
        <v>1427</v>
      </c>
      <c r="E160" t="s">
        <v>815</v>
      </c>
      <c r="F160" t="s">
        <v>1363</v>
      </c>
      <c r="G160" t="s">
        <v>1545</v>
      </c>
      <c r="H160" t="s">
        <v>64</v>
      </c>
    </row>
    <row r="161" spans="1:8">
      <c r="A161">
        <v>144302</v>
      </c>
      <c r="B161" t="s">
        <v>771</v>
      </c>
      <c r="C161" t="s">
        <v>772</v>
      </c>
      <c r="D161" t="s">
        <v>1427</v>
      </c>
      <c r="E161" t="s">
        <v>2381</v>
      </c>
      <c r="F161" t="s">
        <v>1363</v>
      </c>
      <c r="G161" t="s">
        <v>1524</v>
      </c>
      <c r="H161" t="s">
        <v>62</v>
      </c>
    </row>
    <row r="162" spans="1:8">
      <c r="A162">
        <v>310942</v>
      </c>
      <c r="B162" t="s">
        <v>773</v>
      </c>
      <c r="C162" t="s">
        <v>774</v>
      </c>
      <c r="D162" t="s">
        <v>1427</v>
      </c>
      <c r="E162" t="s">
        <v>789</v>
      </c>
      <c r="F162" t="s">
        <v>1369</v>
      </c>
      <c r="G162" t="s">
        <v>1528</v>
      </c>
      <c r="H162" t="s">
        <v>65</v>
      </c>
    </row>
    <row r="163" spans="1:8">
      <c r="A163">
        <v>278132</v>
      </c>
      <c r="B163" t="s">
        <v>775</v>
      </c>
      <c r="C163" t="s">
        <v>776</v>
      </c>
      <c r="D163" t="s">
        <v>1427</v>
      </c>
      <c r="E163" t="s">
        <v>690</v>
      </c>
      <c r="F163" t="s">
        <v>1359</v>
      </c>
      <c r="G163" t="s">
        <v>1527</v>
      </c>
      <c r="H163" t="s">
        <v>59</v>
      </c>
    </row>
    <row r="164" spans="1:8">
      <c r="A164">
        <v>112066</v>
      </c>
      <c r="B164" t="s">
        <v>777</v>
      </c>
      <c r="C164" t="s">
        <v>778</v>
      </c>
      <c r="D164" t="s">
        <v>1427</v>
      </c>
      <c r="E164" t="s">
        <v>923</v>
      </c>
      <c r="F164" t="s">
        <v>1366</v>
      </c>
      <c r="G164" t="s">
        <v>1529</v>
      </c>
      <c r="H164" t="s">
        <v>68</v>
      </c>
    </row>
    <row r="165" spans="1:8">
      <c r="A165">
        <v>274436</v>
      </c>
      <c r="B165" t="s">
        <v>779</v>
      </c>
      <c r="C165" t="s">
        <v>780</v>
      </c>
      <c r="D165" t="s">
        <v>1427</v>
      </c>
      <c r="E165" t="s">
        <v>1334</v>
      </c>
      <c r="F165" t="s">
        <v>1362</v>
      </c>
      <c r="G165" t="s">
        <v>1523</v>
      </c>
      <c r="H165" t="s">
        <v>67</v>
      </c>
    </row>
    <row r="166" spans="1:8">
      <c r="A166">
        <v>3701</v>
      </c>
      <c r="B166" t="s">
        <v>782</v>
      </c>
      <c r="C166" t="s">
        <v>783</v>
      </c>
      <c r="D166" t="s">
        <v>1427</v>
      </c>
      <c r="E166" t="s">
        <v>815</v>
      </c>
      <c r="F166" t="s">
        <v>1363</v>
      </c>
      <c r="G166" t="s">
        <v>1536</v>
      </c>
      <c r="H166" t="s">
        <v>64</v>
      </c>
    </row>
    <row r="167" spans="1:8">
      <c r="A167">
        <v>296952</v>
      </c>
      <c r="B167" t="s">
        <v>784</v>
      </c>
      <c r="C167" t="s">
        <v>785</v>
      </c>
      <c r="D167" t="s">
        <v>1427</v>
      </c>
      <c r="E167" t="s">
        <v>1179</v>
      </c>
      <c r="F167" t="s">
        <v>1369</v>
      </c>
      <c r="G167" t="s">
        <v>1528</v>
      </c>
      <c r="H167" t="s">
        <v>65</v>
      </c>
    </row>
    <row r="168" spans="1:8">
      <c r="A168">
        <v>197709</v>
      </c>
      <c r="B168" t="s">
        <v>786</v>
      </c>
      <c r="C168" t="s">
        <v>787</v>
      </c>
      <c r="D168" t="s">
        <v>1427</v>
      </c>
      <c r="E168" t="s">
        <v>1100</v>
      </c>
      <c r="F168" t="s">
        <v>1366</v>
      </c>
      <c r="G168" t="s">
        <v>1520</v>
      </c>
      <c r="H168" t="s">
        <v>61</v>
      </c>
    </row>
    <row r="169" spans="1:8">
      <c r="A169">
        <v>180359</v>
      </c>
      <c r="B169" t="s">
        <v>788</v>
      </c>
      <c r="C169" t="s">
        <v>789</v>
      </c>
      <c r="D169" t="s">
        <v>1429</v>
      </c>
      <c r="E169" t="s">
        <v>1369</v>
      </c>
      <c r="F169" t="s">
        <v>1368</v>
      </c>
      <c r="G169" t="s">
        <v>1413</v>
      </c>
      <c r="H169" t="s">
        <v>1832</v>
      </c>
    </row>
    <row r="170" spans="1:8">
      <c r="A170">
        <v>195501</v>
      </c>
      <c r="B170" t="s">
        <v>790</v>
      </c>
      <c r="C170" t="s">
        <v>791</v>
      </c>
      <c r="D170" t="s">
        <v>1427</v>
      </c>
      <c r="E170" t="s">
        <v>640</v>
      </c>
      <c r="F170" t="s">
        <v>1366</v>
      </c>
      <c r="G170" t="s">
        <v>1519</v>
      </c>
      <c r="H170" t="s">
        <v>58</v>
      </c>
    </row>
    <row r="171" spans="1:8">
      <c r="A171">
        <v>89352</v>
      </c>
      <c r="B171" t="s">
        <v>792</v>
      </c>
      <c r="C171" t="s">
        <v>793</v>
      </c>
      <c r="D171" t="s">
        <v>1427</v>
      </c>
      <c r="E171" t="s">
        <v>931</v>
      </c>
      <c r="F171" t="s">
        <v>1366</v>
      </c>
      <c r="G171" t="s">
        <v>1543</v>
      </c>
      <c r="H171" t="s">
        <v>61</v>
      </c>
    </row>
    <row r="172" spans="1:8">
      <c r="A172">
        <v>105543</v>
      </c>
      <c r="B172" t="s">
        <v>794</v>
      </c>
      <c r="C172" t="s">
        <v>795</v>
      </c>
      <c r="D172" t="s">
        <v>1427</v>
      </c>
      <c r="E172" t="s">
        <v>1100</v>
      </c>
      <c r="F172" t="s">
        <v>1366</v>
      </c>
      <c r="G172" t="s">
        <v>1518</v>
      </c>
      <c r="H172" t="s">
        <v>1832</v>
      </c>
    </row>
    <row r="173" spans="1:8">
      <c r="A173">
        <v>260142</v>
      </c>
      <c r="B173" t="s">
        <v>796</v>
      </c>
      <c r="C173" t="s">
        <v>797</v>
      </c>
      <c r="D173" t="s">
        <v>1427</v>
      </c>
      <c r="E173" t="s">
        <v>1332</v>
      </c>
      <c r="F173" t="s">
        <v>602</v>
      </c>
      <c r="G173" t="s">
        <v>1528</v>
      </c>
      <c r="H173" t="s">
        <v>65</v>
      </c>
    </row>
    <row r="174" spans="1:8">
      <c r="A174">
        <v>243352</v>
      </c>
      <c r="B174" t="s">
        <v>798</v>
      </c>
      <c r="C174" t="s">
        <v>799</v>
      </c>
      <c r="D174" t="s">
        <v>1427</v>
      </c>
      <c r="E174" t="s">
        <v>815</v>
      </c>
      <c r="F174" t="s">
        <v>1363</v>
      </c>
      <c r="G174" t="s">
        <v>1545</v>
      </c>
      <c r="H174" t="s">
        <v>64</v>
      </c>
    </row>
    <row r="175" spans="1:8">
      <c r="A175">
        <v>265452</v>
      </c>
      <c r="B175" t="s">
        <v>800</v>
      </c>
      <c r="C175" t="s">
        <v>801</v>
      </c>
      <c r="D175" t="s">
        <v>1427</v>
      </c>
      <c r="E175" t="s">
        <v>1201</v>
      </c>
      <c r="F175" t="s">
        <v>1362</v>
      </c>
      <c r="G175" t="s">
        <v>1523</v>
      </c>
      <c r="H175" t="s">
        <v>67</v>
      </c>
    </row>
    <row r="176" spans="1:8">
      <c r="A176">
        <v>25741</v>
      </c>
      <c r="B176" t="s">
        <v>802</v>
      </c>
      <c r="C176" t="s">
        <v>803</v>
      </c>
      <c r="D176" t="s">
        <v>1427</v>
      </c>
      <c r="E176" t="s">
        <v>931</v>
      </c>
      <c r="F176" t="s">
        <v>1366</v>
      </c>
      <c r="G176" t="s">
        <v>1534</v>
      </c>
      <c r="H176" t="s">
        <v>61</v>
      </c>
    </row>
    <row r="177" spans="1:8">
      <c r="A177">
        <v>272447</v>
      </c>
      <c r="B177" t="s">
        <v>804</v>
      </c>
      <c r="C177" t="s">
        <v>805</v>
      </c>
      <c r="D177" t="s">
        <v>1427</v>
      </c>
      <c r="E177" t="s">
        <v>1326</v>
      </c>
      <c r="F177" t="s">
        <v>1369</v>
      </c>
      <c r="G177" t="s">
        <v>1528</v>
      </c>
      <c r="H177" t="s">
        <v>65</v>
      </c>
    </row>
    <row r="178" spans="1:8">
      <c r="A178">
        <v>279530</v>
      </c>
      <c r="B178" t="s">
        <v>806</v>
      </c>
      <c r="C178" t="s">
        <v>807</v>
      </c>
      <c r="D178" t="s">
        <v>1427</v>
      </c>
      <c r="E178" t="s">
        <v>2380</v>
      </c>
      <c r="F178" t="s">
        <v>602</v>
      </c>
      <c r="G178" t="s">
        <v>1528</v>
      </c>
      <c r="H178" t="s">
        <v>65</v>
      </c>
    </row>
    <row r="179" spans="1:8">
      <c r="A179">
        <v>274592</v>
      </c>
      <c r="B179" t="s">
        <v>808</v>
      </c>
      <c r="C179" t="s">
        <v>809</v>
      </c>
      <c r="D179" t="s">
        <v>1427</v>
      </c>
      <c r="E179" t="s">
        <v>1068</v>
      </c>
      <c r="F179" t="s">
        <v>1362</v>
      </c>
      <c r="G179" t="s">
        <v>1523</v>
      </c>
      <c r="H179" t="s">
        <v>67</v>
      </c>
    </row>
    <row r="180" spans="1:8">
      <c r="A180">
        <v>277589</v>
      </c>
      <c r="B180" t="s">
        <v>810</v>
      </c>
      <c r="C180" t="s">
        <v>811</v>
      </c>
      <c r="D180" t="s">
        <v>1427</v>
      </c>
      <c r="E180" t="s">
        <v>789</v>
      </c>
      <c r="F180" t="s">
        <v>1369</v>
      </c>
      <c r="G180" t="s">
        <v>1528</v>
      </c>
      <c r="H180" t="s">
        <v>65</v>
      </c>
    </row>
    <row r="181" spans="1:8">
      <c r="A181">
        <v>273256</v>
      </c>
      <c r="B181" t="s">
        <v>812</v>
      </c>
      <c r="C181" t="s">
        <v>813</v>
      </c>
      <c r="D181" t="s">
        <v>1427</v>
      </c>
      <c r="E181" t="s">
        <v>2380</v>
      </c>
      <c r="F181" t="s">
        <v>602</v>
      </c>
      <c r="G181" t="s">
        <v>1528</v>
      </c>
      <c r="H181" t="s">
        <v>65</v>
      </c>
    </row>
    <row r="182" spans="1:8">
      <c r="A182">
        <v>87359</v>
      </c>
      <c r="B182" t="s">
        <v>814</v>
      </c>
      <c r="C182" t="s">
        <v>815</v>
      </c>
      <c r="D182" t="s">
        <v>1429</v>
      </c>
      <c r="E182" t="s">
        <v>1363</v>
      </c>
      <c r="F182" t="s">
        <v>1368</v>
      </c>
      <c r="G182" t="s">
        <v>1413</v>
      </c>
      <c r="H182" t="s">
        <v>1832</v>
      </c>
    </row>
    <row r="183" spans="1:8">
      <c r="A183">
        <v>195307</v>
      </c>
      <c r="B183" t="s">
        <v>816</v>
      </c>
      <c r="C183" t="s">
        <v>817</v>
      </c>
      <c r="D183" t="s">
        <v>1427</v>
      </c>
      <c r="E183" t="s">
        <v>1058</v>
      </c>
      <c r="F183" t="s">
        <v>1366</v>
      </c>
      <c r="G183" t="s">
        <v>1519</v>
      </c>
      <c r="H183" t="s">
        <v>58</v>
      </c>
    </row>
    <row r="184" spans="1:8">
      <c r="A184">
        <v>198135</v>
      </c>
      <c r="B184" t="s">
        <v>1409</v>
      </c>
      <c r="C184" t="s">
        <v>1406</v>
      </c>
      <c r="D184" t="s">
        <v>1427</v>
      </c>
      <c r="E184" t="s">
        <v>640</v>
      </c>
      <c r="F184" t="s">
        <v>1366</v>
      </c>
      <c r="G184" t="s">
        <v>1519</v>
      </c>
      <c r="H184" t="s">
        <v>58</v>
      </c>
    </row>
    <row r="185" spans="1:8">
      <c r="A185">
        <v>278136</v>
      </c>
      <c r="B185" t="s">
        <v>818</v>
      </c>
      <c r="C185" t="s">
        <v>819</v>
      </c>
      <c r="D185" t="s">
        <v>1427</v>
      </c>
      <c r="E185" t="s">
        <v>690</v>
      </c>
      <c r="F185" t="s">
        <v>1359</v>
      </c>
      <c r="G185" t="s">
        <v>1527</v>
      </c>
      <c r="H185" t="s">
        <v>59</v>
      </c>
    </row>
    <row r="186" spans="1:8">
      <c r="A186">
        <v>291107</v>
      </c>
      <c r="B186" t="s">
        <v>820</v>
      </c>
      <c r="C186" t="s">
        <v>821</v>
      </c>
      <c r="D186" t="s">
        <v>1427</v>
      </c>
      <c r="E186" t="s">
        <v>512</v>
      </c>
      <c r="F186" t="s">
        <v>602</v>
      </c>
      <c r="G186" t="s">
        <v>1528</v>
      </c>
      <c r="H186" t="s">
        <v>65</v>
      </c>
    </row>
    <row r="187" spans="1:8">
      <c r="A187">
        <v>276020</v>
      </c>
      <c r="B187" t="s">
        <v>1419</v>
      </c>
      <c r="C187" t="s">
        <v>1416</v>
      </c>
      <c r="D187" t="s">
        <v>1427</v>
      </c>
      <c r="E187" t="s">
        <v>1334</v>
      </c>
      <c r="F187" t="s">
        <v>1362</v>
      </c>
      <c r="G187" t="s">
        <v>1523</v>
      </c>
      <c r="H187" t="s">
        <v>67</v>
      </c>
    </row>
    <row r="188" spans="1:8">
      <c r="A188">
        <v>221653</v>
      </c>
      <c r="B188" t="s">
        <v>822</v>
      </c>
      <c r="C188" t="s">
        <v>823</v>
      </c>
      <c r="D188" t="s">
        <v>1427</v>
      </c>
      <c r="E188" t="s">
        <v>1334</v>
      </c>
      <c r="F188" t="s">
        <v>1362</v>
      </c>
      <c r="G188" t="s">
        <v>1523</v>
      </c>
      <c r="H188" t="s">
        <v>67</v>
      </c>
    </row>
    <row r="189" spans="1:8">
      <c r="A189">
        <v>196243</v>
      </c>
      <c r="B189" t="s">
        <v>824</v>
      </c>
      <c r="C189" t="s">
        <v>825</v>
      </c>
      <c r="D189" t="s">
        <v>1426</v>
      </c>
      <c r="E189" t="s">
        <v>584</v>
      </c>
      <c r="F189" t="s">
        <v>1362</v>
      </c>
      <c r="G189" t="s">
        <v>1518</v>
      </c>
      <c r="H189" t="s">
        <v>1832</v>
      </c>
    </row>
    <row r="190" spans="1:8">
      <c r="A190">
        <v>145757</v>
      </c>
      <c r="B190" t="s">
        <v>826</v>
      </c>
      <c r="C190" t="s">
        <v>827</v>
      </c>
      <c r="D190" t="s">
        <v>1427</v>
      </c>
      <c r="E190" t="s">
        <v>1100</v>
      </c>
      <c r="F190" t="s">
        <v>1366</v>
      </c>
      <c r="G190" t="s">
        <v>1534</v>
      </c>
      <c r="H190" t="s">
        <v>61</v>
      </c>
    </row>
    <row r="191" spans="1:8">
      <c r="A191">
        <v>201220</v>
      </c>
      <c r="B191" t="s">
        <v>828</v>
      </c>
      <c r="C191" t="s">
        <v>829</v>
      </c>
      <c r="D191" t="s">
        <v>1427</v>
      </c>
      <c r="E191" t="s">
        <v>949</v>
      </c>
      <c r="F191" t="s">
        <v>1363</v>
      </c>
      <c r="G191" t="s">
        <v>1524</v>
      </c>
      <c r="H191" t="s">
        <v>62</v>
      </c>
    </row>
    <row r="192" spans="1:8">
      <c r="A192">
        <v>297912</v>
      </c>
      <c r="B192" t="s">
        <v>830</v>
      </c>
      <c r="C192" t="s">
        <v>831</v>
      </c>
      <c r="D192" t="s">
        <v>1427</v>
      </c>
      <c r="E192" t="s">
        <v>1332</v>
      </c>
      <c r="F192" t="s">
        <v>602</v>
      </c>
      <c r="G192" t="s">
        <v>1528</v>
      </c>
      <c r="H192" t="s">
        <v>65</v>
      </c>
    </row>
    <row r="193" spans="1:8">
      <c r="A193">
        <v>230776</v>
      </c>
      <c r="B193" t="s">
        <v>832</v>
      </c>
      <c r="C193" t="s">
        <v>833</v>
      </c>
      <c r="D193" t="s">
        <v>1427</v>
      </c>
      <c r="E193" t="s">
        <v>1179</v>
      </c>
      <c r="F193" t="s">
        <v>1369</v>
      </c>
      <c r="G193" t="s">
        <v>1528</v>
      </c>
      <c r="H193" t="s">
        <v>65</v>
      </c>
    </row>
    <row r="194" spans="1:8">
      <c r="A194">
        <v>102302</v>
      </c>
      <c r="B194" t="s">
        <v>834</v>
      </c>
      <c r="C194" t="s">
        <v>835</v>
      </c>
      <c r="D194" t="s">
        <v>1427</v>
      </c>
      <c r="E194" t="s">
        <v>1100</v>
      </c>
      <c r="F194" t="s">
        <v>1366</v>
      </c>
      <c r="G194" t="s">
        <v>1534</v>
      </c>
      <c r="H194" t="s">
        <v>61</v>
      </c>
    </row>
    <row r="195" spans="1:8">
      <c r="A195">
        <v>138166</v>
      </c>
      <c r="B195" t="s">
        <v>1339</v>
      </c>
      <c r="C195" t="s">
        <v>1340</v>
      </c>
      <c r="D195" t="s">
        <v>1427</v>
      </c>
      <c r="E195" t="s">
        <v>2381</v>
      </c>
      <c r="F195" t="s">
        <v>1363</v>
      </c>
      <c r="G195" t="s">
        <v>1524</v>
      </c>
      <c r="H195" t="s">
        <v>62</v>
      </c>
    </row>
    <row r="196" spans="1:8">
      <c r="A196">
        <v>163207</v>
      </c>
      <c r="B196" t="s">
        <v>836</v>
      </c>
      <c r="C196" t="s">
        <v>837</v>
      </c>
      <c r="D196" t="s">
        <v>1427</v>
      </c>
      <c r="E196" t="s">
        <v>690</v>
      </c>
      <c r="F196" t="s">
        <v>1359</v>
      </c>
      <c r="G196" t="s">
        <v>1527</v>
      </c>
      <c r="H196" t="s">
        <v>59</v>
      </c>
    </row>
    <row r="197" spans="1:8">
      <c r="A197">
        <v>231757</v>
      </c>
      <c r="B197" t="s">
        <v>838</v>
      </c>
      <c r="C197" t="s">
        <v>1544</v>
      </c>
      <c r="D197" t="s">
        <v>1427</v>
      </c>
      <c r="E197" t="s">
        <v>512</v>
      </c>
      <c r="F197" t="s">
        <v>602</v>
      </c>
      <c r="G197" t="s">
        <v>1528</v>
      </c>
      <c r="H197" t="s">
        <v>65</v>
      </c>
    </row>
    <row r="198" spans="1:8">
      <c r="A198">
        <v>22023</v>
      </c>
      <c r="B198" t="s">
        <v>839</v>
      </c>
      <c r="C198" t="s">
        <v>840</v>
      </c>
      <c r="D198" t="s">
        <v>1427</v>
      </c>
      <c r="E198" t="s">
        <v>1100</v>
      </c>
      <c r="F198" t="s">
        <v>1366</v>
      </c>
      <c r="G198" t="s">
        <v>1542</v>
      </c>
      <c r="H198" t="s">
        <v>61</v>
      </c>
    </row>
    <row r="199" spans="1:8">
      <c r="A199">
        <v>65791</v>
      </c>
      <c r="B199" t="s">
        <v>841</v>
      </c>
      <c r="C199" t="s">
        <v>842</v>
      </c>
      <c r="D199" t="s">
        <v>1427</v>
      </c>
      <c r="E199" t="s">
        <v>1100</v>
      </c>
      <c r="F199" t="s">
        <v>1366</v>
      </c>
      <c r="G199" t="s">
        <v>1542</v>
      </c>
      <c r="H199" t="s">
        <v>61</v>
      </c>
    </row>
    <row r="200" spans="1:8">
      <c r="A200">
        <v>274576</v>
      </c>
      <c r="B200" t="s">
        <v>843</v>
      </c>
      <c r="C200" t="s">
        <v>844</v>
      </c>
      <c r="D200" t="s">
        <v>1427</v>
      </c>
      <c r="E200" t="s">
        <v>476</v>
      </c>
      <c r="F200" t="s">
        <v>1362</v>
      </c>
      <c r="G200" t="s">
        <v>1523</v>
      </c>
      <c r="H200" t="s">
        <v>67</v>
      </c>
    </row>
    <row r="201" spans="1:8">
      <c r="A201">
        <v>310717</v>
      </c>
      <c r="B201" t="s">
        <v>845</v>
      </c>
      <c r="C201" t="s">
        <v>846</v>
      </c>
      <c r="D201" t="s">
        <v>1427</v>
      </c>
      <c r="E201" t="s">
        <v>789</v>
      </c>
      <c r="F201" t="s">
        <v>1369</v>
      </c>
      <c r="G201" t="s">
        <v>1528</v>
      </c>
      <c r="H201" t="s">
        <v>65</v>
      </c>
    </row>
    <row r="202" spans="1:8">
      <c r="A202">
        <v>264953</v>
      </c>
      <c r="B202" t="s">
        <v>847</v>
      </c>
      <c r="C202" t="s">
        <v>848</v>
      </c>
      <c r="D202" t="s">
        <v>1427</v>
      </c>
      <c r="E202" t="s">
        <v>789</v>
      </c>
      <c r="F202" t="s">
        <v>1369</v>
      </c>
      <c r="G202" t="s">
        <v>1528</v>
      </c>
      <c r="H202" t="s">
        <v>65</v>
      </c>
    </row>
    <row r="203" spans="1:8">
      <c r="A203">
        <v>194470</v>
      </c>
      <c r="B203" t="s">
        <v>849</v>
      </c>
      <c r="C203" t="s">
        <v>850</v>
      </c>
      <c r="D203" t="s">
        <v>1428</v>
      </c>
      <c r="E203" t="s">
        <v>1068</v>
      </c>
      <c r="F203" t="s">
        <v>1362</v>
      </c>
      <c r="G203" t="s">
        <v>1522</v>
      </c>
      <c r="H203" t="s">
        <v>60</v>
      </c>
    </row>
    <row r="204" spans="1:8">
      <c r="A204">
        <v>65248</v>
      </c>
      <c r="B204" t="s">
        <v>851</v>
      </c>
      <c r="C204" t="s">
        <v>852</v>
      </c>
      <c r="D204" t="s">
        <v>1427</v>
      </c>
      <c r="E204" t="s">
        <v>1100</v>
      </c>
      <c r="F204" t="s">
        <v>1366</v>
      </c>
      <c r="G204" t="s">
        <v>1520</v>
      </c>
      <c r="H204" t="s">
        <v>61</v>
      </c>
    </row>
    <row r="205" spans="1:8">
      <c r="A205">
        <v>246264</v>
      </c>
      <c r="B205" t="s">
        <v>853</v>
      </c>
      <c r="C205" t="s">
        <v>854</v>
      </c>
      <c r="D205" t="s">
        <v>1427</v>
      </c>
      <c r="E205" t="s">
        <v>941</v>
      </c>
      <c r="F205" t="s">
        <v>1359</v>
      </c>
      <c r="G205" t="s">
        <v>1522</v>
      </c>
      <c r="H205" t="s">
        <v>60</v>
      </c>
    </row>
    <row r="206" spans="1:8">
      <c r="A206">
        <v>220961</v>
      </c>
      <c r="B206" t="s">
        <v>855</v>
      </c>
      <c r="C206" t="s">
        <v>856</v>
      </c>
      <c r="D206" t="s">
        <v>1427</v>
      </c>
      <c r="E206" t="s">
        <v>1326</v>
      </c>
      <c r="F206" t="s">
        <v>1369</v>
      </c>
      <c r="G206" t="s">
        <v>1528</v>
      </c>
      <c r="H206" t="s">
        <v>65</v>
      </c>
    </row>
    <row r="207" spans="1:8">
      <c r="A207">
        <v>194898</v>
      </c>
      <c r="B207" t="s">
        <v>857</v>
      </c>
      <c r="C207" t="s">
        <v>858</v>
      </c>
      <c r="D207" t="s">
        <v>1427</v>
      </c>
      <c r="E207" t="s">
        <v>815</v>
      </c>
      <c r="F207" t="s">
        <v>1363</v>
      </c>
      <c r="G207" t="s">
        <v>1545</v>
      </c>
      <c r="H207" t="s">
        <v>64</v>
      </c>
    </row>
    <row r="208" spans="1:8">
      <c r="A208">
        <v>300127</v>
      </c>
      <c r="B208" t="s">
        <v>859</v>
      </c>
      <c r="C208" t="s">
        <v>860</v>
      </c>
      <c r="D208" t="s">
        <v>1427</v>
      </c>
      <c r="E208" t="s">
        <v>1195</v>
      </c>
      <c r="F208" t="s">
        <v>1363</v>
      </c>
      <c r="G208" t="s">
        <v>1530</v>
      </c>
      <c r="H208" t="s">
        <v>66</v>
      </c>
    </row>
    <row r="209" spans="1:8">
      <c r="A209">
        <v>196171</v>
      </c>
      <c r="B209" t="s">
        <v>861</v>
      </c>
      <c r="C209" t="s">
        <v>862</v>
      </c>
      <c r="D209" t="s">
        <v>1427</v>
      </c>
      <c r="E209" t="s">
        <v>1006</v>
      </c>
      <c r="F209" t="s">
        <v>1359</v>
      </c>
      <c r="G209" t="s">
        <v>1527</v>
      </c>
      <c r="H209" t="s">
        <v>59</v>
      </c>
    </row>
    <row r="210" spans="1:8">
      <c r="A210">
        <v>213035</v>
      </c>
      <c r="B210" t="s">
        <v>863</v>
      </c>
      <c r="C210" t="s">
        <v>864</v>
      </c>
      <c r="D210" t="s">
        <v>1427</v>
      </c>
      <c r="E210" t="s">
        <v>2381</v>
      </c>
      <c r="F210" t="s">
        <v>1363</v>
      </c>
      <c r="G210" t="s">
        <v>1524</v>
      </c>
      <c r="H210" t="s">
        <v>62</v>
      </c>
    </row>
    <row r="211" spans="1:8">
      <c r="A211">
        <v>303505</v>
      </c>
      <c r="B211" t="s">
        <v>865</v>
      </c>
      <c r="C211" t="s">
        <v>866</v>
      </c>
      <c r="D211" t="s">
        <v>1427</v>
      </c>
      <c r="E211" t="s">
        <v>1261</v>
      </c>
      <c r="F211" t="s">
        <v>1362</v>
      </c>
      <c r="G211" t="s">
        <v>1523</v>
      </c>
      <c r="H211" t="s">
        <v>67</v>
      </c>
    </row>
    <row r="212" spans="1:8">
      <c r="A212">
        <v>138751</v>
      </c>
      <c r="B212" t="s">
        <v>867</v>
      </c>
      <c r="C212" t="s">
        <v>868</v>
      </c>
      <c r="D212" t="s">
        <v>1427</v>
      </c>
      <c r="E212" t="s">
        <v>1058</v>
      </c>
      <c r="F212" t="s">
        <v>1366</v>
      </c>
      <c r="G212" t="s">
        <v>1519</v>
      </c>
      <c r="H212" t="s">
        <v>58</v>
      </c>
    </row>
    <row r="213" spans="1:8">
      <c r="A213">
        <v>284509</v>
      </c>
      <c r="B213" t="s">
        <v>869</v>
      </c>
      <c r="C213" t="s">
        <v>870</v>
      </c>
      <c r="D213" t="s">
        <v>1427</v>
      </c>
      <c r="E213" t="s">
        <v>949</v>
      </c>
      <c r="F213" t="s">
        <v>1363</v>
      </c>
      <c r="G213" t="s">
        <v>1524</v>
      </c>
      <c r="H213" t="s">
        <v>62</v>
      </c>
    </row>
    <row r="214" spans="1:8">
      <c r="A214">
        <v>231318</v>
      </c>
      <c r="B214" t="s">
        <v>871</v>
      </c>
      <c r="C214" t="s">
        <v>872</v>
      </c>
      <c r="D214" t="s">
        <v>1427</v>
      </c>
      <c r="E214" t="s">
        <v>1195</v>
      </c>
      <c r="F214" t="s">
        <v>1363</v>
      </c>
      <c r="G214" t="s">
        <v>1530</v>
      </c>
      <c r="H214" t="s">
        <v>66</v>
      </c>
    </row>
    <row r="215" spans="1:8">
      <c r="A215">
        <v>221285</v>
      </c>
      <c r="B215" t="s">
        <v>873</v>
      </c>
      <c r="C215" t="s">
        <v>874</v>
      </c>
      <c r="D215" t="s">
        <v>1427</v>
      </c>
      <c r="E215" t="s">
        <v>789</v>
      </c>
      <c r="F215" t="s">
        <v>1369</v>
      </c>
      <c r="G215" t="s">
        <v>1528</v>
      </c>
      <c r="H215" t="s">
        <v>65</v>
      </c>
    </row>
    <row r="216" spans="1:8">
      <c r="A216">
        <v>214533</v>
      </c>
      <c r="B216" t="s">
        <v>875</v>
      </c>
      <c r="C216" t="s">
        <v>876</v>
      </c>
      <c r="D216" t="s">
        <v>1427</v>
      </c>
      <c r="E216" t="s">
        <v>1201</v>
      </c>
      <c r="F216" t="s">
        <v>1362</v>
      </c>
      <c r="G216" t="s">
        <v>1523</v>
      </c>
      <c r="H216" t="s">
        <v>67</v>
      </c>
    </row>
    <row r="217" spans="1:8">
      <c r="A217">
        <v>293172</v>
      </c>
      <c r="B217" t="s">
        <v>877</v>
      </c>
      <c r="C217" t="s">
        <v>1417</v>
      </c>
      <c r="D217" t="s">
        <v>1427</v>
      </c>
      <c r="E217" t="s">
        <v>1326</v>
      </c>
      <c r="F217" t="s">
        <v>1369</v>
      </c>
      <c r="G217" t="s">
        <v>1528</v>
      </c>
      <c r="H217" t="s">
        <v>65</v>
      </c>
    </row>
    <row r="218" spans="1:8">
      <c r="A218">
        <v>183051</v>
      </c>
      <c r="B218" t="s">
        <v>878</v>
      </c>
      <c r="C218" t="s">
        <v>879</v>
      </c>
      <c r="D218" t="s">
        <v>1427</v>
      </c>
      <c r="E218" t="s">
        <v>923</v>
      </c>
      <c r="F218" t="s">
        <v>1366</v>
      </c>
      <c r="G218" t="s">
        <v>1521</v>
      </c>
      <c r="H218" t="s">
        <v>61</v>
      </c>
    </row>
    <row r="219" spans="1:8">
      <c r="A219">
        <v>272851</v>
      </c>
      <c r="B219" t="s">
        <v>880</v>
      </c>
      <c r="C219" t="s">
        <v>881</v>
      </c>
      <c r="D219" t="s">
        <v>1427</v>
      </c>
      <c r="E219" t="s">
        <v>789</v>
      </c>
      <c r="F219" t="s">
        <v>1369</v>
      </c>
      <c r="G219" t="s">
        <v>1528</v>
      </c>
      <c r="H219" t="s">
        <v>65</v>
      </c>
    </row>
    <row r="220" spans="1:8">
      <c r="A220">
        <v>31351</v>
      </c>
      <c r="B220" t="s">
        <v>882</v>
      </c>
      <c r="C220" t="s">
        <v>883</v>
      </c>
      <c r="D220" t="s">
        <v>1427</v>
      </c>
      <c r="E220" t="s">
        <v>815</v>
      </c>
      <c r="F220" t="s">
        <v>1363</v>
      </c>
      <c r="G220" t="s">
        <v>1545</v>
      </c>
      <c r="H220" t="s">
        <v>64</v>
      </c>
    </row>
    <row r="221" spans="1:8">
      <c r="A221">
        <v>299100</v>
      </c>
      <c r="B221" t="s">
        <v>884</v>
      </c>
      <c r="C221" t="s">
        <v>885</v>
      </c>
      <c r="D221" t="s">
        <v>1427</v>
      </c>
      <c r="E221" t="s">
        <v>949</v>
      </c>
      <c r="F221" t="s">
        <v>1363</v>
      </c>
      <c r="G221" t="s">
        <v>1524</v>
      </c>
      <c r="H221" t="s">
        <v>62</v>
      </c>
    </row>
    <row r="222" spans="1:8">
      <c r="A222">
        <v>239680</v>
      </c>
      <c r="B222" t="s">
        <v>886</v>
      </c>
      <c r="C222" t="s">
        <v>887</v>
      </c>
      <c r="D222" t="s">
        <v>1426</v>
      </c>
      <c r="E222" t="s">
        <v>1332</v>
      </c>
      <c r="F222" t="s">
        <v>602</v>
      </c>
      <c r="G222" t="s">
        <v>1518</v>
      </c>
      <c r="H222" t="s">
        <v>1832</v>
      </c>
    </row>
    <row r="223" spans="1:8">
      <c r="A223">
        <v>158650</v>
      </c>
      <c r="B223" t="s">
        <v>888</v>
      </c>
      <c r="C223" t="s">
        <v>889</v>
      </c>
      <c r="D223" t="s">
        <v>1427</v>
      </c>
      <c r="E223" t="s">
        <v>2381</v>
      </c>
      <c r="F223" t="s">
        <v>1363</v>
      </c>
      <c r="G223" t="s">
        <v>1524</v>
      </c>
      <c r="H223" t="s">
        <v>62</v>
      </c>
    </row>
    <row r="224" spans="1:8">
      <c r="A224">
        <v>299083</v>
      </c>
      <c r="B224" t="s">
        <v>890</v>
      </c>
      <c r="C224" t="s">
        <v>891</v>
      </c>
      <c r="D224" t="s">
        <v>1427</v>
      </c>
      <c r="E224" t="s">
        <v>1332</v>
      </c>
      <c r="F224" t="s">
        <v>602</v>
      </c>
      <c r="G224" t="s">
        <v>1528</v>
      </c>
      <c r="H224" t="s">
        <v>65</v>
      </c>
    </row>
    <row r="225" spans="1:8">
      <c r="A225">
        <v>221506</v>
      </c>
      <c r="B225" t="s">
        <v>892</v>
      </c>
      <c r="C225" t="s">
        <v>893</v>
      </c>
      <c r="D225" t="s">
        <v>1427</v>
      </c>
      <c r="E225" t="s">
        <v>789</v>
      </c>
      <c r="F225" t="s">
        <v>1369</v>
      </c>
      <c r="G225" t="s">
        <v>1528</v>
      </c>
      <c r="H225" t="s">
        <v>65</v>
      </c>
    </row>
    <row r="226" spans="1:8">
      <c r="A226">
        <v>293853</v>
      </c>
      <c r="B226" t="s">
        <v>894</v>
      </c>
      <c r="C226" t="s">
        <v>895</v>
      </c>
      <c r="D226" t="s">
        <v>1427</v>
      </c>
      <c r="E226" t="s">
        <v>1326</v>
      </c>
      <c r="F226" t="s">
        <v>1369</v>
      </c>
      <c r="G226" t="s">
        <v>1528</v>
      </c>
      <c r="H226" t="s">
        <v>65</v>
      </c>
    </row>
    <row r="227" spans="1:8">
      <c r="A227">
        <v>291087</v>
      </c>
      <c r="B227" t="s">
        <v>896</v>
      </c>
      <c r="C227" t="s">
        <v>897</v>
      </c>
      <c r="D227" t="s">
        <v>1427</v>
      </c>
      <c r="E227" t="s">
        <v>1326</v>
      </c>
      <c r="F227" t="s">
        <v>1369</v>
      </c>
      <c r="G227" t="s">
        <v>1528</v>
      </c>
      <c r="H227" t="s">
        <v>65</v>
      </c>
    </row>
    <row r="228" spans="1:8">
      <c r="A228">
        <v>274247</v>
      </c>
      <c r="B228" t="s">
        <v>898</v>
      </c>
      <c r="C228" t="s">
        <v>899</v>
      </c>
      <c r="D228" t="s">
        <v>1427</v>
      </c>
      <c r="E228" t="s">
        <v>690</v>
      </c>
      <c r="F228" t="s">
        <v>1359</v>
      </c>
      <c r="G228" t="s">
        <v>1527</v>
      </c>
      <c r="H228" t="s">
        <v>59</v>
      </c>
    </row>
    <row r="229" spans="1:8">
      <c r="A229">
        <v>81899</v>
      </c>
      <c r="B229" t="s">
        <v>900</v>
      </c>
      <c r="C229" t="s">
        <v>901</v>
      </c>
      <c r="D229" t="s">
        <v>1427</v>
      </c>
      <c r="E229" t="s">
        <v>1100</v>
      </c>
      <c r="F229" t="s">
        <v>1366</v>
      </c>
      <c r="G229" t="s">
        <v>1525</v>
      </c>
      <c r="H229" t="s">
        <v>61</v>
      </c>
    </row>
    <row r="230" spans="1:8">
      <c r="A230">
        <v>195034</v>
      </c>
      <c r="B230" t="s">
        <v>902</v>
      </c>
      <c r="C230" t="s">
        <v>903</v>
      </c>
      <c r="D230" t="s">
        <v>1428</v>
      </c>
      <c r="E230" t="s">
        <v>1261</v>
      </c>
      <c r="F230" t="s">
        <v>1362</v>
      </c>
      <c r="G230" t="s">
        <v>1522</v>
      </c>
      <c r="H230" t="s">
        <v>60</v>
      </c>
    </row>
    <row r="231" spans="1:8">
      <c r="A231">
        <v>195435</v>
      </c>
      <c r="B231" t="s">
        <v>904</v>
      </c>
      <c r="C231" t="s">
        <v>905</v>
      </c>
      <c r="D231" t="s">
        <v>1427</v>
      </c>
      <c r="E231" t="s">
        <v>931</v>
      </c>
      <c r="F231" t="s">
        <v>1366</v>
      </c>
      <c r="G231" t="s">
        <v>1520</v>
      </c>
      <c r="H231" t="s">
        <v>61</v>
      </c>
    </row>
    <row r="232" spans="1:8">
      <c r="A232">
        <v>260830</v>
      </c>
      <c r="B232" t="s">
        <v>906</v>
      </c>
      <c r="C232" t="s">
        <v>907</v>
      </c>
      <c r="D232" t="s">
        <v>1427</v>
      </c>
      <c r="E232" t="s">
        <v>789</v>
      </c>
      <c r="F232" t="s">
        <v>1369</v>
      </c>
      <c r="G232" t="s">
        <v>1528</v>
      </c>
      <c r="H232" t="s">
        <v>65</v>
      </c>
    </row>
    <row r="233" spans="1:8">
      <c r="A233">
        <v>196111</v>
      </c>
      <c r="B233" t="s">
        <v>910</v>
      </c>
      <c r="C233" t="s">
        <v>911</v>
      </c>
      <c r="D233" t="s">
        <v>1427</v>
      </c>
      <c r="E233" t="s">
        <v>690</v>
      </c>
      <c r="F233" t="s">
        <v>1359</v>
      </c>
      <c r="G233" t="s">
        <v>1546</v>
      </c>
      <c r="H233" t="s">
        <v>59</v>
      </c>
    </row>
    <row r="234" spans="1:8">
      <c r="A234">
        <v>198211</v>
      </c>
      <c r="B234" t="s">
        <v>1439</v>
      </c>
      <c r="C234" t="s">
        <v>1431</v>
      </c>
      <c r="D234" t="s">
        <v>1427</v>
      </c>
      <c r="E234" t="s">
        <v>931</v>
      </c>
      <c r="F234" t="s">
        <v>1366</v>
      </c>
      <c r="G234" t="s">
        <v>1547</v>
      </c>
      <c r="H234" t="s">
        <v>61</v>
      </c>
    </row>
    <row r="235" spans="1:8">
      <c r="A235">
        <v>312890</v>
      </c>
      <c r="B235" t="s">
        <v>1440</v>
      </c>
      <c r="C235" t="s">
        <v>1432</v>
      </c>
      <c r="D235" t="s">
        <v>1427</v>
      </c>
      <c r="E235" t="s">
        <v>1201</v>
      </c>
      <c r="F235" t="s">
        <v>1362</v>
      </c>
      <c r="G235" t="s">
        <v>1523</v>
      </c>
      <c r="H235" t="s">
        <v>67</v>
      </c>
    </row>
    <row r="236" spans="1:8">
      <c r="A236">
        <v>229517</v>
      </c>
      <c r="B236" t="s">
        <v>914</v>
      </c>
      <c r="C236" t="s">
        <v>915</v>
      </c>
      <c r="D236" t="s">
        <v>1427</v>
      </c>
      <c r="E236" t="s">
        <v>1179</v>
      </c>
      <c r="F236" t="s">
        <v>1369</v>
      </c>
      <c r="G236" t="s">
        <v>1528</v>
      </c>
      <c r="H236" t="s">
        <v>65</v>
      </c>
    </row>
    <row r="237" spans="1:8">
      <c r="A237">
        <v>231112</v>
      </c>
      <c r="B237" t="s">
        <v>916</v>
      </c>
      <c r="C237" t="s">
        <v>917</v>
      </c>
      <c r="D237" t="s">
        <v>1427</v>
      </c>
      <c r="E237" t="s">
        <v>512</v>
      </c>
      <c r="F237" t="s">
        <v>602</v>
      </c>
      <c r="G237" t="s">
        <v>1528</v>
      </c>
      <c r="H237" t="s">
        <v>65</v>
      </c>
    </row>
    <row r="238" spans="1:8">
      <c r="A238">
        <v>274699</v>
      </c>
      <c r="B238" t="s">
        <v>918</v>
      </c>
      <c r="C238" t="s">
        <v>919</v>
      </c>
      <c r="D238" t="s">
        <v>1427</v>
      </c>
      <c r="E238" t="s">
        <v>789</v>
      </c>
      <c r="F238" t="s">
        <v>1369</v>
      </c>
      <c r="G238" t="s">
        <v>1528</v>
      </c>
      <c r="H238" t="s">
        <v>65</v>
      </c>
    </row>
    <row r="239" spans="1:8">
      <c r="A239">
        <v>229220</v>
      </c>
      <c r="B239" t="s">
        <v>920</v>
      </c>
      <c r="C239" t="s">
        <v>921</v>
      </c>
      <c r="D239" t="s">
        <v>1427</v>
      </c>
      <c r="E239" t="s">
        <v>1179</v>
      </c>
      <c r="F239" t="s">
        <v>1369</v>
      </c>
      <c r="G239" t="s">
        <v>1528</v>
      </c>
      <c r="H239" t="s">
        <v>65</v>
      </c>
    </row>
    <row r="240" spans="1:8">
      <c r="A240">
        <v>181509</v>
      </c>
      <c r="B240" t="s">
        <v>922</v>
      </c>
      <c r="C240" t="s">
        <v>923</v>
      </c>
      <c r="D240" t="s">
        <v>1429</v>
      </c>
      <c r="E240" t="s">
        <v>1366</v>
      </c>
      <c r="F240" t="s">
        <v>1368</v>
      </c>
      <c r="G240" t="s">
        <v>1413</v>
      </c>
      <c r="H240" t="s">
        <v>1832</v>
      </c>
    </row>
    <row r="241" spans="1:8">
      <c r="A241">
        <v>230883</v>
      </c>
      <c r="B241" t="s">
        <v>924</v>
      </c>
      <c r="C241" t="s">
        <v>925</v>
      </c>
      <c r="D241" t="s">
        <v>1427</v>
      </c>
      <c r="E241" t="s">
        <v>1261</v>
      </c>
      <c r="F241" t="s">
        <v>1362</v>
      </c>
      <c r="G241" t="s">
        <v>1523</v>
      </c>
      <c r="H241" t="s">
        <v>1832</v>
      </c>
    </row>
    <row r="242" spans="1:8">
      <c r="A242">
        <v>299082</v>
      </c>
      <c r="B242" t="s">
        <v>926</v>
      </c>
      <c r="C242" t="s">
        <v>927</v>
      </c>
      <c r="D242" t="s">
        <v>1427</v>
      </c>
      <c r="E242" t="s">
        <v>1195</v>
      </c>
      <c r="F242" t="s">
        <v>1363</v>
      </c>
      <c r="G242" t="s">
        <v>1530</v>
      </c>
      <c r="H242" t="s">
        <v>66</v>
      </c>
    </row>
    <row r="243" spans="1:8">
      <c r="A243">
        <v>242877</v>
      </c>
      <c r="B243" t="s">
        <v>928</v>
      </c>
      <c r="C243" t="s">
        <v>929</v>
      </c>
      <c r="D243" t="s">
        <v>1427</v>
      </c>
      <c r="E243" t="s">
        <v>2381</v>
      </c>
      <c r="F243" t="s">
        <v>1363</v>
      </c>
      <c r="G243" t="s">
        <v>1524</v>
      </c>
      <c r="H243" t="s">
        <v>62</v>
      </c>
    </row>
    <row r="244" spans="1:8">
      <c r="A244">
        <v>86406</v>
      </c>
      <c r="B244" t="s">
        <v>930</v>
      </c>
      <c r="C244" t="s">
        <v>931</v>
      </c>
      <c r="D244" t="s">
        <v>1429</v>
      </c>
      <c r="E244" t="s">
        <v>1366</v>
      </c>
      <c r="F244" t="s">
        <v>1368</v>
      </c>
      <c r="G244" t="s">
        <v>1413</v>
      </c>
      <c r="H244" t="s">
        <v>1832</v>
      </c>
    </row>
    <row r="245" spans="1:8">
      <c r="A245">
        <v>234888</v>
      </c>
      <c r="B245" t="s">
        <v>932</v>
      </c>
      <c r="C245" t="s">
        <v>933</v>
      </c>
      <c r="D245" t="s">
        <v>1427</v>
      </c>
      <c r="E245" t="s">
        <v>1201</v>
      </c>
      <c r="F245" t="s">
        <v>1362</v>
      </c>
      <c r="G245" t="s">
        <v>1523</v>
      </c>
      <c r="H245" t="s">
        <v>67</v>
      </c>
    </row>
    <row r="246" spans="1:8">
      <c r="A246">
        <v>103566</v>
      </c>
      <c r="B246" t="s">
        <v>934</v>
      </c>
      <c r="C246" t="s">
        <v>935</v>
      </c>
      <c r="D246" t="s">
        <v>1428</v>
      </c>
      <c r="E246" t="s">
        <v>1201</v>
      </c>
      <c r="F246" t="s">
        <v>1362</v>
      </c>
      <c r="G246" t="s">
        <v>1522</v>
      </c>
      <c r="H246" t="s">
        <v>60</v>
      </c>
    </row>
    <row r="247" spans="1:8">
      <c r="A247">
        <v>118549</v>
      </c>
      <c r="B247" t="s">
        <v>936</v>
      </c>
      <c r="C247" t="s">
        <v>937</v>
      </c>
      <c r="D247" t="s">
        <v>1427</v>
      </c>
      <c r="E247" t="s">
        <v>1195</v>
      </c>
      <c r="F247" t="s">
        <v>1363</v>
      </c>
      <c r="G247" t="s">
        <v>1530</v>
      </c>
      <c r="H247" t="s">
        <v>66</v>
      </c>
    </row>
    <row r="248" spans="1:8">
      <c r="A248">
        <v>107006</v>
      </c>
      <c r="B248" t="s">
        <v>938</v>
      </c>
      <c r="C248" t="s">
        <v>939</v>
      </c>
      <c r="D248" t="s">
        <v>1427</v>
      </c>
      <c r="E248" t="s">
        <v>1100</v>
      </c>
      <c r="F248" t="s">
        <v>1366</v>
      </c>
      <c r="G248" t="s">
        <v>1520</v>
      </c>
      <c r="H248" t="s">
        <v>61</v>
      </c>
    </row>
    <row r="249" spans="1:8">
      <c r="A249">
        <v>175574</v>
      </c>
      <c r="B249" t="s">
        <v>940</v>
      </c>
      <c r="C249" t="s">
        <v>941</v>
      </c>
      <c r="D249" t="s">
        <v>1429</v>
      </c>
      <c r="E249" t="s">
        <v>1359</v>
      </c>
      <c r="F249" t="s">
        <v>1368</v>
      </c>
      <c r="G249" t="s">
        <v>1413</v>
      </c>
      <c r="H249" t="s">
        <v>1832</v>
      </c>
    </row>
    <row r="250" spans="1:8">
      <c r="A250">
        <v>242494</v>
      </c>
      <c r="B250" t="s">
        <v>942</v>
      </c>
      <c r="C250" t="s">
        <v>943</v>
      </c>
      <c r="D250" t="s">
        <v>1427</v>
      </c>
      <c r="E250" t="s">
        <v>949</v>
      </c>
      <c r="F250" t="s">
        <v>1363</v>
      </c>
      <c r="G250" t="s">
        <v>1524</v>
      </c>
      <c r="H250" t="s">
        <v>62</v>
      </c>
    </row>
    <row r="251" spans="1:8">
      <c r="A251">
        <v>109840</v>
      </c>
      <c r="B251" t="s">
        <v>944</v>
      </c>
      <c r="C251" t="s">
        <v>945</v>
      </c>
      <c r="D251" t="s">
        <v>1427</v>
      </c>
      <c r="E251" t="s">
        <v>815</v>
      </c>
      <c r="F251" t="s">
        <v>1363</v>
      </c>
      <c r="G251" t="s">
        <v>1545</v>
      </c>
      <c r="H251" t="s">
        <v>64</v>
      </c>
    </row>
    <row r="252" spans="1:8">
      <c r="A252">
        <v>194503</v>
      </c>
      <c r="B252" t="s">
        <v>946</v>
      </c>
      <c r="C252" t="s">
        <v>947</v>
      </c>
      <c r="D252" t="s">
        <v>1427</v>
      </c>
      <c r="E252" t="s">
        <v>690</v>
      </c>
      <c r="F252" t="s">
        <v>1359</v>
      </c>
      <c r="G252" t="s">
        <v>1527</v>
      </c>
      <c r="H252" t="s">
        <v>59</v>
      </c>
    </row>
    <row r="253" spans="1:8">
      <c r="A253">
        <v>134090</v>
      </c>
      <c r="B253" t="s">
        <v>948</v>
      </c>
      <c r="C253" t="s">
        <v>949</v>
      </c>
      <c r="D253" t="s">
        <v>1429</v>
      </c>
      <c r="E253" t="s">
        <v>1363</v>
      </c>
      <c r="F253" t="s">
        <v>1368</v>
      </c>
      <c r="G253" t="s">
        <v>1413</v>
      </c>
      <c r="H253" t="s">
        <v>1832</v>
      </c>
    </row>
    <row r="254" spans="1:8">
      <c r="A254">
        <v>229229</v>
      </c>
      <c r="B254" t="s">
        <v>950</v>
      </c>
      <c r="C254" t="s">
        <v>951</v>
      </c>
      <c r="D254" t="s">
        <v>1427</v>
      </c>
      <c r="E254" t="s">
        <v>1179</v>
      </c>
      <c r="F254" t="s">
        <v>1369</v>
      </c>
      <c r="G254" t="s">
        <v>1528</v>
      </c>
      <c r="H254" t="s">
        <v>65</v>
      </c>
    </row>
    <row r="255" spans="1:8">
      <c r="A255">
        <v>180839</v>
      </c>
      <c r="B255" t="s">
        <v>952</v>
      </c>
      <c r="C255" t="s">
        <v>953</v>
      </c>
      <c r="D255" t="s">
        <v>1427</v>
      </c>
      <c r="E255" t="s">
        <v>512</v>
      </c>
      <c r="F255" t="s">
        <v>602</v>
      </c>
      <c r="G255" t="s">
        <v>1548</v>
      </c>
      <c r="H255" t="s">
        <v>65</v>
      </c>
    </row>
    <row r="256" spans="1:8">
      <c r="A256">
        <v>263664</v>
      </c>
      <c r="B256" t="s">
        <v>954</v>
      </c>
      <c r="C256" t="s">
        <v>955</v>
      </c>
      <c r="D256" t="s">
        <v>1427</v>
      </c>
      <c r="E256" t="s">
        <v>1068</v>
      </c>
      <c r="F256" t="s">
        <v>1362</v>
      </c>
      <c r="G256" t="s">
        <v>1523</v>
      </c>
      <c r="H256" t="s">
        <v>67</v>
      </c>
    </row>
    <row r="257" spans="1:8">
      <c r="A257">
        <v>221595</v>
      </c>
      <c r="B257" t="s">
        <v>956</v>
      </c>
      <c r="C257" t="s">
        <v>957</v>
      </c>
      <c r="D257" t="s">
        <v>1427</v>
      </c>
      <c r="E257" t="s">
        <v>1201</v>
      </c>
      <c r="F257" t="s">
        <v>1362</v>
      </c>
      <c r="G257" t="s">
        <v>1523</v>
      </c>
      <c r="H257" t="s">
        <v>67</v>
      </c>
    </row>
    <row r="258" spans="1:8">
      <c r="A258">
        <v>311040</v>
      </c>
      <c r="B258" t="s">
        <v>958</v>
      </c>
      <c r="C258" t="s">
        <v>959</v>
      </c>
      <c r="D258" t="s">
        <v>1427</v>
      </c>
      <c r="E258" t="s">
        <v>941</v>
      </c>
      <c r="F258" t="s">
        <v>1359</v>
      </c>
      <c r="G258" t="s">
        <v>1527</v>
      </c>
      <c r="H258" t="s">
        <v>59</v>
      </c>
    </row>
    <row r="259" spans="1:8">
      <c r="A259">
        <v>221724</v>
      </c>
      <c r="B259" t="s">
        <v>960</v>
      </c>
      <c r="C259" t="s">
        <v>961</v>
      </c>
      <c r="D259" t="s">
        <v>1427</v>
      </c>
      <c r="E259" t="s">
        <v>2381</v>
      </c>
      <c r="F259" t="s">
        <v>1363</v>
      </c>
      <c r="G259" t="s">
        <v>1524</v>
      </c>
      <c r="H259" t="s">
        <v>62</v>
      </c>
    </row>
    <row r="260" spans="1:8">
      <c r="A260">
        <v>229312</v>
      </c>
      <c r="B260" t="s">
        <v>962</v>
      </c>
      <c r="C260" t="s">
        <v>963</v>
      </c>
      <c r="D260" t="s">
        <v>1427</v>
      </c>
      <c r="E260" t="s">
        <v>1100</v>
      </c>
      <c r="F260" t="s">
        <v>1366</v>
      </c>
      <c r="G260" t="s">
        <v>1542</v>
      </c>
      <c r="H260" t="s">
        <v>61</v>
      </c>
    </row>
    <row r="261" spans="1:8">
      <c r="A261">
        <v>299154</v>
      </c>
      <c r="B261" t="s">
        <v>1337</v>
      </c>
      <c r="C261" t="s">
        <v>1338</v>
      </c>
      <c r="D261" t="s">
        <v>1427</v>
      </c>
      <c r="E261" t="s">
        <v>1179</v>
      </c>
      <c r="F261" t="s">
        <v>1369</v>
      </c>
      <c r="G261" t="s">
        <v>1520</v>
      </c>
      <c r="H261" t="s">
        <v>65</v>
      </c>
    </row>
    <row r="262" spans="1:8">
      <c r="A262">
        <v>194969</v>
      </c>
      <c r="B262" t="s">
        <v>965</v>
      </c>
      <c r="C262" t="s">
        <v>966</v>
      </c>
      <c r="D262" t="s">
        <v>1427</v>
      </c>
      <c r="E262" t="s">
        <v>640</v>
      </c>
      <c r="F262" t="s">
        <v>1366</v>
      </c>
      <c r="G262" t="s">
        <v>1519</v>
      </c>
      <c r="H262" t="s">
        <v>58</v>
      </c>
    </row>
    <row r="263" spans="1:8">
      <c r="A263">
        <v>195460</v>
      </c>
      <c r="B263" t="s">
        <v>967</v>
      </c>
      <c r="C263" t="s">
        <v>968</v>
      </c>
      <c r="D263" t="s">
        <v>1427</v>
      </c>
      <c r="E263" t="s">
        <v>931</v>
      </c>
      <c r="F263" t="s">
        <v>1366</v>
      </c>
      <c r="G263" t="s">
        <v>1534</v>
      </c>
      <c r="H263" t="s">
        <v>61</v>
      </c>
    </row>
    <row r="264" spans="1:8">
      <c r="A264">
        <v>185118</v>
      </c>
      <c r="B264" t="s">
        <v>1408</v>
      </c>
      <c r="C264" t="s">
        <v>1405</v>
      </c>
      <c r="D264" t="s">
        <v>1426</v>
      </c>
      <c r="E264" t="s">
        <v>789</v>
      </c>
      <c r="F264" t="s">
        <v>1369</v>
      </c>
      <c r="G264" t="s">
        <v>1518</v>
      </c>
      <c r="H264" t="s">
        <v>1832</v>
      </c>
    </row>
    <row r="265" spans="1:8">
      <c r="A265">
        <v>45741</v>
      </c>
      <c r="B265" t="s">
        <v>969</v>
      </c>
      <c r="C265" t="s">
        <v>970</v>
      </c>
      <c r="D265" t="s">
        <v>1427</v>
      </c>
      <c r="E265" t="s">
        <v>1100</v>
      </c>
      <c r="F265" t="s">
        <v>1366</v>
      </c>
      <c r="G265" t="s">
        <v>1542</v>
      </c>
      <c r="H265" t="s">
        <v>61</v>
      </c>
    </row>
    <row r="266" spans="1:8">
      <c r="A266">
        <v>81491</v>
      </c>
      <c r="B266" t="s">
        <v>971</v>
      </c>
      <c r="C266" t="s">
        <v>972</v>
      </c>
      <c r="D266" t="s">
        <v>1427</v>
      </c>
      <c r="E266" t="s">
        <v>512</v>
      </c>
      <c r="F266" t="s">
        <v>602</v>
      </c>
      <c r="G266" t="s">
        <v>1528</v>
      </c>
      <c r="H266" t="s">
        <v>65</v>
      </c>
    </row>
    <row r="267" spans="1:8">
      <c r="A267">
        <v>275850</v>
      </c>
      <c r="B267" t="s">
        <v>973</v>
      </c>
      <c r="C267" t="s">
        <v>974</v>
      </c>
      <c r="D267" t="s">
        <v>1427</v>
      </c>
      <c r="E267" t="s">
        <v>1201</v>
      </c>
      <c r="F267" t="s">
        <v>1362</v>
      </c>
      <c r="G267" t="s">
        <v>1523</v>
      </c>
      <c r="H267" t="s">
        <v>67</v>
      </c>
    </row>
    <row r="268" spans="1:8">
      <c r="A268">
        <v>299672</v>
      </c>
      <c r="B268" t="s">
        <v>975</v>
      </c>
      <c r="C268" t="s">
        <v>976</v>
      </c>
      <c r="D268" t="s">
        <v>1427</v>
      </c>
      <c r="E268" t="s">
        <v>640</v>
      </c>
      <c r="F268" t="s">
        <v>1366</v>
      </c>
      <c r="G268" t="s">
        <v>1519</v>
      </c>
      <c r="H268" t="s">
        <v>58</v>
      </c>
    </row>
    <row r="269" spans="1:8">
      <c r="A269">
        <v>299166</v>
      </c>
      <c r="B269" t="s">
        <v>977</v>
      </c>
      <c r="C269" t="s">
        <v>978</v>
      </c>
      <c r="D269" t="s">
        <v>1427</v>
      </c>
      <c r="E269" t="s">
        <v>1068</v>
      </c>
      <c r="F269" t="s">
        <v>1362</v>
      </c>
      <c r="G269" t="s">
        <v>1523</v>
      </c>
      <c r="H269" t="s">
        <v>67</v>
      </c>
    </row>
    <row r="270" spans="1:8">
      <c r="A270">
        <v>197499</v>
      </c>
      <c r="B270" t="s">
        <v>979</v>
      </c>
      <c r="C270" t="s">
        <v>980</v>
      </c>
      <c r="D270" t="s">
        <v>1427</v>
      </c>
      <c r="E270" t="s">
        <v>1100</v>
      </c>
      <c r="F270" t="s">
        <v>1366</v>
      </c>
      <c r="G270" t="s">
        <v>1542</v>
      </c>
      <c r="H270" t="s">
        <v>61</v>
      </c>
    </row>
    <row r="271" spans="1:8">
      <c r="A271">
        <v>175494</v>
      </c>
      <c r="B271" t="s">
        <v>981</v>
      </c>
      <c r="C271" t="s">
        <v>982</v>
      </c>
      <c r="D271" t="s">
        <v>1427</v>
      </c>
      <c r="E271" t="s">
        <v>949</v>
      </c>
      <c r="F271" t="s">
        <v>1363</v>
      </c>
      <c r="G271" t="s">
        <v>1524</v>
      </c>
      <c r="H271" t="s">
        <v>62</v>
      </c>
    </row>
    <row r="272" spans="1:8">
      <c r="A272">
        <v>242695</v>
      </c>
      <c r="B272" t="s">
        <v>983</v>
      </c>
      <c r="C272" t="s">
        <v>984</v>
      </c>
      <c r="D272" t="s">
        <v>1427</v>
      </c>
      <c r="E272" t="s">
        <v>1195</v>
      </c>
      <c r="F272" t="s">
        <v>1363</v>
      </c>
      <c r="G272" t="s">
        <v>1530</v>
      </c>
      <c r="H272" t="s">
        <v>66</v>
      </c>
    </row>
    <row r="273" spans="1:8">
      <c r="A273">
        <v>220964</v>
      </c>
      <c r="B273" t="s">
        <v>985</v>
      </c>
      <c r="C273" t="s">
        <v>986</v>
      </c>
      <c r="D273" t="s">
        <v>1427</v>
      </c>
      <c r="E273" t="s">
        <v>789</v>
      </c>
      <c r="F273" t="s">
        <v>1369</v>
      </c>
      <c r="G273" t="s">
        <v>1528</v>
      </c>
      <c r="H273" t="s">
        <v>65</v>
      </c>
    </row>
    <row r="274" spans="1:8">
      <c r="A274">
        <v>275778</v>
      </c>
      <c r="B274" t="s">
        <v>987</v>
      </c>
      <c r="C274" t="s">
        <v>988</v>
      </c>
      <c r="D274" t="s">
        <v>1427</v>
      </c>
      <c r="E274" t="s">
        <v>1068</v>
      </c>
      <c r="F274" t="s">
        <v>1362</v>
      </c>
      <c r="G274" t="s">
        <v>1523</v>
      </c>
      <c r="H274" t="s">
        <v>67</v>
      </c>
    </row>
    <row r="275" spans="1:8">
      <c r="A275">
        <v>303339</v>
      </c>
      <c r="B275" t="s">
        <v>989</v>
      </c>
      <c r="C275" t="s">
        <v>990</v>
      </c>
      <c r="D275" t="s">
        <v>1427</v>
      </c>
      <c r="E275" t="s">
        <v>690</v>
      </c>
      <c r="F275" t="s">
        <v>1359</v>
      </c>
      <c r="G275" t="s">
        <v>1527</v>
      </c>
      <c r="H275" t="s">
        <v>59</v>
      </c>
    </row>
    <row r="276" spans="1:8">
      <c r="A276">
        <v>229313</v>
      </c>
      <c r="B276" t="s">
        <v>991</v>
      </c>
      <c r="C276" t="s">
        <v>992</v>
      </c>
      <c r="D276" t="s">
        <v>1427</v>
      </c>
      <c r="E276" t="s">
        <v>690</v>
      </c>
      <c r="F276" t="s">
        <v>1359</v>
      </c>
      <c r="G276" t="s">
        <v>1527</v>
      </c>
      <c r="H276" t="s">
        <v>59</v>
      </c>
    </row>
    <row r="277" spans="1:8">
      <c r="A277">
        <v>303473</v>
      </c>
      <c r="B277" t="s">
        <v>993</v>
      </c>
      <c r="C277" t="s">
        <v>994</v>
      </c>
      <c r="D277" t="s">
        <v>1427</v>
      </c>
      <c r="E277" t="s">
        <v>584</v>
      </c>
      <c r="F277" t="s">
        <v>1362</v>
      </c>
      <c r="G277" t="s">
        <v>1523</v>
      </c>
      <c r="H277" t="s">
        <v>67</v>
      </c>
    </row>
    <row r="278" spans="1:8">
      <c r="A278">
        <v>82204</v>
      </c>
      <c r="B278" t="s">
        <v>995</v>
      </c>
      <c r="C278" t="s">
        <v>996</v>
      </c>
      <c r="D278" t="s">
        <v>1427</v>
      </c>
      <c r="E278" t="s">
        <v>1100</v>
      </c>
      <c r="F278" t="s">
        <v>1366</v>
      </c>
      <c r="G278" t="s">
        <v>1518</v>
      </c>
      <c r="H278" t="s">
        <v>1832</v>
      </c>
    </row>
    <row r="279" spans="1:8">
      <c r="A279">
        <v>276092</v>
      </c>
      <c r="B279" t="s">
        <v>997</v>
      </c>
      <c r="C279" t="s">
        <v>998</v>
      </c>
      <c r="D279" t="s">
        <v>1427</v>
      </c>
      <c r="E279" t="s">
        <v>1006</v>
      </c>
      <c r="F279" t="s">
        <v>1359</v>
      </c>
      <c r="G279" t="s">
        <v>1527</v>
      </c>
      <c r="H279" t="s">
        <v>59</v>
      </c>
    </row>
    <row r="280" spans="1:8">
      <c r="A280">
        <v>147448</v>
      </c>
      <c r="B280" t="s">
        <v>999</v>
      </c>
      <c r="C280" t="s">
        <v>1000</v>
      </c>
      <c r="D280" t="s">
        <v>1427</v>
      </c>
      <c r="E280" t="s">
        <v>931</v>
      </c>
      <c r="F280" t="s">
        <v>1366</v>
      </c>
      <c r="G280" t="s">
        <v>1543</v>
      </c>
      <c r="H280" t="s">
        <v>61</v>
      </c>
    </row>
    <row r="281" spans="1:8">
      <c r="A281">
        <v>231731</v>
      </c>
      <c r="B281" t="s">
        <v>1001</v>
      </c>
      <c r="C281" t="s">
        <v>1002</v>
      </c>
      <c r="D281" t="s">
        <v>1427</v>
      </c>
      <c r="E281" t="s">
        <v>1334</v>
      </c>
      <c r="F281" t="s">
        <v>1362</v>
      </c>
      <c r="G281" t="s">
        <v>1523</v>
      </c>
      <c r="H281" t="s">
        <v>67</v>
      </c>
    </row>
    <row r="282" spans="1:8">
      <c r="A282">
        <v>105413</v>
      </c>
      <c r="B282" t="s">
        <v>1003</v>
      </c>
      <c r="C282" t="s">
        <v>1004</v>
      </c>
      <c r="D282" t="s">
        <v>1427</v>
      </c>
      <c r="E282" t="s">
        <v>1100</v>
      </c>
      <c r="F282" t="s">
        <v>1366</v>
      </c>
      <c r="G282" t="s">
        <v>1549</v>
      </c>
      <c r="H282" t="s">
        <v>61</v>
      </c>
    </row>
    <row r="283" spans="1:8">
      <c r="A283">
        <v>102892</v>
      </c>
      <c r="B283" t="s">
        <v>1005</v>
      </c>
      <c r="C283" t="s">
        <v>1006</v>
      </c>
      <c r="D283" t="s">
        <v>1429</v>
      </c>
      <c r="E283" t="s">
        <v>1359</v>
      </c>
      <c r="F283" t="s">
        <v>1368</v>
      </c>
      <c r="G283" t="s">
        <v>1413</v>
      </c>
      <c r="H283" t="s">
        <v>1832</v>
      </c>
    </row>
    <row r="284" spans="1:8">
      <c r="A284">
        <v>197711</v>
      </c>
      <c r="B284" t="s">
        <v>1007</v>
      </c>
      <c r="C284" t="s">
        <v>1008</v>
      </c>
      <c r="D284" t="s">
        <v>1427</v>
      </c>
      <c r="E284" t="s">
        <v>931</v>
      </c>
      <c r="F284" t="s">
        <v>1366</v>
      </c>
      <c r="G284" t="s">
        <v>1520</v>
      </c>
      <c r="H284" t="s">
        <v>61</v>
      </c>
    </row>
    <row r="285" spans="1:8">
      <c r="A285">
        <v>107740</v>
      </c>
      <c r="B285" t="s">
        <v>1009</v>
      </c>
      <c r="C285" t="s">
        <v>1010</v>
      </c>
      <c r="D285" t="s">
        <v>1427</v>
      </c>
      <c r="E285" t="s">
        <v>931</v>
      </c>
      <c r="F285" t="s">
        <v>1366</v>
      </c>
      <c r="G285" t="s">
        <v>1520</v>
      </c>
      <c r="H285" t="s">
        <v>61</v>
      </c>
    </row>
    <row r="286" spans="1:8">
      <c r="A286">
        <v>100597</v>
      </c>
      <c r="B286" t="s">
        <v>1011</v>
      </c>
      <c r="C286" t="s">
        <v>1012</v>
      </c>
      <c r="D286" t="s">
        <v>1427</v>
      </c>
      <c r="E286" t="s">
        <v>1100</v>
      </c>
      <c r="F286" t="s">
        <v>1366</v>
      </c>
      <c r="G286" t="s">
        <v>1550</v>
      </c>
      <c r="H286" t="s">
        <v>61</v>
      </c>
    </row>
    <row r="287" spans="1:8">
      <c r="A287">
        <v>196262</v>
      </c>
      <c r="B287" t="s">
        <v>1341</v>
      </c>
      <c r="C287" t="s">
        <v>1342</v>
      </c>
      <c r="D287" t="s">
        <v>1427</v>
      </c>
      <c r="E287" t="s">
        <v>941</v>
      </c>
      <c r="F287" t="s">
        <v>1359</v>
      </c>
      <c r="G287" t="s">
        <v>1546</v>
      </c>
      <c r="H287" t="s">
        <v>59</v>
      </c>
    </row>
    <row r="288" spans="1:8">
      <c r="A288">
        <v>122473</v>
      </c>
      <c r="B288" t="s">
        <v>1013</v>
      </c>
      <c r="C288" t="s">
        <v>1014</v>
      </c>
      <c r="D288" t="s">
        <v>1427</v>
      </c>
      <c r="E288" t="s">
        <v>1261</v>
      </c>
      <c r="F288" t="s">
        <v>1362</v>
      </c>
      <c r="G288" t="s">
        <v>1523</v>
      </c>
      <c r="H288" t="s">
        <v>67</v>
      </c>
    </row>
    <row r="289" spans="1:8">
      <c r="A289">
        <v>121122</v>
      </c>
      <c r="B289" t="s">
        <v>1015</v>
      </c>
      <c r="C289" t="s">
        <v>1016</v>
      </c>
      <c r="D289" t="s">
        <v>1427</v>
      </c>
      <c r="E289" t="s">
        <v>815</v>
      </c>
      <c r="F289" t="s">
        <v>1363</v>
      </c>
      <c r="G289" t="s">
        <v>1545</v>
      </c>
      <c r="H289" t="s">
        <v>64</v>
      </c>
    </row>
    <row r="290" spans="1:8">
      <c r="A290">
        <v>273000</v>
      </c>
      <c r="B290" t="s">
        <v>1017</v>
      </c>
      <c r="C290" t="s">
        <v>1018</v>
      </c>
      <c r="D290" t="s">
        <v>1427</v>
      </c>
      <c r="E290" t="s">
        <v>1261</v>
      </c>
      <c r="F290" t="s">
        <v>1362</v>
      </c>
      <c r="G290" t="s">
        <v>1532</v>
      </c>
      <c r="H290" t="s">
        <v>67</v>
      </c>
    </row>
    <row r="291" spans="1:8">
      <c r="A291">
        <v>273669</v>
      </c>
      <c r="B291" t="s">
        <v>1019</v>
      </c>
      <c r="C291" t="s">
        <v>1020</v>
      </c>
      <c r="D291" t="s">
        <v>1427</v>
      </c>
      <c r="E291" t="s">
        <v>1006</v>
      </c>
      <c r="F291" t="s">
        <v>1359</v>
      </c>
      <c r="G291" t="s">
        <v>1527</v>
      </c>
      <c r="H291" t="s">
        <v>59</v>
      </c>
    </row>
    <row r="292" spans="1:8">
      <c r="A292">
        <v>291012</v>
      </c>
      <c r="B292" t="s">
        <v>1021</v>
      </c>
      <c r="C292" t="s">
        <v>1022</v>
      </c>
      <c r="D292" t="s">
        <v>1427</v>
      </c>
      <c r="E292" t="s">
        <v>476</v>
      </c>
      <c r="F292" t="s">
        <v>1362</v>
      </c>
      <c r="G292" t="s">
        <v>1523</v>
      </c>
      <c r="H292" t="s">
        <v>67</v>
      </c>
    </row>
    <row r="293" spans="1:8">
      <c r="A293">
        <v>240699</v>
      </c>
      <c r="B293" t="s">
        <v>1023</v>
      </c>
      <c r="C293" t="s">
        <v>1024</v>
      </c>
      <c r="D293" t="s">
        <v>1427</v>
      </c>
      <c r="E293" t="s">
        <v>512</v>
      </c>
      <c r="F293" t="s">
        <v>602</v>
      </c>
      <c r="G293" t="s">
        <v>1528</v>
      </c>
      <c r="H293" t="s">
        <v>65</v>
      </c>
    </row>
    <row r="294" spans="1:8">
      <c r="A294">
        <v>276415</v>
      </c>
      <c r="B294" t="s">
        <v>1025</v>
      </c>
      <c r="C294" t="s">
        <v>1026</v>
      </c>
      <c r="D294" t="s">
        <v>1427</v>
      </c>
      <c r="E294" t="s">
        <v>1332</v>
      </c>
      <c r="F294" t="s">
        <v>602</v>
      </c>
      <c r="G294" t="s">
        <v>1528</v>
      </c>
      <c r="H294" t="s">
        <v>65</v>
      </c>
    </row>
    <row r="295" spans="1:8">
      <c r="A295">
        <v>194883</v>
      </c>
      <c r="B295" t="s">
        <v>1027</v>
      </c>
      <c r="C295" t="s">
        <v>1028</v>
      </c>
      <c r="D295" t="s">
        <v>1427</v>
      </c>
      <c r="E295" t="s">
        <v>1334</v>
      </c>
      <c r="F295" t="s">
        <v>1362</v>
      </c>
      <c r="G295" t="s">
        <v>1532</v>
      </c>
      <c r="H295" t="s">
        <v>67</v>
      </c>
    </row>
    <row r="296" spans="1:8">
      <c r="A296">
        <v>195401</v>
      </c>
      <c r="B296" t="s">
        <v>1029</v>
      </c>
      <c r="C296" t="s">
        <v>1030</v>
      </c>
      <c r="D296" t="s">
        <v>1427</v>
      </c>
      <c r="E296" t="s">
        <v>2380</v>
      </c>
      <c r="F296" t="s">
        <v>602</v>
      </c>
      <c r="G296" t="s">
        <v>1537</v>
      </c>
      <c r="H296" t="s">
        <v>65</v>
      </c>
    </row>
    <row r="297" spans="1:8">
      <c r="A297">
        <v>273667</v>
      </c>
      <c r="B297" t="s">
        <v>1031</v>
      </c>
      <c r="C297" t="s">
        <v>1032</v>
      </c>
      <c r="D297" t="s">
        <v>1427</v>
      </c>
      <c r="E297" t="s">
        <v>640</v>
      </c>
      <c r="F297" t="s">
        <v>1366</v>
      </c>
      <c r="G297" t="s">
        <v>1519</v>
      </c>
      <c r="H297" t="s">
        <v>58</v>
      </c>
    </row>
    <row r="298" spans="1:8">
      <c r="A298">
        <v>196254</v>
      </c>
      <c r="B298" t="s">
        <v>1033</v>
      </c>
      <c r="C298" t="s">
        <v>1034</v>
      </c>
      <c r="D298" t="s">
        <v>1427</v>
      </c>
      <c r="E298" t="s">
        <v>1006</v>
      </c>
      <c r="F298" t="s">
        <v>1359</v>
      </c>
      <c r="G298" t="s">
        <v>1527</v>
      </c>
      <c r="H298" t="s">
        <v>59</v>
      </c>
    </row>
    <row r="299" spans="1:8">
      <c r="A299">
        <v>291005</v>
      </c>
      <c r="B299" t="s">
        <v>1035</v>
      </c>
      <c r="C299" t="s">
        <v>1036</v>
      </c>
      <c r="D299" t="s">
        <v>1427</v>
      </c>
      <c r="E299" t="s">
        <v>512</v>
      </c>
      <c r="F299" t="s">
        <v>602</v>
      </c>
      <c r="G299" t="s">
        <v>1528</v>
      </c>
      <c r="H299" t="s">
        <v>65</v>
      </c>
    </row>
    <row r="300" spans="1:8">
      <c r="A300">
        <v>137378</v>
      </c>
      <c r="B300" t="s">
        <v>1037</v>
      </c>
      <c r="C300" t="s">
        <v>1038</v>
      </c>
      <c r="D300" t="s">
        <v>1427</v>
      </c>
      <c r="E300" t="s">
        <v>923</v>
      </c>
      <c r="F300" t="s">
        <v>1366</v>
      </c>
      <c r="G300" t="s">
        <v>1529</v>
      </c>
      <c r="H300" t="s">
        <v>68</v>
      </c>
    </row>
    <row r="301" spans="1:8">
      <c r="A301">
        <v>298787</v>
      </c>
      <c r="B301" t="s">
        <v>1039</v>
      </c>
      <c r="C301" t="s">
        <v>1040</v>
      </c>
      <c r="D301" t="s">
        <v>1427</v>
      </c>
      <c r="E301" t="s">
        <v>1334</v>
      </c>
      <c r="F301" t="s">
        <v>1362</v>
      </c>
      <c r="G301" t="s">
        <v>1523</v>
      </c>
      <c r="H301" t="s">
        <v>67</v>
      </c>
    </row>
    <row r="302" spans="1:8">
      <c r="A302">
        <v>43485</v>
      </c>
      <c r="B302" t="s">
        <v>1041</v>
      </c>
      <c r="C302" t="s">
        <v>1042</v>
      </c>
      <c r="D302" t="s">
        <v>1427</v>
      </c>
      <c r="E302" t="s">
        <v>923</v>
      </c>
      <c r="F302" t="s">
        <v>1366</v>
      </c>
      <c r="G302" t="s">
        <v>1521</v>
      </c>
      <c r="H302" t="s">
        <v>61</v>
      </c>
    </row>
    <row r="303" spans="1:8">
      <c r="A303">
        <v>65895</v>
      </c>
      <c r="B303" t="s">
        <v>1043</v>
      </c>
      <c r="C303" t="s">
        <v>1044</v>
      </c>
      <c r="D303" t="s">
        <v>1427</v>
      </c>
      <c r="E303" t="s">
        <v>931</v>
      </c>
      <c r="F303" t="s">
        <v>1366</v>
      </c>
      <c r="G303" t="s">
        <v>1542</v>
      </c>
      <c r="H303" t="s">
        <v>61</v>
      </c>
    </row>
    <row r="304" spans="1:8">
      <c r="A304">
        <v>25745</v>
      </c>
      <c r="B304" t="s">
        <v>1045</v>
      </c>
      <c r="C304" t="s">
        <v>1046</v>
      </c>
      <c r="D304" t="s">
        <v>1427</v>
      </c>
      <c r="E304" t="s">
        <v>1100</v>
      </c>
      <c r="F304" t="s">
        <v>1366</v>
      </c>
      <c r="G304" t="s">
        <v>1526</v>
      </c>
      <c r="H304" t="s">
        <v>61</v>
      </c>
    </row>
    <row r="305" spans="1:8">
      <c r="A305">
        <v>172936</v>
      </c>
      <c r="B305" t="s">
        <v>1047</v>
      </c>
      <c r="C305" t="s">
        <v>1048</v>
      </c>
      <c r="D305" t="s">
        <v>1427</v>
      </c>
      <c r="E305" t="s">
        <v>815</v>
      </c>
      <c r="F305" t="s">
        <v>1363</v>
      </c>
      <c r="G305" t="s">
        <v>1545</v>
      </c>
      <c r="H305" t="s">
        <v>64</v>
      </c>
    </row>
    <row r="306" spans="1:8">
      <c r="A306">
        <v>272980</v>
      </c>
      <c r="B306" t="s">
        <v>1049</v>
      </c>
      <c r="C306" t="s">
        <v>1050</v>
      </c>
      <c r="D306" t="s">
        <v>1427</v>
      </c>
      <c r="E306" t="s">
        <v>512</v>
      </c>
      <c r="F306" t="s">
        <v>602</v>
      </c>
      <c r="G306" t="s">
        <v>1528</v>
      </c>
      <c r="H306" t="s">
        <v>65</v>
      </c>
    </row>
    <row r="307" spans="1:8">
      <c r="A307">
        <v>292097</v>
      </c>
      <c r="B307" t="s">
        <v>1051</v>
      </c>
      <c r="C307" t="s">
        <v>1052</v>
      </c>
      <c r="D307" t="s">
        <v>1427</v>
      </c>
      <c r="E307" t="s">
        <v>476</v>
      </c>
      <c r="F307" t="s">
        <v>1362</v>
      </c>
      <c r="G307" t="s">
        <v>1523</v>
      </c>
      <c r="H307" t="s">
        <v>67</v>
      </c>
    </row>
    <row r="308" spans="1:8">
      <c r="A308">
        <v>272998</v>
      </c>
      <c r="B308" t="s">
        <v>1053</v>
      </c>
      <c r="C308" t="s">
        <v>1054</v>
      </c>
      <c r="D308" t="s">
        <v>1427</v>
      </c>
      <c r="E308" t="s">
        <v>1332</v>
      </c>
      <c r="F308" t="s">
        <v>602</v>
      </c>
      <c r="G308" t="s">
        <v>1520</v>
      </c>
      <c r="H308" t="s">
        <v>65</v>
      </c>
    </row>
    <row r="309" spans="1:8">
      <c r="A309">
        <v>112140</v>
      </c>
      <c r="B309" t="s">
        <v>1055</v>
      </c>
      <c r="C309" t="s">
        <v>1056</v>
      </c>
      <c r="D309" t="s">
        <v>1427</v>
      </c>
      <c r="E309" t="s">
        <v>512</v>
      </c>
      <c r="F309" t="s">
        <v>602</v>
      </c>
      <c r="G309" t="s">
        <v>1551</v>
      </c>
      <c r="H309" t="s">
        <v>65</v>
      </c>
    </row>
    <row r="310" spans="1:8">
      <c r="A310">
        <v>143030</v>
      </c>
      <c r="B310" t="s">
        <v>1057</v>
      </c>
      <c r="C310" t="s">
        <v>1058</v>
      </c>
      <c r="D310" t="s">
        <v>1429</v>
      </c>
      <c r="E310" t="s">
        <v>1366</v>
      </c>
      <c r="F310" t="s">
        <v>1368</v>
      </c>
      <c r="G310" t="s">
        <v>1413</v>
      </c>
      <c r="H310" t="s">
        <v>1832</v>
      </c>
    </row>
    <row r="311" spans="1:8">
      <c r="A311">
        <v>278687</v>
      </c>
      <c r="B311" t="s">
        <v>1059</v>
      </c>
      <c r="C311" t="s">
        <v>1060</v>
      </c>
      <c r="D311" t="s">
        <v>1427</v>
      </c>
      <c r="E311" t="s">
        <v>1058</v>
      </c>
      <c r="F311" t="s">
        <v>1366</v>
      </c>
      <c r="G311" t="s">
        <v>1519</v>
      </c>
      <c r="H311" t="s">
        <v>58</v>
      </c>
    </row>
    <row r="312" spans="1:8">
      <c r="A312">
        <v>229172</v>
      </c>
      <c r="B312" t="s">
        <v>1061</v>
      </c>
      <c r="C312" t="s">
        <v>1062</v>
      </c>
      <c r="D312" t="s">
        <v>1427</v>
      </c>
      <c r="E312" t="s">
        <v>2380</v>
      </c>
      <c r="F312" t="s">
        <v>602</v>
      </c>
      <c r="G312" t="s">
        <v>1528</v>
      </c>
      <c r="H312" t="s">
        <v>65</v>
      </c>
    </row>
    <row r="313" spans="1:8">
      <c r="A313">
        <v>105786</v>
      </c>
      <c r="B313" t="s">
        <v>1063</v>
      </c>
      <c r="C313" t="s">
        <v>1064</v>
      </c>
      <c r="D313" t="s">
        <v>1427</v>
      </c>
      <c r="E313" t="s">
        <v>1332</v>
      </c>
      <c r="F313" t="s">
        <v>602</v>
      </c>
      <c r="G313" t="s">
        <v>1528</v>
      </c>
      <c r="H313" t="s">
        <v>65</v>
      </c>
    </row>
    <row r="314" spans="1:8">
      <c r="A314">
        <v>197198</v>
      </c>
      <c r="B314" t="s">
        <v>1065</v>
      </c>
      <c r="C314" t="s">
        <v>1066</v>
      </c>
      <c r="D314" t="s">
        <v>1427</v>
      </c>
      <c r="E314" t="s">
        <v>931</v>
      </c>
      <c r="F314" t="s">
        <v>1366</v>
      </c>
      <c r="G314" t="s">
        <v>1520</v>
      </c>
      <c r="H314" t="s">
        <v>61</v>
      </c>
    </row>
    <row r="315" spans="1:8">
      <c r="A315">
        <v>312894</v>
      </c>
      <c r="B315" t="s">
        <v>1441</v>
      </c>
      <c r="C315" t="s">
        <v>1433</v>
      </c>
      <c r="D315" t="s">
        <v>1427</v>
      </c>
      <c r="E315" t="s">
        <v>1334</v>
      </c>
      <c r="F315" t="s">
        <v>1362</v>
      </c>
      <c r="G315" t="s">
        <v>1523</v>
      </c>
      <c r="H315" t="s">
        <v>67</v>
      </c>
    </row>
    <row r="316" spans="1:8">
      <c r="A316">
        <v>8829</v>
      </c>
      <c r="B316" t="s">
        <v>1067</v>
      </c>
      <c r="C316" t="s">
        <v>1068</v>
      </c>
      <c r="D316" t="s">
        <v>1429</v>
      </c>
      <c r="E316" t="s">
        <v>1362</v>
      </c>
      <c r="F316" t="s">
        <v>1368</v>
      </c>
      <c r="G316" t="s">
        <v>1413</v>
      </c>
      <c r="H316" t="s">
        <v>1832</v>
      </c>
    </row>
    <row r="317" spans="1:8">
      <c r="A317">
        <v>138591</v>
      </c>
      <c r="B317" t="s">
        <v>1069</v>
      </c>
      <c r="C317" t="s">
        <v>1070</v>
      </c>
      <c r="D317" t="s">
        <v>1427</v>
      </c>
      <c r="E317" t="s">
        <v>941</v>
      </c>
      <c r="F317" t="s">
        <v>1359</v>
      </c>
      <c r="G317" t="s">
        <v>1527</v>
      </c>
      <c r="H317" t="s">
        <v>59</v>
      </c>
    </row>
    <row r="318" spans="1:8">
      <c r="A318">
        <v>275864</v>
      </c>
      <c r="B318" t="s">
        <v>1071</v>
      </c>
      <c r="C318" t="s">
        <v>1072</v>
      </c>
      <c r="D318" t="s">
        <v>1427</v>
      </c>
      <c r="E318" t="s">
        <v>1195</v>
      </c>
      <c r="F318" t="s">
        <v>1363</v>
      </c>
      <c r="G318" t="s">
        <v>1530</v>
      </c>
      <c r="H318" t="s">
        <v>66</v>
      </c>
    </row>
    <row r="319" spans="1:8">
      <c r="A319">
        <v>300562</v>
      </c>
      <c r="B319" t="s">
        <v>1073</v>
      </c>
      <c r="C319" t="s">
        <v>1074</v>
      </c>
      <c r="D319" t="s">
        <v>1427</v>
      </c>
      <c r="E319" t="s">
        <v>512</v>
      </c>
      <c r="F319" t="s">
        <v>602</v>
      </c>
      <c r="G319" t="s">
        <v>1528</v>
      </c>
      <c r="H319" t="s">
        <v>65</v>
      </c>
    </row>
    <row r="320" spans="1:8">
      <c r="A320">
        <v>80330</v>
      </c>
      <c r="B320" t="s">
        <v>1075</v>
      </c>
      <c r="C320" t="s">
        <v>1076</v>
      </c>
      <c r="D320" t="s">
        <v>1427</v>
      </c>
      <c r="E320" t="s">
        <v>931</v>
      </c>
      <c r="F320" t="s">
        <v>1366</v>
      </c>
      <c r="G320" t="s">
        <v>1552</v>
      </c>
      <c r="H320" t="s">
        <v>61</v>
      </c>
    </row>
    <row r="321" spans="1:8">
      <c r="A321">
        <v>245709</v>
      </c>
      <c r="B321" t="s">
        <v>1077</v>
      </c>
      <c r="C321" t="s">
        <v>1078</v>
      </c>
      <c r="D321" t="s">
        <v>1427</v>
      </c>
      <c r="E321" t="s">
        <v>596</v>
      </c>
      <c r="F321" t="s">
        <v>1363</v>
      </c>
      <c r="G321" t="s">
        <v>1524</v>
      </c>
      <c r="H321" t="s">
        <v>62</v>
      </c>
    </row>
    <row r="322" spans="1:8">
      <c r="A322">
        <v>242686</v>
      </c>
      <c r="B322" t="s">
        <v>1079</v>
      </c>
      <c r="C322" t="s">
        <v>1080</v>
      </c>
      <c r="D322" t="s">
        <v>1427</v>
      </c>
      <c r="E322" t="s">
        <v>1006</v>
      </c>
      <c r="F322" t="s">
        <v>1359</v>
      </c>
      <c r="G322" t="s">
        <v>1527</v>
      </c>
      <c r="H322" t="s">
        <v>59</v>
      </c>
    </row>
    <row r="323" spans="1:8">
      <c r="A323">
        <v>195110</v>
      </c>
      <c r="B323" t="s">
        <v>1081</v>
      </c>
      <c r="C323" t="s">
        <v>1082</v>
      </c>
      <c r="D323" t="s">
        <v>1427</v>
      </c>
      <c r="E323" t="s">
        <v>1006</v>
      </c>
      <c r="F323" t="s">
        <v>1359</v>
      </c>
      <c r="G323" t="s">
        <v>1527</v>
      </c>
      <c r="H323" t="s">
        <v>59</v>
      </c>
    </row>
    <row r="324" spans="1:8">
      <c r="A324">
        <v>143241</v>
      </c>
      <c r="B324" t="s">
        <v>1083</v>
      </c>
      <c r="C324" t="s">
        <v>1084</v>
      </c>
      <c r="D324" t="s">
        <v>1434</v>
      </c>
      <c r="E324" t="s">
        <v>941</v>
      </c>
      <c r="F324" t="s">
        <v>1359</v>
      </c>
      <c r="G324" t="s">
        <v>1522</v>
      </c>
      <c r="H324" t="s">
        <v>60</v>
      </c>
    </row>
    <row r="325" spans="1:8">
      <c r="A325">
        <v>279021</v>
      </c>
      <c r="B325" t="s">
        <v>1085</v>
      </c>
      <c r="C325" t="s">
        <v>1086</v>
      </c>
      <c r="D325" t="s">
        <v>1427</v>
      </c>
      <c r="E325" t="s">
        <v>640</v>
      </c>
      <c r="F325" t="s">
        <v>1366</v>
      </c>
      <c r="G325" t="s">
        <v>1519</v>
      </c>
      <c r="H325" t="s">
        <v>58</v>
      </c>
    </row>
    <row r="326" spans="1:8">
      <c r="A326">
        <v>293170</v>
      </c>
      <c r="B326" t="s">
        <v>1087</v>
      </c>
      <c r="C326" t="s">
        <v>1088</v>
      </c>
      <c r="D326" t="s">
        <v>1427</v>
      </c>
      <c r="E326" t="s">
        <v>512</v>
      </c>
      <c r="F326" t="s">
        <v>602</v>
      </c>
      <c r="G326" t="s">
        <v>1528</v>
      </c>
      <c r="H326" t="s">
        <v>65</v>
      </c>
    </row>
    <row r="327" spans="1:8">
      <c r="A327">
        <v>183747</v>
      </c>
      <c r="B327" t="s">
        <v>1089</v>
      </c>
      <c r="C327" t="s">
        <v>1090</v>
      </c>
      <c r="D327" t="s">
        <v>1427</v>
      </c>
      <c r="E327" t="s">
        <v>815</v>
      </c>
      <c r="F327" t="s">
        <v>1363</v>
      </c>
      <c r="G327" t="s">
        <v>1536</v>
      </c>
      <c r="H327" t="s">
        <v>64</v>
      </c>
    </row>
    <row r="328" spans="1:8">
      <c r="A328">
        <v>221714</v>
      </c>
      <c r="B328" t="s">
        <v>1091</v>
      </c>
      <c r="C328" t="s">
        <v>1092</v>
      </c>
      <c r="D328" t="s">
        <v>1427</v>
      </c>
      <c r="E328" t="s">
        <v>596</v>
      </c>
      <c r="F328" t="s">
        <v>1363</v>
      </c>
      <c r="G328" t="s">
        <v>1524</v>
      </c>
      <c r="H328" t="s">
        <v>62</v>
      </c>
    </row>
    <row r="329" spans="1:8">
      <c r="A329">
        <v>310912</v>
      </c>
      <c r="B329" t="s">
        <v>1093</v>
      </c>
      <c r="C329" t="s">
        <v>1094</v>
      </c>
      <c r="D329" t="s">
        <v>1427</v>
      </c>
      <c r="E329" t="s">
        <v>476</v>
      </c>
      <c r="F329" t="s">
        <v>1362</v>
      </c>
      <c r="G329" t="s">
        <v>1523</v>
      </c>
      <c r="H329" t="s">
        <v>67</v>
      </c>
    </row>
    <row r="330" spans="1:8">
      <c r="A330">
        <v>272696</v>
      </c>
      <c r="B330" t="s">
        <v>1095</v>
      </c>
      <c r="C330" t="s">
        <v>1096</v>
      </c>
      <c r="D330" t="s">
        <v>1427</v>
      </c>
      <c r="E330" t="s">
        <v>923</v>
      </c>
      <c r="F330" t="s">
        <v>1366</v>
      </c>
      <c r="G330" t="s">
        <v>1529</v>
      </c>
      <c r="H330" t="s">
        <v>68</v>
      </c>
    </row>
    <row r="331" spans="1:8">
      <c r="A331">
        <v>199101</v>
      </c>
      <c r="B331" t="s">
        <v>1097</v>
      </c>
      <c r="C331" t="s">
        <v>1098</v>
      </c>
      <c r="D331" t="s">
        <v>1427</v>
      </c>
      <c r="E331" t="s">
        <v>512</v>
      </c>
      <c r="F331" t="s">
        <v>602</v>
      </c>
      <c r="G331" t="s">
        <v>1528</v>
      </c>
      <c r="H331" t="s">
        <v>65</v>
      </c>
    </row>
    <row r="332" spans="1:8">
      <c r="A332">
        <v>106999</v>
      </c>
      <c r="B332" t="s">
        <v>1099</v>
      </c>
      <c r="C332" t="s">
        <v>1100</v>
      </c>
      <c r="D332" t="s">
        <v>1429</v>
      </c>
      <c r="E332" t="s">
        <v>1366</v>
      </c>
      <c r="F332" t="s">
        <v>1368</v>
      </c>
      <c r="G332" t="s">
        <v>1413</v>
      </c>
      <c r="H332" t="s">
        <v>1832</v>
      </c>
    </row>
    <row r="333" spans="1:8">
      <c r="A333">
        <v>194467</v>
      </c>
      <c r="B333" t="s">
        <v>1101</v>
      </c>
      <c r="C333" t="s">
        <v>1102</v>
      </c>
      <c r="D333" t="s">
        <v>1427</v>
      </c>
      <c r="E333" t="s">
        <v>1326</v>
      </c>
      <c r="F333" t="s">
        <v>1369</v>
      </c>
      <c r="G333" t="s">
        <v>1528</v>
      </c>
      <c r="H333" t="s">
        <v>65</v>
      </c>
    </row>
    <row r="334" spans="1:8">
      <c r="A334">
        <v>221413</v>
      </c>
      <c r="B334" t="s">
        <v>1103</v>
      </c>
      <c r="C334" t="s">
        <v>1104</v>
      </c>
      <c r="D334" t="s">
        <v>1427</v>
      </c>
      <c r="E334" t="s">
        <v>690</v>
      </c>
      <c r="F334" t="s">
        <v>1359</v>
      </c>
      <c r="G334" t="s">
        <v>1527</v>
      </c>
      <c r="H334" t="s">
        <v>60</v>
      </c>
    </row>
    <row r="335" spans="1:8">
      <c r="A335">
        <v>278920</v>
      </c>
      <c r="B335" t="s">
        <v>1105</v>
      </c>
      <c r="C335" t="s">
        <v>1106</v>
      </c>
      <c r="D335" t="s">
        <v>1427</v>
      </c>
      <c r="E335" t="s">
        <v>1332</v>
      </c>
      <c r="F335" t="s">
        <v>602</v>
      </c>
      <c r="G335" t="s">
        <v>1528</v>
      </c>
      <c r="H335" t="s">
        <v>65</v>
      </c>
    </row>
    <row r="336" spans="1:8">
      <c r="A336">
        <v>187975</v>
      </c>
      <c r="B336" t="s">
        <v>1107</v>
      </c>
      <c r="C336" t="s">
        <v>1108</v>
      </c>
      <c r="D336" t="s">
        <v>1427</v>
      </c>
      <c r="E336" t="s">
        <v>1006</v>
      </c>
      <c r="F336" t="s">
        <v>1359</v>
      </c>
      <c r="G336" t="s">
        <v>1540</v>
      </c>
      <c r="H336" t="s">
        <v>60</v>
      </c>
    </row>
    <row r="337" spans="1:8">
      <c r="A337">
        <v>158826</v>
      </c>
      <c r="B337" t="s">
        <v>1109</v>
      </c>
      <c r="C337" t="s">
        <v>1110</v>
      </c>
      <c r="D337" t="s">
        <v>1427</v>
      </c>
      <c r="E337" t="s">
        <v>931</v>
      </c>
      <c r="F337" t="s">
        <v>1366</v>
      </c>
      <c r="G337" t="s">
        <v>1542</v>
      </c>
      <c r="H337" t="s">
        <v>68</v>
      </c>
    </row>
    <row r="338" spans="1:8">
      <c r="A338">
        <v>100826</v>
      </c>
      <c r="B338" t="s">
        <v>1111</v>
      </c>
      <c r="C338" t="s">
        <v>1112</v>
      </c>
      <c r="D338" t="s">
        <v>1427</v>
      </c>
      <c r="E338" t="s">
        <v>931</v>
      </c>
      <c r="F338" t="s">
        <v>1366</v>
      </c>
      <c r="G338" t="s">
        <v>1520</v>
      </c>
      <c r="H338" t="s">
        <v>61</v>
      </c>
    </row>
    <row r="339" spans="1:8">
      <c r="A339">
        <v>274212</v>
      </c>
      <c r="B339" t="s">
        <v>1113</v>
      </c>
      <c r="C339" t="s">
        <v>1114</v>
      </c>
      <c r="D339" t="s">
        <v>1427</v>
      </c>
      <c r="E339" t="s">
        <v>1100</v>
      </c>
      <c r="F339" t="s">
        <v>1366</v>
      </c>
      <c r="G339" t="s">
        <v>1534</v>
      </c>
      <c r="H339" t="s">
        <v>61</v>
      </c>
    </row>
    <row r="340" spans="1:8">
      <c r="A340">
        <v>245760</v>
      </c>
      <c r="B340" t="s">
        <v>1115</v>
      </c>
      <c r="C340" t="s">
        <v>1116</v>
      </c>
      <c r="D340" t="s">
        <v>1427</v>
      </c>
      <c r="E340" t="s">
        <v>596</v>
      </c>
      <c r="F340" t="s">
        <v>1363</v>
      </c>
      <c r="G340" t="s">
        <v>1524</v>
      </c>
      <c r="H340" t="s">
        <v>62</v>
      </c>
    </row>
    <row r="341" spans="1:8">
      <c r="A341">
        <v>180358</v>
      </c>
      <c r="B341" t="s">
        <v>1117</v>
      </c>
      <c r="C341" t="s">
        <v>1118</v>
      </c>
      <c r="D341" t="s">
        <v>1428</v>
      </c>
      <c r="E341" t="s">
        <v>949</v>
      </c>
      <c r="F341" t="s">
        <v>1363</v>
      </c>
      <c r="G341" t="s">
        <v>1522</v>
      </c>
      <c r="H341" t="s">
        <v>62</v>
      </c>
    </row>
    <row r="342" spans="1:8">
      <c r="A342">
        <v>194720</v>
      </c>
      <c r="B342" t="s">
        <v>1119</v>
      </c>
      <c r="C342" t="s">
        <v>1120</v>
      </c>
      <c r="D342" t="s">
        <v>1427</v>
      </c>
      <c r="E342" t="s">
        <v>1068</v>
      </c>
      <c r="F342" t="s">
        <v>1362</v>
      </c>
      <c r="G342" t="s">
        <v>1523</v>
      </c>
      <c r="H342" t="s">
        <v>1832</v>
      </c>
    </row>
    <row r="343" spans="1:8">
      <c r="A343">
        <v>231117</v>
      </c>
      <c r="B343" t="s">
        <v>1121</v>
      </c>
      <c r="C343" t="s">
        <v>1122</v>
      </c>
      <c r="D343" t="s">
        <v>1427</v>
      </c>
      <c r="E343" t="s">
        <v>949</v>
      </c>
      <c r="F343" t="s">
        <v>1363</v>
      </c>
      <c r="G343" t="s">
        <v>1524</v>
      </c>
      <c r="H343" t="s">
        <v>62</v>
      </c>
    </row>
    <row r="344" spans="1:8">
      <c r="A344">
        <v>273305</v>
      </c>
      <c r="B344" t="s">
        <v>1123</v>
      </c>
      <c r="C344" t="s">
        <v>1124</v>
      </c>
      <c r="D344" t="s">
        <v>1427</v>
      </c>
      <c r="E344" t="s">
        <v>1261</v>
      </c>
      <c r="F344" t="s">
        <v>1362</v>
      </c>
      <c r="G344" t="s">
        <v>1523</v>
      </c>
      <c r="H344" t="s">
        <v>67</v>
      </c>
    </row>
    <row r="345" spans="1:8">
      <c r="A345">
        <v>138357</v>
      </c>
      <c r="B345" t="s">
        <v>1125</v>
      </c>
      <c r="C345" t="s">
        <v>1126</v>
      </c>
      <c r="D345" t="s">
        <v>1427</v>
      </c>
      <c r="E345" t="s">
        <v>949</v>
      </c>
      <c r="F345" t="s">
        <v>1363</v>
      </c>
      <c r="G345" t="s">
        <v>1524</v>
      </c>
      <c r="H345" t="s">
        <v>62</v>
      </c>
    </row>
    <row r="346" spans="1:8">
      <c r="A346">
        <v>221414</v>
      </c>
      <c r="B346" t="s">
        <v>1127</v>
      </c>
      <c r="C346" t="s">
        <v>1128</v>
      </c>
      <c r="D346" t="s">
        <v>1426</v>
      </c>
      <c r="E346" t="s">
        <v>512</v>
      </c>
      <c r="F346" t="s">
        <v>602</v>
      </c>
      <c r="G346" t="s">
        <v>1518</v>
      </c>
      <c r="H346" t="s">
        <v>1832</v>
      </c>
    </row>
    <row r="347" spans="1:8">
      <c r="A347">
        <v>231187</v>
      </c>
      <c r="B347" t="s">
        <v>1129</v>
      </c>
      <c r="C347" t="s">
        <v>1130</v>
      </c>
      <c r="D347" t="s">
        <v>1427</v>
      </c>
      <c r="E347" t="s">
        <v>2380</v>
      </c>
      <c r="F347" t="s">
        <v>602</v>
      </c>
      <c r="G347" t="s">
        <v>1528</v>
      </c>
      <c r="H347" t="s">
        <v>65</v>
      </c>
    </row>
    <row r="348" spans="1:8">
      <c r="A348">
        <v>100615</v>
      </c>
      <c r="B348" t="s">
        <v>1131</v>
      </c>
      <c r="C348" t="s">
        <v>1132</v>
      </c>
      <c r="D348" t="s">
        <v>1427</v>
      </c>
      <c r="E348" t="s">
        <v>931</v>
      </c>
      <c r="F348" t="s">
        <v>1366</v>
      </c>
      <c r="G348" t="s">
        <v>1542</v>
      </c>
      <c r="H348" t="s">
        <v>61</v>
      </c>
    </row>
    <row r="349" spans="1:8">
      <c r="A349">
        <v>168530</v>
      </c>
      <c r="B349" t="s">
        <v>1133</v>
      </c>
      <c r="C349" t="s">
        <v>1134</v>
      </c>
      <c r="D349" t="s">
        <v>1427</v>
      </c>
      <c r="E349" t="s">
        <v>815</v>
      </c>
      <c r="F349" t="s">
        <v>1363</v>
      </c>
      <c r="G349" t="s">
        <v>1545</v>
      </c>
      <c r="H349" t="s">
        <v>62</v>
      </c>
    </row>
    <row r="350" spans="1:8">
      <c r="A350">
        <v>182008</v>
      </c>
      <c r="B350" t="s">
        <v>1135</v>
      </c>
      <c r="C350" t="s">
        <v>1136</v>
      </c>
      <c r="D350" t="s">
        <v>1427</v>
      </c>
      <c r="E350" t="s">
        <v>1332</v>
      </c>
      <c r="F350" t="s">
        <v>602</v>
      </c>
      <c r="G350" t="s">
        <v>1541</v>
      </c>
      <c r="H350" t="s">
        <v>65</v>
      </c>
    </row>
    <row r="351" spans="1:8">
      <c r="A351">
        <v>230872</v>
      </c>
      <c r="B351" t="s">
        <v>1137</v>
      </c>
      <c r="C351" t="s">
        <v>1138</v>
      </c>
      <c r="D351" t="s">
        <v>1427</v>
      </c>
      <c r="E351" t="s">
        <v>476</v>
      </c>
      <c r="F351" t="s">
        <v>1362</v>
      </c>
      <c r="G351" t="s">
        <v>1523</v>
      </c>
      <c r="H351" t="s">
        <v>67</v>
      </c>
    </row>
    <row r="352" spans="1:8">
      <c r="A352">
        <v>290737</v>
      </c>
      <c r="B352" t="s">
        <v>1139</v>
      </c>
      <c r="C352" t="s">
        <v>1140</v>
      </c>
      <c r="D352" t="s">
        <v>1427</v>
      </c>
      <c r="E352" t="s">
        <v>1179</v>
      </c>
      <c r="F352" t="s">
        <v>1369</v>
      </c>
      <c r="G352" t="s">
        <v>1528</v>
      </c>
      <c r="H352" t="s">
        <v>65</v>
      </c>
    </row>
    <row r="353" spans="1:8">
      <c r="A353">
        <v>310849</v>
      </c>
      <c r="B353" t="s">
        <v>1141</v>
      </c>
      <c r="C353" t="s">
        <v>1142</v>
      </c>
      <c r="D353" t="s">
        <v>1427</v>
      </c>
      <c r="E353" t="s">
        <v>596</v>
      </c>
      <c r="F353" t="s">
        <v>1363</v>
      </c>
      <c r="G353" t="s">
        <v>1524</v>
      </c>
      <c r="H353" t="s">
        <v>62</v>
      </c>
    </row>
    <row r="354" spans="1:8">
      <c r="A354">
        <v>250171</v>
      </c>
      <c r="B354" t="s">
        <v>1143</v>
      </c>
      <c r="C354" t="s">
        <v>1144</v>
      </c>
      <c r="D354" t="s">
        <v>1427</v>
      </c>
      <c r="E354" t="s">
        <v>1326</v>
      </c>
      <c r="F354" t="s">
        <v>1369</v>
      </c>
      <c r="G354" t="s">
        <v>1528</v>
      </c>
      <c r="H354" t="s">
        <v>65</v>
      </c>
    </row>
    <row r="355" spans="1:8">
      <c r="A355">
        <v>65251</v>
      </c>
      <c r="B355" t="s">
        <v>1145</v>
      </c>
      <c r="C355" t="s">
        <v>1146</v>
      </c>
      <c r="D355" t="s">
        <v>1427</v>
      </c>
      <c r="E355" t="s">
        <v>931</v>
      </c>
      <c r="F355" t="s">
        <v>1366</v>
      </c>
      <c r="G355" t="s">
        <v>1520</v>
      </c>
      <c r="H355" t="s">
        <v>61</v>
      </c>
    </row>
    <row r="356" spans="1:8">
      <c r="A356">
        <v>289802</v>
      </c>
      <c r="B356" t="s">
        <v>1820</v>
      </c>
      <c r="C356" t="s">
        <v>1819</v>
      </c>
      <c r="D356" t="s">
        <v>1427</v>
      </c>
      <c r="E356" t="s">
        <v>1068</v>
      </c>
      <c r="F356" t="s">
        <v>1362</v>
      </c>
      <c r="G356" t="s">
        <v>1523</v>
      </c>
      <c r="H356" t="s">
        <v>67</v>
      </c>
    </row>
    <row r="357" spans="1:8">
      <c r="A357">
        <v>104264</v>
      </c>
      <c r="B357" t="s">
        <v>1147</v>
      </c>
      <c r="C357" t="s">
        <v>1148</v>
      </c>
      <c r="D357" t="s">
        <v>1427</v>
      </c>
      <c r="E357" t="s">
        <v>931</v>
      </c>
      <c r="F357" t="s">
        <v>1366</v>
      </c>
      <c r="G357" t="s">
        <v>1520</v>
      </c>
      <c r="H357" t="s">
        <v>61</v>
      </c>
    </row>
    <row r="358" spans="1:8">
      <c r="A358">
        <v>278690</v>
      </c>
      <c r="B358" t="s">
        <v>1149</v>
      </c>
      <c r="C358" t="s">
        <v>1150</v>
      </c>
      <c r="D358" t="s">
        <v>1427</v>
      </c>
      <c r="E358" t="s">
        <v>1058</v>
      </c>
      <c r="F358" t="s">
        <v>1366</v>
      </c>
      <c r="G358" t="s">
        <v>1519</v>
      </c>
      <c r="H358" t="s">
        <v>58</v>
      </c>
    </row>
    <row r="359" spans="1:8">
      <c r="A359">
        <v>298993</v>
      </c>
      <c r="B359" t="s">
        <v>1151</v>
      </c>
      <c r="C359" t="s">
        <v>1152</v>
      </c>
      <c r="D359" t="s">
        <v>1427</v>
      </c>
      <c r="E359" t="s">
        <v>1179</v>
      </c>
      <c r="F359" t="s">
        <v>1369</v>
      </c>
      <c r="G359" t="s">
        <v>1528</v>
      </c>
      <c r="H359" t="s">
        <v>65</v>
      </c>
    </row>
    <row r="360" spans="1:8">
      <c r="A360">
        <v>233010</v>
      </c>
      <c r="B360" t="s">
        <v>1153</v>
      </c>
      <c r="C360" t="s">
        <v>1154</v>
      </c>
      <c r="D360" t="s">
        <v>1427</v>
      </c>
      <c r="E360" t="s">
        <v>512</v>
      </c>
      <c r="F360" t="s">
        <v>602</v>
      </c>
      <c r="G360" t="s">
        <v>1528</v>
      </c>
      <c r="H360" t="s">
        <v>65</v>
      </c>
    </row>
    <row r="361" spans="1:8">
      <c r="A361">
        <v>234395</v>
      </c>
      <c r="B361" t="s">
        <v>1155</v>
      </c>
      <c r="C361" t="s">
        <v>1156</v>
      </c>
      <c r="D361" t="s">
        <v>1427</v>
      </c>
      <c r="E361" t="s">
        <v>1332</v>
      </c>
      <c r="F361" t="s">
        <v>602</v>
      </c>
      <c r="G361" t="s">
        <v>1528</v>
      </c>
      <c r="H361" t="s">
        <v>65</v>
      </c>
    </row>
    <row r="362" spans="1:8">
      <c r="A362">
        <v>220965</v>
      </c>
      <c r="B362" t="s">
        <v>1157</v>
      </c>
      <c r="C362" t="s">
        <v>1158</v>
      </c>
      <c r="D362" t="s">
        <v>1427</v>
      </c>
      <c r="E362" t="s">
        <v>2380</v>
      </c>
      <c r="F362" t="s">
        <v>602</v>
      </c>
      <c r="G362" t="s">
        <v>1528</v>
      </c>
      <c r="H362" t="s">
        <v>65</v>
      </c>
    </row>
    <row r="363" spans="1:8">
      <c r="A363">
        <v>86780</v>
      </c>
      <c r="B363" t="s">
        <v>1159</v>
      </c>
      <c r="C363" t="s">
        <v>1160</v>
      </c>
      <c r="D363" t="s">
        <v>1427</v>
      </c>
      <c r="E363" t="s">
        <v>931</v>
      </c>
      <c r="F363" t="s">
        <v>1366</v>
      </c>
      <c r="G363" t="s">
        <v>1553</v>
      </c>
      <c r="H363" t="s">
        <v>61</v>
      </c>
    </row>
    <row r="364" spans="1:8">
      <c r="A364">
        <v>272791</v>
      </c>
      <c r="B364" t="s">
        <v>1161</v>
      </c>
      <c r="C364" t="s">
        <v>1162</v>
      </c>
      <c r="D364" t="s">
        <v>1427</v>
      </c>
      <c r="E364" t="s">
        <v>789</v>
      </c>
      <c r="F364" t="s">
        <v>1369</v>
      </c>
      <c r="G364" t="s">
        <v>1528</v>
      </c>
      <c r="H364" t="s">
        <v>65</v>
      </c>
    </row>
    <row r="365" spans="1:8">
      <c r="A365">
        <v>310818</v>
      </c>
      <c r="B365" t="s">
        <v>1163</v>
      </c>
      <c r="C365" t="s">
        <v>1164</v>
      </c>
      <c r="D365" t="s">
        <v>1427</v>
      </c>
      <c r="E365" t="s">
        <v>1068</v>
      </c>
      <c r="F365" t="s">
        <v>1362</v>
      </c>
      <c r="G365" t="s">
        <v>1523</v>
      </c>
      <c r="H365" t="s">
        <v>67</v>
      </c>
    </row>
    <row r="366" spans="1:8">
      <c r="A366">
        <v>106249</v>
      </c>
      <c r="B366" t="s">
        <v>1165</v>
      </c>
      <c r="C366" t="s">
        <v>1166</v>
      </c>
      <c r="D366" t="s">
        <v>1427</v>
      </c>
      <c r="E366" t="s">
        <v>923</v>
      </c>
      <c r="F366" t="s">
        <v>1366</v>
      </c>
      <c r="G366" t="s">
        <v>1529</v>
      </c>
      <c r="H366" t="s">
        <v>68</v>
      </c>
    </row>
    <row r="367" spans="1:8">
      <c r="A367">
        <v>275769</v>
      </c>
      <c r="B367" t="s">
        <v>1167</v>
      </c>
      <c r="C367" t="s">
        <v>1166</v>
      </c>
      <c r="D367" t="s">
        <v>1427</v>
      </c>
      <c r="E367" t="s">
        <v>1261</v>
      </c>
      <c r="F367" t="s">
        <v>1362</v>
      </c>
      <c r="G367" t="s">
        <v>1523</v>
      </c>
      <c r="H367" t="s">
        <v>67</v>
      </c>
    </row>
    <row r="368" spans="1:8">
      <c r="A368">
        <v>90121</v>
      </c>
      <c r="B368" t="s">
        <v>1168</v>
      </c>
      <c r="C368" t="s">
        <v>1169</v>
      </c>
      <c r="D368" t="s">
        <v>1427</v>
      </c>
      <c r="E368" t="s">
        <v>815</v>
      </c>
      <c r="F368" t="s">
        <v>1363</v>
      </c>
      <c r="G368" t="s">
        <v>1536</v>
      </c>
      <c r="H368" t="s">
        <v>64</v>
      </c>
    </row>
    <row r="369" spans="1:8">
      <c r="A369">
        <v>194579</v>
      </c>
      <c r="B369" t="s">
        <v>1170</v>
      </c>
      <c r="C369" t="s">
        <v>1171</v>
      </c>
      <c r="D369" t="s">
        <v>1427</v>
      </c>
      <c r="E369" t="s">
        <v>1201</v>
      </c>
      <c r="F369" t="s">
        <v>1362</v>
      </c>
      <c r="G369" t="s">
        <v>1518</v>
      </c>
      <c r="H369" t="s">
        <v>1832</v>
      </c>
    </row>
    <row r="370" spans="1:8">
      <c r="A370">
        <v>273666</v>
      </c>
      <c r="B370" t="s">
        <v>1172</v>
      </c>
      <c r="C370" t="s">
        <v>1173</v>
      </c>
      <c r="D370" t="s">
        <v>1427</v>
      </c>
      <c r="E370" t="s">
        <v>512</v>
      </c>
      <c r="F370" t="s">
        <v>602</v>
      </c>
      <c r="G370" t="s">
        <v>1551</v>
      </c>
      <c r="H370" t="s">
        <v>65</v>
      </c>
    </row>
    <row r="371" spans="1:8">
      <c r="A371">
        <v>300566</v>
      </c>
      <c r="B371" t="s">
        <v>1174</v>
      </c>
      <c r="C371" t="s">
        <v>1175</v>
      </c>
      <c r="D371" t="s">
        <v>1427</v>
      </c>
      <c r="E371" t="s">
        <v>1326</v>
      </c>
      <c r="F371" t="s">
        <v>1369</v>
      </c>
      <c r="G371" t="s">
        <v>1528</v>
      </c>
      <c r="H371" t="s">
        <v>65</v>
      </c>
    </row>
    <row r="372" spans="1:8">
      <c r="A372">
        <v>144924</v>
      </c>
      <c r="B372" t="s">
        <v>1176</v>
      </c>
      <c r="C372" t="s">
        <v>1177</v>
      </c>
      <c r="D372" t="s">
        <v>1427</v>
      </c>
      <c r="E372" t="s">
        <v>923</v>
      </c>
      <c r="F372" t="s">
        <v>1366</v>
      </c>
      <c r="G372" t="s">
        <v>1529</v>
      </c>
      <c r="H372" t="s">
        <v>68</v>
      </c>
    </row>
    <row r="373" spans="1:8">
      <c r="A373">
        <v>111769</v>
      </c>
      <c r="B373" t="s">
        <v>1178</v>
      </c>
      <c r="C373" t="s">
        <v>1179</v>
      </c>
      <c r="D373" t="s">
        <v>1429</v>
      </c>
      <c r="E373" t="s">
        <v>1369</v>
      </c>
      <c r="F373" t="s">
        <v>1368</v>
      </c>
      <c r="G373" t="s">
        <v>1413</v>
      </c>
      <c r="H373" t="s">
        <v>1832</v>
      </c>
    </row>
    <row r="374" spans="1:8">
      <c r="A374">
        <v>248372</v>
      </c>
      <c r="B374" t="s">
        <v>1180</v>
      </c>
      <c r="C374" t="s">
        <v>1181</v>
      </c>
      <c r="D374" t="s">
        <v>1427</v>
      </c>
      <c r="E374" t="s">
        <v>1261</v>
      </c>
      <c r="F374" t="s">
        <v>1362</v>
      </c>
      <c r="G374" t="s">
        <v>1523</v>
      </c>
      <c r="H374" t="s">
        <v>67</v>
      </c>
    </row>
    <row r="375" spans="1:8">
      <c r="A375">
        <v>198037</v>
      </c>
      <c r="B375" t="s">
        <v>1182</v>
      </c>
      <c r="C375" t="s">
        <v>1183</v>
      </c>
      <c r="D375" t="s">
        <v>1427</v>
      </c>
      <c r="E375" t="s">
        <v>690</v>
      </c>
      <c r="F375" t="s">
        <v>1359</v>
      </c>
      <c r="G375" t="s">
        <v>1527</v>
      </c>
      <c r="H375" t="s">
        <v>59</v>
      </c>
    </row>
    <row r="376" spans="1:8">
      <c r="A376">
        <v>195312</v>
      </c>
      <c r="B376" t="s">
        <v>1184</v>
      </c>
      <c r="C376" t="s">
        <v>1185</v>
      </c>
      <c r="D376" t="s">
        <v>1427</v>
      </c>
      <c r="E376" t="s">
        <v>2380</v>
      </c>
      <c r="F376" t="s">
        <v>602</v>
      </c>
      <c r="G376" t="s">
        <v>1528</v>
      </c>
      <c r="H376" t="s">
        <v>65</v>
      </c>
    </row>
    <row r="377" spans="1:8">
      <c r="A377">
        <v>86460</v>
      </c>
      <c r="B377" t="s">
        <v>1186</v>
      </c>
      <c r="C377" t="s">
        <v>1187</v>
      </c>
      <c r="D377" t="s">
        <v>1427</v>
      </c>
      <c r="E377" t="s">
        <v>1058</v>
      </c>
      <c r="F377" t="s">
        <v>1366</v>
      </c>
      <c r="G377" t="s">
        <v>1519</v>
      </c>
      <c r="H377" t="s">
        <v>58</v>
      </c>
    </row>
    <row r="378" spans="1:8">
      <c r="A378">
        <v>221848</v>
      </c>
      <c r="B378" t="s">
        <v>1188</v>
      </c>
      <c r="C378" t="s">
        <v>1189</v>
      </c>
      <c r="D378" t="s">
        <v>1427</v>
      </c>
      <c r="E378" t="s">
        <v>1068</v>
      </c>
      <c r="F378" t="s">
        <v>1362</v>
      </c>
      <c r="G378" t="s">
        <v>1523</v>
      </c>
      <c r="H378" t="s">
        <v>67</v>
      </c>
    </row>
    <row r="379" spans="1:8">
      <c r="A379">
        <v>105100</v>
      </c>
      <c r="B379" t="s">
        <v>1190</v>
      </c>
      <c r="C379" t="s">
        <v>1191</v>
      </c>
      <c r="D379" t="s">
        <v>1427</v>
      </c>
      <c r="E379" t="s">
        <v>1100</v>
      </c>
      <c r="F379" t="s">
        <v>1366</v>
      </c>
      <c r="G379" t="s">
        <v>1534</v>
      </c>
      <c r="H379" t="s">
        <v>61</v>
      </c>
    </row>
    <row r="380" spans="1:8">
      <c r="A380">
        <v>300112</v>
      </c>
      <c r="B380" t="s">
        <v>1192</v>
      </c>
      <c r="C380" t="s">
        <v>1193</v>
      </c>
      <c r="D380" t="s">
        <v>1427</v>
      </c>
      <c r="E380" t="s">
        <v>1058</v>
      </c>
      <c r="F380" t="s">
        <v>1366</v>
      </c>
      <c r="G380" t="s">
        <v>1519</v>
      </c>
      <c r="H380" t="s">
        <v>58</v>
      </c>
    </row>
    <row r="381" spans="1:8">
      <c r="A381">
        <v>82162</v>
      </c>
      <c r="B381" t="s">
        <v>1194</v>
      </c>
      <c r="C381" t="s">
        <v>1195</v>
      </c>
      <c r="D381" t="s">
        <v>1429</v>
      </c>
      <c r="E381" t="s">
        <v>1363</v>
      </c>
      <c r="F381" t="s">
        <v>1368</v>
      </c>
      <c r="G381" t="s">
        <v>1413</v>
      </c>
      <c r="H381" t="s">
        <v>1832</v>
      </c>
    </row>
    <row r="382" spans="1:8">
      <c r="A382">
        <v>80707</v>
      </c>
      <c r="B382" t="s">
        <v>1442</v>
      </c>
      <c r="C382" t="s">
        <v>1435</v>
      </c>
      <c r="D382" t="s">
        <v>1427</v>
      </c>
      <c r="E382" t="s">
        <v>931</v>
      </c>
      <c r="F382" t="s">
        <v>1366</v>
      </c>
      <c r="G382" t="s">
        <v>1547</v>
      </c>
      <c r="H382" t="s">
        <v>61</v>
      </c>
    </row>
    <row r="383" spans="1:8">
      <c r="A383">
        <v>231079</v>
      </c>
      <c r="B383" t="s">
        <v>1196</v>
      </c>
      <c r="C383" t="s">
        <v>1197</v>
      </c>
      <c r="D383" t="s">
        <v>1427</v>
      </c>
      <c r="E383" t="s">
        <v>931</v>
      </c>
      <c r="F383" t="s">
        <v>1366</v>
      </c>
      <c r="G383" t="s">
        <v>1520</v>
      </c>
      <c r="H383" t="s">
        <v>61</v>
      </c>
    </row>
    <row r="384" spans="1:8">
      <c r="A384">
        <v>194990</v>
      </c>
      <c r="B384" t="s">
        <v>1198</v>
      </c>
      <c r="C384" t="s">
        <v>1199</v>
      </c>
      <c r="D384" t="s">
        <v>1427</v>
      </c>
      <c r="E384" t="s">
        <v>1100</v>
      </c>
      <c r="F384" t="s">
        <v>1366</v>
      </c>
      <c r="G384" t="s">
        <v>1520</v>
      </c>
      <c r="H384" t="s">
        <v>61</v>
      </c>
    </row>
    <row r="385" spans="1:8">
      <c r="A385">
        <v>138930</v>
      </c>
      <c r="B385" t="s">
        <v>1200</v>
      </c>
      <c r="C385" t="s">
        <v>1201</v>
      </c>
      <c r="D385" t="s">
        <v>1429</v>
      </c>
      <c r="E385" t="s">
        <v>1362</v>
      </c>
      <c r="F385" t="s">
        <v>1368</v>
      </c>
      <c r="G385" t="s">
        <v>1413</v>
      </c>
      <c r="H385" t="s">
        <v>1832</v>
      </c>
    </row>
    <row r="386" spans="1:8">
      <c r="A386">
        <v>195300</v>
      </c>
      <c r="B386" t="s">
        <v>1202</v>
      </c>
      <c r="C386" t="s">
        <v>1203</v>
      </c>
      <c r="D386" t="s">
        <v>1427</v>
      </c>
      <c r="E386" t="s">
        <v>2380</v>
      </c>
      <c r="F386" t="s">
        <v>602</v>
      </c>
      <c r="G386" t="s">
        <v>1528</v>
      </c>
      <c r="H386" t="s">
        <v>65</v>
      </c>
    </row>
    <row r="387" spans="1:8">
      <c r="A387">
        <v>275004</v>
      </c>
      <c r="B387" t="s">
        <v>1204</v>
      </c>
      <c r="C387" t="s">
        <v>1205</v>
      </c>
      <c r="D387" t="s">
        <v>1427</v>
      </c>
      <c r="E387" t="s">
        <v>690</v>
      </c>
      <c r="F387" t="s">
        <v>1359</v>
      </c>
      <c r="G387" t="s">
        <v>1527</v>
      </c>
      <c r="H387" t="s">
        <v>59</v>
      </c>
    </row>
    <row r="388" spans="1:8">
      <c r="A388">
        <v>274218</v>
      </c>
      <c r="B388" t="s">
        <v>1206</v>
      </c>
      <c r="C388" t="s">
        <v>1207</v>
      </c>
      <c r="D388" t="s">
        <v>1427</v>
      </c>
      <c r="E388" t="s">
        <v>690</v>
      </c>
      <c r="F388" t="s">
        <v>1359</v>
      </c>
      <c r="G388" t="s">
        <v>1527</v>
      </c>
      <c r="H388" t="s">
        <v>59</v>
      </c>
    </row>
    <row r="389" spans="1:8">
      <c r="A389">
        <v>222339</v>
      </c>
      <c r="B389" t="s">
        <v>1208</v>
      </c>
      <c r="C389" t="s">
        <v>1209</v>
      </c>
      <c r="D389" t="s">
        <v>1426</v>
      </c>
      <c r="E389" t="s">
        <v>1334</v>
      </c>
      <c r="F389" t="s">
        <v>1362</v>
      </c>
      <c r="G389" t="s">
        <v>1518</v>
      </c>
      <c r="H389" t="s">
        <v>1832</v>
      </c>
    </row>
    <row r="390" spans="1:8">
      <c r="A390">
        <v>310915</v>
      </c>
      <c r="B390" t="s">
        <v>1210</v>
      </c>
      <c r="C390" t="s">
        <v>1211</v>
      </c>
      <c r="D390" t="s">
        <v>1427</v>
      </c>
      <c r="E390" t="s">
        <v>1332</v>
      </c>
      <c r="F390" t="s">
        <v>602</v>
      </c>
      <c r="G390" t="s">
        <v>1528</v>
      </c>
      <c r="H390" t="s">
        <v>65</v>
      </c>
    </row>
    <row r="391" spans="1:8">
      <c r="A391">
        <v>195002</v>
      </c>
      <c r="B391" t="s">
        <v>1212</v>
      </c>
      <c r="C391" t="s">
        <v>1213</v>
      </c>
      <c r="D391" t="s">
        <v>1427</v>
      </c>
      <c r="E391" t="s">
        <v>1195</v>
      </c>
      <c r="F391" t="s">
        <v>1363</v>
      </c>
      <c r="G391" t="s">
        <v>1530</v>
      </c>
      <c r="H391" t="s">
        <v>66</v>
      </c>
    </row>
    <row r="392" spans="1:8">
      <c r="A392">
        <v>189075</v>
      </c>
      <c r="B392" t="s">
        <v>1214</v>
      </c>
      <c r="C392" t="s">
        <v>1215</v>
      </c>
      <c r="D392" t="s">
        <v>1427</v>
      </c>
      <c r="E392" t="s">
        <v>1100</v>
      </c>
      <c r="F392" t="s">
        <v>1366</v>
      </c>
      <c r="G392" t="s">
        <v>1520</v>
      </c>
      <c r="H392" t="s">
        <v>61</v>
      </c>
    </row>
    <row r="393" spans="1:8">
      <c r="A393">
        <v>118493</v>
      </c>
      <c r="B393" t="s">
        <v>1216</v>
      </c>
      <c r="C393" t="s">
        <v>1217</v>
      </c>
      <c r="D393" t="s">
        <v>1427</v>
      </c>
      <c r="E393" t="s">
        <v>923</v>
      </c>
      <c r="F393" t="s">
        <v>1366</v>
      </c>
      <c r="G393" t="s">
        <v>1529</v>
      </c>
      <c r="H393" t="s">
        <v>68</v>
      </c>
    </row>
    <row r="394" spans="1:8">
      <c r="A394">
        <v>107060</v>
      </c>
      <c r="B394" t="s">
        <v>1218</v>
      </c>
      <c r="C394" t="s">
        <v>1219</v>
      </c>
      <c r="D394" t="s">
        <v>1427</v>
      </c>
      <c r="E394" t="s">
        <v>931</v>
      </c>
      <c r="F394" t="s">
        <v>1366</v>
      </c>
      <c r="G394" t="s">
        <v>1520</v>
      </c>
      <c r="H394" t="s">
        <v>61</v>
      </c>
    </row>
    <row r="395" spans="1:8">
      <c r="A395">
        <v>81939</v>
      </c>
      <c r="B395" t="s">
        <v>1220</v>
      </c>
      <c r="C395" t="s">
        <v>1221</v>
      </c>
      <c r="D395" t="s">
        <v>1427</v>
      </c>
      <c r="E395" t="s">
        <v>931</v>
      </c>
      <c r="F395" t="s">
        <v>1366</v>
      </c>
      <c r="G395" t="s">
        <v>1534</v>
      </c>
      <c r="H395" t="s">
        <v>61</v>
      </c>
    </row>
    <row r="396" spans="1:8">
      <c r="A396">
        <v>100677</v>
      </c>
      <c r="B396" t="s">
        <v>1222</v>
      </c>
      <c r="C396" t="s">
        <v>1223</v>
      </c>
      <c r="D396" t="s">
        <v>1427</v>
      </c>
      <c r="E396" t="s">
        <v>789</v>
      </c>
      <c r="F396" t="s">
        <v>1369</v>
      </c>
      <c r="G396" t="s">
        <v>1554</v>
      </c>
      <c r="H396" t="s">
        <v>65</v>
      </c>
    </row>
    <row r="397" spans="1:8">
      <c r="A397">
        <v>292759</v>
      </c>
      <c r="B397" t="s">
        <v>1224</v>
      </c>
      <c r="C397" t="s">
        <v>1225</v>
      </c>
      <c r="D397" t="s">
        <v>1427</v>
      </c>
      <c r="E397" t="s">
        <v>931</v>
      </c>
      <c r="F397" t="s">
        <v>1366</v>
      </c>
      <c r="G397" t="s">
        <v>1520</v>
      </c>
      <c r="H397" t="s">
        <v>61</v>
      </c>
    </row>
    <row r="398" spans="1:8">
      <c r="A398">
        <v>310943</v>
      </c>
      <c r="B398" t="s">
        <v>1226</v>
      </c>
      <c r="C398" t="s">
        <v>1227</v>
      </c>
      <c r="D398" t="s">
        <v>1427</v>
      </c>
      <c r="E398" t="s">
        <v>789</v>
      </c>
      <c r="F398" t="s">
        <v>1369</v>
      </c>
      <c r="G398" t="s">
        <v>1528</v>
      </c>
      <c r="H398" t="s">
        <v>65</v>
      </c>
    </row>
    <row r="399" spans="1:8">
      <c r="A399">
        <v>239902</v>
      </c>
      <c r="B399" t="s">
        <v>1228</v>
      </c>
      <c r="C399" t="s">
        <v>1229</v>
      </c>
      <c r="D399" t="s">
        <v>1427</v>
      </c>
      <c r="E399" t="s">
        <v>596</v>
      </c>
      <c r="F399" t="s">
        <v>1363</v>
      </c>
      <c r="G399" t="s">
        <v>1524</v>
      </c>
      <c r="H399" t="s">
        <v>62</v>
      </c>
    </row>
    <row r="400" spans="1:8">
      <c r="A400">
        <v>185126</v>
      </c>
      <c r="B400" t="s">
        <v>1230</v>
      </c>
      <c r="C400" t="s">
        <v>1231</v>
      </c>
      <c r="D400" t="s">
        <v>1427</v>
      </c>
      <c r="E400" t="s">
        <v>596</v>
      </c>
      <c r="F400" t="s">
        <v>1363</v>
      </c>
      <c r="G400" t="s">
        <v>1518</v>
      </c>
      <c r="H400" t="s">
        <v>1832</v>
      </c>
    </row>
    <row r="401" spans="1:8">
      <c r="A401">
        <v>293715</v>
      </c>
      <c r="B401" t="s">
        <v>1232</v>
      </c>
      <c r="C401" t="s">
        <v>1233</v>
      </c>
      <c r="D401" t="s">
        <v>1427</v>
      </c>
      <c r="E401" t="s">
        <v>1179</v>
      </c>
      <c r="F401" t="s">
        <v>1369</v>
      </c>
      <c r="G401" t="s">
        <v>1528</v>
      </c>
      <c r="H401" t="s">
        <v>65</v>
      </c>
    </row>
    <row r="402" spans="1:8">
      <c r="A402">
        <v>62549</v>
      </c>
      <c r="B402" t="s">
        <v>1443</v>
      </c>
      <c r="C402" t="s">
        <v>1436</v>
      </c>
      <c r="D402" t="s">
        <v>1427</v>
      </c>
      <c r="E402" t="s">
        <v>931</v>
      </c>
      <c r="F402" t="s">
        <v>1366</v>
      </c>
      <c r="G402" t="s">
        <v>1547</v>
      </c>
      <c r="H402" t="s">
        <v>61</v>
      </c>
    </row>
    <row r="403" spans="1:8">
      <c r="A403">
        <v>274080</v>
      </c>
      <c r="B403" t="s">
        <v>1234</v>
      </c>
      <c r="C403" t="s">
        <v>1235</v>
      </c>
      <c r="D403" t="s">
        <v>1427</v>
      </c>
      <c r="E403" t="s">
        <v>584</v>
      </c>
      <c r="F403" t="s">
        <v>1362</v>
      </c>
      <c r="G403" t="s">
        <v>1523</v>
      </c>
      <c r="H403" t="s">
        <v>67</v>
      </c>
    </row>
    <row r="404" spans="1:8">
      <c r="A404">
        <v>221031</v>
      </c>
      <c r="B404" t="s">
        <v>1236</v>
      </c>
      <c r="C404" t="s">
        <v>1237</v>
      </c>
      <c r="D404" t="s">
        <v>1427</v>
      </c>
      <c r="E404" t="s">
        <v>640</v>
      </c>
      <c r="F404" t="s">
        <v>1366</v>
      </c>
      <c r="G404" t="s">
        <v>1519</v>
      </c>
      <c r="H404" t="s">
        <v>58</v>
      </c>
    </row>
    <row r="405" spans="1:8">
      <c r="A405">
        <v>276312</v>
      </c>
      <c r="B405" t="s">
        <v>1238</v>
      </c>
      <c r="C405" t="s">
        <v>1239</v>
      </c>
      <c r="D405" t="s">
        <v>1427</v>
      </c>
      <c r="E405" t="s">
        <v>584</v>
      </c>
      <c r="F405" t="s">
        <v>1362</v>
      </c>
      <c r="G405" t="s">
        <v>1523</v>
      </c>
      <c r="H405" t="s">
        <v>67</v>
      </c>
    </row>
    <row r="406" spans="1:8">
      <c r="A406">
        <v>149738</v>
      </c>
      <c r="B406" t="s">
        <v>1240</v>
      </c>
      <c r="C406" t="s">
        <v>1241</v>
      </c>
      <c r="D406" t="s">
        <v>1427</v>
      </c>
      <c r="E406" t="s">
        <v>1326</v>
      </c>
      <c r="F406" t="s">
        <v>1369</v>
      </c>
      <c r="G406" t="s">
        <v>1551</v>
      </c>
      <c r="H406" t="s">
        <v>65</v>
      </c>
    </row>
    <row r="407" spans="1:8">
      <c r="A407">
        <v>276423</v>
      </c>
      <c r="B407" t="s">
        <v>1242</v>
      </c>
      <c r="C407" t="s">
        <v>1243</v>
      </c>
      <c r="D407" t="s">
        <v>1427</v>
      </c>
      <c r="E407" t="s">
        <v>1334</v>
      </c>
      <c r="F407" t="s">
        <v>1362</v>
      </c>
      <c r="G407" t="s">
        <v>1523</v>
      </c>
      <c r="H407" t="s">
        <v>67</v>
      </c>
    </row>
    <row r="408" spans="1:8">
      <c r="A408">
        <v>303637</v>
      </c>
      <c r="B408" t="s">
        <v>1244</v>
      </c>
      <c r="C408" t="s">
        <v>1245</v>
      </c>
      <c r="D408" t="s">
        <v>1427</v>
      </c>
      <c r="E408" t="s">
        <v>949</v>
      </c>
      <c r="F408" t="s">
        <v>1363</v>
      </c>
      <c r="G408" t="s">
        <v>1524</v>
      </c>
      <c r="H408" t="s">
        <v>62</v>
      </c>
    </row>
    <row r="409" spans="1:8">
      <c r="A409">
        <v>182403</v>
      </c>
      <c r="B409" t="s">
        <v>1246</v>
      </c>
      <c r="C409" t="s">
        <v>1247</v>
      </c>
      <c r="D409" t="s">
        <v>1427</v>
      </c>
      <c r="E409" t="s">
        <v>1100</v>
      </c>
      <c r="F409" t="s">
        <v>1366</v>
      </c>
      <c r="G409" t="s">
        <v>1534</v>
      </c>
      <c r="H409" t="s">
        <v>61</v>
      </c>
    </row>
    <row r="410" spans="1:8">
      <c r="A410">
        <v>274095</v>
      </c>
      <c r="B410" t="s">
        <v>1248</v>
      </c>
      <c r="C410" t="s">
        <v>1249</v>
      </c>
      <c r="D410" t="s">
        <v>1427</v>
      </c>
      <c r="E410" t="s">
        <v>1068</v>
      </c>
      <c r="F410" t="s">
        <v>1362</v>
      </c>
      <c r="G410" t="s">
        <v>1523</v>
      </c>
      <c r="H410" t="s">
        <v>67</v>
      </c>
    </row>
    <row r="411" spans="1:8">
      <c r="A411">
        <v>260823</v>
      </c>
      <c r="B411" t="s">
        <v>1250</v>
      </c>
      <c r="C411" t="s">
        <v>1251</v>
      </c>
      <c r="D411" t="s">
        <v>1427</v>
      </c>
      <c r="E411" t="s">
        <v>2380</v>
      </c>
      <c r="F411" t="s">
        <v>602</v>
      </c>
      <c r="G411" t="s">
        <v>1528</v>
      </c>
      <c r="H411" t="s">
        <v>65</v>
      </c>
    </row>
    <row r="412" spans="1:8">
      <c r="A412">
        <v>278593</v>
      </c>
      <c r="B412" t="s">
        <v>1444</v>
      </c>
      <c r="C412" t="s">
        <v>1437</v>
      </c>
      <c r="D412" t="s">
        <v>1427</v>
      </c>
      <c r="E412" t="s">
        <v>476</v>
      </c>
      <c r="F412" t="s">
        <v>1362</v>
      </c>
      <c r="G412" t="s">
        <v>1523</v>
      </c>
      <c r="H412" t="s">
        <v>67</v>
      </c>
    </row>
    <row r="413" spans="1:8">
      <c r="A413">
        <v>194827</v>
      </c>
      <c r="B413" t="s">
        <v>1252</v>
      </c>
      <c r="C413" t="s">
        <v>1253</v>
      </c>
      <c r="D413" t="s">
        <v>1427</v>
      </c>
      <c r="E413" t="s">
        <v>931</v>
      </c>
      <c r="F413" t="s">
        <v>1366</v>
      </c>
      <c r="G413" t="s">
        <v>1542</v>
      </c>
      <c r="H413" t="s">
        <v>61</v>
      </c>
    </row>
    <row r="414" spans="1:8">
      <c r="A414">
        <v>183055</v>
      </c>
      <c r="B414" t="s">
        <v>1254</v>
      </c>
      <c r="C414" t="s">
        <v>1255</v>
      </c>
      <c r="D414" t="s">
        <v>1427</v>
      </c>
      <c r="E414" t="s">
        <v>949</v>
      </c>
      <c r="F414" t="s">
        <v>1363</v>
      </c>
      <c r="G414" t="s">
        <v>1524</v>
      </c>
      <c r="H414" t="s">
        <v>1832</v>
      </c>
    </row>
    <row r="415" spans="1:8">
      <c r="A415">
        <v>260042</v>
      </c>
      <c r="B415" t="s">
        <v>1256</v>
      </c>
      <c r="C415" t="s">
        <v>1257</v>
      </c>
      <c r="D415" t="s">
        <v>1427</v>
      </c>
      <c r="E415" t="s">
        <v>584</v>
      </c>
      <c r="F415" t="s">
        <v>1362</v>
      </c>
      <c r="G415" t="s">
        <v>1523</v>
      </c>
      <c r="H415" t="s">
        <v>67</v>
      </c>
    </row>
    <row r="416" spans="1:8">
      <c r="A416">
        <v>105319</v>
      </c>
      <c r="B416" t="s">
        <v>1258</v>
      </c>
      <c r="C416" t="s">
        <v>1259</v>
      </c>
      <c r="D416" t="s">
        <v>1427</v>
      </c>
      <c r="E416" t="s">
        <v>690</v>
      </c>
      <c r="F416" t="s">
        <v>1359</v>
      </c>
      <c r="G416" t="s">
        <v>1527</v>
      </c>
      <c r="H416" t="s">
        <v>59</v>
      </c>
    </row>
    <row r="417" spans="1:8">
      <c r="A417">
        <v>86249</v>
      </c>
      <c r="B417" t="s">
        <v>1260</v>
      </c>
      <c r="C417" t="s">
        <v>1261</v>
      </c>
      <c r="D417" t="s">
        <v>1429</v>
      </c>
      <c r="E417" t="s">
        <v>1362</v>
      </c>
      <c r="F417" t="s">
        <v>1368</v>
      </c>
      <c r="G417" t="s">
        <v>1413</v>
      </c>
      <c r="H417" t="s">
        <v>1832</v>
      </c>
    </row>
    <row r="418" spans="1:8">
      <c r="A418">
        <v>276043</v>
      </c>
      <c r="B418" t="s">
        <v>1262</v>
      </c>
      <c r="C418" t="s">
        <v>1263</v>
      </c>
      <c r="D418" t="s">
        <v>1427</v>
      </c>
      <c r="E418" t="s">
        <v>1201</v>
      </c>
      <c r="F418" t="s">
        <v>1362</v>
      </c>
      <c r="G418" t="s">
        <v>1523</v>
      </c>
      <c r="H418" t="s">
        <v>67</v>
      </c>
    </row>
    <row r="419" spans="1:8">
      <c r="A419">
        <v>275985</v>
      </c>
      <c r="B419" t="s">
        <v>1264</v>
      </c>
      <c r="C419" t="s">
        <v>1265</v>
      </c>
      <c r="D419" t="s">
        <v>1427</v>
      </c>
      <c r="E419" t="s">
        <v>1201</v>
      </c>
      <c r="F419" t="s">
        <v>1362</v>
      </c>
      <c r="G419" t="s">
        <v>1523</v>
      </c>
      <c r="H419" t="s">
        <v>67</v>
      </c>
    </row>
    <row r="420" spans="1:8">
      <c r="A420">
        <v>293511</v>
      </c>
      <c r="B420" t="s">
        <v>1266</v>
      </c>
      <c r="C420" t="s">
        <v>1418</v>
      </c>
      <c r="D420" t="s">
        <v>1427</v>
      </c>
      <c r="E420" t="s">
        <v>596</v>
      </c>
      <c r="F420" t="s">
        <v>1363</v>
      </c>
      <c r="G420" t="s">
        <v>1524</v>
      </c>
      <c r="H420" t="s">
        <v>62</v>
      </c>
    </row>
    <row r="421" spans="1:8">
      <c r="A421">
        <v>43575</v>
      </c>
      <c r="B421" t="s">
        <v>2447</v>
      </c>
      <c r="C421" t="s">
        <v>2381</v>
      </c>
      <c r="D421" t="s">
        <v>1429</v>
      </c>
      <c r="E421" t="s">
        <v>1363</v>
      </c>
      <c r="F421" t="s">
        <v>1368</v>
      </c>
      <c r="G421" t="s">
        <v>1413</v>
      </c>
      <c r="H421" t="s">
        <v>1832</v>
      </c>
    </row>
    <row r="422" spans="1:8">
      <c r="A422">
        <v>173204</v>
      </c>
      <c r="B422" t="s">
        <v>1267</v>
      </c>
      <c r="C422" t="s">
        <v>1268</v>
      </c>
      <c r="D422" t="s">
        <v>1427</v>
      </c>
      <c r="E422" t="s">
        <v>476</v>
      </c>
      <c r="F422" t="s">
        <v>1362</v>
      </c>
      <c r="G422" t="s">
        <v>1523</v>
      </c>
      <c r="H422" t="s">
        <v>67</v>
      </c>
    </row>
    <row r="423" spans="1:8">
      <c r="A423">
        <v>230910</v>
      </c>
      <c r="B423" t="s">
        <v>1269</v>
      </c>
      <c r="C423" t="s">
        <v>1270</v>
      </c>
      <c r="D423" t="s">
        <v>1427</v>
      </c>
      <c r="E423" t="s">
        <v>1326</v>
      </c>
      <c r="F423" t="s">
        <v>1369</v>
      </c>
      <c r="G423" t="s">
        <v>1528</v>
      </c>
      <c r="H423" t="s">
        <v>65</v>
      </c>
    </row>
    <row r="424" spans="1:8">
      <c r="A424">
        <v>51743</v>
      </c>
      <c r="B424" t="s">
        <v>1271</v>
      </c>
      <c r="C424" t="s">
        <v>1272</v>
      </c>
      <c r="D424" t="s">
        <v>1427</v>
      </c>
      <c r="E424" t="s">
        <v>1100</v>
      </c>
      <c r="F424" t="s">
        <v>1366</v>
      </c>
      <c r="G424" t="s">
        <v>1520</v>
      </c>
      <c r="H424" t="s">
        <v>61</v>
      </c>
    </row>
    <row r="425" spans="1:8">
      <c r="A425">
        <v>173038</v>
      </c>
      <c r="B425" t="s">
        <v>1273</v>
      </c>
      <c r="C425" t="s">
        <v>1274</v>
      </c>
      <c r="D425" t="s">
        <v>1427</v>
      </c>
      <c r="E425" t="s">
        <v>596</v>
      </c>
      <c r="F425" t="s">
        <v>1363</v>
      </c>
      <c r="G425" t="s">
        <v>1524</v>
      </c>
      <c r="H425" t="s">
        <v>62</v>
      </c>
    </row>
    <row r="426" spans="1:8">
      <c r="A426">
        <v>159181</v>
      </c>
      <c r="B426" t="s">
        <v>1275</v>
      </c>
      <c r="C426" t="s">
        <v>1276</v>
      </c>
      <c r="D426" t="s">
        <v>1427</v>
      </c>
      <c r="E426" t="s">
        <v>1179</v>
      </c>
      <c r="F426" t="s">
        <v>1369</v>
      </c>
      <c r="G426" t="s">
        <v>1518</v>
      </c>
      <c r="H426" t="s">
        <v>65</v>
      </c>
    </row>
    <row r="427" spans="1:8">
      <c r="A427">
        <v>195363</v>
      </c>
      <c r="B427" t="s">
        <v>1277</v>
      </c>
      <c r="C427" t="s">
        <v>1276</v>
      </c>
      <c r="D427" t="s">
        <v>1427</v>
      </c>
      <c r="E427" t="s">
        <v>1326</v>
      </c>
      <c r="F427" t="s">
        <v>1369</v>
      </c>
      <c r="G427" t="s">
        <v>1528</v>
      </c>
      <c r="H427" t="s">
        <v>65</v>
      </c>
    </row>
    <row r="428" spans="1:8">
      <c r="A428">
        <v>180342</v>
      </c>
      <c r="B428" t="s">
        <v>1278</v>
      </c>
      <c r="C428" t="s">
        <v>1279</v>
      </c>
      <c r="D428" t="s">
        <v>1426</v>
      </c>
      <c r="E428" t="s">
        <v>1326</v>
      </c>
      <c r="F428" t="s">
        <v>1369</v>
      </c>
      <c r="G428" t="s">
        <v>1518</v>
      </c>
      <c r="H428" t="s">
        <v>1832</v>
      </c>
    </row>
    <row r="429" spans="1:8">
      <c r="A429">
        <v>108333</v>
      </c>
      <c r="B429" t="s">
        <v>1280</v>
      </c>
      <c r="C429" t="s">
        <v>1281</v>
      </c>
      <c r="D429" t="s">
        <v>1427</v>
      </c>
      <c r="E429" t="s">
        <v>931</v>
      </c>
      <c r="F429" t="s">
        <v>1366</v>
      </c>
      <c r="G429" t="s">
        <v>1520</v>
      </c>
      <c r="H429" t="s">
        <v>61</v>
      </c>
    </row>
    <row r="430" spans="1:8">
      <c r="A430">
        <v>221548</v>
      </c>
      <c r="B430" t="s">
        <v>1282</v>
      </c>
      <c r="C430" t="s">
        <v>1283</v>
      </c>
      <c r="D430" t="s">
        <v>1427</v>
      </c>
      <c r="E430" t="s">
        <v>690</v>
      </c>
      <c r="F430" t="s">
        <v>1359</v>
      </c>
      <c r="G430" t="s">
        <v>1527</v>
      </c>
      <c r="H430" t="s">
        <v>59</v>
      </c>
    </row>
    <row r="431" spans="1:8">
      <c r="A431">
        <v>194739</v>
      </c>
      <c r="B431" t="s">
        <v>1284</v>
      </c>
      <c r="C431" t="s">
        <v>1285</v>
      </c>
      <c r="D431" t="s">
        <v>1427</v>
      </c>
      <c r="E431" t="s">
        <v>941</v>
      </c>
      <c r="F431" t="s">
        <v>1359</v>
      </c>
      <c r="G431" t="s">
        <v>1540</v>
      </c>
      <c r="H431" t="s">
        <v>60</v>
      </c>
    </row>
    <row r="432" spans="1:8">
      <c r="A432">
        <v>111494</v>
      </c>
      <c r="B432" t="s">
        <v>1286</v>
      </c>
      <c r="C432" t="s">
        <v>1287</v>
      </c>
      <c r="D432" t="s">
        <v>1427</v>
      </c>
      <c r="E432" t="s">
        <v>690</v>
      </c>
      <c r="F432" t="s">
        <v>1359</v>
      </c>
      <c r="G432" t="s">
        <v>1540</v>
      </c>
      <c r="H432" t="s">
        <v>60</v>
      </c>
    </row>
    <row r="433" spans="1:8">
      <c r="A433">
        <v>56349</v>
      </c>
      <c r="B433" t="s">
        <v>1288</v>
      </c>
      <c r="C433" t="s">
        <v>1289</v>
      </c>
      <c r="D433" t="s">
        <v>1427</v>
      </c>
      <c r="E433" t="s">
        <v>1100</v>
      </c>
      <c r="F433" t="s">
        <v>1366</v>
      </c>
      <c r="G433" t="s">
        <v>1534</v>
      </c>
      <c r="H433" t="s">
        <v>61</v>
      </c>
    </row>
    <row r="434" spans="1:8">
      <c r="A434">
        <v>279132</v>
      </c>
      <c r="B434" t="s">
        <v>1290</v>
      </c>
      <c r="C434" t="s">
        <v>1291</v>
      </c>
      <c r="D434" t="s">
        <v>1427</v>
      </c>
      <c r="E434" t="s">
        <v>512</v>
      </c>
      <c r="F434" t="s">
        <v>602</v>
      </c>
      <c r="G434" t="s">
        <v>1551</v>
      </c>
      <c r="H434" t="s">
        <v>65</v>
      </c>
    </row>
    <row r="435" spans="1:8">
      <c r="A435">
        <v>81511</v>
      </c>
      <c r="B435" t="s">
        <v>1292</v>
      </c>
      <c r="C435" t="s">
        <v>1293</v>
      </c>
      <c r="D435" t="s">
        <v>1427</v>
      </c>
      <c r="E435" t="s">
        <v>931</v>
      </c>
      <c r="F435" t="s">
        <v>1366</v>
      </c>
      <c r="G435" t="s">
        <v>1559</v>
      </c>
      <c r="H435" t="s">
        <v>61</v>
      </c>
    </row>
    <row r="436" spans="1:8">
      <c r="A436">
        <v>100573</v>
      </c>
      <c r="B436" t="s">
        <v>1294</v>
      </c>
      <c r="C436" t="s">
        <v>1295</v>
      </c>
      <c r="D436" t="s">
        <v>1427</v>
      </c>
      <c r="E436" t="s">
        <v>1326</v>
      </c>
      <c r="F436" t="s">
        <v>1369</v>
      </c>
      <c r="G436" t="s">
        <v>1551</v>
      </c>
      <c r="H436" t="s">
        <v>65</v>
      </c>
    </row>
    <row r="437" spans="1:8">
      <c r="A437">
        <v>95148</v>
      </c>
      <c r="B437" t="s">
        <v>1296</v>
      </c>
      <c r="C437" t="s">
        <v>2723</v>
      </c>
      <c r="D437" t="s">
        <v>1427</v>
      </c>
      <c r="E437" t="s">
        <v>931</v>
      </c>
      <c r="F437" t="s">
        <v>1366</v>
      </c>
      <c r="G437" t="s">
        <v>1559</v>
      </c>
      <c r="H437" t="s">
        <v>61</v>
      </c>
    </row>
    <row r="438" spans="1:8">
      <c r="A438">
        <v>78540</v>
      </c>
      <c r="B438" t="s">
        <v>1297</v>
      </c>
      <c r="C438" t="s">
        <v>1298</v>
      </c>
      <c r="D438" t="s">
        <v>1427</v>
      </c>
      <c r="E438" t="s">
        <v>512</v>
      </c>
      <c r="F438" t="s">
        <v>602</v>
      </c>
      <c r="G438" t="s">
        <v>1551</v>
      </c>
      <c r="H438" t="s">
        <v>65</v>
      </c>
    </row>
    <row r="439" spans="1:8">
      <c r="A439">
        <v>172626</v>
      </c>
      <c r="B439" t="s">
        <v>1299</v>
      </c>
      <c r="C439" t="s">
        <v>1300</v>
      </c>
      <c r="D439" t="s">
        <v>1427</v>
      </c>
      <c r="E439" t="s">
        <v>1326</v>
      </c>
      <c r="F439" t="s">
        <v>1369</v>
      </c>
      <c r="G439" t="s">
        <v>1548</v>
      </c>
      <c r="H439" t="s">
        <v>65</v>
      </c>
    </row>
    <row r="440" spans="1:8">
      <c r="A440">
        <v>194777</v>
      </c>
      <c r="B440" t="s">
        <v>1301</v>
      </c>
      <c r="C440" t="s">
        <v>1302</v>
      </c>
      <c r="D440" t="s">
        <v>1427</v>
      </c>
      <c r="E440" t="s">
        <v>690</v>
      </c>
      <c r="F440" t="s">
        <v>1359</v>
      </c>
      <c r="G440" t="s">
        <v>1540</v>
      </c>
      <c r="H440" t="s">
        <v>60</v>
      </c>
    </row>
    <row r="441" spans="1:8">
      <c r="A441">
        <v>229409</v>
      </c>
      <c r="B441" t="s">
        <v>1303</v>
      </c>
      <c r="C441" t="s">
        <v>1304</v>
      </c>
      <c r="D441" t="s">
        <v>1427</v>
      </c>
      <c r="E441" t="s">
        <v>1006</v>
      </c>
      <c r="F441" t="s">
        <v>1359</v>
      </c>
      <c r="G441" t="s">
        <v>1527</v>
      </c>
      <c r="H441" t="s">
        <v>59</v>
      </c>
    </row>
    <row r="442" spans="1:8">
      <c r="A442">
        <v>291001</v>
      </c>
      <c r="B442" t="s">
        <v>1305</v>
      </c>
      <c r="C442" t="s">
        <v>1306</v>
      </c>
      <c r="D442" t="s">
        <v>1427</v>
      </c>
      <c r="E442" t="s">
        <v>1334</v>
      </c>
      <c r="F442" t="s">
        <v>1362</v>
      </c>
      <c r="G442" t="s">
        <v>1523</v>
      </c>
      <c r="H442" t="s">
        <v>67</v>
      </c>
    </row>
    <row r="443" spans="1:8">
      <c r="A443">
        <v>195310</v>
      </c>
      <c r="B443" t="s">
        <v>1307</v>
      </c>
      <c r="C443" t="s">
        <v>1308</v>
      </c>
      <c r="D443" t="s">
        <v>1426</v>
      </c>
      <c r="E443" t="s">
        <v>1179</v>
      </c>
      <c r="F443" t="s">
        <v>1369</v>
      </c>
      <c r="G443" t="s">
        <v>1518</v>
      </c>
      <c r="H443" t="s">
        <v>1832</v>
      </c>
    </row>
    <row r="444" spans="1:8">
      <c r="A444">
        <v>80224</v>
      </c>
      <c r="B444" t="s">
        <v>1309</v>
      </c>
      <c r="C444" t="s">
        <v>1310</v>
      </c>
      <c r="D444" t="s">
        <v>1427</v>
      </c>
      <c r="E444" t="s">
        <v>1100</v>
      </c>
      <c r="F444" t="s">
        <v>1366</v>
      </c>
      <c r="G444" t="s">
        <v>1534</v>
      </c>
      <c r="H444" t="s">
        <v>61</v>
      </c>
    </row>
    <row r="445" spans="1:8">
      <c r="A445">
        <v>117633</v>
      </c>
      <c r="B445" t="s">
        <v>1311</v>
      </c>
      <c r="C445" t="s">
        <v>1312</v>
      </c>
      <c r="D445" t="s">
        <v>1427</v>
      </c>
      <c r="E445" t="s">
        <v>923</v>
      </c>
      <c r="F445" t="s">
        <v>1366</v>
      </c>
      <c r="G445" t="s">
        <v>1529</v>
      </c>
      <c r="H445" t="s">
        <v>68</v>
      </c>
    </row>
    <row r="446" spans="1:8">
      <c r="A446">
        <v>105627</v>
      </c>
      <c r="B446" t="s">
        <v>1313</v>
      </c>
      <c r="C446" t="s">
        <v>1314</v>
      </c>
      <c r="D446" t="s">
        <v>1434</v>
      </c>
      <c r="E446" t="s">
        <v>690</v>
      </c>
      <c r="F446" t="s">
        <v>1359</v>
      </c>
      <c r="G446" t="s">
        <v>1560</v>
      </c>
      <c r="H446" t="s">
        <v>60</v>
      </c>
    </row>
    <row r="447" spans="1:8">
      <c r="A447">
        <v>310998</v>
      </c>
      <c r="B447" t="s">
        <v>1315</v>
      </c>
      <c r="C447" t="s">
        <v>1316</v>
      </c>
      <c r="D447" t="s">
        <v>1427</v>
      </c>
      <c r="E447" t="s">
        <v>690</v>
      </c>
      <c r="F447" t="s">
        <v>1359</v>
      </c>
      <c r="G447" t="s">
        <v>1527</v>
      </c>
      <c r="H447" t="s">
        <v>59</v>
      </c>
    </row>
    <row r="448" spans="1:8">
      <c r="A448">
        <v>104603</v>
      </c>
      <c r="B448" t="s">
        <v>1317</v>
      </c>
      <c r="C448" t="s">
        <v>1318</v>
      </c>
      <c r="D448" t="s">
        <v>1427</v>
      </c>
      <c r="E448" t="s">
        <v>2381</v>
      </c>
      <c r="F448" t="s">
        <v>1363</v>
      </c>
      <c r="G448" t="s">
        <v>1524</v>
      </c>
      <c r="H448" t="s">
        <v>62</v>
      </c>
    </row>
    <row r="449" spans="1:8">
      <c r="A449">
        <v>221727</v>
      </c>
      <c r="B449" t="s">
        <v>1343</v>
      </c>
      <c r="C449" t="s">
        <v>1344</v>
      </c>
      <c r="D449" t="s">
        <v>1427</v>
      </c>
      <c r="E449" t="s">
        <v>584</v>
      </c>
      <c r="F449" t="s">
        <v>1362</v>
      </c>
      <c r="G449" t="s">
        <v>1523</v>
      </c>
      <c r="H449" t="s">
        <v>67</v>
      </c>
    </row>
    <row r="450" spans="1:8">
      <c r="A450">
        <v>178804</v>
      </c>
      <c r="B450" t="s">
        <v>1319</v>
      </c>
      <c r="C450" t="s">
        <v>1320</v>
      </c>
      <c r="D450" t="s">
        <v>1427</v>
      </c>
      <c r="E450" t="s">
        <v>1068</v>
      </c>
      <c r="F450" t="s">
        <v>1362</v>
      </c>
      <c r="G450" t="s">
        <v>1523</v>
      </c>
      <c r="H450" t="s">
        <v>67</v>
      </c>
    </row>
    <row r="451" spans="1:8">
      <c r="A451">
        <v>194995</v>
      </c>
      <c r="B451" t="s">
        <v>1407</v>
      </c>
      <c r="C451" t="s">
        <v>1404</v>
      </c>
      <c r="D451" t="s">
        <v>1427</v>
      </c>
      <c r="E451" t="s">
        <v>941</v>
      </c>
      <c r="F451" t="s">
        <v>1359</v>
      </c>
      <c r="G451" t="s">
        <v>1527</v>
      </c>
      <c r="H451" t="s">
        <v>59</v>
      </c>
    </row>
    <row r="452" spans="1:8">
      <c r="A452">
        <v>229215</v>
      </c>
      <c r="B452" t="s">
        <v>1321</v>
      </c>
      <c r="C452" t="s">
        <v>1322</v>
      </c>
      <c r="D452" t="s">
        <v>1427</v>
      </c>
      <c r="E452" t="s">
        <v>1006</v>
      </c>
      <c r="F452" t="s">
        <v>1359</v>
      </c>
      <c r="G452" t="s">
        <v>1527</v>
      </c>
      <c r="H452" t="s">
        <v>59</v>
      </c>
    </row>
    <row r="453" spans="1:8">
      <c r="A453">
        <v>111571</v>
      </c>
      <c r="B453" t="s">
        <v>1323</v>
      </c>
      <c r="C453" t="s">
        <v>1324</v>
      </c>
      <c r="D453" t="s">
        <v>1427</v>
      </c>
      <c r="E453" t="s">
        <v>476</v>
      </c>
      <c r="F453" t="s">
        <v>1362</v>
      </c>
      <c r="G453" t="s">
        <v>1523</v>
      </c>
      <c r="H453" t="s">
        <v>67</v>
      </c>
    </row>
    <row r="454" spans="1:8">
      <c r="A454">
        <v>81717</v>
      </c>
      <c r="B454" t="s">
        <v>1325</v>
      </c>
      <c r="C454" t="s">
        <v>1326</v>
      </c>
      <c r="D454" t="s">
        <v>1429</v>
      </c>
      <c r="E454" t="s">
        <v>1369</v>
      </c>
      <c r="F454" t="s">
        <v>1368</v>
      </c>
      <c r="G454" t="s">
        <v>1413</v>
      </c>
      <c r="H454" t="s">
        <v>1832</v>
      </c>
    </row>
    <row r="455" spans="1:8">
      <c r="A455">
        <v>277843</v>
      </c>
      <c r="B455" t="s">
        <v>1327</v>
      </c>
      <c r="C455" t="s">
        <v>1328</v>
      </c>
      <c r="D455" t="s">
        <v>1427</v>
      </c>
      <c r="E455" t="s">
        <v>1195</v>
      </c>
      <c r="F455" t="s">
        <v>1363</v>
      </c>
      <c r="G455" t="s">
        <v>1530</v>
      </c>
      <c r="H455" t="s">
        <v>66</v>
      </c>
    </row>
    <row r="456" spans="1:8">
      <c r="A456">
        <v>194729</v>
      </c>
      <c r="B456" t="s">
        <v>1329</v>
      </c>
      <c r="C456" t="s">
        <v>1330</v>
      </c>
      <c r="D456" t="s">
        <v>1427</v>
      </c>
      <c r="E456" t="s">
        <v>1179</v>
      </c>
      <c r="F456" t="s">
        <v>1369</v>
      </c>
      <c r="G456" t="s">
        <v>1528</v>
      </c>
      <c r="H456" t="s">
        <v>65</v>
      </c>
    </row>
    <row r="457" spans="1:8">
      <c r="A457">
        <v>150391</v>
      </c>
      <c r="B457" t="s">
        <v>1331</v>
      </c>
      <c r="C457" t="s">
        <v>1332</v>
      </c>
      <c r="D457" t="s">
        <v>1429</v>
      </c>
      <c r="E457" t="s">
        <v>602</v>
      </c>
      <c r="F457" t="s">
        <v>1368</v>
      </c>
      <c r="G457" t="s">
        <v>1413</v>
      </c>
      <c r="H457" t="s">
        <v>1832</v>
      </c>
    </row>
    <row r="458" spans="1:8">
      <c r="A458">
        <v>138098</v>
      </c>
      <c r="B458" t="s">
        <v>1333</v>
      </c>
      <c r="C458" t="s">
        <v>1334</v>
      </c>
      <c r="D458" t="s">
        <v>1429</v>
      </c>
      <c r="E458" t="s">
        <v>1362</v>
      </c>
      <c r="F458" t="s">
        <v>1368</v>
      </c>
      <c r="G458" t="s">
        <v>1413</v>
      </c>
      <c r="H458" t="s">
        <v>1832</v>
      </c>
    </row>
    <row r="459" spans="1:8">
      <c r="A459">
        <v>276758</v>
      </c>
      <c r="B459" t="s">
        <v>1335</v>
      </c>
      <c r="C459" t="s">
        <v>1336</v>
      </c>
      <c r="D459" t="s">
        <v>1427</v>
      </c>
      <c r="E459" t="s">
        <v>1261</v>
      </c>
      <c r="F459" t="s">
        <v>1362</v>
      </c>
      <c r="G459" t="s">
        <v>1523</v>
      </c>
      <c r="H459" t="s">
        <v>67</v>
      </c>
    </row>
    <row r="460" spans="1:8">
      <c r="A460">
        <v>239224</v>
      </c>
      <c r="B460" t="s">
        <v>1479</v>
      </c>
      <c r="C460" t="s">
        <v>1482</v>
      </c>
      <c r="D460" t="s">
        <v>1427</v>
      </c>
      <c r="E460" t="s">
        <v>476</v>
      </c>
      <c r="F460" t="s">
        <v>1362</v>
      </c>
      <c r="G460" t="s">
        <v>1523</v>
      </c>
      <c r="H460" t="s">
        <v>67</v>
      </c>
    </row>
    <row r="461" spans="1:8">
      <c r="A461">
        <v>189228</v>
      </c>
      <c r="B461" t="s">
        <v>1468</v>
      </c>
      <c r="C461" t="s">
        <v>1483</v>
      </c>
      <c r="D461" t="s">
        <v>1427</v>
      </c>
      <c r="E461" t="s">
        <v>1006</v>
      </c>
      <c r="F461" t="s">
        <v>1359</v>
      </c>
      <c r="G461" t="s">
        <v>1527</v>
      </c>
      <c r="H461" t="s">
        <v>59</v>
      </c>
    </row>
    <row r="462" spans="1:8">
      <c r="A462">
        <v>224773</v>
      </c>
      <c r="B462" t="s">
        <v>1475</v>
      </c>
      <c r="C462" t="s">
        <v>1484</v>
      </c>
      <c r="D462" t="s">
        <v>1427</v>
      </c>
      <c r="E462" t="s">
        <v>941</v>
      </c>
      <c r="F462" t="s">
        <v>1359</v>
      </c>
      <c r="G462" t="s">
        <v>1527</v>
      </c>
      <c r="H462" t="s">
        <v>59</v>
      </c>
    </row>
    <row r="463" spans="1:8">
      <c r="A463">
        <v>145377</v>
      </c>
      <c r="B463" t="s">
        <v>1481</v>
      </c>
      <c r="C463" t="s">
        <v>1485</v>
      </c>
      <c r="D463" t="s">
        <v>1427</v>
      </c>
      <c r="E463" t="s">
        <v>584</v>
      </c>
      <c r="F463" t="s">
        <v>1362</v>
      </c>
      <c r="G463" t="s">
        <v>1523</v>
      </c>
      <c r="H463" t="s">
        <v>67</v>
      </c>
    </row>
    <row r="464" spans="1:8">
      <c r="A464">
        <v>229218</v>
      </c>
      <c r="B464" t="s">
        <v>1476</v>
      </c>
      <c r="C464" t="s">
        <v>1486</v>
      </c>
      <c r="D464" t="s">
        <v>1427</v>
      </c>
      <c r="E464" t="s">
        <v>1068</v>
      </c>
      <c r="F464" t="s">
        <v>1362</v>
      </c>
      <c r="G464" t="s">
        <v>1523</v>
      </c>
      <c r="H464" t="s">
        <v>67</v>
      </c>
    </row>
    <row r="465" spans="1:8">
      <c r="A465">
        <v>158390</v>
      </c>
      <c r="B465" t="s">
        <v>1480</v>
      </c>
      <c r="C465" t="s">
        <v>1487</v>
      </c>
      <c r="D465" t="s">
        <v>1427</v>
      </c>
      <c r="E465" t="s">
        <v>1068</v>
      </c>
      <c r="F465" t="s">
        <v>1362</v>
      </c>
      <c r="G465" t="s">
        <v>1523</v>
      </c>
      <c r="H465" t="s">
        <v>67</v>
      </c>
    </row>
    <row r="466" spans="1:8">
      <c r="A466">
        <v>250223</v>
      </c>
      <c r="B466" t="s">
        <v>1454</v>
      </c>
      <c r="C466" t="s">
        <v>1488</v>
      </c>
      <c r="D466" t="s">
        <v>1427</v>
      </c>
      <c r="E466" t="s">
        <v>1068</v>
      </c>
      <c r="F466" t="s">
        <v>1362</v>
      </c>
      <c r="G466" t="s">
        <v>1523</v>
      </c>
      <c r="H466" t="s">
        <v>67</v>
      </c>
    </row>
    <row r="467" spans="1:8">
      <c r="A467">
        <v>250313</v>
      </c>
      <c r="B467" t="s">
        <v>1453</v>
      </c>
      <c r="C467" t="s">
        <v>1489</v>
      </c>
      <c r="D467" t="s">
        <v>1427</v>
      </c>
      <c r="E467" t="s">
        <v>1068</v>
      </c>
      <c r="F467" t="s">
        <v>1362</v>
      </c>
      <c r="G467" t="s">
        <v>1523</v>
      </c>
      <c r="H467" t="s">
        <v>67</v>
      </c>
    </row>
    <row r="468" spans="1:8">
      <c r="A468">
        <v>239658</v>
      </c>
      <c r="B468" t="s">
        <v>1473</v>
      </c>
      <c r="C468" t="s">
        <v>1490</v>
      </c>
      <c r="D468" t="s">
        <v>1427</v>
      </c>
      <c r="E468" t="s">
        <v>1334</v>
      </c>
      <c r="F468" t="s">
        <v>1362</v>
      </c>
      <c r="G468" t="s">
        <v>1523</v>
      </c>
      <c r="H468" t="s">
        <v>67</v>
      </c>
    </row>
    <row r="469" spans="1:8">
      <c r="A469">
        <v>121910</v>
      </c>
      <c r="B469" t="s">
        <v>1469</v>
      </c>
      <c r="C469" t="s">
        <v>1491</v>
      </c>
      <c r="D469" t="s">
        <v>1427</v>
      </c>
      <c r="E469" t="s">
        <v>1334</v>
      </c>
      <c r="F469" t="s">
        <v>1362</v>
      </c>
      <c r="G469" t="s">
        <v>1523</v>
      </c>
      <c r="H469" t="s">
        <v>67</v>
      </c>
    </row>
    <row r="470" spans="1:8">
      <c r="A470">
        <v>299889</v>
      </c>
      <c r="B470" t="s">
        <v>1458</v>
      </c>
      <c r="C470" t="s">
        <v>1492</v>
      </c>
      <c r="D470" t="s">
        <v>1427</v>
      </c>
      <c r="E470" t="s">
        <v>1334</v>
      </c>
      <c r="F470" t="s">
        <v>1362</v>
      </c>
      <c r="G470" t="s">
        <v>1523</v>
      </c>
      <c r="H470" t="s">
        <v>67</v>
      </c>
    </row>
    <row r="471" spans="1:8">
      <c r="A471">
        <v>268327</v>
      </c>
      <c r="B471" t="s">
        <v>1449</v>
      </c>
      <c r="C471" t="s">
        <v>1493</v>
      </c>
      <c r="D471" t="s">
        <v>1427</v>
      </c>
      <c r="E471" t="s">
        <v>1201</v>
      </c>
      <c r="F471" t="s">
        <v>1362</v>
      </c>
      <c r="G471" t="s">
        <v>1523</v>
      </c>
      <c r="H471" t="s">
        <v>67</v>
      </c>
    </row>
    <row r="472" spans="1:8">
      <c r="A472">
        <v>243274</v>
      </c>
      <c r="B472" t="s">
        <v>1446</v>
      </c>
      <c r="C472" t="s">
        <v>1494</v>
      </c>
      <c r="D472" t="s">
        <v>1427</v>
      </c>
      <c r="E472" t="s">
        <v>2380</v>
      </c>
      <c r="F472" t="s">
        <v>602</v>
      </c>
      <c r="G472" t="s">
        <v>1528</v>
      </c>
      <c r="H472" t="s">
        <v>65</v>
      </c>
    </row>
    <row r="473" spans="1:8">
      <c r="A473">
        <v>173210</v>
      </c>
      <c r="B473" t="s">
        <v>1470</v>
      </c>
      <c r="C473" t="s">
        <v>1495</v>
      </c>
      <c r="D473" t="s">
        <v>1427</v>
      </c>
      <c r="E473" t="s">
        <v>1201</v>
      </c>
      <c r="F473" t="s">
        <v>1362</v>
      </c>
      <c r="G473" t="s">
        <v>1523</v>
      </c>
      <c r="H473" t="s">
        <v>67</v>
      </c>
    </row>
    <row r="474" spans="1:8">
      <c r="A474">
        <v>290627</v>
      </c>
      <c r="B474" t="s">
        <v>1463</v>
      </c>
      <c r="C474" t="s">
        <v>1496</v>
      </c>
      <c r="D474" t="s">
        <v>1427</v>
      </c>
      <c r="E474" t="s">
        <v>512</v>
      </c>
      <c r="F474" t="s">
        <v>602</v>
      </c>
      <c r="G474" t="s">
        <v>1528</v>
      </c>
      <c r="H474" t="s">
        <v>65</v>
      </c>
    </row>
    <row r="475" spans="1:8">
      <c r="A475">
        <v>290504</v>
      </c>
      <c r="B475" t="s">
        <v>1465</v>
      </c>
      <c r="C475" t="s">
        <v>1497</v>
      </c>
      <c r="D475" t="s">
        <v>1427</v>
      </c>
      <c r="E475" t="s">
        <v>1179</v>
      </c>
      <c r="F475" t="s">
        <v>1369</v>
      </c>
      <c r="G475" t="s">
        <v>1528</v>
      </c>
      <c r="H475" t="s">
        <v>65</v>
      </c>
    </row>
    <row r="476" spans="1:8">
      <c r="A476">
        <v>265500</v>
      </c>
      <c r="B476" t="s">
        <v>1466</v>
      </c>
      <c r="C476" t="s">
        <v>1498</v>
      </c>
      <c r="D476" t="s">
        <v>1427</v>
      </c>
      <c r="E476" t="s">
        <v>1179</v>
      </c>
      <c r="F476" t="s">
        <v>1369</v>
      </c>
      <c r="G476" t="s">
        <v>1528</v>
      </c>
      <c r="H476" t="s">
        <v>65</v>
      </c>
    </row>
    <row r="477" spans="1:8">
      <c r="A477">
        <v>106389</v>
      </c>
      <c r="B477" t="s">
        <v>1477</v>
      </c>
      <c r="C477" t="s">
        <v>1784</v>
      </c>
      <c r="D477" t="s">
        <v>1427</v>
      </c>
      <c r="E477" t="s">
        <v>1179</v>
      </c>
      <c r="F477" t="s">
        <v>1369</v>
      </c>
      <c r="G477" t="s">
        <v>1528</v>
      </c>
      <c r="H477" t="s">
        <v>65</v>
      </c>
    </row>
    <row r="478" spans="1:8">
      <c r="A478">
        <v>243347</v>
      </c>
      <c r="B478" t="s">
        <v>1456</v>
      </c>
      <c r="C478" t="s">
        <v>2252</v>
      </c>
      <c r="D478" t="s">
        <v>1427</v>
      </c>
      <c r="E478" t="s">
        <v>1201</v>
      </c>
      <c r="F478" t="s">
        <v>1362</v>
      </c>
      <c r="G478" t="s">
        <v>1523</v>
      </c>
      <c r="H478" t="s">
        <v>67</v>
      </c>
    </row>
    <row r="479" spans="1:8">
      <c r="A479">
        <v>292935</v>
      </c>
      <c r="B479" t="s">
        <v>1462</v>
      </c>
      <c r="C479" t="s">
        <v>1499</v>
      </c>
      <c r="D479" t="s">
        <v>1427</v>
      </c>
      <c r="E479" t="s">
        <v>789</v>
      </c>
      <c r="F479" t="s">
        <v>1369</v>
      </c>
      <c r="G479" t="s">
        <v>1528</v>
      </c>
      <c r="H479" t="s">
        <v>65</v>
      </c>
    </row>
    <row r="480" spans="1:8">
      <c r="A480">
        <v>265578</v>
      </c>
      <c r="B480" t="s">
        <v>1452</v>
      </c>
      <c r="C480" t="s">
        <v>1500</v>
      </c>
      <c r="D480" t="s">
        <v>1427</v>
      </c>
      <c r="E480" t="s">
        <v>789</v>
      </c>
      <c r="F480" t="s">
        <v>1369</v>
      </c>
      <c r="G480" t="s">
        <v>1528</v>
      </c>
      <c r="H480" t="s">
        <v>65</v>
      </c>
    </row>
    <row r="481" spans="1:8">
      <c r="A481">
        <v>250225</v>
      </c>
      <c r="B481" t="s">
        <v>1445</v>
      </c>
      <c r="C481" t="s">
        <v>1501</v>
      </c>
      <c r="D481" t="s">
        <v>1427</v>
      </c>
      <c r="E481" t="s">
        <v>2380</v>
      </c>
      <c r="F481" t="s">
        <v>602</v>
      </c>
      <c r="G481" t="s">
        <v>1528</v>
      </c>
      <c r="H481" t="s">
        <v>65</v>
      </c>
    </row>
    <row r="482" spans="1:8">
      <c r="A482">
        <v>81280</v>
      </c>
      <c r="B482" t="s">
        <v>1478</v>
      </c>
      <c r="C482" t="s">
        <v>1502</v>
      </c>
      <c r="D482" t="s">
        <v>1427</v>
      </c>
      <c r="E482" t="s">
        <v>2380</v>
      </c>
      <c r="F482" t="s">
        <v>602</v>
      </c>
      <c r="G482" t="s">
        <v>1528</v>
      </c>
      <c r="H482" t="s">
        <v>65</v>
      </c>
    </row>
    <row r="483" spans="1:8">
      <c r="A483">
        <v>289469</v>
      </c>
      <c r="B483" t="s">
        <v>1448</v>
      </c>
      <c r="C483" t="s">
        <v>1503</v>
      </c>
      <c r="D483" t="s">
        <v>1427</v>
      </c>
      <c r="E483" t="s">
        <v>1326</v>
      </c>
      <c r="F483" t="s">
        <v>1369</v>
      </c>
      <c r="G483" t="s">
        <v>1528</v>
      </c>
      <c r="H483" t="s">
        <v>65</v>
      </c>
    </row>
    <row r="484" spans="1:8">
      <c r="A484">
        <v>250714</v>
      </c>
      <c r="B484" t="s">
        <v>1455</v>
      </c>
      <c r="C484" t="s">
        <v>1504</v>
      </c>
      <c r="D484" t="s">
        <v>1427</v>
      </c>
      <c r="E484" t="s">
        <v>1326</v>
      </c>
      <c r="F484" t="s">
        <v>1369</v>
      </c>
      <c r="G484" t="s">
        <v>1528</v>
      </c>
      <c r="H484" t="s">
        <v>65</v>
      </c>
    </row>
    <row r="485" spans="1:8">
      <c r="A485">
        <v>296325</v>
      </c>
      <c r="B485" t="s">
        <v>1447</v>
      </c>
      <c r="C485" t="s">
        <v>1505</v>
      </c>
      <c r="D485" t="s">
        <v>1427</v>
      </c>
      <c r="E485" t="s">
        <v>1179</v>
      </c>
      <c r="F485" t="s">
        <v>1369</v>
      </c>
      <c r="G485" t="s">
        <v>1528</v>
      </c>
      <c r="H485" t="s">
        <v>65</v>
      </c>
    </row>
    <row r="486" spans="1:8">
      <c r="A486">
        <v>289480</v>
      </c>
      <c r="B486" t="s">
        <v>1471</v>
      </c>
      <c r="C486" t="s">
        <v>1506</v>
      </c>
      <c r="D486" t="s">
        <v>1427</v>
      </c>
      <c r="E486" t="s">
        <v>1179</v>
      </c>
      <c r="F486" t="s">
        <v>1369</v>
      </c>
      <c r="G486" t="s">
        <v>1528</v>
      </c>
      <c r="H486" t="s">
        <v>65</v>
      </c>
    </row>
    <row r="487" spans="1:8">
      <c r="A487">
        <v>229031</v>
      </c>
      <c r="B487" t="s">
        <v>1474</v>
      </c>
      <c r="C487" t="s">
        <v>1507</v>
      </c>
      <c r="D487" t="s">
        <v>1427</v>
      </c>
      <c r="E487" t="s">
        <v>1332</v>
      </c>
      <c r="F487" t="s">
        <v>602</v>
      </c>
      <c r="G487" t="s">
        <v>1528</v>
      </c>
      <c r="H487" t="s">
        <v>65</v>
      </c>
    </row>
    <row r="488" spans="1:8">
      <c r="A488">
        <v>199149</v>
      </c>
      <c r="B488" t="s">
        <v>1472</v>
      </c>
      <c r="C488" t="s">
        <v>1508</v>
      </c>
      <c r="D488" t="s">
        <v>1427</v>
      </c>
      <c r="E488" t="s">
        <v>476</v>
      </c>
      <c r="F488" t="s">
        <v>1362</v>
      </c>
      <c r="G488" t="s">
        <v>1523</v>
      </c>
      <c r="H488" t="s">
        <v>67</v>
      </c>
    </row>
    <row r="489" spans="1:8">
      <c r="A489">
        <v>265692</v>
      </c>
      <c r="B489" t="s">
        <v>1451</v>
      </c>
      <c r="C489" t="s">
        <v>1509</v>
      </c>
      <c r="D489" t="s">
        <v>1427</v>
      </c>
      <c r="E489" t="s">
        <v>584</v>
      </c>
      <c r="F489" t="s">
        <v>1362</v>
      </c>
      <c r="G489" t="s">
        <v>1523</v>
      </c>
      <c r="H489" t="s">
        <v>67</v>
      </c>
    </row>
    <row r="490" spans="1:8">
      <c r="A490">
        <v>267711</v>
      </c>
      <c r="B490" t="s">
        <v>1450</v>
      </c>
      <c r="C490" t="s">
        <v>1510</v>
      </c>
      <c r="D490" t="s">
        <v>1427</v>
      </c>
      <c r="E490" t="s">
        <v>1006</v>
      </c>
      <c r="F490" t="s">
        <v>1359</v>
      </c>
      <c r="G490" t="s">
        <v>1540</v>
      </c>
      <c r="H490" t="s">
        <v>59</v>
      </c>
    </row>
    <row r="491" spans="1:8">
      <c r="A491">
        <v>290586</v>
      </c>
      <c r="B491" t="s">
        <v>1464</v>
      </c>
      <c r="C491" t="s">
        <v>1511</v>
      </c>
      <c r="D491" t="s">
        <v>1427</v>
      </c>
      <c r="E491" t="s">
        <v>1261</v>
      </c>
      <c r="F491" t="s">
        <v>1362</v>
      </c>
      <c r="G491" t="s">
        <v>1523</v>
      </c>
      <c r="H491" t="s">
        <v>67</v>
      </c>
    </row>
    <row r="492" spans="1:8">
      <c r="A492">
        <v>243335</v>
      </c>
      <c r="B492" t="s">
        <v>1460</v>
      </c>
      <c r="C492" t="s">
        <v>1512</v>
      </c>
      <c r="D492" t="s">
        <v>1427</v>
      </c>
      <c r="E492" t="s">
        <v>1261</v>
      </c>
      <c r="F492" t="s">
        <v>1362</v>
      </c>
      <c r="G492" t="s">
        <v>1523</v>
      </c>
      <c r="H492" t="s">
        <v>67</v>
      </c>
    </row>
    <row r="493" spans="1:8">
      <c r="A493">
        <v>213056</v>
      </c>
      <c r="B493" t="s">
        <v>1461</v>
      </c>
      <c r="C493" t="s">
        <v>1513</v>
      </c>
      <c r="D493" t="s">
        <v>1427</v>
      </c>
      <c r="E493" t="s">
        <v>1334</v>
      </c>
      <c r="F493" t="s">
        <v>1362</v>
      </c>
      <c r="G493" t="s">
        <v>1523</v>
      </c>
      <c r="H493" t="s">
        <v>67</v>
      </c>
    </row>
    <row r="494" spans="1:8">
      <c r="A494">
        <v>300953</v>
      </c>
      <c r="B494" t="s">
        <v>1457</v>
      </c>
      <c r="C494" t="s">
        <v>1514</v>
      </c>
      <c r="D494" t="s">
        <v>1427</v>
      </c>
      <c r="E494" t="s">
        <v>1334</v>
      </c>
      <c r="F494" t="s">
        <v>1362</v>
      </c>
      <c r="G494" t="s">
        <v>1523</v>
      </c>
      <c r="H494" t="s">
        <v>67</v>
      </c>
    </row>
    <row r="495" spans="1:8">
      <c r="A495">
        <v>267966</v>
      </c>
      <c r="B495" t="s">
        <v>1467</v>
      </c>
      <c r="C495" t="s">
        <v>1515</v>
      </c>
      <c r="D495" t="s">
        <v>1427</v>
      </c>
      <c r="E495" t="s">
        <v>1201</v>
      </c>
      <c r="F495" t="s">
        <v>1362</v>
      </c>
      <c r="G495" t="s">
        <v>1523</v>
      </c>
      <c r="H495" t="s">
        <v>67</v>
      </c>
    </row>
    <row r="496" spans="1:8">
      <c r="A496">
        <v>240780</v>
      </c>
      <c r="B496" t="s">
        <v>1459</v>
      </c>
      <c r="C496" t="s">
        <v>1516</v>
      </c>
      <c r="D496" t="s">
        <v>1427</v>
      </c>
      <c r="E496" t="s">
        <v>1201</v>
      </c>
      <c r="F496" t="s">
        <v>1362</v>
      </c>
      <c r="G496" t="s">
        <v>1523</v>
      </c>
      <c r="H496" t="s">
        <v>67</v>
      </c>
    </row>
    <row r="497" spans="1:8">
      <c r="A497">
        <v>195108</v>
      </c>
      <c r="B497" t="s">
        <v>1561</v>
      </c>
      <c r="C497" t="s">
        <v>1562</v>
      </c>
      <c r="D497" t="s">
        <v>1427</v>
      </c>
      <c r="E497" t="s">
        <v>1261</v>
      </c>
      <c r="F497" t="s">
        <v>1362</v>
      </c>
      <c r="G497" t="s">
        <v>1523</v>
      </c>
      <c r="H497" t="s">
        <v>67</v>
      </c>
    </row>
    <row r="498" spans="1:8">
      <c r="A498">
        <v>325644</v>
      </c>
      <c r="B498" t="s">
        <v>1563</v>
      </c>
      <c r="C498" t="s">
        <v>1564</v>
      </c>
      <c r="D498" t="s">
        <v>1427</v>
      </c>
      <c r="E498" t="s">
        <v>1261</v>
      </c>
      <c r="F498" t="s">
        <v>1362</v>
      </c>
      <c r="G498" t="s">
        <v>1523</v>
      </c>
      <c r="H498" t="s">
        <v>67</v>
      </c>
    </row>
    <row r="499" spans="1:8">
      <c r="A499">
        <v>325717</v>
      </c>
      <c r="B499" t="s">
        <v>1565</v>
      </c>
      <c r="C499" t="s">
        <v>1566</v>
      </c>
      <c r="D499" t="s">
        <v>1427</v>
      </c>
      <c r="E499" t="s">
        <v>584</v>
      </c>
      <c r="F499" t="s">
        <v>1362</v>
      </c>
      <c r="G499" t="s">
        <v>1523</v>
      </c>
      <c r="H499" t="s">
        <v>67</v>
      </c>
    </row>
    <row r="500" spans="1:8">
      <c r="A500">
        <v>325847</v>
      </c>
      <c r="B500" t="s">
        <v>1569</v>
      </c>
      <c r="C500" t="s">
        <v>1570</v>
      </c>
      <c r="D500" t="s">
        <v>1427</v>
      </c>
      <c r="E500" t="s">
        <v>1068</v>
      </c>
      <c r="F500" t="s">
        <v>1362</v>
      </c>
      <c r="G500" t="s">
        <v>1523</v>
      </c>
      <c r="H500" t="s">
        <v>67</v>
      </c>
    </row>
    <row r="501" spans="1:8">
      <c r="A501">
        <v>326289</v>
      </c>
      <c r="B501" t="s">
        <v>1571</v>
      </c>
      <c r="C501" t="s">
        <v>1572</v>
      </c>
      <c r="D501" t="s">
        <v>1427</v>
      </c>
      <c r="E501" t="s">
        <v>1068</v>
      </c>
      <c r="F501" t="s">
        <v>1362</v>
      </c>
      <c r="G501" t="s">
        <v>1523</v>
      </c>
      <c r="H501" t="s">
        <v>67</v>
      </c>
    </row>
    <row r="502" spans="1:8">
      <c r="A502">
        <v>312997</v>
      </c>
      <c r="B502" t="s">
        <v>1573</v>
      </c>
      <c r="C502" t="s">
        <v>1574</v>
      </c>
      <c r="D502" t="s">
        <v>1427</v>
      </c>
      <c r="E502" t="s">
        <v>476</v>
      </c>
      <c r="F502" t="s">
        <v>1362</v>
      </c>
      <c r="G502" t="s">
        <v>1523</v>
      </c>
      <c r="H502" t="s">
        <v>67</v>
      </c>
    </row>
    <row r="503" spans="1:8">
      <c r="A503">
        <v>325722</v>
      </c>
      <c r="B503" t="s">
        <v>1575</v>
      </c>
      <c r="C503" t="s">
        <v>1576</v>
      </c>
      <c r="D503" t="s">
        <v>1427</v>
      </c>
      <c r="E503" t="s">
        <v>476</v>
      </c>
      <c r="F503" t="s">
        <v>1362</v>
      </c>
      <c r="G503" t="s">
        <v>1523</v>
      </c>
      <c r="H503" t="s">
        <v>67</v>
      </c>
    </row>
    <row r="504" spans="1:8">
      <c r="A504">
        <v>325781</v>
      </c>
      <c r="B504" t="s">
        <v>1577</v>
      </c>
      <c r="C504" t="s">
        <v>1785</v>
      </c>
      <c r="D504" t="s">
        <v>1427</v>
      </c>
      <c r="E504" t="s">
        <v>1334</v>
      </c>
      <c r="F504" t="s">
        <v>1362</v>
      </c>
      <c r="G504" t="s">
        <v>1523</v>
      </c>
      <c r="H504" t="s">
        <v>67</v>
      </c>
    </row>
    <row r="505" spans="1:8">
      <c r="A505">
        <v>325855</v>
      </c>
      <c r="B505" t="s">
        <v>1578</v>
      </c>
      <c r="C505" t="s">
        <v>1579</v>
      </c>
      <c r="D505" t="s">
        <v>1427</v>
      </c>
      <c r="E505" t="s">
        <v>1334</v>
      </c>
      <c r="F505" t="s">
        <v>1362</v>
      </c>
      <c r="G505" t="s">
        <v>1523</v>
      </c>
      <c r="H505" t="s">
        <v>67</v>
      </c>
    </row>
    <row r="506" spans="1:8">
      <c r="A506">
        <v>325925</v>
      </c>
      <c r="B506" t="s">
        <v>1580</v>
      </c>
      <c r="C506" t="s">
        <v>1581</v>
      </c>
      <c r="D506" t="s">
        <v>1427</v>
      </c>
      <c r="E506" t="s">
        <v>1334</v>
      </c>
      <c r="F506" t="s">
        <v>1362</v>
      </c>
      <c r="G506" t="s">
        <v>1523</v>
      </c>
      <c r="H506" t="s">
        <v>67</v>
      </c>
    </row>
    <row r="507" spans="1:8">
      <c r="A507">
        <v>325645</v>
      </c>
      <c r="B507" t="s">
        <v>1582</v>
      </c>
      <c r="C507" t="s">
        <v>1583</v>
      </c>
      <c r="D507" t="s">
        <v>1427</v>
      </c>
      <c r="E507" t="s">
        <v>1334</v>
      </c>
      <c r="F507" t="s">
        <v>1362</v>
      </c>
      <c r="G507" t="s">
        <v>1523</v>
      </c>
      <c r="H507" t="s">
        <v>67</v>
      </c>
    </row>
    <row r="508" spans="1:8">
      <c r="A508">
        <v>325782</v>
      </c>
      <c r="B508" t="s">
        <v>1584</v>
      </c>
      <c r="C508" t="s">
        <v>1585</v>
      </c>
      <c r="D508" t="s">
        <v>1427</v>
      </c>
      <c r="E508" t="s">
        <v>1201</v>
      </c>
      <c r="F508" t="s">
        <v>1362</v>
      </c>
      <c r="G508" t="s">
        <v>1523</v>
      </c>
      <c r="H508" t="s">
        <v>67</v>
      </c>
    </row>
    <row r="509" spans="1:8">
      <c r="A509">
        <v>325790</v>
      </c>
      <c r="B509" t="s">
        <v>1586</v>
      </c>
      <c r="C509" t="s">
        <v>1587</v>
      </c>
      <c r="D509" t="s">
        <v>1427</v>
      </c>
      <c r="E509" t="s">
        <v>1201</v>
      </c>
      <c r="F509" t="s">
        <v>1362</v>
      </c>
      <c r="G509" t="s">
        <v>1523</v>
      </c>
      <c r="H509" t="s">
        <v>67</v>
      </c>
    </row>
    <row r="510" spans="1:8">
      <c r="A510">
        <v>326035</v>
      </c>
      <c r="B510" t="s">
        <v>1588</v>
      </c>
      <c r="C510" t="s">
        <v>1589</v>
      </c>
      <c r="D510" t="s">
        <v>1427</v>
      </c>
      <c r="E510" t="s">
        <v>1201</v>
      </c>
      <c r="F510" t="s">
        <v>1362</v>
      </c>
      <c r="G510" t="s">
        <v>1523</v>
      </c>
      <c r="H510" t="s">
        <v>67</v>
      </c>
    </row>
    <row r="511" spans="1:8">
      <c r="A511">
        <v>276034</v>
      </c>
      <c r="B511" t="s">
        <v>1590</v>
      </c>
      <c r="C511" t="s">
        <v>1591</v>
      </c>
      <c r="D511" t="s">
        <v>1427</v>
      </c>
      <c r="E511" t="s">
        <v>2380</v>
      </c>
      <c r="F511" t="s">
        <v>602</v>
      </c>
      <c r="G511" t="s">
        <v>1528</v>
      </c>
      <c r="H511" t="s">
        <v>65</v>
      </c>
    </row>
    <row r="512" spans="1:8">
      <c r="A512">
        <v>325656</v>
      </c>
      <c r="B512" t="s">
        <v>1592</v>
      </c>
      <c r="C512" t="s">
        <v>1593</v>
      </c>
      <c r="D512" t="s">
        <v>1427</v>
      </c>
      <c r="E512" t="s">
        <v>512</v>
      </c>
      <c r="F512" t="s">
        <v>602</v>
      </c>
      <c r="G512" t="s">
        <v>1528</v>
      </c>
      <c r="H512" t="s">
        <v>65</v>
      </c>
    </row>
    <row r="513" spans="1:8">
      <c r="A513">
        <v>325670</v>
      </c>
      <c r="B513" t="s">
        <v>1594</v>
      </c>
      <c r="C513" t="s">
        <v>1595</v>
      </c>
      <c r="D513" t="s">
        <v>1427</v>
      </c>
      <c r="E513" t="s">
        <v>2380</v>
      </c>
      <c r="F513" t="s">
        <v>602</v>
      </c>
      <c r="G513" t="s">
        <v>1528</v>
      </c>
      <c r="H513" t="s">
        <v>65</v>
      </c>
    </row>
    <row r="514" spans="1:8">
      <c r="A514">
        <v>325875</v>
      </c>
      <c r="B514" t="s">
        <v>1596</v>
      </c>
      <c r="C514" t="s">
        <v>1597</v>
      </c>
      <c r="D514" t="s">
        <v>1427</v>
      </c>
      <c r="E514" t="s">
        <v>512</v>
      </c>
      <c r="F514" t="s">
        <v>602</v>
      </c>
      <c r="G514" t="s">
        <v>1528</v>
      </c>
      <c r="H514" t="s">
        <v>65</v>
      </c>
    </row>
    <row r="515" spans="1:8">
      <c r="A515">
        <v>325896</v>
      </c>
      <c r="B515" t="s">
        <v>1598</v>
      </c>
      <c r="C515" t="s">
        <v>1599</v>
      </c>
      <c r="D515" t="s">
        <v>1427</v>
      </c>
      <c r="E515" t="s">
        <v>2380</v>
      </c>
      <c r="F515" t="s">
        <v>602</v>
      </c>
      <c r="G515" t="s">
        <v>1528</v>
      </c>
      <c r="H515" t="s">
        <v>65</v>
      </c>
    </row>
    <row r="516" spans="1:8">
      <c r="A516">
        <v>325865</v>
      </c>
      <c r="B516" t="s">
        <v>1600</v>
      </c>
      <c r="C516" t="s">
        <v>1601</v>
      </c>
      <c r="D516" t="s">
        <v>1427</v>
      </c>
      <c r="E516" t="s">
        <v>512</v>
      </c>
      <c r="F516" t="s">
        <v>602</v>
      </c>
      <c r="G516" t="s">
        <v>1528</v>
      </c>
      <c r="H516" t="s">
        <v>65</v>
      </c>
    </row>
    <row r="517" spans="1:8">
      <c r="A517">
        <v>325631</v>
      </c>
      <c r="B517" t="s">
        <v>1602</v>
      </c>
      <c r="C517" t="s">
        <v>1603</v>
      </c>
      <c r="D517" t="s">
        <v>1427</v>
      </c>
      <c r="E517" t="s">
        <v>789</v>
      </c>
      <c r="F517" t="s">
        <v>1369</v>
      </c>
      <c r="G517" t="s">
        <v>1528</v>
      </c>
      <c r="H517" t="s">
        <v>65</v>
      </c>
    </row>
    <row r="518" spans="1:8">
      <c r="A518">
        <v>326018</v>
      </c>
      <c r="B518" t="s">
        <v>1604</v>
      </c>
      <c r="C518" t="s">
        <v>1605</v>
      </c>
      <c r="D518" t="s">
        <v>1427</v>
      </c>
      <c r="E518" t="s">
        <v>789</v>
      </c>
      <c r="F518" t="s">
        <v>1369</v>
      </c>
      <c r="G518" t="s">
        <v>1528</v>
      </c>
      <c r="H518" t="s">
        <v>65</v>
      </c>
    </row>
    <row r="519" spans="1:8">
      <c r="A519">
        <v>326031</v>
      </c>
      <c r="B519" t="s">
        <v>1606</v>
      </c>
      <c r="C519" t="s">
        <v>1607</v>
      </c>
      <c r="D519" t="s">
        <v>1427</v>
      </c>
      <c r="E519" t="s">
        <v>789</v>
      </c>
      <c r="F519" t="s">
        <v>1369</v>
      </c>
      <c r="G519" t="s">
        <v>1528</v>
      </c>
      <c r="H519" t="s">
        <v>65</v>
      </c>
    </row>
    <row r="520" spans="1:8">
      <c r="A520">
        <v>326259</v>
      </c>
      <c r="B520" t="s">
        <v>1608</v>
      </c>
      <c r="C520" t="s">
        <v>1609</v>
      </c>
      <c r="D520" t="s">
        <v>1427</v>
      </c>
      <c r="E520" t="s">
        <v>1058</v>
      </c>
      <c r="F520" t="s">
        <v>1366</v>
      </c>
      <c r="G520" t="s">
        <v>1519</v>
      </c>
      <c r="H520" t="s">
        <v>58</v>
      </c>
    </row>
    <row r="521" spans="1:8">
      <c r="A521">
        <v>325727</v>
      </c>
      <c r="B521" t="s">
        <v>1610</v>
      </c>
      <c r="C521" t="s">
        <v>1611</v>
      </c>
      <c r="D521" t="s">
        <v>1427</v>
      </c>
      <c r="E521" t="s">
        <v>1179</v>
      </c>
      <c r="F521" t="s">
        <v>1369</v>
      </c>
      <c r="G521" t="s">
        <v>1528</v>
      </c>
      <c r="H521" t="s">
        <v>65</v>
      </c>
    </row>
    <row r="522" spans="1:8">
      <c r="A522">
        <v>325867</v>
      </c>
      <c r="B522" t="s">
        <v>1612</v>
      </c>
      <c r="C522" t="s">
        <v>1613</v>
      </c>
      <c r="D522" t="s">
        <v>1427</v>
      </c>
      <c r="E522" t="s">
        <v>1058</v>
      </c>
      <c r="F522" t="s">
        <v>1366</v>
      </c>
      <c r="G522" t="s">
        <v>1519</v>
      </c>
      <c r="H522" t="s">
        <v>58</v>
      </c>
    </row>
    <row r="523" spans="1:8">
      <c r="A523">
        <v>325891</v>
      </c>
      <c r="B523" t="s">
        <v>1614</v>
      </c>
      <c r="C523" t="s">
        <v>1615</v>
      </c>
      <c r="D523" t="s">
        <v>1427</v>
      </c>
      <c r="E523" t="s">
        <v>512</v>
      </c>
      <c r="F523" t="s">
        <v>602</v>
      </c>
      <c r="G523" t="s">
        <v>1528</v>
      </c>
      <c r="H523" t="s">
        <v>65</v>
      </c>
    </row>
    <row r="524" spans="1:8">
      <c r="A524">
        <v>326039</v>
      </c>
      <c r="B524" t="s">
        <v>1616</v>
      </c>
      <c r="C524" t="s">
        <v>1617</v>
      </c>
      <c r="D524" t="s">
        <v>1427</v>
      </c>
      <c r="E524" t="s">
        <v>1179</v>
      </c>
      <c r="F524" t="s">
        <v>1369</v>
      </c>
      <c r="G524" t="s">
        <v>1528</v>
      </c>
      <c r="H524" t="s">
        <v>65</v>
      </c>
    </row>
    <row r="525" spans="1:8">
      <c r="A525">
        <v>325868</v>
      </c>
      <c r="B525" t="s">
        <v>1620</v>
      </c>
      <c r="C525" t="s">
        <v>1621</v>
      </c>
      <c r="D525" t="s">
        <v>1427</v>
      </c>
      <c r="E525" t="s">
        <v>941</v>
      </c>
      <c r="F525" t="s">
        <v>1359</v>
      </c>
      <c r="G525" t="s">
        <v>1527</v>
      </c>
      <c r="H525" t="s">
        <v>59</v>
      </c>
    </row>
    <row r="526" spans="1:8">
      <c r="A526">
        <v>325638</v>
      </c>
      <c r="B526" t="s">
        <v>1622</v>
      </c>
      <c r="C526" t="s">
        <v>1623</v>
      </c>
      <c r="D526" t="s">
        <v>1427</v>
      </c>
      <c r="E526" t="s">
        <v>1332</v>
      </c>
      <c r="F526" t="s">
        <v>602</v>
      </c>
      <c r="G526" t="s">
        <v>1528</v>
      </c>
      <c r="H526" t="s">
        <v>65</v>
      </c>
    </row>
    <row r="527" spans="1:8">
      <c r="A527">
        <v>325778</v>
      </c>
      <c r="B527" t="s">
        <v>1624</v>
      </c>
      <c r="C527" t="s">
        <v>1080</v>
      </c>
      <c r="D527" t="s">
        <v>1427</v>
      </c>
      <c r="E527" t="s">
        <v>1058</v>
      </c>
      <c r="F527" t="s">
        <v>1366</v>
      </c>
      <c r="G527" t="s">
        <v>1519</v>
      </c>
      <c r="H527" t="s">
        <v>58</v>
      </c>
    </row>
    <row r="528" spans="1:8">
      <c r="A528">
        <v>326017</v>
      </c>
      <c r="B528" t="s">
        <v>1625</v>
      </c>
      <c r="C528" t="s">
        <v>1626</v>
      </c>
      <c r="D528" t="s">
        <v>1427</v>
      </c>
      <c r="E528" t="s">
        <v>640</v>
      </c>
      <c r="F528" t="s">
        <v>1366</v>
      </c>
      <c r="G528" t="s">
        <v>1519</v>
      </c>
      <c r="H528" t="s">
        <v>58</v>
      </c>
    </row>
    <row r="529" spans="1:8">
      <c r="A529">
        <v>325930</v>
      </c>
      <c r="B529" t="s">
        <v>1627</v>
      </c>
      <c r="C529" t="s">
        <v>1628</v>
      </c>
      <c r="D529" t="s">
        <v>1427</v>
      </c>
      <c r="E529" t="s">
        <v>1332</v>
      </c>
      <c r="F529" t="s">
        <v>602</v>
      </c>
      <c r="G529" t="s">
        <v>1528</v>
      </c>
      <c r="H529" t="s">
        <v>65</v>
      </c>
    </row>
    <row r="530" spans="1:8">
      <c r="A530">
        <v>326000</v>
      </c>
      <c r="B530" t="s">
        <v>1629</v>
      </c>
      <c r="C530" t="s">
        <v>1630</v>
      </c>
      <c r="D530" t="s">
        <v>1427</v>
      </c>
      <c r="E530" t="s">
        <v>640</v>
      </c>
      <c r="F530" t="s">
        <v>1366</v>
      </c>
      <c r="G530" t="s">
        <v>1519</v>
      </c>
      <c r="H530" t="s">
        <v>58</v>
      </c>
    </row>
    <row r="531" spans="1:8">
      <c r="A531">
        <v>326006</v>
      </c>
      <c r="B531" t="s">
        <v>1631</v>
      </c>
      <c r="C531" t="s">
        <v>1632</v>
      </c>
      <c r="D531" t="s">
        <v>1427</v>
      </c>
      <c r="E531" t="s">
        <v>1332</v>
      </c>
      <c r="F531" t="s">
        <v>602</v>
      </c>
      <c r="G531" t="s">
        <v>1528</v>
      </c>
      <c r="H531" t="s">
        <v>65</v>
      </c>
    </row>
    <row r="532" spans="1:8">
      <c r="A532">
        <v>325642</v>
      </c>
      <c r="B532" t="s">
        <v>1633</v>
      </c>
      <c r="C532" t="s">
        <v>1634</v>
      </c>
      <c r="D532" t="s">
        <v>1427</v>
      </c>
      <c r="E532" t="s">
        <v>512</v>
      </c>
      <c r="F532" t="s">
        <v>602</v>
      </c>
      <c r="G532" t="s">
        <v>1528</v>
      </c>
      <c r="H532" t="s">
        <v>65</v>
      </c>
    </row>
    <row r="533" spans="1:8">
      <c r="A533">
        <v>325933</v>
      </c>
      <c r="B533" t="s">
        <v>1635</v>
      </c>
      <c r="C533" t="s">
        <v>1636</v>
      </c>
      <c r="D533" t="s">
        <v>1427</v>
      </c>
      <c r="E533" t="s">
        <v>512</v>
      </c>
      <c r="F533" t="s">
        <v>602</v>
      </c>
      <c r="G533" t="s">
        <v>1528</v>
      </c>
      <c r="H533" t="s">
        <v>65</v>
      </c>
    </row>
    <row r="534" spans="1:8">
      <c r="A534">
        <v>325898</v>
      </c>
      <c r="B534" t="s">
        <v>1637</v>
      </c>
      <c r="C534" t="s">
        <v>1638</v>
      </c>
      <c r="D534" t="s">
        <v>1427</v>
      </c>
      <c r="E534" t="s">
        <v>512</v>
      </c>
      <c r="F534" t="s">
        <v>602</v>
      </c>
      <c r="G534" t="s">
        <v>1528</v>
      </c>
      <c r="H534" t="s">
        <v>65</v>
      </c>
    </row>
    <row r="535" spans="1:8">
      <c r="A535">
        <v>325873</v>
      </c>
      <c r="B535" t="s">
        <v>1639</v>
      </c>
      <c r="C535" t="s">
        <v>1640</v>
      </c>
      <c r="D535" t="s">
        <v>1427</v>
      </c>
      <c r="E535" t="s">
        <v>512</v>
      </c>
      <c r="F535" t="s">
        <v>602</v>
      </c>
      <c r="G535" t="s">
        <v>1528</v>
      </c>
      <c r="H535" t="s">
        <v>65</v>
      </c>
    </row>
    <row r="536" spans="1:8">
      <c r="A536">
        <v>325623</v>
      </c>
      <c r="B536" t="s">
        <v>1641</v>
      </c>
      <c r="C536" t="s">
        <v>1642</v>
      </c>
      <c r="D536" t="s">
        <v>1427</v>
      </c>
      <c r="E536" t="s">
        <v>1326</v>
      </c>
      <c r="F536" t="s">
        <v>1369</v>
      </c>
      <c r="G536" t="s">
        <v>1528</v>
      </c>
      <c r="H536" t="s">
        <v>65</v>
      </c>
    </row>
    <row r="537" spans="1:8">
      <c r="A537">
        <v>240460</v>
      </c>
      <c r="B537" t="s">
        <v>1643</v>
      </c>
      <c r="C537" t="s">
        <v>1786</v>
      </c>
      <c r="D537" t="s">
        <v>1427</v>
      </c>
      <c r="E537" t="s">
        <v>690</v>
      </c>
      <c r="F537" t="s">
        <v>1359</v>
      </c>
      <c r="G537" t="s">
        <v>1527</v>
      </c>
      <c r="H537" t="s">
        <v>59</v>
      </c>
    </row>
    <row r="538" spans="1:8">
      <c r="A538">
        <v>325845</v>
      </c>
      <c r="B538" t="s">
        <v>1644</v>
      </c>
      <c r="C538" t="s">
        <v>1645</v>
      </c>
      <c r="D538" t="s">
        <v>1427</v>
      </c>
      <c r="E538" t="s">
        <v>1058</v>
      </c>
      <c r="F538" t="s">
        <v>1366</v>
      </c>
      <c r="G538" t="s">
        <v>1519</v>
      </c>
      <c r="H538" t="s">
        <v>58</v>
      </c>
    </row>
    <row r="539" spans="1:8">
      <c r="A539">
        <v>326313</v>
      </c>
      <c r="B539" t="s">
        <v>1646</v>
      </c>
      <c r="C539" t="s">
        <v>1647</v>
      </c>
      <c r="D539" t="s">
        <v>1427</v>
      </c>
      <c r="E539" t="s">
        <v>1195</v>
      </c>
      <c r="F539" t="s">
        <v>1363</v>
      </c>
      <c r="G539" t="s">
        <v>1530</v>
      </c>
      <c r="H539" t="s">
        <v>66</v>
      </c>
    </row>
    <row r="540" spans="1:8">
      <c r="A540">
        <v>326257</v>
      </c>
      <c r="B540" t="s">
        <v>1648</v>
      </c>
      <c r="C540" t="s">
        <v>1649</v>
      </c>
      <c r="D540" t="s">
        <v>1427</v>
      </c>
      <c r="E540" t="s">
        <v>512</v>
      </c>
      <c r="F540" t="s">
        <v>602</v>
      </c>
      <c r="G540" t="s">
        <v>1528</v>
      </c>
      <c r="H540" t="s">
        <v>65</v>
      </c>
    </row>
    <row r="541" spans="1:8">
      <c r="A541">
        <v>326288</v>
      </c>
      <c r="B541" t="s">
        <v>1650</v>
      </c>
      <c r="C541" t="s">
        <v>1651</v>
      </c>
      <c r="D541" t="s">
        <v>1427</v>
      </c>
      <c r="E541" t="s">
        <v>584</v>
      </c>
      <c r="F541" t="s">
        <v>1362</v>
      </c>
      <c r="G541" t="s">
        <v>1523</v>
      </c>
      <c r="H541" t="s">
        <v>67</v>
      </c>
    </row>
    <row r="542" spans="1:8">
      <c r="A542">
        <v>326535</v>
      </c>
      <c r="B542" t="s">
        <v>1555</v>
      </c>
      <c r="C542" t="s">
        <v>1556</v>
      </c>
      <c r="D542" t="s">
        <v>1427</v>
      </c>
      <c r="E542" t="s">
        <v>2381</v>
      </c>
      <c r="F542" t="s">
        <v>1363</v>
      </c>
      <c r="G542" t="s">
        <v>1524</v>
      </c>
      <c r="H542" t="s">
        <v>62</v>
      </c>
    </row>
    <row r="543" spans="1:8">
      <c r="A543">
        <v>326531</v>
      </c>
      <c r="B543" t="s">
        <v>1557</v>
      </c>
      <c r="C543" t="s">
        <v>1558</v>
      </c>
      <c r="D543" t="s">
        <v>1427</v>
      </c>
      <c r="E543" t="s">
        <v>596</v>
      </c>
      <c r="F543" t="s">
        <v>1363</v>
      </c>
      <c r="G543" t="s">
        <v>1524</v>
      </c>
      <c r="H543" t="s">
        <v>62</v>
      </c>
    </row>
    <row r="544" spans="1:8">
      <c r="A544">
        <v>326663</v>
      </c>
      <c r="B544" t="s">
        <v>1652</v>
      </c>
      <c r="C544" t="s">
        <v>1653</v>
      </c>
      <c r="D544" t="s">
        <v>1427</v>
      </c>
      <c r="E544" t="s">
        <v>476</v>
      </c>
      <c r="F544" t="s">
        <v>1362</v>
      </c>
      <c r="G544" t="s">
        <v>1523</v>
      </c>
      <c r="H544" t="s">
        <v>67</v>
      </c>
    </row>
    <row r="545" spans="1:8">
      <c r="A545">
        <v>263331</v>
      </c>
      <c r="B545" t="s">
        <v>1658</v>
      </c>
      <c r="C545" t="s">
        <v>1659</v>
      </c>
      <c r="D545" t="s">
        <v>1427</v>
      </c>
      <c r="E545" t="s">
        <v>1326</v>
      </c>
      <c r="F545" t="s">
        <v>1369</v>
      </c>
      <c r="G545" t="s">
        <v>1528</v>
      </c>
      <c r="H545" t="s">
        <v>65</v>
      </c>
    </row>
    <row r="546" spans="1:8">
      <c r="A546">
        <v>328350</v>
      </c>
      <c r="B546" t="s">
        <v>1660</v>
      </c>
      <c r="C546" t="s">
        <v>1661</v>
      </c>
      <c r="D546" t="s">
        <v>1427</v>
      </c>
      <c r="E546" t="s">
        <v>1179</v>
      </c>
      <c r="F546" t="s">
        <v>1369</v>
      </c>
      <c r="G546" t="s">
        <v>1528</v>
      </c>
      <c r="H546" t="s">
        <v>65</v>
      </c>
    </row>
    <row r="547" spans="1:8">
      <c r="A547">
        <v>328360</v>
      </c>
      <c r="B547" t="s">
        <v>1662</v>
      </c>
      <c r="C547" t="s">
        <v>1663</v>
      </c>
      <c r="D547" t="s">
        <v>1427</v>
      </c>
      <c r="E547" t="s">
        <v>1179</v>
      </c>
      <c r="F547" t="s">
        <v>1369</v>
      </c>
      <c r="G547" t="s">
        <v>1528</v>
      </c>
      <c r="H547" t="s">
        <v>65</v>
      </c>
    </row>
    <row r="548" spans="1:8">
      <c r="A548">
        <v>328380</v>
      </c>
      <c r="B548" t="s">
        <v>1664</v>
      </c>
      <c r="C548" t="s">
        <v>1665</v>
      </c>
      <c r="D548" t="s">
        <v>1427</v>
      </c>
      <c r="E548" t="s">
        <v>1179</v>
      </c>
      <c r="F548" t="s">
        <v>1369</v>
      </c>
      <c r="G548" t="s">
        <v>1528</v>
      </c>
      <c r="H548" t="s">
        <v>65</v>
      </c>
    </row>
    <row r="549" spans="1:8">
      <c r="A549">
        <v>328980</v>
      </c>
      <c r="B549" t="s">
        <v>1666</v>
      </c>
      <c r="C549" t="s">
        <v>1667</v>
      </c>
      <c r="D549" t="s">
        <v>1427</v>
      </c>
      <c r="E549" t="s">
        <v>1179</v>
      </c>
      <c r="F549" t="s">
        <v>1369</v>
      </c>
      <c r="G549" t="s">
        <v>1528</v>
      </c>
      <c r="H549" t="s">
        <v>65</v>
      </c>
    </row>
    <row r="550" spans="1:8">
      <c r="A550">
        <v>328354</v>
      </c>
      <c r="B550" t="s">
        <v>1668</v>
      </c>
      <c r="C550" t="s">
        <v>1669</v>
      </c>
      <c r="D550" t="s">
        <v>1427</v>
      </c>
      <c r="E550" t="s">
        <v>1068</v>
      </c>
      <c r="F550" t="s">
        <v>1362</v>
      </c>
      <c r="G550" t="s">
        <v>1523</v>
      </c>
      <c r="H550" t="s">
        <v>67</v>
      </c>
    </row>
    <row r="551" spans="1:8">
      <c r="A551">
        <v>328353</v>
      </c>
      <c r="B551" t="s">
        <v>1670</v>
      </c>
      <c r="C551" t="s">
        <v>927</v>
      </c>
      <c r="D551" t="s">
        <v>1427</v>
      </c>
      <c r="E551" t="s">
        <v>1201</v>
      </c>
      <c r="F551" t="s">
        <v>1362</v>
      </c>
      <c r="G551" t="s">
        <v>1523</v>
      </c>
      <c r="H551" t="s">
        <v>67</v>
      </c>
    </row>
    <row r="552" spans="1:8">
      <c r="A552">
        <v>328359</v>
      </c>
      <c r="B552" t="s">
        <v>1671</v>
      </c>
      <c r="C552" t="s">
        <v>1672</v>
      </c>
      <c r="D552" t="s">
        <v>1427</v>
      </c>
      <c r="E552" t="s">
        <v>1261</v>
      </c>
      <c r="F552" t="s">
        <v>1362</v>
      </c>
      <c r="G552" t="s">
        <v>1523</v>
      </c>
      <c r="H552" t="s">
        <v>67</v>
      </c>
    </row>
    <row r="553" spans="1:8">
      <c r="A553">
        <v>328383</v>
      </c>
      <c r="B553" t="s">
        <v>1673</v>
      </c>
      <c r="C553" t="s">
        <v>1674</v>
      </c>
      <c r="D553" t="s">
        <v>1427</v>
      </c>
      <c r="E553" t="s">
        <v>941</v>
      </c>
      <c r="F553" t="s">
        <v>1359</v>
      </c>
      <c r="G553" t="s">
        <v>1527</v>
      </c>
      <c r="H553" t="s">
        <v>59</v>
      </c>
    </row>
    <row r="554" spans="1:8">
      <c r="A554">
        <v>328729</v>
      </c>
      <c r="B554" t="s">
        <v>1675</v>
      </c>
      <c r="C554" t="s">
        <v>1676</v>
      </c>
      <c r="D554" t="s">
        <v>1427</v>
      </c>
      <c r="E554" t="s">
        <v>1326</v>
      </c>
      <c r="F554" t="s">
        <v>1369</v>
      </c>
      <c r="G554" t="s">
        <v>1528</v>
      </c>
      <c r="H554" t="s">
        <v>65</v>
      </c>
    </row>
    <row r="555" spans="1:8">
      <c r="A555">
        <v>328731</v>
      </c>
      <c r="B555" t="s">
        <v>1677</v>
      </c>
      <c r="C555" t="s">
        <v>1678</v>
      </c>
      <c r="D555" t="s">
        <v>1427</v>
      </c>
      <c r="E555" t="s">
        <v>1326</v>
      </c>
      <c r="F555" t="s">
        <v>1369</v>
      </c>
      <c r="G555" t="s">
        <v>1528</v>
      </c>
      <c r="H555" t="s">
        <v>65</v>
      </c>
    </row>
    <row r="556" spans="1:8">
      <c r="A556">
        <v>328704</v>
      </c>
      <c r="B556" t="s">
        <v>1679</v>
      </c>
      <c r="C556" t="s">
        <v>1680</v>
      </c>
      <c r="D556" t="s">
        <v>1427</v>
      </c>
      <c r="E556" t="s">
        <v>1326</v>
      </c>
      <c r="F556" t="s">
        <v>1369</v>
      </c>
      <c r="G556" t="s">
        <v>1528</v>
      </c>
      <c r="H556" t="s">
        <v>65</v>
      </c>
    </row>
    <row r="557" spans="1:8">
      <c r="A557">
        <v>328661</v>
      </c>
      <c r="B557" t="s">
        <v>1681</v>
      </c>
      <c r="C557" t="s">
        <v>1682</v>
      </c>
      <c r="D557" t="s">
        <v>1427</v>
      </c>
      <c r="E557" t="s">
        <v>1332</v>
      </c>
      <c r="F557" t="s">
        <v>602</v>
      </c>
      <c r="G557" t="s">
        <v>1528</v>
      </c>
      <c r="H557" t="s">
        <v>65</v>
      </c>
    </row>
    <row r="558" spans="1:8">
      <c r="A558">
        <v>328691</v>
      </c>
      <c r="B558" t="s">
        <v>1683</v>
      </c>
      <c r="C558" t="s">
        <v>1684</v>
      </c>
      <c r="D558" t="s">
        <v>1427</v>
      </c>
      <c r="E558" t="s">
        <v>1332</v>
      </c>
      <c r="F558" t="s">
        <v>602</v>
      </c>
      <c r="G558" t="s">
        <v>1528</v>
      </c>
      <c r="H558" t="s">
        <v>65</v>
      </c>
    </row>
    <row r="559" spans="1:8">
      <c r="A559">
        <v>328663</v>
      </c>
      <c r="B559" t="s">
        <v>1685</v>
      </c>
      <c r="C559" t="s">
        <v>1686</v>
      </c>
      <c r="D559" t="s">
        <v>1427</v>
      </c>
      <c r="E559" t="s">
        <v>1332</v>
      </c>
      <c r="F559" t="s">
        <v>602</v>
      </c>
      <c r="G559" t="s">
        <v>1528</v>
      </c>
      <c r="H559" t="s">
        <v>65</v>
      </c>
    </row>
    <row r="560" spans="1:8">
      <c r="A560">
        <v>328683</v>
      </c>
      <c r="B560" t="s">
        <v>1687</v>
      </c>
      <c r="C560" t="s">
        <v>1688</v>
      </c>
      <c r="D560" t="s">
        <v>1427</v>
      </c>
      <c r="E560" t="s">
        <v>476</v>
      </c>
      <c r="F560" t="s">
        <v>1362</v>
      </c>
      <c r="G560" t="s">
        <v>1523</v>
      </c>
      <c r="H560" t="s">
        <v>67</v>
      </c>
    </row>
    <row r="561" spans="1:8">
      <c r="A561">
        <v>328900</v>
      </c>
      <c r="B561" t="s">
        <v>1689</v>
      </c>
      <c r="C561" t="s">
        <v>1690</v>
      </c>
      <c r="D561" t="s">
        <v>1427</v>
      </c>
      <c r="E561" t="s">
        <v>584</v>
      </c>
      <c r="F561" t="s">
        <v>1362</v>
      </c>
      <c r="G561" t="s">
        <v>1523</v>
      </c>
      <c r="H561" t="s">
        <v>67</v>
      </c>
    </row>
    <row r="562" spans="1:8">
      <c r="A562">
        <v>328895</v>
      </c>
      <c r="B562" t="s">
        <v>1691</v>
      </c>
      <c r="C562" t="s">
        <v>1692</v>
      </c>
      <c r="D562" t="s">
        <v>1427</v>
      </c>
      <c r="E562" t="s">
        <v>584</v>
      </c>
      <c r="F562" t="s">
        <v>1362</v>
      </c>
      <c r="G562" t="s">
        <v>1523</v>
      </c>
      <c r="H562" t="s">
        <v>67</v>
      </c>
    </row>
    <row r="563" spans="1:8">
      <c r="A563">
        <v>200851</v>
      </c>
      <c r="B563" t="s">
        <v>1693</v>
      </c>
      <c r="C563" t="s">
        <v>1694</v>
      </c>
      <c r="D563" t="s">
        <v>1427</v>
      </c>
      <c r="E563" t="s">
        <v>1006</v>
      </c>
      <c r="F563" t="s">
        <v>1359</v>
      </c>
      <c r="G563" t="s">
        <v>1527</v>
      </c>
      <c r="H563" t="s">
        <v>59</v>
      </c>
    </row>
    <row r="564" spans="1:8">
      <c r="A564">
        <v>329208</v>
      </c>
      <c r="B564" t="s">
        <v>1700</v>
      </c>
      <c r="C564" t="s">
        <v>1701</v>
      </c>
      <c r="D564" t="s">
        <v>1427</v>
      </c>
      <c r="E564" t="s">
        <v>1058</v>
      </c>
      <c r="F564" t="s">
        <v>1366</v>
      </c>
      <c r="G564" t="s">
        <v>1519</v>
      </c>
      <c r="H564" t="s">
        <v>58</v>
      </c>
    </row>
    <row r="565" spans="1:8">
      <c r="A565">
        <v>329203</v>
      </c>
      <c r="B565" t="s">
        <v>1702</v>
      </c>
      <c r="C565" t="s">
        <v>2253</v>
      </c>
      <c r="D565" t="s">
        <v>1427</v>
      </c>
      <c r="E565" t="s">
        <v>1201</v>
      </c>
      <c r="F565" t="s">
        <v>1362</v>
      </c>
      <c r="G565" t="s">
        <v>1523</v>
      </c>
      <c r="H565" t="s">
        <v>67</v>
      </c>
    </row>
    <row r="566" spans="1:8">
      <c r="A566">
        <v>329211</v>
      </c>
      <c r="B566" t="s">
        <v>1703</v>
      </c>
      <c r="C566" t="s">
        <v>1704</v>
      </c>
      <c r="D566" t="s">
        <v>1427</v>
      </c>
      <c r="E566" t="s">
        <v>1058</v>
      </c>
      <c r="F566" t="s">
        <v>1366</v>
      </c>
      <c r="G566" t="s">
        <v>1519</v>
      </c>
      <c r="H566" t="s">
        <v>58</v>
      </c>
    </row>
    <row r="567" spans="1:8">
      <c r="A567">
        <v>326509</v>
      </c>
      <c r="B567" t="s">
        <v>1705</v>
      </c>
      <c r="C567" t="s">
        <v>1706</v>
      </c>
      <c r="D567" t="s">
        <v>1427</v>
      </c>
      <c r="E567" t="s">
        <v>1068</v>
      </c>
      <c r="F567" t="s">
        <v>1362</v>
      </c>
      <c r="G567" t="s">
        <v>1523</v>
      </c>
      <c r="H567" t="s">
        <v>67</v>
      </c>
    </row>
    <row r="568" spans="1:8">
      <c r="A568">
        <v>329182</v>
      </c>
      <c r="B568" t="s">
        <v>1707</v>
      </c>
      <c r="C568" t="s">
        <v>1708</v>
      </c>
      <c r="D568" t="s">
        <v>1427</v>
      </c>
      <c r="E568" t="s">
        <v>640</v>
      </c>
      <c r="F568" t="s">
        <v>1366</v>
      </c>
      <c r="G568" t="s">
        <v>1519</v>
      </c>
      <c r="H568" t="s">
        <v>58</v>
      </c>
    </row>
    <row r="569" spans="1:8">
      <c r="A569">
        <v>329186</v>
      </c>
      <c r="B569" t="s">
        <v>1709</v>
      </c>
      <c r="C569" t="s">
        <v>1710</v>
      </c>
      <c r="D569" t="s">
        <v>1427</v>
      </c>
      <c r="E569" t="s">
        <v>941</v>
      </c>
      <c r="F569" t="s">
        <v>1359</v>
      </c>
      <c r="G569" t="s">
        <v>1527</v>
      </c>
      <c r="H569" t="s">
        <v>59</v>
      </c>
    </row>
    <row r="570" spans="1:8">
      <c r="A570">
        <v>329183</v>
      </c>
      <c r="B570" t="s">
        <v>1711</v>
      </c>
      <c r="C570" t="s">
        <v>1712</v>
      </c>
      <c r="D570" t="s">
        <v>1427</v>
      </c>
      <c r="E570" t="s">
        <v>1068</v>
      </c>
      <c r="F570" t="s">
        <v>1362</v>
      </c>
      <c r="G570" t="s">
        <v>1523</v>
      </c>
      <c r="H570" t="s">
        <v>67</v>
      </c>
    </row>
    <row r="571" spans="1:8">
      <c r="A571">
        <v>329214</v>
      </c>
      <c r="B571" t="s">
        <v>1713</v>
      </c>
      <c r="C571" t="s">
        <v>1714</v>
      </c>
      <c r="D571" t="s">
        <v>1427</v>
      </c>
      <c r="E571" t="s">
        <v>640</v>
      </c>
      <c r="F571" t="s">
        <v>1366</v>
      </c>
      <c r="G571" t="s">
        <v>1519</v>
      </c>
      <c r="H571" t="s">
        <v>58</v>
      </c>
    </row>
    <row r="572" spans="1:8">
      <c r="A572">
        <v>329226</v>
      </c>
      <c r="B572" t="s">
        <v>1715</v>
      </c>
      <c r="C572" t="s">
        <v>1716</v>
      </c>
      <c r="D572" t="s">
        <v>1427</v>
      </c>
      <c r="E572" t="s">
        <v>1006</v>
      </c>
      <c r="F572" t="s">
        <v>1359</v>
      </c>
      <c r="G572" t="s">
        <v>1527</v>
      </c>
      <c r="H572" t="s">
        <v>59</v>
      </c>
    </row>
    <row r="573" spans="1:8">
      <c r="A573">
        <v>329207</v>
      </c>
      <c r="B573" t="s">
        <v>1717</v>
      </c>
      <c r="C573" t="s">
        <v>1718</v>
      </c>
      <c r="D573" t="s">
        <v>1427</v>
      </c>
      <c r="E573" t="s">
        <v>1326</v>
      </c>
      <c r="F573" t="s">
        <v>1369</v>
      </c>
      <c r="G573" t="s">
        <v>1528</v>
      </c>
      <c r="H573" t="s">
        <v>65</v>
      </c>
    </row>
    <row r="574" spans="1:8">
      <c r="A574">
        <v>329215</v>
      </c>
      <c r="B574" t="s">
        <v>1719</v>
      </c>
      <c r="C574" t="s">
        <v>1720</v>
      </c>
      <c r="D574" t="s">
        <v>1427</v>
      </c>
      <c r="E574" t="s">
        <v>1332</v>
      </c>
      <c r="F574" t="s">
        <v>602</v>
      </c>
      <c r="G574" t="s">
        <v>1528</v>
      </c>
      <c r="H574" t="s">
        <v>65</v>
      </c>
    </row>
    <row r="575" spans="1:8">
      <c r="A575">
        <v>329153</v>
      </c>
      <c r="B575" t="s">
        <v>1721</v>
      </c>
      <c r="C575" t="s">
        <v>1722</v>
      </c>
      <c r="D575" t="s">
        <v>1427</v>
      </c>
      <c r="E575" t="s">
        <v>1179</v>
      </c>
      <c r="F575" t="s">
        <v>1369</v>
      </c>
      <c r="G575" t="s">
        <v>1528</v>
      </c>
      <c r="H575" t="s">
        <v>65</v>
      </c>
    </row>
    <row r="576" spans="1:8">
      <c r="A576">
        <v>329180</v>
      </c>
      <c r="B576" t="s">
        <v>1723</v>
      </c>
      <c r="C576" t="s">
        <v>1724</v>
      </c>
      <c r="D576" t="s">
        <v>1427</v>
      </c>
      <c r="E576" t="s">
        <v>2380</v>
      </c>
      <c r="F576" t="s">
        <v>602</v>
      </c>
      <c r="G576" t="s">
        <v>1528</v>
      </c>
      <c r="H576" t="s">
        <v>65</v>
      </c>
    </row>
    <row r="577" spans="1:8">
      <c r="A577">
        <v>329162</v>
      </c>
      <c r="B577" t="s">
        <v>1725</v>
      </c>
      <c r="C577" t="s">
        <v>1726</v>
      </c>
      <c r="D577" t="s">
        <v>1427</v>
      </c>
      <c r="E577" t="s">
        <v>1326</v>
      </c>
      <c r="F577" t="s">
        <v>1369</v>
      </c>
      <c r="G577" t="s">
        <v>1528</v>
      </c>
      <c r="H577" t="s">
        <v>65</v>
      </c>
    </row>
    <row r="578" spans="1:8">
      <c r="A578">
        <v>329150</v>
      </c>
      <c r="B578" t="s">
        <v>1727</v>
      </c>
      <c r="C578" t="s">
        <v>1728</v>
      </c>
      <c r="D578" t="s">
        <v>1427</v>
      </c>
      <c r="E578" t="s">
        <v>941</v>
      </c>
      <c r="F578" t="s">
        <v>1359</v>
      </c>
      <c r="G578" t="s">
        <v>1527</v>
      </c>
      <c r="H578" t="s">
        <v>59</v>
      </c>
    </row>
    <row r="579" spans="1:8">
      <c r="A579">
        <v>329178</v>
      </c>
      <c r="B579" t="s">
        <v>1729</v>
      </c>
      <c r="C579" t="s">
        <v>1730</v>
      </c>
      <c r="D579" t="s">
        <v>1427</v>
      </c>
      <c r="E579" t="s">
        <v>1179</v>
      </c>
      <c r="F579" t="s">
        <v>1369</v>
      </c>
      <c r="G579" t="s">
        <v>1528</v>
      </c>
      <c r="H579" t="s">
        <v>65</v>
      </c>
    </row>
    <row r="580" spans="1:8">
      <c r="A580">
        <v>329179</v>
      </c>
      <c r="B580" t="s">
        <v>1731</v>
      </c>
      <c r="C580" t="s">
        <v>1732</v>
      </c>
      <c r="D580" t="s">
        <v>1427</v>
      </c>
      <c r="E580" t="s">
        <v>789</v>
      </c>
      <c r="F580" t="s">
        <v>1369</v>
      </c>
      <c r="G580" t="s">
        <v>1528</v>
      </c>
      <c r="H580" t="s">
        <v>65</v>
      </c>
    </row>
    <row r="581" spans="1:8">
      <c r="A581">
        <v>329151</v>
      </c>
      <c r="B581" t="s">
        <v>1733</v>
      </c>
      <c r="C581" t="s">
        <v>1734</v>
      </c>
      <c r="D581" t="s">
        <v>1427</v>
      </c>
      <c r="E581" t="s">
        <v>1179</v>
      </c>
      <c r="F581" t="s">
        <v>1369</v>
      </c>
      <c r="G581" t="s">
        <v>1528</v>
      </c>
      <c r="H581" t="s">
        <v>65</v>
      </c>
    </row>
    <row r="582" spans="1:8">
      <c r="A582">
        <v>329244</v>
      </c>
      <c r="B582" t="s">
        <v>1735</v>
      </c>
      <c r="C582" t="s">
        <v>1736</v>
      </c>
      <c r="D582" t="s">
        <v>1427</v>
      </c>
      <c r="E582" t="s">
        <v>1332</v>
      </c>
      <c r="F582" t="s">
        <v>602</v>
      </c>
      <c r="G582" t="s">
        <v>1528</v>
      </c>
      <c r="H582" t="s">
        <v>65</v>
      </c>
    </row>
    <row r="583" spans="1:8">
      <c r="A583">
        <v>329235</v>
      </c>
      <c r="B583" t="s">
        <v>1739</v>
      </c>
      <c r="C583" t="s">
        <v>1740</v>
      </c>
      <c r="D583" t="s">
        <v>1427</v>
      </c>
      <c r="E583" t="s">
        <v>1332</v>
      </c>
      <c r="F583" t="s">
        <v>602</v>
      </c>
      <c r="G583" t="s">
        <v>1528</v>
      </c>
      <c r="H583" t="s">
        <v>65</v>
      </c>
    </row>
    <row r="584" spans="1:8">
      <c r="A584">
        <v>329239</v>
      </c>
      <c r="B584" t="s">
        <v>1741</v>
      </c>
      <c r="C584" t="s">
        <v>1742</v>
      </c>
      <c r="D584" t="s">
        <v>1427</v>
      </c>
      <c r="E584" t="s">
        <v>476</v>
      </c>
      <c r="F584" t="s">
        <v>1362</v>
      </c>
      <c r="G584" t="s">
        <v>1523</v>
      </c>
      <c r="H584" t="s">
        <v>67</v>
      </c>
    </row>
    <row r="585" spans="1:8">
      <c r="A585">
        <v>329337</v>
      </c>
      <c r="B585" t="s">
        <v>1743</v>
      </c>
      <c r="C585" t="s">
        <v>1744</v>
      </c>
      <c r="D585" t="s">
        <v>1427</v>
      </c>
      <c r="E585" t="s">
        <v>2380</v>
      </c>
      <c r="F585" t="s">
        <v>602</v>
      </c>
      <c r="G585" t="s">
        <v>1528</v>
      </c>
      <c r="H585" t="s">
        <v>65</v>
      </c>
    </row>
    <row r="586" spans="1:8">
      <c r="A586">
        <v>329308</v>
      </c>
      <c r="B586" t="s">
        <v>1745</v>
      </c>
      <c r="C586" t="s">
        <v>1746</v>
      </c>
      <c r="D586" t="s">
        <v>1427</v>
      </c>
      <c r="E586" t="s">
        <v>2380</v>
      </c>
      <c r="F586" t="s">
        <v>602</v>
      </c>
      <c r="G586" t="s">
        <v>1528</v>
      </c>
      <c r="H586" t="s">
        <v>65</v>
      </c>
    </row>
    <row r="587" spans="1:8">
      <c r="A587">
        <v>329309</v>
      </c>
      <c r="B587" t="s">
        <v>1747</v>
      </c>
      <c r="C587" t="s">
        <v>1748</v>
      </c>
      <c r="D587" t="s">
        <v>1427</v>
      </c>
      <c r="E587" t="s">
        <v>2380</v>
      </c>
      <c r="F587" t="s">
        <v>602</v>
      </c>
      <c r="G587" t="s">
        <v>1528</v>
      </c>
      <c r="H587" t="s">
        <v>65</v>
      </c>
    </row>
    <row r="588" spans="1:8">
      <c r="A588">
        <v>329335</v>
      </c>
      <c r="B588" t="s">
        <v>1749</v>
      </c>
      <c r="C588" t="s">
        <v>1750</v>
      </c>
      <c r="D588" t="s">
        <v>1427</v>
      </c>
      <c r="E588" t="s">
        <v>1332</v>
      </c>
      <c r="F588" t="s">
        <v>602</v>
      </c>
      <c r="G588" t="s">
        <v>1528</v>
      </c>
      <c r="H588" t="s">
        <v>65</v>
      </c>
    </row>
    <row r="589" spans="1:8">
      <c r="A589">
        <v>329310</v>
      </c>
      <c r="B589" t="s">
        <v>1751</v>
      </c>
      <c r="C589" t="s">
        <v>1752</v>
      </c>
      <c r="D589" t="s">
        <v>1427</v>
      </c>
      <c r="E589" t="s">
        <v>2380</v>
      </c>
      <c r="F589" t="s">
        <v>602</v>
      </c>
      <c r="G589" t="s">
        <v>1528</v>
      </c>
      <c r="H589" t="s">
        <v>65</v>
      </c>
    </row>
    <row r="590" spans="1:8">
      <c r="A590">
        <v>329327</v>
      </c>
      <c r="B590" t="s">
        <v>1753</v>
      </c>
      <c r="C590" t="s">
        <v>1754</v>
      </c>
      <c r="D590" t="s">
        <v>1427</v>
      </c>
      <c r="E590" t="s">
        <v>789</v>
      </c>
      <c r="F590" t="s">
        <v>1369</v>
      </c>
      <c r="G590" t="s">
        <v>1528</v>
      </c>
      <c r="H590" t="s">
        <v>65</v>
      </c>
    </row>
    <row r="591" spans="1:8">
      <c r="A591">
        <v>239447</v>
      </c>
      <c r="B591" t="s">
        <v>2239</v>
      </c>
      <c r="C591" t="s">
        <v>2238</v>
      </c>
      <c r="D591" t="s">
        <v>1427</v>
      </c>
      <c r="E591" t="s">
        <v>1261</v>
      </c>
      <c r="F591" t="s">
        <v>1362</v>
      </c>
      <c r="G591" t="s">
        <v>1523</v>
      </c>
      <c r="H591" t="s">
        <v>67</v>
      </c>
    </row>
    <row r="592" spans="1:8">
      <c r="A592">
        <v>329433</v>
      </c>
      <c r="B592" t="s">
        <v>1755</v>
      </c>
      <c r="C592" t="s">
        <v>1756</v>
      </c>
      <c r="D592" t="s">
        <v>1427</v>
      </c>
      <c r="E592" t="s">
        <v>690</v>
      </c>
      <c r="F592" t="s">
        <v>1359</v>
      </c>
      <c r="G592" t="s">
        <v>1527</v>
      </c>
      <c r="H592" t="s">
        <v>59</v>
      </c>
    </row>
    <row r="593" spans="1:8">
      <c r="A593">
        <v>329429</v>
      </c>
      <c r="B593" t="s">
        <v>1757</v>
      </c>
      <c r="C593" t="s">
        <v>1758</v>
      </c>
      <c r="D593" t="s">
        <v>1427</v>
      </c>
      <c r="E593" t="s">
        <v>690</v>
      </c>
      <c r="F593" t="s">
        <v>1359</v>
      </c>
      <c r="G593" t="s">
        <v>1527</v>
      </c>
      <c r="H593" t="s">
        <v>59</v>
      </c>
    </row>
    <row r="594" spans="1:8">
      <c r="A594">
        <v>329425</v>
      </c>
      <c r="B594" t="s">
        <v>1759</v>
      </c>
      <c r="C594" t="s">
        <v>1760</v>
      </c>
      <c r="D594" t="s">
        <v>1427</v>
      </c>
      <c r="E594" t="s">
        <v>1201</v>
      </c>
      <c r="F594" t="s">
        <v>1362</v>
      </c>
      <c r="G594" t="s">
        <v>1523</v>
      </c>
      <c r="H594" t="s">
        <v>67</v>
      </c>
    </row>
    <row r="595" spans="1:8">
      <c r="A595">
        <v>329302</v>
      </c>
      <c r="B595" t="s">
        <v>1761</v>
      </c>
      <c r="C595" t="s">
        <v>1762</v>
      </c>
      <c r="D595" t="s">
        <v>1427</v>
      </c>
      <c r="E595" t="s">
        <v>2381</v>
      </c>
      <c r="F595" t="s">
        <v>1363</v>
      </c>
      <c r="G595" t="s">
        <v>1524</v>
      </c>
      <c r="H595" t="s">
        <v>62</v>
      </c>
    </row>
    <row r="596" spans="1:8">
      <c r="A596">
        <v>240246</v>
      </c>
      <c r="B596" t="s">
        <v>1763</v>
      </c>
      <c r="C596" t="s">
        <v>1764</v>
      </c>
      <c r="D596" t="s">
        <v>1427</v>
      </c>
      <c r="E596" t="s">
        <v>789</v>
      </c>
      <c r="F596" t="s">
        <v>1369</v>
      </c>
      <c r="G596" t="s">
        <v>1528</v>
      </c>
      <c r="H596" t="s">
        <v>65</v>
      </c>
    </row>
    <row r="597" spans="1:8">
      <c r="A597">
        <v>329437</v>
      </c>
      <c r="B597" t="s">
        <v>1765</v>
      </c>
      <c r="C597" t="s">
        <v>1766</v>
      </c>
      <c r="D597" t="s">
        <v>1427</v>
      </c>
      <c r="E597" t="s">
        <v>789</v>
      </c>
      <c r="F597" t="s">
        <v>1369</v>
      </c>
      <c r="G597" t="s">
        <v>1528</v>
      </c>
      <c r="H597" t="s">
        <v>65</v>
      </c>
    </row>
    <row r="598" spans="1:8">
      <c r="A598">
        <v>329499</v>
      </c>
      <c r="B598" t="s">
        <v>1767</v>
      </c>
      <c r="C598" t="s">
        <v>1768</v>
      </c>
      <c r="D598" t="s">
        <v>1427</v>
      </c>
      <c r="E598" t="s">
        <v>789</v>
      </c>
      <c r="F598" t="s">
        <v>1369</v>
      </c>
      <c r="G598" t="s">
        <v>1528</v>
      </c>
      <c r="H598" t="s">
        <v>65</v>
      </c>
    </row>
    <row r="599" spans="1:8">
      <c r="A599">
        <v>329474</v>
      </c>
      <c r="B599" t="s">
        <v>1769</v>
      </c>
      <c r="C599" t="s">
        <v>1770</v>
      </c>
      <c r="D599" t="s">
        <v>1427</v>
      </c>
      <c r="E599" t="s">
        <v>789</v>
      </c>
      <c r="F599" t="s">
        <v>1369</v>
      </c>
      <c r="G599" t="s">
        <v>1528</v>
      </c>
      <c r="H599" t="s">
        <v>65</v>
      </c>
    </row>
    <row r="600" spans="1:8">
      <c r="A600">
        <v>329459</v>
      </c>
      <c r="B600" t="s">
        <v>1771</v>
      </c>
      <c r="C600" t="s">
        <v>1772</v>
      </c>
      <c r="D600" t="s">
        <v>1427</v>
      </c>
      <c r="E600" t="s">
        <v>2380</v>
      </c>
      <c r="F600" t="s">
        <v>602</v>
      </c>
      <c r="G600" t="s">
        <v>1528</v>
      </c>
      <c r="H600" t="s">
        <v>65</v>
      </c>
    </row>
    <row r="601" spans="1:8">
      <c r="A601">
        <v>329444</v>
      </c>
      <c r="B601" t="s">
        <v>1773</v>
      </c>
      <c r="C601" t="s">
        <v>1774</v>
      </c>
      <c r="D601" t="s">
        <v>1427</v>
      </c>
      <c r="E601" t="s">
        <v>2380</v>
      </c>
      <c r="F601" t="s">
        <v>602</v>
      </c>
      <c r="G601" t="s">
        <v>1528</v>
      </c>
      <c r="H601" t="s">
        <v>65</v>
      </c>
    </row>
    <row r="602" spans="1:8">
      <c r="A602">
        <v>329619</v>
      </c>
      <c r="B602" t="s">
        <v>1775</v>
      </c>
      <c r="C602" t="s">
        <v>1776</v>
      </c>
      <c r="D602" t="s">
        <v>1427</v>
      </c>
      <c r="E602" t="s">
        <v>512</v>
      </c>
      <c r="F602" t="s">
        <v>602</v>
      </c>
      <c r="G602" t="s">
        <v>1528</v>
      </c>
      <c r="H602" t="s">
        <v>65</v>
      </c>
    </row>
    <row r="603" spans="1:8">
      <c r="A603">
        <v>322122</v>
      </c>
      <c r="B603" t="s">
        <v>1777</v>
      </c>
      <c r="C603" t="s">
        <v>2237</v>
      </c>
      <c r="D603" t="s">
        <v>1427</v>
      </c>
      <c r="E603" t="s">
        <v>512</v>
      </c>
      <c r="F603" t="s">
        <v>602</v>
      </c>
      <c r="G603" t="s">
        <v>1528</v>
      </c>
      <c r="H603" t="s">
        <v>65</v>
      </c>
    </row>
    <row r="604" spans="1:8">
      <c r="A604">
        <v>329615</v>
      </c>
      <c r="B604" t="s">
        <v>1778</v>
      </c>
      <c r="C604" t="s">
        <v>1779</v>
      </c>
      <c r="D604" t="s">
        <v>1427</v>
      </c>
      <c r="E604" t="s">
        <v>1201</v>
      </c>
      <c r="F604" t="s">
        <v>1362</v>
      </c>
      <c r="G604" t="s">
        <v>1523</v>
      </c>
      <c r="H604" t="s">
        <v>67</v>
      </c>
    </row>
    <row r="605" spans="1:8">
      <c r="A605">
        <v>329614</v>
      </c>
      <c r="B605" t="s">
        <v>1780</v>
      </c>
      <c r="C605" t="s">
        <v>1781</v>
      </c>
      <c r="D605" t="s">
        <v>1427</v>
      </c>
      <c r="E605" t="s">
        <v>690</v>
      </c>
      <c r="F605" t="s">
        <v>1359</v>
      </c>
      <c r="G605" t="s">
        <v>1527</v>
      </c>
      <c r="H605" t="s">
        <v>59</v>
      </c>
    </row>
    <row r="606" spans="1:8">
      <c r="A606">
        <v>329867</v>
      </c>
      <c r="B606" t="s">
        <v>1787</v>
      </c>
      <c r="C606" t="s">
        <v>1788</v>
      </c>
      <c r="D606" t="s">
        <v>1427</v>
      </c>
      <c r="E606" t="s">
        <v>640</v>
      </c>
      <c r="F606" t="s">
        <v>1366</v>
      </c>
      <c r="G606" t="s">
        <v>1519</v>
      </c>
      <c r="H606" t="s">
        <v>58</v>
      </c>
    </row>
    <row r="607" spans="1:8">
      <c r="A607">
        <v>329871</v>
      </c>
      <c r="B607" t="s">
        <v>1789</v>
      </c>
      <c r="C607" t="s">
        <v>1790</v>
      </c>
      <c r="D607" t="s">
        <v>1427</v>
      </c>
      <c r="E607" t="s">
        <v>690</v>
      </c>
      <c r="F607" t="s">
        <v>1359</v>
      </c>
      <c r="G607" t="s">
        <v>1527</v>
      </c>
      <c r="H607" t="s">
        <v>59</v>
      </c>
    </row>
    <row r="608" spans="1:8">
      <c r="A608">
        <v>329876</v>
      </c>
      <c r="B608" t="s">
        <v>1791</v>
      </c>
      <c r="C608" t="s">
        <v>1792</v>
      </c>
      <c r="D608" t="s">
        <v>1427</v>
      </c>
      <c r="E608" t="s">
        <v>1326</v>
      </c>
      <c r="F608" t="s">
        <v>1369</v>
      </c>
      <c r="G608" t="s">
        <v>1528</v>
      </c>
      <c r="H608" t="s">
        <v>65</v>
      </c>
    </row>
    <row r="609" spans="1:8">
      <c r="A609">
        <v>329877</v>
      </c>
      <c r="B609" t="s">
        <v>1793</v>
      </c>
      <c r="C609" t="s">
        <v>1794</v>
      </c>
      <c r="D609" t="s">
        <v>1427</v>
      </c>
      <c r="E609" t="s">
        <v>1326</v>
      </c>
      <c r="F609" t="s">
        <v>1369</v>
      </c>
      <c r="G609" t="s">
        <v>1528</v>
      </c>
      <c r="H609" t="s">
        <v>65</v>
      </c>
    </row>
    <row r="610" spans="1:8">
      <c r="A610">
        <v>329912</v>
      </c>
      <c r="B610" t="s">
        <v>1795</v>
      </c>
      <c r="C610" t="s">
        <v>1796</v>
      </c>
      <c r="D610" t="s">
        <v>1427</v>
      </c>
      <c r="E610" t="s">
        <v>1326</v>
      </c>
      <c r="F610" t="s">
        <v>1369</v>
      </c>
      <c r="G610" t="s">
        <v>1528</v>
      </c>
      <c r="H610" t="s">
        <v>65</v>
      </c>
    </row>
    <row r="611" spans="1:8">
      <c r="A611">
        <v>329915</v>
      </c>
      <c r="B611" t="s">
        <v>1797</v>
      </c>
      <c r="C611" t="s">
        <v>1798</v>
      </c>
      <c r="D611" t="s">
        <v>1427</v>
      </c>
      <c r="E611" t="s">
        <v>1326</v>
      </c>
      <c r="F611" t="s">
        <v>1369</v>
      </c>
      <c r="G611" t="s">
        <v>1528</v>
      </c>
      <c r="H611" t="s">
        <v>65</v>
      </c>
    </row>
    <row r="612" spans="1:8">
      <c r="A612">
        <v>329744</v>
      </c>
      <c r="B612" t="s">
        <v>1799</v>
      </c>
      <c r="C612" t="s">
        <v>1800</v>
      </c>
      <c r="D612" t="s">
        <v>1427</v>
      </c>
      <c r="E612" t="s">
        <v>584</v>
      </c>
      <c r="F612" t="s">
        <v>1362</v>
      </c>
      <c r="G612" t="s">
        <v>1523</v>
      </c>
      <c r="H612" t="s">
        <v>67</v>
      </c>
    </row>
    <row r="613" spans="1:8">
      <c r="A613">
        <v>329910</v>
      </c>
      <c r="B613" t="s">
        <v>1801</v>
      </c>
      <c r="C613" t="s">
        <v>1802</v>
      </c>
      <c r="D613" t="s">
        <v>1427</v>
      </c>
      <c r="E613" t="s">
        <v>1261</v>
      </c>
      <c r="F613" t="s">
        <v>1362</v>
      </c>
      <c r="G613" t="s">
        <v>1523</v>
      </c>
      <c r="H613" t="s">
        <v>67</v>
      </c>
    </row>
    <row r="614" spans="1:8">
      <c r="A614">
        <v>330166</v>
      </c>
      <c r="B614" t="s">
        <v>1803</v>
      </c>
      <c r="C614" t="s">
        <v>1804</v>
      </c>
      <c r="D614" t="s">
        <v>1427</v>
      </c>
      <c r="E614" t="s">
        <v>1201</v>
      </c>
      <c r="F614" t="s">
        <v>1362</v>
      </c>
      <c r="G614" t="s">
        <v>1523</v>
      </c>
      <c r="H614" t="s">
        <v>67</v>
      </c>
    </row>
    <row r="615" spans="1:8">
      <c r="A615">
        <v>180437</v>
      </c>
      <c r="B615" t="s">
        <v>1805</v>
      </c>
      <c r="C615" t="s">
        <v>1806</v>
      </c>
      <c r="D615" t="s">
        <v>1427</v>
      </c>
      <c r="E615" t="s">
        <v>512</v>
      </c>
      <c r="F615" t="s">
        <v>602</v>
      </c>
      <c r="G615" t="s">
        <v>1528</v>
      </c>
      <c r="H615" t="s">
        <v>65</v>
      </c>
    </row>
    <row r="616" spans="1:8">
      <c r="A616">
        <v>330180</v>
      </c>
      <c r="B616" t="s">
        <v>1807</v>
      </c>
      <c r="C616" t="s">
        <v>1808</v>
      </c>
      <c r="D616" t="s">
        <v>1427</v>
      </c>
      <c r="E616" t="s">
        <v>1201</v>
      </c>
      <c r="F616" t="s">
        <v>1362</v>
      </c>
      <c r="G616" t="s">
        <v>1523</v>
      </c>
      <c r="H616" t="s">
        <v>67</v>
      </c>
    </row>
    <row r="617" spans="1:8">
      <c r="A617">
        <v>330175</v>
      </c>
      <c r="B617" t="s">
        <v>1809</v>
      </c>
      <c r="C617" t="s">
        <v>1810</v>
      </c>
      <c r="D617" t="s">
        <v>1427</v>
      </c>
      <c r="E617" t="s">
        <v>1261</v>
      </c>
      <c r="F617" t="s">
        <v>1362</v>
      </c>
      <c r="G617" t="s">
        <v>1523</v>
      </c>
      <c r="H617" t="s">
        <v>67</v>
      </c>
    </row>
    <row r="618" spans="1:8">
      <c r="A618">
        <v>330162</v>
      </c>
      <c r="B618" t="s">
        <v>1811</v>
      </c>
      <c r="C618" t="s">
        <v>1812</v>
      </c>
      <c r="D618" t="s">
        <v>1427</v>
      </c>
      <c r="E618" t="s">
        <v>1058</v>
      </c>
      <c r="F618" t="s">
        <v>1366</v>
      </c>
      <c r="G618" t="s">
        <v>1519</v>
      </c>
      <c r="H618" t="s">
        <v>58</v>
      </c>
    </row>
    <row r="619" spans="1:8">
      <c r="A619">
        <v>330152</v>
      </c>
      <c r="B619" t="s">
        <v>1813</v>
      </c>
      <c r="C619" t="s">
        <v>1814</v>
      </c>
      <c r="D619" t="s">
        <v>1427</v>
      </c>
      <c r="E619" t="s">
        <v>1332</v>
      </c>
      <c r="F619" t="s">
        <v>602</v>
      </c>
      <c r="G619" t="s">
        <v>1528</v>
      </c>
      <c r="H619" t="s">
        <v>65</v>
      </c>
    </row>
    <row r="620" spans="1:8">
      <c r="A620">
        <v>263327</v>
      </c>
      <c r="B620" t="s">
        <v>1815</v>
      </c>
      <c r="C620" t="s">
        <v>1816</v>
      </c>
      <c r="D620" t="s">
        <v>1427</v>
      </c>
      <c r="E620" t="s">
        <v>1326</v>
      </c>
      <c r="F620" t="s">
        <v>1369</v>
      </c>
      <c r="G620" t="s">
        <v>1528</v>
      </c>
      <c r="H620" t="s">
        <v>65</v>
      </c>
    </row>
    <row r="621" spans="1:8">
      <c r="A621">
        <v>330203</v>
      </c>
      <c r="B621" t="s">
        <v>1817</v>
      </c>
      <c r="C621" t="s">
        <v>1818</v>
      </c>
      <c r="D621" t="s">
        <v>1427</v>
      </c>
      <c r="E621" t="s">
        <v>640</v>
      </c>
      <c r="F621" t="s">
        <v>1366</v>
      </c>
      <c r="G621" t="s">
        <v>1519</v>
      </c>
      <c r="H621" t="s">
        <v>58</v>
      </c>
    </row>
    <row r="622" spans="1:8">
      <c r="A622">
        <v>340589</v>
      </c>
      <c r="B622" t="s">
        <v>2283</v>
      </c>
      <c r="C622" t="s">
        <v>2254</v>
      </c>
      <c r="D622" t="s">
        <v>1427</v>
      </c>
      <c r="E622" t="s">
        <v>1179</v>
      </c>
      <c r="F622" t="s">
        <v>1369</v>
      </c>
      <c r="G622" t="s">
        <v>1528</v>
      </c>
      <c r="H622" t="s">
        <v>65</v>
      </c>
    </row>
    <row r="623" spans="1:8">
      <c r="A623">
        <v>311095</v>
      </c>
      <c r="B623" t="s">
        <v>964</v>
      </c>
      <c r="C623" t="s">
        <v>2255</v>
      </c>
      <c r="D623" t="s">
        <v>1427</v>
      </c>
      <c r="E623" t="s">
        <v>584</v>
      </c>
      <c r="F623" t="s">
        <v>1362</v>
      </c>
      <c r="G623" t="s">
        <v>1523</v>
      </c>
      <c r="H623" t="s">
        <v>67</v>
      </c>
    </row>
    <row r="624" spans="1:8">
      <c r="A624">
        <v>291517</v>
      </c>
      <c r="B624" t="s">
        <v>2284</v>
      </c>
      <c r="C624" t="s">
        <v>2256</v>
      </c>
      <c r="D624" t="s">
        <v>1427</v>
      </c>
      <c r="E624" t="s">
        <v>2380</v>
      </c>
      <c r="F624" t="s">
        <v>602</v>
      </c>
      <c r="G624" t="s">
        <v>1528</v>
      </c>
      <c r="H624" t="s">
        <v>65</v>
      </c>
    </row>
    <row r="625" spans="1:8">
      <c r="A625">
        <v>340623</v>
      </c>
      <c r="B625" t="s">
        <v>2285</v>
      </c>
      <c r="C625" t="s">
        <v>2724</v>
      </c>
      <c r="D625" t="s">
        <v>1427</v>
      </c>
      <c r="E625" t="s">
        <v>789</v>
      </c>
      <c r="F625" t="s">
        <v>1369</v>
      </c>
      <c r="G625" t="s">
        <v>1528</v>
      </c>
      <c r="H625" t="s">
        <v>65</v>
      </c>
    </row>
    <row r="626" spans="1:8">
      <c r="A626">
        <v>239764</v>
      </c>
      <c r="B626" t="s">
        <v>2286</v>
      </c>
      <c r="C626" t="s">
        <v>2257</v>
      </c>
      <c r="D626" t="s">
        <v>1427</v>
      </c>
      <c r="E626" t="s">
        <v>789</v>
      </c>
      <c r="F626" t="s">
        <v>1369</v>
      </c>
      <c r="G626" t="s">
        <v>1528</v>
      </c>
      <c r="H626" t="s">
        <v>65</v>
      </c>
    </row>
    <row r="627" spans="1:8">
      <c r="A627">
        <v>340534</v>
      </c>
      <c r="B627" t="s">
        <v>2287</v>
      </c>
      <c r="C627" t="s">
        <v>2258</v>
      </c>
      <c r="D627" t="s">
        <v>1427</v>
      </c>
      <c r="E627" t="s">
        <v>476</v>
      </c>
      <c r="F627" t="s">
        <v>1362</v>
      </c>
      <c r="G627" t="s">
        <v>1523</v>
      </c>
      <c r="H627" t="s">
        <v>67</v>
      </c>
    </row>
    <row r="628" spans="1:8">
      <c r="A628">
        <v>340533</v>
      </c>
      <c r="B628" t="s">
        <v>2288</v>
      </c>
      <c r="C628" t="s">
        <v>2259</v>
      </c>
      <c r="D628" t="s">
        <v>1427</v>
      </c>
      <c r="E628" t="s">
        <v>476</v>
      </c>
      <c r="F628" t="s">
        <v>1362</v>
      </c>
      <c r="G628" t="s">
        <v>1523</v>
      </c>
      <c r="H628" t="s">
        <v>67</v>
      </c>
    </row>
    <row r="629" spans="1:8">
      <c r="A629">
        <v>340581</v>
      </c>
      <c r="B629" t="s">
        <v>2289</v>
      </c>
      <c r="C629" t="s">
        <v>2260</v>
      </c>
      <c r="D629" t="s">
        <v>1427</v>
      </c>
      <c r="E629" t="s">
        <v>941</v>
      </c>
      <c r="F629" t="s">
        <v>1359</v>
      </c>
      <c r="G629" t="s">
        <v>1527</v>
      </c>
      <c r="H629" t="s">
        <v>59</v>
      </c>
    </row>
    <row r="630" spans="1:8">
      <c r="A630">
        <v>340536</v>
      </c>
      <c r="B630" t="s">
        <v>2290</v>
      </c>
      <c r="C630" t="s">
        <v>2261</v>
      </c>
      <c r="D630" t="s">
        <v>1427</v>
      </c>
      <c r="E630" t="s">
        <v>1179</v>
      </c>
      <c r="F630" t="s">
        <v>1369</v>
      </c>
      <c r="G630" t="s">
        <v>1528</v>
      </c>
      <c r="H630" t="s">
        <v>65</v>
      </c>
    </row>
    <row r="631" spans="1:8">
      <c r="A631">
        <v>340549</v>
      </c>
      <c r="B631" t="s">
        <v>2291</v>
      </c>
      <c r="C631" t="s">
        <v>2262</v>
      </c>
      <c r="D631" t="s">
        <v>1427</v>
      </c>
      <c r="E631" t="s">
        <v>584</v>
      </c>
      <c r="F631" t="s">
        <v>1362</v>
      </c>
      <c r="G631" t="s">
        <v>1523</v>
      </c>
      <c r="H631" t="s">
        <v>67</v>
      </c>
    </row>
    <row r="632" spans="1:8">
      <c r="A632">
        <v>277855</v>
      </c>
      <c r="B632" t="s">
        <v>2292</v>
      </c>
      <c r="C632" t="s">
        <v>632</v>
      </c>
      <c r="D632" t="s">
        <v>1427</v>
      </c>
      <c r="E632" t="s">
        <v>1068</v>
      </c>
      <c r="F632" t="s">
        <v>1362</v>
      </c>
      <c r="G632" t="s">
        <v>1523</v>
      </c>
      <c r="H632" t="s">
        <v>67</v>
      </c>
    </row>
    <row r="633" spans="1:8">
      <c r="A633">
        <v>340551</v>
      </c>
      <c r="B633" t="s">
        <v>2293</v>
      </c>
      <c r="C633" t="s">
        <v>2263</v>
      </c>
      <c r="D633" t="s">
        <v>1427</v>
      </c>
      <c r="E633" t="s">
        <v>1068</v>
      </c>
      <c r="F633" t="s">
        <v>1362</v>
      </c>
      <c r="G633" t="s">
        <v>1523</v>
      </c>
      <c r="H633" t="s">
        <v>67</v>
      </c>
    </row>
    <row r="634" spans="1:8">
      <c r="A634">
        <v>340558</v>
      </c>
      <c r="B634" t="s">
        <v>2294</v>
      </c>
      <c r="C634" t="s">
        <v>2264</v>
      </c>
      <c r="D634" t="s">
        <v>1427</v>
      </c>
      <c r="E634" t="s">
        <v>1261</v>
      </c>
      <c r="F634" t="s">
        <v>1362</v>
      </c>
      <c r="G634" t="s">
        <v>1523</v>
      </c>
      <c r="H634" t="s">
        <v>67</v>
      </c>
    </row>
    <row r="635" spans="1:8">
      <c r="A635">
        <v>340777</v>
      </c>
      <c r="B635" t="s">
        <v>2295</v>
      </c>
      <c r="C635" t="s">
        <v>2265</v>
      </c>
      <c r="D635" t="s">
        <v>1427</v>
      </c>
      <c r="E635" t="s">
        <v>1179</v>
      </c>
      <c r="F635" t="s">
        <v>1369</v>
      </c>
      <c r="G635" t="s">
        <v>1528</v>
      </c>
      <c r="H635" t="s">
        <v>65</v>
      </c>
    </row>
    <row r="636" spans="1:8">
      <c r="A636">
        <v>340750</v>
      </c>
      <c r="B636" t="s">
        <v>2296</v>
      </c>
      <c r="C636" t="s">
        <v>2266</v>
      </c>
      <c r="D636" t="s">
        <v>1427</v>
      </c>
      <c r="E636" t="s">
        <v>1332</v>
      </c>
      <c r="F636" t="s">
        <v>602</v>
      </c>
      <c r="G636" t="s">
        <v>1528</v>
      </c>
      <c r="H636" t="s">
        <v>65</v>
      </c>
    </row>
    <row r="637" spans="1:8">
      <c r="A637">
        <v>340781</v>
      </c>
      <c r="B637" t="s">
        <v>2297</v>
      </c>
      <c r="C637" t="s">
        <v>2267</v>
      </c>
      <c r="D637" t="s">
        <v>1427</v>
      </c>
      <c r="E637" t="s">
        <v>1332</v>
      </c>
      <c r="F637" t="s">
        <v>602</v>
      </c>
      <c r="G637" t="s">
        <v>1528</v>
      </c>
      <c r="H637" t="s">
        <v>65</v>
      </c>
    </row>
    <row r="638" spans="1:8">
      <c r="A638">
        <v>340774</v>
      </c>
      <c r="B638" t="s">
        <v>2298</v>
      </c>
      <c r="C638" t="s">
        <v>2268</v>
      </c>
      <c r="D638" t="s">
        <v>1427</v>
      </c>
      <c r="E638" t="s">
        <v>1326</v>
      </c>
      <c r="F638" t="s">
        <v>1369</v>
      </c>
      <c r="G638" t="s">
        <v>1528</v>
      </c>
      <c r="H638" t="s">
        <v>65</v>
      </c>
    </row>
    <row r="639" spans="1:8">
      <c r="A639">
        <v>340751</v>
      </c>
      <c r="B639" t="s">
        <v>2299</v>
      </c>
      <c r="C639" t="s">
        <v>2269</v>
      </c>
      <c r="D639" t="s">
        <v>1427</v>
      </c>
      <c r="E639" t="s">
        <v>1201</v>
      </c>
      <c r="F639" t="s">
        <v>1362</v>
      </c>
      <c r="G639" t="s">
        <v>1523</v>
      </c>
      <c r="H639" t="s">
        <v>67</v>
      </c>
    </row>
    <row r="640" spans="1:8">
      <c r="A640">
        <v>340748</v>
      </c>
      <c r="B640" t="s">
        <v>2300</v>
      </c>
      <c r="C640" t="s">
        <v>2270</v>
      </c>
      <c r="D640" t="s">
        <v>1427</v>
      </c>
      <c r="E640" t="s">
        <v>1334</v>
      </c>
      <c r="F640" t="s">
        <v>1362</v>
      </c>
      <c r="G640" t="s">
        <v>1523</v>
      </c>
      <c r="H640" t="s">
        <v>67</v>
      </c>
    </row>
    <row r="641" spans="1:8">
      <c r="A641">
        <v>340746</v>
      </c>
      <c r="B641" t="s">
        <v>2301</v>
      </c>
      <c r="C641" t="s">
        <v>2271</v>
      </c>
      <c r="D641" t="s">
        <v>1427</v>
      </c>
      <c r="E641" t="s">
        <v>1334</v>
      </c>
      <c r="F641" t="s">
        <v>1362</v>
      </c>
      <c r="G641" t="s">
        <v>1523</v>
      </c>
      <c r="H641" t="s">
        <v>67</v>
      </c>
    </row>
    <row r="642" spans="1:8">
      <c r="A642">
        <v>274237</v>
      </c>
      <c r="B642" t="s">
        <v>1382</v>
      </c>
      <c r="C642" t="s">
        <v>1355</v>
      </c>
      <c r="D642" t="s">
        <v>1427</v>
      </c>
      <c r="E642" t="s">
        <v>1334</v>
      </c>
      <c r="F642" t="s">
        <v>1362</v>
      </c>
      <c r="G642" t="s">
        <v>1523</v>
      </c>
      <c r="H642" t="s">
        <v>67</v>
      </c>
    </row>
    <row r="643" spans="1:8">
      <c r="A643">
        <v>340752</v>
      </c>
      <c r="B643" t="s">
        <v>2303</v>
      </c>
      <c r="C643" t="s">
        <v>2273</v>
      </c>
      <c r="D643" t="s">
        <v>1427</v>
      </c>
      <c r="E643" t="s">
        <v>1334</v>
      </c>
      <c r="F643" t="s">
        <v>1362</v>
      </c>
      <c r="G643" t="s">
        <v>1523</v>
      </c>
      <c r="H643" t="s">
        <v>67</v>
      </c>
    </row>
    <row r="644" spans="1:8">
      <c r="A644">
        <v>340970</v>
      </c>
      <c r="B644" t="s">
        <v>2304</v>
      </c>
      <c r="C644" t="s">
        <v>2274</v>
      </c>
      <c r="D644" t="s">
        <v>1427</v>
      </c>
      <c r="E644" t="s">
        <v>1334</v>
      </c>
      <c r="F644" t="s">
        <v>1362</v>
      </c>
      <c r="G644" t="s">
        <v>1523</v>
      </c>
      <c r="H644" t="s">
        <v>67</v>
      </c>
    </row>
    <row r="645" spans="1:8">
      <c r="A645">
        <v>341134</v>
      </c>
      <c r="B645" t="s">
        <v>2305</v>
      </c>
      <c r="C645" t="s">
        <v>2275</v>
      </c>
      <c r="D645" t="s">
        <v>1427</v>
      </c>
      <c r="E645" t="s">
        <v>1068</v>
      </c>
      <c r="F645" t="s">
        <v>1362</v>
      </c>
      <c r="G645" t="s">
        <v>1523</v>
      </c>
      <c r="H645" t="s">
        <v>67</v>
      </c>
    </row>
    <row r="646" spans="1:8">
      <c r="A646">
        <v>341070</v>
      </c>
      <c r="B646" t="s">
        <v>2306</v>
      </c>
      <c r="C646" t="s">
        <v>2276</v>
      </c>
      <c r="D646" t="s">
        <v>1427</v>
      </c>
      <c r="E646" t="s">
        <v>584</v>
      </c>
      <c r="F646" t="s">
        <v>1362</v>
      </c>
      <c r="G646" t="s">
        <v>1523</v>
      </c>
      <c r="H646" t="s">
        <v>67</v>
      </c>
    </row>
    <row r="647" spans="1:8">
      <c r="A647">
        <v>341074</v>
      </c>
      <c r="B647" t="s">
        <v>2307</v>
      </c>
      <c r="C647" t="s">
        <v>2277</v>
      </c>
      <c r="D647" t="s">
        <v>1427</v>
      </c>
      <c r="E647" t="s">
        <v>2380</v>
      </c>
      <c r="F647" t="s">
        <v>602</v>
      </c>
      <c r="G647" t="s">
        <v>1528</v>
      </c>
      <c r="H647" t="s">
        <v>65</v>
      </c>
    </row>
    <row r="648" spans="1:8">
      <c r="A648">
        <v>341162</v>
      </c>
      <c r="B648" t="s">
        <v>2308</v>
      </c>
      <c r="C648" t="s">
        <v>2278</v>
      </c>
      <c r="D648" t="s">
        <v>1427</v>
      </c>
      <c r="E648" t="s">
        <v>1261</v>
      </c>
      <c r="F648" t="s">
        <v>1362</v>
      </c>
      <c r="G648" t="s">
        <v>1523</v>
      </c>
      <c r="H648" t="s">
        <v>67</v>
      </c>
    </row>
    <row r="649" spans="1:8">
      <c r="A649">
        <v>341143</v>
      </c>
      <c r="B649" t="s">
        <v>2309</v>
      </c>
      <c r="C649" t="s">
        <v>2279</v>
      </c>
      <c r="D649" t="s">
        <v>1427</v>
      </c>
      <c r="E649" t="s">
        <v>512</v>
      </c>
      <c r="F649" t="s">
        <v>602</v>
      </c>
      <c r="G649" t="s">
        <v>1528</v>
      </c>
      <c r="H649" t="s">
        <v>65</v>
      </c>
    </row>
    <row r="650" spans="1:8">
      <c r="A650">
        <v>341156</v>
      </c>
      <c r="B650" t="s">
        <v>2310</v>
      </c>
      <c r="C650" t="s">
        <v>2280</v>
      </c>
      <c r="D650" t="s">
        <v>1427</v>
      </c>
      <c r="E650" t="s">
        <v>512</v>
      </c>
      <c r="F650" t="s">
        <v>602</v>
      </c>
      <c r="G650" t="s">
        <v>1528</v>
      </c>
      <c r="H650" t="s">
        <v>65</v>
      </c>
    </row>
    <row r="651" spans="1:8">
      <c r="A651">
        <v>341157</v>
      </c>
      <c r="B651" t="s">
        <v>2311</v>
      </c>
      <c r="C651" t="s">
        <v>2281</v>
      </c>
      <c r="D651" t="s">
        <v>1427</v>
      </c>
      <c r="E651" t="s">
        <v>512</v>
      </c>
      <c r="F651" t="s">
        <v>602</v>
      </c>
      <c r="G651" t="s">
        <v>1528</v>
      </c>
      <c r="H651" t="s">
        <v>65</v>
      </c>
    </row>
    <row r="652" spans="1:8">
      <c r="A652">
        <v>341094</v>
      </c>
      <c r="B652" t="s">
        <v>2312</v>
      </c>
      <c r="C652" t="s">
        <v>2282</v>
      </c>
      <c r="D652" t="s">
        <v>1427</v>
      </c>
      <c r="E652" t="s">
        <v>512</v>
      </c>
      <c r="F652" t="s">
        <v>602</v>
      </c>
      <c r="G652" t="s">
        <v>1528</v>
      </c>
      <c r="H652" t="s">
        <v>65</v>
      </c>
    </row>
    <row r="653" spans="1:8">
      <c r="A653">
        <v>341646</v>
      </c>
      <c r="B653" t="s">
        <v>2343</v>
      </c>
      <c r="C653" t="s">
        <v>2313</v>
      </c>
      <c r="D653" t="s">
        <v>1427</v>
      </c>
      <c r="E653" t="s">
        <v>584</v>
      </c>
      <c r="F653" t="s">
        <v>1362</v>
      </c>
      <c r="G653" t="s">
        <v>1523</v>
      </c>
      <c r="H653" t="s">
        <v>67</v>
      </c>
    </row>
    <row r="654" spans="1:8">
      <c r="A654">
        <v>341606</v>
      </c>
      <c r="B654" t="s">
        <v>2344</v>
      </c>
      <c r="C654" t="s">
        <v>2314</v>
      </c>
      <c r="D654" t="s">
        <v>1427</v>
      </c>
      <c r="E654" t="s">
        <v>789</v>
      </c>
      <c r="F654" t="s">
        <v>1369</v>
      </c>
      <c r="G654" t="s">
        <v>1528</v>
      </c>
      <c r="H654" t="s">
        <v>65</v>
      </c>
    </row>
    <row r="655" spans="1:8">
      <c r="A655">
        <v>341648</v>
      </c>
      <c r="B655" t="s">
        <v>2345</v>
      </c>
      <c r="C655" t="s">
        <v>984</v>
      </c>
      <c r="D655" t="s">
        <v>1427</v>
      </c>
      <c r="E655" t="s">
        <v>1179</v>
      </c>
      <c r="F655" t="s">
        <v>1369</v>
      </c>
      <c r="G655" t="s">
        <v>1528</v>
      </c>
      <c r="H655" t="s">
        <v>65</v>
      </c>
    </row>
    <row r="656" spans="1:8">
      <c r="A656">
        <v>341617</v>
      </c>
      <c r="B656" t="s">
        <v>2346</v>
      </c>
      <c r="C656" t="s">
        <v>2315</v>
      </c>
      <c r="D656" t="s">
        <v>1427</v>
      </c>
      <c r="E656" t="s">
        <v>1068</v>
      </c>
      <c r="F656" t="s">
        <v>1362</v>
      </c>
      <c r="G656" t="s">
        <v>1523</v>
      </c>
      <c r="H656" t="s">
        <v>67</v>
      </c>
    </row>
    <row r="657" spans="1:8">
      <c r="A657">
        <v>344474</v>
      </c>
      <c r="B657" t="s">
        <v>2347</v>
      </c>
      <c r="C657" t="s">
        <v>2316</v>
      </c>
      <c r="D657" t="s">
        <v>1427</v>
      </c>
      <c r="E657" t="s">
        <v>941</v>
      </c>
      <c r="F657" t="s">
        <v>1359</v>
      </c>
      <c r="G657" t="s">
        <v>1527</v>
      </c>
      <c r="H657" t="s">
        <v>59</v>
      </c>
    </row>
    <row r="658" spans="1:8">
      <c r="A658">
        <v>196390</v>
      </c>
      <c r="B658" t="s">
        <v>2348</v>
      </c>
      <c r="C658" t="s">
        <v>2317</v>
      </c>
      <c r="D658" t="s">
        <v>1427</v>
      </c>
      <c r="E658" t="s">
        <v>1179</v>
      </c>
      <c r="F658" t="s">
        <v>1369</v>
      </c>
      <c r="G658" t="s">
        <v>1528</v>
      </c>
      <c r="H658" t="s">
        <v>65</v>
      </c>
    </row>
    <row r="659" spans="1:8">
      <c r="A659">
        <v>344478</v>
      </c>
      <c r="B659" t="s">
        <v>2349</v>
      </c>
      <c r="C659" t="s">
        <v>2318</v>
      </c>
      <c r="D659" t="s">
        <v>1427</v>
      </c>
      <c r="E659" t="s">
        <v>1179</v>
      </c>
      <c r="F659" t="s">
        <v>1369</v>
      </c>
      <c r="G659" t="s">
        <v>1528</v>
      </c>
      <c r="H659" t="s">
        <v>65</v>
      </c>
    </row>
    <row r="660" spans="1:8">
      <c r="A660">
        <v>344480</v>
      </c>
      <c r="B660" t="s">
        <v>2350</v>
      </c>
      <c r="C660" t="s">
        <v>2319</v>
      </c>
      <c r="D660" t="s">
        <v>1427</v>
      </c>
      <c r="E660" t="s">
        <v>1179</v>
      </c>
      <c r="F660" t="s">
        <v>1369</v>
      </c>
      <c r="G660" t="s">
        <v>1528</v>
      </c>
      <c r="H660" t="s">
        <v>65</v>
      </c>
    </row>
    <row r="661" spans="1:8">
      <c r="A661">
        <v>297576</v>
      </c>
      <c r="B661" t="s">
        <v>2351</v>
      </c>
      <c r="C661" t="s">
        <v>2320</v>
      </c>
      <c r="D661" t="s">
        <v>1427</v>
      </c>
      <c r="E661" t="s">
        <v>1261</v>
      </c>
      <c r="F661" t="s">
        <v>1362</v>
      </c>
      <c r="G661" t="s">
        <v>1523</v>
      </c>
      <c r="H661" t="s">
        <v>67</v>
      </c>
    </row>
    <row r="662" spans="1:8">
      <c r="A662">
        <v>265405</v>
      </c>
      <c r="B662" t="s">
        <v>2352</v>
      </c>
      <c r="C662" t="s">
        <v>2321</v>
      </c>
      <c r="D662" t="s">
        <v>1427</v>
      </c>
      <c r="E662" t="s">
        <v>1261</v>
      </c>
      <c r="F662" t="s">
        <v>1362</v>
      </c>
      <c r="G662" t="s">
        <v>1523</v>
      </c>
      <c r="H662" t="s">
        <v>67</v>
      </c>
    </row>
    <row r="663" spans="1:8">
      <c r="A663">
        <v>344496</v>
      </c>
      <c r="B663" t="s">
        <v>2353</v>
      </c>
      <c r="C663" t="s">
        <v>2322</v>
      </c>
      <c r="D663" t="s">
        <v>1427</v>
      </c>
      <c r="E663" t="s">
        <v>1332</v>
      </c>
      <c r="F663" t="s">
        <v>602</v>
      </c>
      <c r="G663" t="s">
        <v>1528</v>
      </c>
      <c r="H663" t="s">
        <v>65</v>
      </c>
    </row>
    <row r="664" spans="1:8">
      <c r="A664">
        <v>344505</v>
      </c>
      <c r="B664" t="s">
        <v>2354</v>
      </c>
      <c r="C664" t="s">
        <v>2323</v>
      </c>
      <c r="D664" t="s">
        <v>1427</v>
      </c>
      <c r="E664" t="s">
        <v>1201</v>
      </c>
      <c r="F664" t="s">
        <v>1362</v>
      </c>
      <c r="G664" t="s">
        <v>1523</v>
      </c>
      <c r="H664" t="s">
        <v>67</v>
      </c>
    </row>
    <row r="665" spans="1:8">
      <c r="A665">
        <v>249251</v>
      </c>
      <c r="B665" t="s">
        <v>2355</v>
      </c>
      <c r="C665" t="s">
        <v>2324</v>
      </c>
      <c r="D665" t="s">
        <v>1427</v>
      </c>
      <c r="E665" t="s">
        <v>1326</v>
      </c>
      <c r="F665" t="s">
        <v>1369</v>
      </c>
      <c r="G665" t="s">
        <v>1528</v>
      </c>
      <c r="H665" t="s">
        <v>65</v>
      </c>
    </row>
    <row r="666" spans="1:8">
      <c r="A666">
        <v>278343</v>
      </c>
      <c r="B666" t="s">
        <v>2356</v>
      </c>
      <c r="C666" t="s">
        <v>2325</v>
      </c>
      <c r="D666" t="s">
        <v>1427</v>
      </c>
      <c r="E666" t="s">
        <v>1179</v>
      </c>
      <c r="F666" t="s">
        <v>1369</v>
      </c>
      <c r="G666" t="s">
        <v>1528</v>
      </c>
      <c r="H666" t="s">
        <v>65</v>
      </c>
    </row>
    <row r="667" spans="1:8">
      <c r="A667">
        <v>344514</v>
      </c>
      <c r="B667" t="s">
        <v>2357</v>
      </c>
      <c r="C667" t="s">
        <v>2326</v>
      </c>
      <c r="D667" t="s">
        <v>1427</v>
      </c>
      <c r="E667" t="s">
        <v>476</v>
      </c>
      <c r="F667" t="s">
        <v>1362</v>
      </c>
      <c r="G667" t="s">
        <v>1523</v>
      </c>
      <c r="H667" t="s">
        <v>67</v>
      </c>
    </row>
    <row r="668" spans="1:8">
      <c r="A668">
        <v>344653</v>
      </c>
      <c r="B668" t="s">
        <v>2358</v>
      </c>
      <c r="C668" t="s">
        <v>2327</v>
      </c>
      <c r="D668" t="s">
        <v>1427</v>
      </c>
      <c r="E668" t="s">
        <v>1332</v>
      </c>
      <c r="F668" t="s">
        <v>602</v>
      </c>
      <c r="G668" t="s">
        <v>1528</v>
      </c>
      <c r="H668" t="s">
        <v>65</v>
      </c>
    </row>
    <row r="669" spans="1:8">
      <c r="A669">
        <v>344655</v>
      </c>
      <c r="B669" t="s">
        <v>2359</v>
      </c>
      <c r="C669" t="s">
        <v>2725</v>
      </c>
      <c r="D669" t="s">
        <v>1427</v>
      </c>
      <c r="E669" t="s">
        <v>941</v>
      </c>
      <c r="F669" t="s">
        <v>1359</v>
      </c>
      <c r="G669" t="s">
        <v>1527</v>
      </c>
      <c r="H669" t="s">
        <v>59</v>
      </c>
    </row>
    <row r="670" spans="1:8">
      <c r="A670">
        <v>344811</v>
      </c>
      <c r="B670" t="s">
        <v>2360</v>
      </c>
      <c r="C670" t="s">
        <v>2328</v>
      </c>
      <c r="D670" t="s">
        <v>1427</v>
      </c>
      <c r="E670" t="s">
        <v>1201</v>
      </c>
      <c r="F670" t="s">
        <v>1362</v>
      </c>
      <c r="G670" t="s">
        <v>1523</v>
      </c>
      <c r="H670" t="s">
        <v>67</v>
      </c>
    </row>
    <row r="671" spans="1:8">
      <c r="A671">
        <v>344817</v>
      </c>
      <c r="B671" t="s">
        <v>2361</v>
      </c>
      <c r="C671" t="s">
        <v>2329</v>
      </c>
      <c r="D671" t="s">
        <v>1427</v>
      </c>
      <c r="E671" t="s">
        <v>1332</v>
      </c>
      <c r="F671" t="s">
        <v>602</v>
      </c>
      <c r="G671" t="s">
        <v>1528</v>
      </c>
      <c r="H671" t="s">
        <v>65</v>
      </c>
    </row>
    <row r="672" spans="1:8">
      <c r="A672">
        <v>344841</v>
      </c>
      <c r="B672" t="s">
        <v>2362</v>
      </c>
      <c r="C672" t="s">
        <v>2330</v>
      </c>
      <c r="D672" t="s">
        <v>1427</v>
      </c>
      <c r="E672" t="s">
        <v>1332</v>
      </c>
      <c r="F672" t="s">
        <v>602</v>
      </c>
      <c r="G672" t="s">
        <v>1528</v>
      </c>
      <c r="H672" t="s">
        <v>65</v>
      </c>
    </row>
    <row r="673" spans="1:8">
      <c r="A673">
        <v>344594</v>
      </c>
      <c r="B673" t="s">
        <v>2363</v>
      </c>
      <c r="C673" t="s">
        <v>2331</v>
      </c>
      <c r="D673" t="s">
        <v>1427</v>
      </c>
      <c r="E673" t="s">
        <v>1068</v>
      </c>
      <c r="F673" t="s">
        <v>1362</v>
      </c>
      <c r="G673" t="s">
        <v>1523</v>
      </c>
      <c r="H673" t="s">
        <v>67</v>
      </c>
    </row>
    <row r="674" spans="1:8">
      <c r="A674">
        <v>344657</v>
      </c>
      <c r="B674" t="s">
        <v>2364</v>
      </c>
      <c r="C674" t="s">
        <v>2726</v>
      </c>
      <c r="D674" t="s">
        <v>1427</v>
      </c>
      <c r="E674" t="s">
        <v>1334</v>
      </c>
      <c r="F674" t="s">
        <v>1362</v>
      </c>
      <c r="G674" t="s">
        <v>1523</v>
      </c>
      <c r="H674" t="s">
        <v>67</v>
      </c>
    </row>
    <row r="675" spans="1:8">
      <c r="A675">
        <v>350315</v>
      </c>
      <c r="B675" t="s">
        <v>2448</v>
      </c>
      <c r="C675" t="s">
        <v>2383</v>
      </c>
      <c r="D675" t="s">
        <v>1427</v>
      </c>
      <c r="E675" t="s">
        <v>1334</v>
      </c>
      <c r="F675" t="s">
        <v>1362</v>
      </c>
      <c r="G675" t="s">
        <v>1523</v>
      </c>
      <c r="H675" t="s">
        <v>67</v>
      </c>
    </row>
    <row r="676" spans="1:8">
      <c r="A676">
        <v>344604</v>
      </c>
      <c r="B676" t="s">
        <v>2365</v>
      </c>
      <c r="C676" t="s">
        <v>2332</v>
      </c>
      <c r="D676" t="s">
        <v>1427</v>
      </c>
      <c r="E676" t="s">
        <v>1334</v>
      </c>
      <c r="F676" t="s">
        <v>1362</v>
      </c>
      <c r="G676" t="s">
        <v>1523</v>
      </c>
      <c r="H676" t="s">
        <v>67</v>
      </c>
    </row>
    <row r="677" spans="1:8">
      <c r="A677">
        <v>344612</v>
      </c>
      <c r="B677" t="s">
        <v>2366</v>
      </c>
      <c r="C677" t="s">
        <v>2333</v>
      </c>
      <c r="D677" t="s">
        <v>1427</v>
      </c>
      <c r="E677" t="s">
        <v>1334</v>
      </c>
      <c r="F677" t="s">
        <v>1362</v>
      </c>
      <c r="G677" t="s">
        <v>1523</v>
      </c>
      <c r="H677" t="s">
        <v>67</v>
      </c>
    </row>
    <row r="678" spans="1:8">
      <c r="A678">
        <v>344725</v>
      </c>
      <c r="B678" t="s">
        <v>2367</v>
      </c>
      <c r="C678" t="s">
        <v>2727</v>
      </c>
      <c r="D678" t="s">
        <v>1427</v>
      </c>
      <c r="E678" t="s">
        <v>1334</v>
      </c>
      <c r="F678" t="s">
        <v>1362</v>
      </c>
      <c r="G678" t="s">
        <v>1523</v>
      </c>
      <c r="H678" t="s">
        <v>67</v>
      </c>
    </row>
    <row r="679" spans="1:8">
      <c r="A679">
        <v>344842</v>
      </c>
      <c r="B679" t="s">
        <v>2368</v>
      </c>
      <c r="C679" t="s">
        <v>2334</v>
      </c>
      <c r="D679" t="s">
        <v>1427</v>
      </c>
      <c r="E679" t="s">
        <v>1201</v>
      </c>
      <c r="F679" t="s">
        <v>1362</v>
      </c>
      <c r="G679" t="s">
        <v>1523</v>
      </c>
      <c r="H679" t="s">
        <v>67</v>
      </c>
    </row>
    <row r="680" spans="1:8">
      <c r="A680">
        <v>293594</v>
      </c>
      <c r="B680" t="s">
        <v>781</v>
      </c>
      <c r="C680" t="s">
        <v>1415</v>
      </c>
      <c r="D680" t="s">
        <v>1427</v>
      </c>
      <c r="E680" t="s">
        <v>1179</v>
      </c>
      <c r="F680" t="s">
        <v>1369</v>
      </c>
      <c r="G680" t="s">
        <v>1528</v>
      </c>
      <c r="H680" t="s">
        <v>65</v>
      </c>
    </row>
    <row r="681" spans="1:8">
      <c r="A681">
        <v>345529</v>
      </c>
      <c r="B681" t="s">
        <v>2369</v>
      </c>
      <c r="C681" t="s">
        <v>2335</v>
      </c>
      <c r="D681" t="s">
        <v>1427</v>
      </c>
      <c r="E681" t="s">
        <v>476</v>
      </c>
      <c r="F681" t="s">
        <v>1362</v>
      </c>
      <c r="G681" t="s">
        <v>1523</v>
      </c>
      <c r="H681" t="s">
        <v>67</v>
      </c>
    </row>
    <row r="682" spans="1:8">
      <c r="A682">
        <v>345093</v>
      </c>
      <c r="B682" t="s">
        <v>2370</v>
      </c>
      <c r="C682" t="s">
        <v>2336</v>
      </c>
      <c r="D682" t="s">
        <v>1427</v>
      </c>
      <c r="E682" t="s">
        <v>476</v>
      </c>
      <c r="F682" t="s">
        <v>1362</v>
      </c>
      <c r="G682" t="s">
        <v>1523</v>
      </c>
      <c r="H682" t="s">
        <v>67</v>
      </c>
    </row>
    <row r="683" spans="1:8">
      <c r="A683">
        <v>345095</v>
      </c>
      <c r="B683" t="s">
        <v>2371</v>
      </c>
      <c r="C683" t="s">
        <v>2337</v>
      </c>
      <c r="D683" t="s">
        <v>1427</v>
      </c>
      <c r="E683" t="s">
        <v>1068</v>
      </c>
      <c r="F683" t="s">
        <v>1362</v>
      </c>
      <c r="G683" t="s">
        <v>1523</v>
      </c>
      <c r="H683" t="s">
        <v>67</v>
      </c>
    </row>
    <row r="684" spans="1:8">
      <c r="A684">
        <v>345428</v>
      </c>
      <c r="B684" t="s">
        <v>2372</v>
      </c>
      <c r="C684" t="s">
        <v>2338</v>
      </c>
      <c r="D684" t="s">
        <v>1427</v>
      </c>
      <c r="E684" t="s">
        <v>1068</v>
      </c>
      <c r="F684" t="s">
        <v>1362</v>
      </c>
      <c r="G684" t="s">
        <v>1523</v>
      </c>
      <c r="H684" t="s">
        <v>67</v>
      </c>
    </row>
    <row r="685" spans="1:8">
      <c r="A685">
        <v>345091</v>
      </c>
      <c r="B685" t="s">
        <v>2373</v>
      </c>
      <c r="C685" t="s">
        <v>2339</v>
      </c>
      <c r="D685" t="s">
        <v>1427</v>
      </c>
      <c r="E685" t="s">
        <v>584</v>
      </c>
      <c r="F685" t="s">
        <v>1362</v>
      </c>
      <c r="G685" t="s">
        <v>1523</v>
      </c>
      <c r="H685" t="s">
        <v>67</v>
      </c>
    </row>
    <row r="686" spans="1:8">
      <c r="A686">
        <v>345085</v>
      </c>
      <c r="B686" t="s">
        <v>2374</v>
      </c>
      <c r="C686" t="s">
        <v>2340</v>
      </c>
      <c r="D686" t="s">
        <v>1427</v>
      </c>
      <c r="E686" t="s">
        <v>584</v>
      </c>
      <c r="F686" t="s">
        <v>1362</v>
      </c>
      <c r="G686" t="s">
        <v>1523</v>
      </c>
      <c r="H686" t="s">
        <v>67</v>
      </c>
    </row>
    <row r="687" spans="1:8">
      <c r="A687">
        <v>345089</v>
      </c>
      <c r="B687" t="s">
        <v>2375</v>
      </c>
      <c r="C687" t="s">
        <v>2341</v>
      </c>
      <c r="D687" t="s">
        <v>1427</v>
      </c>
      <c r="E687" t="s">
        <v>1261</v>
      </c>
      <c r="F687" t="s">
        <v>1362</v>
      </c>
      <c r="G687" t="s">
        <v>1523</v>
      </c>
      <c r="H687" t="s">
        <v>67</v>
      </c>
    </row>
    <row r="688" spans="1:8">
      <c r="A688">
        <v>345531</v>
      </c>
      <c r="B688" t="s">
        <v>2376</v>
      </c>
      <c r="C688" t="s">
        <v>2342</v>
      </c>
      <c r="D688" t="s">
        <v>1427</v>
      </c>
      <c r="E688" t="s">
        <v>789</v>
      </c>
      <c r="F688" t="s">
        <v>1369</v>
      </c>
      <c r="G688" t="s">
        <v>1528</v>
      </c>
      <c r="H688" t="s">
        <v>65</v>
      </c>
    </row>
    <row r="689" spans="1:8">
      <c r="A689">
        <v>345533</v>
      </c>
      <c r="B689" t="s">
        <v>2377</v>
      </c>
      <c r="C689" t="s">
        <v>2728</v>
      </c>
      <c r="D689" t="s">
        <v>1427</v>
      </c>
      <c r="E689" t="s">
        <v>789</v>
      </c>
      <c r="F689" t="s">
        <v>1369</v>
      </c>
      <c r="G689" t="s">
        <v>1528</v>
      </c>
      <c r="H689" t="s">
        <v>65</v>
      </c>
    </row>
    <row r="690" spans="1:8">
      <c r="A690">
        <v>347451</v>
      </c>
      <c r="B690" t="s">
        <v>2449</v>
      </c>
      <c r="C690" t="s">
        <v>2384</v>
      </c>
      <c r="D690" t="s">
        <v>1427</v>
      </c>
      <c r="E690" t="s">
        <v>1068</v>
      </c>
      <c r="F690" t="s">
        <v>1362</v>
      </c>
      <c r="G690" t="s">
        <v>1523</v>
      </c>
      <c r="H690" t="s">
        <v>67</v>
      </c>
    </row>
    <row r="691" spans="1:8">
      <c r="A691">
        <v>346465</v>
      </c>
      <c r="B691" t="s">
        <v>2450</v>
      </c>
      <c r="C691" t="s">
        <v>2385</v>
      </c>
      <c r="D691" t="s">
        <v>1427</v>
      </c>
      <c r="E691" t="s">
        <v>476</v>
      </c>
      <c r="F691" t="s">
        <v>1362</v>
      </c>
      <c r="G691" t="s">
        <v>1523</v>
      </c>
      <c r="H691" t="s">
        <v>67</v>
      </c>
    </row>
    <row r="692" spans="1:8">
      <c r="A692">
        <v>260269</v>
      </c>
      <c r="B692" t="s">
        <v>1376</v>
      </c>
      <c r="C692" t="s">
        <v>1349</v>
      </c>
      <c r="D692" t="s">
        <v>1427</v>
      </c>
      <c r="E692" t="s">
        <v>1201</v>
      </c>
      <c r="F692" t="s">
        <v>1362</v>
      </c>
      <c r="G692" t="s">
        <v>1523</v>
      </c>
      <c r="H692" t="s">
        <v>67</v>
      </c>
    </row>
    <row r="693" spans="1:8">
      <c r="A693">
        <v>243331</v>
      </c>
      <c r="B693" t="s">
        <v>1380</v>
      </c>
      <c r="C693" t="s">
        <v>1353</v>
      </c>
      <c r="D693" t="s">
        <v>1427</v>
      </c>
      <c r="E693" t="s">
        <v>1201</v>
      </c>
      <c r="F693" t="s">
        <v>1362</v>
      </c>
      <c r="G693" t="s">
        <v>1523</v>
      </c>
      <c r="H693" t="s">
        <v>67</v>
      </c>
    </row>
    <row r="694" spans="1:8">
      <c r="A694">
        <v>325894</v>
      </c>
      <c r="B694" t="s">
        <v>1567</v>
      </c>
      <c r="C694" t="s">
        <v>1568</v>
      </c>
      <c r="D694" t="s">
        <v>1427</v>
      </c>
      <c r="E694" t="s">
        <v>584</v>
      </c>
      <c r="F694" t="s">
        <v>1362</v>
      </c>
      <c r="G694" t="s">
        <v>1523</v>
      </c>
      <c r="H694" t="s">
        <v>67</v>
      </c>
    </row>
    <row r="695" spans="1:8">
      <c r="A695">
        <v>298971</v>
      </c>
      <c r="B695" t="s">
        <v>2451</v>
      </c>
      <c r="C695" t="s">
        <v>2386</v>
      </c>
      <c r="D695" t="s">
        <v>1427</v>
      </c>
      <c r="E695" t="s">
        <v>1332</v>
      </c>
      <c r="F695" t="s">
        <v>602</v>
      </c>
      <c r="G695" t="s">
        <v>1528</v>
      </c>
      <c r="H695" t="s">
        <v>65</v>
      </c>
    </row>
    <row r="696" spans="1:8">
      <c r="A696">
        <v>349918</v>
      </c>
      <c r="B696" t="s">
        <v>2452</v>
      </c>
      <c r="C696" t="s">
        <v>2387</v>
      </c>
      <c r="D696" t="s">
        <v>1427</v>
      </c>
      <c r="E696" t="s">
        <v>1332</v>
      </c>
      <c r="F696" t="s">
        <v>602</v>
      </c>
      <c r="G696" t="s">
        <v>1528</v>
      </c>
      <c r="H696" t="s">
        <v>65</v>
      </c>
    </row>
    <row r="697" spans="1:8">
      <c r="A697">
        <v>350043</v>
      </c>
      <c r="B697" t="s">
        <v>2453</v>
      </c>
      <c r="C697" t="s">
        <v>2388</v>
      </c>
      <c r="D697" t="s">
        <v>1427</v>
      </c>
      <c r="E697" t="s">
        <v>789</v>
      </c>
      <c r="F697" t="s">
        <v>1369</v>
      </c>
      <c r="G697" t="s">
        <v>1528</v>
      </c>
      <c r="H697" t="s">
        <v>65</v>
      </c>
    </row>
    <row r="698" spans="1:8">
      <c r="A698">
        <v>350046</v>
      </c>
      <c r="B698" t="s">
        <v>2454</v>
      </c>
      <c r="C698" t="s">
        <v>2389</v>
      </c>
      <c r="D698" t="s">
        <v>1427</v>
      </c>
      <c r="E698" t="s">
        <v>789</v>
      </c>
      <c r="F698" t="s">
        <v>1369</v>
      </c>
      <c r="G698" t="s">
        <v>1528</v>
      </c>
      <c r="H698" t="s">
        <v>65</v>
      </c>
    </row>
    <row r="699" spans="1:8">
      <c r="A699">
        <v>350082</v>
      </c>
      <c r="B699" t="s">
        <v>2455</v>
      </c>
      <c r="C699" t="s">
        <v>2390</v>
      </c>
      <c r="D699" t="s">
        <v>1427</v>
      </c>
      <c r="E699" t="s">
        <v>789</v>
      </c>
      <c r="F699" t="s">
        <v>1369</v>
      </c>
      <c r="G699" t="s">
        <v>1528</v>
      </c>
      <c r="H699" t="s">
        <v>65</v>
      </c>
    </row>
    <row r="700" spans="1:8">
      <c r="A700">
        <v>350053</v>
      </c>
      <c r="B700" t="s">
        <v>2456</v>
      </c>
      <c r="C700" t="s">
        <v>2391</v>
      </c>
      <c r="D700" t="s">
        <v>1427</v>
      </c>
      <c r="E700" t="s">
        <v>2380</v>
      </c>
      <c r="F700" t="s">
        <v>602</v>
      </c>
      <c r="G700" t="s">
        <v>1528</v>
      </c>
      <c r="H700" t="s">
        <v>65</v>
      </c>
    </row>
    <row r="701" spans="1:8">
      <c r="A701">
        <v>349989</v>
      </c>
      <c r="B701" t="s">
        <v>2457</v>
      </c>
      <c r="C701" t="s">
        <v>2392</v>
      </c>
      <c r="D701" t="s">
        <v>1427</v>
      </c>
      <c r="E701" t="s">
        <v>512</v>
      </c>
      <c r="F701" t="s">
        <v>602</v>
      </c>
      <c r="G701" t="s">
        <v>1528</v>
      </c>
      <c r="H701" t="s">
        <v>65</v>
      </c>
    </row>
    <row r="702" spans="1:8">
      <c r="A702">
        <v>349993</v>
      </c>
      <c r="B702" t="s">
        <v>2458</v>
      </c>
      <c r="C702" t="s">
        <v>2393</v>
      </c>
      <c r="D702" t="s">
        <v>1427</v>
      </c>
      <c r="E702" t="s">
        <v>512</v>
      </c>
      <c r="F702" t="s">
        <v>602</v>
      </c>
      <c r="G702" t="s">
        <v>1528</v>
      </c>
      <c r="H702" t="s">
        <v>65</v>
      </c>
    </row>
    <row r="703" spans="1:8">
      <c r="A703">
        <v>266743</v>
      </c>
      <c r="B703" t="s">
        <v>2459</v>
      </c>
      <c r="C703" t="s">
        <v>2394</v>
      </c>
      <c r="D703" t="s">
        <v>1427</v>
      </c>
      <c r="E703" t="s">
        <v>476</v>
      </c>
      <c r="F703" t="s">
        <v>1362</v>
      </c>
      <c r="G703" t="s">
        <v>1523</v>
      </c>
      <c r="H703" t="s">
        <v>67</v>
      </c>
    </row>
    <row r="704" spans="1:8">
      <c r="A704">
        <v>349984</v>
      </c>
      <c r="B704" t="s">
        <v>2460</v>
      </c>
      <c r="C704" t="s">
        <v>2395</v>
      </c>
      <c r="D704" t="s">
        <v>1427</v>
      </c>
      <c r="E704" t="s">
        <v>476</v>
      </c>
      <c r="F704" t="s">
        <v>1362</v>
      </c>
      <c r="G704" t="s">
        <v>1523</v>
      </c>
      <c r="H704" t="s">
        <v>67</v>
      </c>
    </row>
    <row r="705" spans="1:8">
      <c r="A705">
        <v>349991</v>
      </c>
      <c r="B705" t="s">
        <v>2461</v>
      </c>
      <c r="C705" t="s">
        <v>2396</v>
      </c>
      <c r="D705" t="s">
        <v>1427</v>
      </c>
      <c r="E705" t="s">
        <v>584</v>
      </c>
      <c r="F705" t="s">
        <v>1362</v>
      </c>
      <c r="G705" t="s">
        <v>1523</v>
      </c>
      <c r="H705" t="s">
        <v>67</v>
      </c>
    </row>
    <row r="706" spans="1:8">
      <c r="A706">
        <v>299080</v>
      </c>
      <c r="B706" t="s">
        <v>2462</v>
      </c>
      <c r="C706" t="s">
        <v>2397</v>
      </c>
      <c r="D706" t="s">
        <v>1427</v>
      </c>
      <c r="E706" t="s">
        <v>584</v>
      </c>
      <c r="F706" t="s">
        <v>1362</v>
      </c>
      <c r="G706" t="s">
        <v>1523</v>
      </c>
      <c r="H706" t="s">
        <v>67</v>
      </c>
    </row>
    <row r="707" spans="1:8">
      <c r="A707">
        <v>349986</v>
      </c>
      <c r="B707" t="s">
        <v>2463</v>
      </c>
      <c r="C707" t="s">
        <v>2398</v>
      </c>
      <c r="D707" t="s">
        <v>1427</v>
      </c>
      <c r="E707" t="s">
        <v>584</v>
      </c>
      <c r="F707" t="s">
        <v>1362</v>
      </c>
      <c r="G707" t="s">
        <v>1523</v>
      </c>
      <c r="H707" t="s">
        <v>67</v>
      </c>
    </row>
    <row r="708" spans="1:8">
      <c r="A708">
        <v>350128</v>
      </c>
      <c r="B708" t="s">
        <v>2464</v>
      </c>
      <c r="C708" t="s">
        <v>2399</v>
      </c>
      <c r="D708" t="s">
        <v>1427</v>
      </c>
      <c r="E708" t="s">
        <v>512</v>
      </c>
      <c r="F708" t="s">
        <v>602</v>
      </c>
      <c r="G708" t="s">
        <v>1528</v>
      </c>
      <c r="H708" t="s">
        <v>65</v>
      </c>
    </row>
    <row r="709" spans="1:8">
      <c r="A709">
        <v>350368</v>
      </c>
      <c r="B709" t="s">
        <v>2465</v>
      </c>
      <c r="C709" t="s">
        <v>2400</v>
      </c>
      <c r="D709" t="s">
        <v>1427</v>
      </c>
      <c r="E709" t="s">
        <v>512</v>
      </c>
      <c r="F709" t="s">
        <v>602</v>
      </c>
      <c r="G709" t="s">
        <v>1528</v>
      </c>
      <c r="H709" t="s">
        <v>65</v>
      </c>
    </row>
    <row r="710" spans="1:8">
      <c r="A710">
        <v>293600</v>
      </c>
      <c r="B710" t="s">
        <v>2466</v>
      </c>
      <c r="C710" t="s">
        <v>2401</v>
      </c>
      <c r="D710" t="s">
        <v>1427</v>
      </c>
      <c r="E710" t="s">
        <v>512</v>
      </c>
      <c r="F710" t="s">
        <v>602</v>
      </c>
      <c r="G710" t="s">
        <v>1528</v>
      </c>
      <c r="H710" t="s">
        <v>65</v>
      </c>
    </row>
    <row r="711" spans="1:8">
      <c r="A711">
        <v>350317</v>
      </c>
      <c r="B711" t="s">
        <v>2467</v>
      </c>
      <c r="C711" t="s">
        <v>2402</v>
      </c>
      <c r="D711" t="s">
        <v>1427</v>
      </c>
      <c r="E711" t="s">
        <v>512</v>
      </c>
      <c r="F711" t="s">
        <v>602</v>
      </c>
      <c r="G711" t="s">
        <v>1528</v>
      </c>
      <c r="H711" t="s">
        <v>65</v>
      </c>
    </row>
    <row r="712" spans="1:8">
      <c r="A712">
        <v>350342</v>
      </c>
      <c r="B712" t="s">
        <v>2468</v>
      </c>
      <c r="C712" t="s">
        <v>2729</v>
      </c>
      <c r="D712" t="s">
        <v>1427</v>
      </c>
      <c r="E712" t="s">
        <v>789</v>
      </c>
      <c r="F712" t="s">
        <v>1369</v>
      </c>
      <c r="G712" t="s">
        <v>1528</v>
      </c>
      <c r="H712" t="s">
        <v>65</v>
      </c>
    </row>
    <row r="713" spans="1:8">
      <c r="A713">
        <v>350349</v>
      </c>
      <c r="B713" t="s">
        <v>2469</v>
      </c>
      <c r="C713" t="s">
        <v>2730</v>
      </c>
      <c r="D713" t="s">
        <v>1427</v>
      </c>
      <c r="E713" t="s">
        <v>789</v>
      </c>
      <c r="F713" t="s">
        <v>1369</v>
      </c>
      <c r="G713" t="s">
        <v>1528</v>
      </c>
      <c r="H713" t="s">
        <v>65</v>
      </c>
    </row>
    <row r="714" spans="1:8">
      <c r="A714">
        <v>350327</v>
      </c>
      <c r="B714" t="s">
        <v>2470</v>
      </c>
      <c r="C714" t="s">
        <v>2403</v>
      </c>
      <c r="D714" t="s">
        <v>1427</v>
      </c>
      <c r="E714" t="s">
        <v>789</v>
      </c>
      <c r="F714" t="s">
        <v>1369</v>
      </c>
      <c r="G714" t="s">
        <v>1528</v>
      </c>
      <c r="H714" t="s">
        <v>65</v>
      </c>
    </row>
    <row r="715" spans="1:8">
      <c r="A715">
        <v>350364</v>
      </c>
      <c r="B715" t="s">
        <v>2471</v>
      </c>
      <c r="C715" t="s">
        <v>2404</v>
      </c>
      <c r="D715" t="s">
        <v>1427</v>
      </c>
      <c r="E715" t="s">
        <v>1261</v>
      </c>
      <c r="F715" t="s">
        <v>1362</v>
      </c>
      <c r="G715" t="s">
        <v>1523</v>
      </c>
      <c r="H715" t="s">
        <v>67</v>
      </c>
    </row>
    <row r="716" spans="1:8">
      <c r="A716">
        <v>349506</v>
      </c>
      <c r="B716" t="s">
        <v>2472</v>
      </c>
      <c r="C716" t="s">
        <v>2405</v>
      </c>
      <c r="D716" t="s">
        <v>1427</v>
      </c>
      <c r="E716" t="s">
        <v>1326</v>
      </c>
      <c r="F716" t="s">
        <v>1369</v>
      </c>
      <c r="G716" t="s">
        <v>1548</v>
      </c>
      <c r="H716" t="s">
        <v>65</v>
      </c>
    </row>
    <row r="717" spans="1:8">
      <c r="A717">
        <v>349574</v>
      </c>
      <c r="B717" t="s">
        <v>2473</v>
      </c>
      <c r="C717" t="s">
        <v>2406</v>
      </c>
      <c r="D717" t="s">
        <v>1427</v>
      </c>
      <c r="E717" t="s">
        <v>1326</v>
      </c>
      <c r="F717" t="s">
        <v>1369</v>
      </c>
      <c r="G717" t="s">
        <v>1548</v>
      </c>
      <c r="H717" t="s">
        <v>65</v>
      </c>
    </row>
    <row r="718" spans="1:8">
      <c r="A718">
        <v>350319</v>
      </c>
      <c r="B718" t="s">
        <v>2474</v>
      </c>
      <c r="C718" t="s">
        <v>2407</v>
      </c>
      <c r="D718" t="s">
        <v>1427</v>
      </c>
      <c r="E718" t="s">
        <v>1326</v>
      </c>
      <c r="F718" t="s">
        <v>1369</v>
      </c>
      <c r="G718" t="s">
        <v>1548</v>
      </c>
      <c r="H718" t="s">
        <v>65</v>
      </c>
    </row>
    <row r="719" spans="1:8">
      <c r="A719">
        <v>350321</v>
      </c>
      <c r="B719" t="s">
        <v>2475</v>
      </c>
      <c r="C719" t="s">
        <v>2408</v>
      </c>
      <c r="D719" t="s">
        <v>1427</v>
      </c>
      <c r="E719" t="s">
        <v>1326</v>
      </c>
      <c r="F719" t="s">
        <v>1369</v>
      </c>
      <c r="G719" t="s">
        <v>1548</v>
      </c>
      <c r="H719" t="s">
        <v>65</v>
      </c>
    </row>
    <row r="720" spans="1:8">
      <c r="A720">
        <v>350356</v>
      </c>
      <c r="B720" t="s">
        <v>2476</v>
      </c>
      <c r="C720" t="s">
        <v>2731</v>
      </c>
      <c r="D720" t="s">
        <v>1427</v>
      </c>
      <c r="E720" t="s">
        <v>1334</v>
      </c>
      <c r="F720" t="s">
        <v>1362</v>
      </c>
      <c r="G720" t="s">
        <v>1523</v>
      </c>
      <c r="H720" t="s">
        <v>67</v>
      </c>
    </row>
    <row r="721" spans="1:8">
      <c r="A721">
        <v>350367</v>
      </c>
      <c r="B721" t="s">
        <v>2477</v>
      </c>
      <c r="C721" t="s">
        <v>2409</v>
      </c>
      <c r="D721" t="s">
        <v>1427</v>
      </c>
      <c r="E721" t="s">
        <v>1326</v>
      </c>
      <c r="F721" t="s">
        <v>1369</v>
      </c>
      <c r="G721" t="s">
        <v>1528</v>
      </c>
      <c r="H721" t="s">
        <v>65</v>
      </c>
    </row>
    <row r="722" spans="1:8">
      <c r="A722">
        <v>350344</v>
      </c>
      <c r="B722" t="s">
        <v>2478</v>
      </c>
      <c r="C722" t="s">
        <v>2410</v>
      </c>
      <c r="D722" t="s">
        <v>1427</v>
      </c>
      <c r="E722" t="s">
        <v>1334</v>
      </c>
      <c r="F722" t="s">
        <v>1362</v>
      </c>
      <c r="G722" t="s">
        <v>1523</v>
      </c>
      <c r="H722" t="s">
        <v>67</v>
      </c>
    </row>
    <row r="723" spans="1:8">
      <c r="A723">
        <v>350717</v>
      </c>
      <c r="B723" t="s">
        <v>2479</v>
      </c>
      <c r="C723" t="s">
        <v>2411</v>
      </c>
      <c r="D723" t="s">
        <v>1427</v>
      </c>
      <c r="E723" t="s">
        <v>789</v>
      </c>
      <c r="F723" t="s">
        <v>1369</v>
      </c>
      <c r="G723" t="s">
        <v>1528</v>
      </c>
      <c r="H723" t="s">
        <v>65</v>
      </c>
    </row>
    <row r="724" spans="1:8">
      <c r="A724">
        <v>350720</v>
      </c>
      <c r="B724" t="s">
        <v>2480</v>
      </c>
      <c r="C724" t="s">
        <v>2412</v>
      </c>
      <c r="D724" t="s">
        <v>1427</v>
      </c>
      <c r="E724" t="s">
        <v>2380</v>
      </c>
      <c r="F724" t="s">
        <v>602</v>
      </c>
      <c r="G724" t="s">
        <v>1528</v>
      </c>
      <c r="H724" t="s">
        <v>65</v>
      </c>
    </row>
    <row r="725" spans="1:8">
      <c r="A725">
        <v>350721</v>
      </c>
      <c r="B725" t="s">
        <v>2481</v>
      </c>
      <c r="C725" t="s">
        <v>2413</v>
      </c>
      <c r="D725" t="s">
        <v>1427</v>
      </c>
      <c r="E725" t="s">
        <v>2380</v>
      </c>
      <c r="F725" t="s">
        <v>602</v>
      </c>
      <c r="G725" t="s">
        <v>1528</v>
      </c>
      <c r="H725" t="s">
        <v>65</v>
      </c>
    </row>
    <row r="726" spans="1:8">
      <c r="A726">
        <v>350544</v>
      </c>
      <c r="B726" t="s">
        <v>2482</v>
      </c>
      <c r="C726" t="s">
        <v>2414</v>
      </c>
      <c r="D726" t="s">
        <v>1427</v>
      </c>
      <c r="E726" t="s">
        <v>1068</v>
      </c>
      <c r="F726" t="s">
        <v>1362</v>
      </c>
      <c r="G726" t="s">
        <v>1523</v>
      </c>
      <c r="H726" t="s">
        <v>67</v>
      </c>
    </row>
    <row r="727" spans="1:8">
      <c r="A727">
        <v>350728</v>
      </c>
      <c r="B727" t="s">
        <v>2483</v>
      </c>
      <c r="C727" t="s">
        <v>2415</v>
      </c>
      <c r="D727" t="s">
        <v>1427</v>
      </c>
      <c r="E727" t="s">
        <v>1068</v>
      </c>
      <c r="F727" t="s">
        <v>1362</v>
      </c>
      <c r="G727" t="s">
        <v>1523</v>
      </c>
      <c r="H727" t="s">
        <v>67</v>
      </c>
    </row>
    <row r="728" spans="1:8">
      <c r="A728">
        <v>350730</v>
      </c>
      <c r="B728" t="s">
        <v>2484</v>
      </c>
      <c r="C728" t="s">
        <v>2416</v>
      </c>
      <c r="D728" t="s">
        <v>1427</v>
      </c>
      <c r="E728" t="s">
        <v>2380</v>
      </c>
      <c r="F728" t="s">
        <v>602</v>
      </c>
      <c r="G728" t="s">
        <v>1528</v>
      </c>
      <c r="H728" t="s">
        <v>65</v>
      </c>
    </row>
    <row r="729" spans="1:8">
      <c r="A729">
        <v>350731</v>
      </c>
      <c r="B729" t="s">
        <v>2485</v>
      </c>
      <c r="C729" t="s">
        <v>2417</v>
      </c>
      <c r="D729" t="s">
        <v>1427</v>
      </c>
      <c r="E729" t="s">
        <v>2380</v>
      </c>
      <c r="F729" t="s">
        <v>602</v>
      </c>
      <c r="G729" t="s">
        <v>1528</v>
      </c>
      <c r="H729" t="s">
        <v>65</v>
      </c>
    </row>
    <row r="730" spans="1:8">
      <c r="A730">
        <v>350732</v>
      </c>
      <c r="B730" t="s">
        <v>2486</v>
      </c>
      <c r="C730" t="s">
        <v>2418</v>
      </c>
      <c r="D730" t="s">
        <v>1427</v>
      </c>
      <c r="E730" t="s">
        <v>2380</v>
      </c>
      <c r="F730" t="s">
        <v>602</v>
      </c>
      <c r="G730" t="s">
        <v>1528</v>
      </c>
      <c r="H730" t="s">
        <v>65</v>
      </c>
    </row>
    <row r="731" spans="1:8">
      <c r="A731">
        <v>350553</v>
      </c>
      <c r="B731" t="s">
        <v>2487</v>
      </c>
      <c r="C731" t="s">
        <v>2419</v>
      </c>
      <c r="D731" t="s">
        <v>1427</v>
      </c>
      <c r="E731" t="s">
        <v>1261</v>
      </c>
      <c r="F731" t="s">
        <v>1362</v>
      </c>
      <c r="G731" t="s">
        <v>1523</v>
      </c>
      <c r="H731" t="s">
        <v>67</v>
      </c>
    </row>
    <row r="732" spans="1:8">
      <c r="A732">
        <v>350570</v>
      </c>
      <c r="B732" t="s">
        <v>2488</v>
      </c>
      <c r="C732" t="s">
        <v>2732</v>
      </c>
      <c r="D732" t="s">
        <v>1427</v>
      </c>
      <c r="E732" t="s">
        <v>584</v>
      </c>
      <c r="F732" t="s">
        <v>1362</v>
      </c>
      <c r="G732" t="s">
        <v>1523</v>
      </c>
      <c r="H732" t="s">
        <v>67</v>
      </c>
    </row>
    <row r="733" spans="1:8">
      <c r="A733">
        <v>350716</v>
      </c>
      <c r="B733" t="s">
        <v>2489</v>
      </c>
      <c r="C733" t="s">
        <v>2420</v>
      </c>
      <c r="D733" t="s">
        <v>1427</v>
      </c>
      <c r="E733" t="s">
        <v>584</v>
      </c>
      <c r="F733" t="s">
        <v>1362</v>
      </c>
      <c r="G733" t="s">
        <v>1523</v>
      </c>
      <c r="H733" t="s">
        <v>67</v>
      </c>
    </row>
    <row r="734" spans="1:8">
      <c r="A734">
        <v>350725</v>
      </c>
      <c r="B734" t="s">
        <v>2490</v>
      </c>
      <c r="C734" t="s">
        <v>2421</v>
      </c>
      <c r="D734" t="s">
        <v>1427</v>
      </c>
      <c r="E734" t="s">
        <v>584</v>
      </c>
      <c r="F734" t="s">
        <v>1362</v>
      </c>
      <c r="G734" t="s">
        <v>1523</v>
      </c>
      <c r="H734" t="s">
        <v>67</v>
      </c>
    </row>
    <row r="735" spans="1:8">
      <c r="A735">
        <v>350562</v>
      </c>
      <c r="B735" t="s">
        <v>2491</v>
      </c>
      <c r="C735" t="s">
        <v>2422</v>
      </c>
      <c r="D735" t="s">
        <v>1427</v>
      </c>
      <c r="E735" t="s">
        <v>941</v>
      </c>
      <c r="F735" t="s">
        <v>1359</v>
      </c>
      <c r="G735" t="s">
        <v>1527</v>
      </c>
      <c r="H735" t="s">
        <v>59</v>
      </c>
    </row>
    <row r="736" spans="1:8">
      <c r="A736">
        <v>350928</v>
      </c>
      <c r="B736" t="s">
        <v>2493</v>
      </c>
      <c r="C736" t="s">
        <v>2424</v>
      </c>
      <c r="D736" t="s">
        <v>1427</v>
      </c>
      <c r="E736" t="s">
        <v>1006</v>
      </c>
      <c r="F736" t="s">
        <v>1359</v>
      </c>
      <c r="G736" t="s">
        <v>1527</v>
      </c>
      <c r="H736" t="s">
        <v>59</v>
      </c>
    </row>
    <row r="737" spans="1:8">
      <c r="A737">
        <v>350929</v>
      </c>
      <c r="B737" t="s">
        <v>2494</v>
      </c>
      <c r="C737" t="s">
        <v>2425</v>
      </c>
      <c r="D737" t="s">
        <v>1427</v>
      </c>
      <c r="E737" t="s">
        <v>1006</v>
      </c>
      <c r="F737" t="s">
        <v>1359</v>
      </c>
      <c r="G737" t="s">
        <v>1527</v>
      </c>
      <c r="H737" t="s">
        <v>59</v>
      </c>
    </row>
    <row r="738" spans="1:8">
      <c r="A738">
        <v>350947</v>
      </c>
      <c r="B738" t="s">
        <v>2495</v>
      </c>
      <c r="C738" t="s">
        <v>2426</v>
      </c>
      <c r="D738" t="s">
        <v>1427</v>
      </c>
      <c r="E738" t="s">
        <v>941</v>
      </c>
      <c r="F738" t="s">
        <v>1359</v>
      </c>
      <c r="G738" t="s">
        <v>1527</v>
      </c>
      <c r="H738" t="s">
        <v>59</v>
      </c>
    </row>
    <row r="739" spans="1:8">
      <c r="A739">
        <v>350950</v>
      </c>
      <c r="B739" t="s">
        <v>2496</v>
      </c>
      <c r="C739" t="s">
        <v>2427</v>
      </c>
      <c r="D739" t="s">
        <v>1427</v>
      </c>
      <c r="E739" t="s">
        <v>941</v>
      </c>
      <c r="F739" t="s">
        <v>1359</v>
      </c>
      <c r="G739" t="s">
        <v>1527</v>
      </c>
      <c r="H739" t="s">
        <v>59</v>
      </c>
    </row>
    <row r="740" spans="1:8">
      <c r="A740">
        <v>350930</v>
      </c>
      <c r="B740" t="s">
        <v>2497</v>
      </c>
      <c r="C740" t="s">
        <v>2428</v>
      </c>
      <c r="D740" t="s">
        <v>1427</v>
      </c>
      <c r="E740" t="s">
        <v>1068</v>
      </c>
      <c r="F740" t="s">
        <v>1362</v>
      </c>
      <c r="G740" t="s">
        <v>1523</v>
      </c>
      <c r="H740" t="s">
        <v>67</v>
      </c>
    </row>
    <row r="741" spans="1:8">
      <c r="A741">
        <v>350932</v>
      </c>
      <c r="B741" t="s">
        <v>2498</v>
      </c>
      <c r="C741" t="s">
        <v>2429</v>
      </c>
      <c r="D741" t="s">
        <v>1427</v>
      </c>
      <c r="E741" t="s">
        <v>1068</v>
      </c>
      <c r="F741" t="s">
        <v>1362</v>
      </c>
      <c r="G741" t="s">
        <v>1523</v>
      </c>
      <c r="H741" t="s">
        <v>67</v>
      </c>
    </row>
    <row r="742" spans="1:8">
      <c r="A742">
        <v>350935</v>
      </c>
      <c r="B742" t="s">
        <v>2499</v>
      </c>
      <c r="C742" t="s">
        <v>2430</v>
      </c>
      <c r="D742" t="s">
        <v>1427</v>
      </c>
      <c r="E742" t="s">
        <v>476</v>
      </c>
      <c r="F742" t="s">
        <v>1362</v>
      </c>
      <c r="G742" t="s">
        <v>1523</v>
      </c>
      <c r="H742" t="s">
        <v>67</v>
      </c>
    </row>
    <row r="743" spans="1:8">
      <c r="A743">
        <v>350963</v>
      </c>
      <c r="B743" t="s">
        <v>2500</v>
      </c>
      <c r="C743" t="s">
        <v>2431</v>
      </c>
      <c r="D743" t="s">
        <v>1427</v>
      </c>
      <c r="E743" t="s">
        <v>476</v>
      </c>
      <c r="F743" t="s">
        <v>1362</v>
      </c>
      <c r="G743" t="s">
        <v>1523</v>
      </c>
      <c r="H743" t="s">
        <v>67</v>
      </c>
    </row>
    <row r="744" spans="1:8">
      <c r="A744">
        <v>350958</v>
      </c>
      <c r="B744" t="s">
        <v>2501</v>
      </c>
      <c r="C744" t="s">
        <v>2432</v>
      </c>
      <c r="D744" t="s">
        <v>1427</v>
      </c>
      <c r="E744" t="s">
        <v>584</v>
      </c>
      <c r="F744" t="s">
        <v>1362</v>
      </c>
      <c r="G744" t="s">
        <v>1523</v>
      </c>
      <c r="H744" t="s">
        <v>67</v>
      </c>
    </row>
    <row r="745" spans="1:8">
      <c r="A745">
        <v>350669</v>
      </c>
      <c r="B745" t="s">
        <v>2502</v>
      </c>
      <c r="C745" t="s">
        <v>2433</v>
      </c>
      <c r="D745" t="s">
        <v>1427</v>
      </c>
      <c r="E745" t="s">
        <v>690</v>
      </c>
      <c r="F745" t="s">
        <v>1359</v>
      </c>
      <c r="G745" t="s">
        <v>1527</v>
      </c>
      <c r="H745" t="s">
        <v>59</v>
      </c>
    </row>
    <row r="746" spans="1:8">
      <c r="A746">
        <v>350667</v>
      </c>
      <c r="B746" t="s">
        <v>2503</v>
      </c>
      <c r="C746" t="s">
        <v>2733</v>
      </c>
      <c r="D746" t="s">
        <v>1427</v>
      </c>
      <c r="E746" t="s">
        <v>690</v>
      </c>
      <c r="F746" t="s">
        <v>1359</v>
      </c>
      <c r="G746" t="s">
        <v>1527</v>
      </c>
      <c r="H746" t="s">
        <v>59</v>
      </c>
    </row>
    <row r="747" spans="1:8">
      <c r="A747">
        <v>234560</v>
      </c>
      <c r="B747" t="s">
        <v>2504</v>
      </c>
      <c r="C747" t="s">
        <v>2434</v>
      </c>
      <c r="D747" t="s">
        <v>1427</v>
      </c>
      <c r="E747" t="s">
        <v>512</v>
      </c>
      <c r="F747" t="s">
        <v>602</v>
      </c>
      <c r="G747" t="s">
        <v>1528</v>
      </c>
      <c r="H747" t="s">
        <v>65</v>
      </c>
    </row>
    <row r="748" spans="1:8">
      <c r="A748">
        <v>351240</v>
      </c>
      <c r="B748" t="s">
        <v>2505</v>
      </c>
      <c r="C748" t="s">
        <v>2435</v>
      </c>
      <c r="D748" t="s">
        <v>1427</v>
      </c>
      <c r="E748" t="s">
        <v>512</v>
      </c>
      <c r="F748" t="s">
        <v>602</v>
      </c>
      <c r="G748" t="s">
        <v>1528</v>
      </c>
      <c r="H748" t="s">
        <v>65</v>
      </c>
    </row>
    <row r="749" spans="1:8">
      <c r="A749">
        <v>350936</v>
      </c>
      <c r="B749" t="s">
        <v>2506</v>
      </c>
      <c r="C749" t="s">
        <v>2436</v>
      </c>
      <c r="D749" t="s">
        <v>1427</v>
      </c>
      <c r="E749" t="s">
        <v>2380</v>
      </c>
      <c r="F749" t="s">
        <v>602</v>
      </c>
      <c r="G749" t="s">
        <v>1528</v>
      </c>
      <c r="H749" t="s">
        <v>65</v>
      </c>
    </row>
    <row r="750" spans="1:8">
      <c r="A750">
        <v>351305</v>
      </c>
      <c r="B750" t="s">
        <v>2507</v>
      </c>
      <c r="C750" t="s">
        <v>2437</v>
      </c>
      <c r="D750" t="s">
        <v>1427</v>
      </c>
      <c r="E750" t="s">
        <v>584</v>
      </c>
      <c r="F750" t="s">
        <v>1362</v>
      </c>
      <c r="G750" t="s">
        <v>1523</v>
      </c>
      <c r="H750" t="s">
        <v>67</v>
      </c>
    </row>
    <row r="751" spans="1:8">
      <c r="A751">
        <v>351254</v>
      </c>
      <c r="B751" t="s">
        <v>2508</v>
      </c>
      <c r="C751" t="s">
        <v>2438</v>
      </c>
      <c r="D751" t="s">
        <v>1427</v>
      </c>
      <c r="E751" t="s">
        <v>789</v>
      </c>
      <c r="F751" t="s">
        <v>1369</v>
      </c>
      <c r="G751" t="s">
        <v>1528</v>
      </c>
      <c r="H751" t="s">
        <v>65</v>
      </c>
    </row>
    <row r="752" spans="1:8">
      <c r="A752">
        <v>351231</v>
      </c>
      <c r="B752" t="s">
        <v>2509</v>
      </c>
      <c r="C752" t="s">
        <v>2439</v>
      </c>
      <c r="D752" t="s">
        <v>1427</v>
      </c>
      <c r="E752" t="s">
        <v>1006</v>
      </c>
      <c r="F752" t="s">
        <v>1359</v>
      </c>
      <c r="G752" t="s">
        <v>1527</v>
      </c>
      <c r="H752" t="s">
        <v>59</v>
      </c>
    </row>
    <row r="753" spans="1:8">
      <c r="A753">
        <v>351263</v>
      </c>
      <c r="B753" t="s">
        <v>2510</v>
      </c>
      <c r="C753" t="s">
        <v>2440</v>
      </c>
      <c r="D753" t="s">
        <v>1427</v>
      </c>
      <c r="E753" t="s">
        <v>1261</v>
      </c>
      <c r="F753" t="s">
        <v>1362</v>
      </c>
      <c r="G753" t="s">
        <v>1523</v>
      </c>
      <c r="H753" t="s">
        <v>67</v>
      </c>
    </row>
    <row r="754" spans="1:8">
      <c r="A754">
        <v>351294</v>
      </c>
      <c r="B754" t="s">
        <v>2511</v>
      </c>
      <c r="C754" t="s">
        <v>2441</v>
      </c>
      <c r="D754" t="s">
        <v>1427</v>
      </c>
      <c r="E754" t="s">
        <v>1261</v>
      </c>
      <c r="F754" t="s">
        <v>1362</v>
      </c>
      <c r="G754" t="s">
        <v>1523</v>
      </c>
      <c r="H754" t="s">
        <v>67</v>
      </c>
    </row>
    <row r="755" spans="1:8">
      <c r="A755">
        <v>351296</v>
      </c>
      <c r="B755" t="s">
        <v>2512</v>
      </c>
      <c r="C755" t="s">
        <v>2442</v>
      </c>
      <c r="D755" t="s">
        <v>1427</v>
      </c>
      <c r="E755" t="s">
        <v>1261</v>
      </c>
      <c r="F755" t="s">
        <v>1362</v>
      </c>
      <c r="G755" t="s">
        <v>1523</v>
      </c>
      <c r="H755" t="s">
        <v>67</v>
      </c>
    </row>
    <row r="756" spans="1:8">
      <c r="A756">
        <v>297538</v>
      </c>
      <c r="B756" t="s">
        <v>2513</v>
      </c>
      <c r="C756" t="s">
        <v>2443</v>
      </c>
      <c r="D756" t="s">
        <v>1427</v>
      </c>
      <c r="E756" t="s">
        <v>1261</v>
      </c>
      <c r="F756" t="s">
        <v>1362</v>
      </c>
      <c r="G756" t="s">
        <v>1523</v>
      </c>
      <c r="H756" t="s">
        <v>67</v>
      </c>
    </row>
    <row r="757" spans="1:8">
      <c r="A757">
        <v>351216</v>
      </c>
      <c r="B757" t="s">
        <v>2514</v>
      </c>
      <c r="C757" t="s">
        <v>2444</v>
      </c>
      <c r="D757" t="s">
        <v>1427</v>
      </c>
      <c r="E757" t="s">
        <v>1334</v>
      </c>
      <c r="F757" t="s">
        <v>1362</v>
      </c>
      <c r="G757" t="s">
        <v>1523</v>
      </c>
      <c r="H757" t="s">
        <v>67</v>
      </c>
    </row>
    <row r="758" spans="1:8">
      <c r="A758">
        <v>351230</v>
      </c>
      <c r="B758" t="s">
        <v>2515</v>
      </c>
      <c r="C758" t="s">
        <v>2445</v>
      </c>
      <c r="D758" t="s">
        <v>1427</v>
      </c>
      <c r="E758" t="s">
        <v>1326</v>
      </c>
      <c r="F758" t="s">
        <v>1369</v>
      </c>
      <c r="G758" t="s">
        <v>1528</v>
      </c>
      <c r="H758" t="s">
        <v>65</v>
      </c>
    </row>
    <row r="759" spans="1:8">
      <c r="A759">
        <v>351250</v>
      </c>
      <c r="B759" t="s">
        <v>2516</v>
      </c>
      <c r="C759" t="s">
        <v>2446</v>
      </c>
      <c r="D759" t="s">
        <v>1427</v>
      </c>
      <c r="E759" t="s">
        <v>1195</v>
      </c>
      <c r="F759" t="s">
        <v>1363</v>
      </c>
      <c r="G759" t="s">
        <v>1530</v>
      </c>
      <c r="H759" t="s">
        <v>66</v>
      </c>
    </row>
    <row r="760" spans="1:8">
      <c r="A760">
        <v>351509</v>
      </c>
      <c r="B760" t="s">
        <v>2545</v>
      </c>
      <c r="C760" t="s">
        <v>2517</v>
      </c>
      <c r="D760" t="s">
        <v>1427</v>
      </c>
      <c r="E760" t="s">
        <v>789</v>
      </c>
      <c r="F760" t="s">
        <v>1369</v>
      </c>
      <c r="G760" t="s">
        <v>1528</v>
      </c>
      <c r="H760" t="s">
        <v>65</v>
      </c>
    </row>
    <row r="761" spans="1:8">
      <c r="A761">
        <v>351460</v>
      </c>
      <c r="B761" t="s">
        <v>2546</v>
      </c>
      <c r="C761" t="s">
        <v>2518</v>
      </c>
      <c r="D761" t="s">
        <v>1427</v>
      </c>
      <c r="E761" t="s">
        <v>789</v>
      </c>
      <c r="F761" t="s">
        <v>1369</v>
      </c>
      <c r="G761" t="s">
        <v>1528</v>
      </c>
      <c r="H761" t="s">
        <v>65</v>
      </c>
    </row>
    <row r="762" spans="1:8">
      <c r="A762">
        <v>351513</v>
      </c>
      <c r="B762" t="s">
        <v>2547</v>
      </c>
      <c r="C762" t="s">
        <v>2519</v>
      </c>
      <c r="D762" t="s">
        <v>1427</v>
      </c>
      <c r="E762" t="s">
        <v>789</v>
      </c>
      <c r="F762" t="s">
        <v>1369</v>
      </c>
      <c r="G762" t="s">
        <v>1528</v>
      </c>
      <c r="H762" t="s">
        <v>65</v>
      </c>
    </row>
    <row r="763" spans="1:8">
      <c r="A763">
        <v>351514</v>
      </c>
      <c r="B763" t="s">
        <v>2548</v>
      </c>
      <c r="C763" t="s">
        <v>2520</v>
      </c>
      <c r="D763" t="s">
        <v>1427</v>
      </c>
      <c r="E763" t="s">
        <v>789</v>
      </c>
      <c r="F763" t="s">
        <v>1369</v>
      </c>
      <c r="G763" t="s">
        <v>1528</v>
      </c>
      <c r="H763" t="s">
        <v>65</v>
      </c>
    </row>
    <row r="764" spans="1:8">
      <c r="A764">
        <v>351289</v>
      </c>
      <c r="B764" t="s">
        <v>2549</v>
      </c>
      <c r="C764" t="s">
        <v>2521</v>
      </c>
      <c r="D764" t="s">
        <v>1427</v>
      </c>
      <c r="E764" t="s">
        <v>789</v>
      </c>
      <c r="F764" t="s">
        <v>1369</v>
      </c>
      <c r="G764" t="s">
        <v>1528</v>
      </c>
      <c r="H764" t="s">
        <v>65</v>
      </c>
    </row>
    <row r="765" spans="1:8">
      <c r="A765">
        <v>351470</v>
      </c>
      <c r="B765" t="s">
        <v>2550</v>
      </c>
      <c r="C765" t="s">
        <v>2522</v>
      </c>
      <c r="D765" t="s">
        <v>1427</v>
      </c>
      <c r="E765" t="s">
        <v>2380</v>
      </c>
      <c r="F765" t="s">
        <v>602</v>
      </c>
      <c r="G765" t="s">
        <v>1528</v>
      </c>
      <c r="H765" t="s">
        <v>65</v>
      </c>
    </row>
    <row r="766" spans="1:8">
      <c r="A766">
        <v>351472</v>
      </c>
      <c r="B766" t="s">
        <v>2551</v>
      </c>
      <c r="C766" t="s">
        <v>2523</v>
      </c>
      <c r="D766" t="s">
        <v>1427</v>
      </c>
      <c r="E766" t="s">
        <v>2380</v>
      </c>
      <c r="F766" t="s">
        <v>602</v>
      </c>
      <c r="G766" t="s">
        <v>1528</v>
      </c>
      <c r="H766" t="s">
        <v>65</v>
      </c>
    </row>
    <row r="767" spans="1:8">
      <c r="A767">
        <v>351506</v>
      </c>
      <c r="B767" t="s">
        <v>2552</v>
      </c>
      <c r="C767" t="s">
        <v>2524</v>
      </c>
      <c r="D767" t="s">
        <v>1427</v>
      </c>
      <c r="E767" t="s">
        <v>2380</v>
      </c>
      <c r="F767" t="s">
        <v>602</v>
      </c>
      <c r="G767" t="s">
        <v>1528</v>
      </c>
      <c r="H767" t="s">
        <v>65</v>
      </c>
    </row>
    <row r="768" spans="1:8">
      <c r="A768">
        <v>351504</v>
      </c>
      <c r="B768" t="s">
        <v>2553</v>
      </c>
      <c r="C768" t="s">
        <v>2525</v>
      </c>
      <c r="D768" t="s">
        <v>1427</v>
      </c>
      <c r="E768" t="s">
        <v>2380</v>
      </c>
      <c r="F768" t="s">
        <v>602</v>
      </c>
      <c r="G768" t="s">
        <v>1528</v>
      </c>
      <c r="H768" t="s">
        <v>65</v>
      </c>
    </row>
    <row r="769" spans="1:8">
      <c r="A769">
        <v>351499</v>
      </c>
      <c r="B769" t="s">
        <v>2554</v>
      </c>
      <c r="C769" t="s">
        <v>2526</v>
      </c>
      <c r="D769" t="s">
        <v>1427</v>
      </c>
      <c r="E769" t="s">
        <v>2380</v>
      </c>
      <c r="F769" t="s">
        <v>602</v>
      </c>
      <c r="G769" t="s">
        <v>1528</v>
      </c>
      <c r="H769" t="s">
        <v>65</v>
      </c>
    </row>
    <row r="770" spans="1:8">
      <c r="A770">
        <v>351463</v>
      </c>
      <c r="B770" t="s">
        <v>2555</v>
      </c>
      <c r="C770" t="s">
        <v>2527</v>
      </c>
      <c r="D770" t="s">
        <v>1427</v>
      </c>
      <c r="E770" t="s">
        <v>584</v>
      </c>
      <c r="F770" t="s">
        <v>1362</v>
      </c>
      <c r="G770" t="s">
        <v>1523</v>
      </c>
      <c r="H770" t="s">
        <v>67</v>
      </c>
    </row>
    <row r="771" spans="1:8">
      <c r="A771">
        <v>351471</v>
      </c>
      <c r="B771" t="s">
        <v>2556</v>
      </c>
      <c r="C771" t="s">
        <v>2528</v>
      </c>
      <c r="D771" t="s">
        <v>1427</v>
      </c>
      <c r="E771" t="s">
        <v>584</v>
      </c>
      <c r="F771" t="s">
        <v>1362</v>
      </c>
      <c r="G771" t="s">
        <v>1523</v>
      </c>
      <c r="H771" t="s">
        <v>67</v>
      </c>
    </row>
    <row r="772" spans="1:8">
      <c r="A772">
        <v>351461</v>
      </c>
      <c r="B772" t="s">
        <v>2557</v>
      </c>
      <c r="C772" t="s">
        <v>2529</v>
      </c>
      <c r="D772" t="s">
        <v>1427</v>
      </c>
      <c r="E772" t="s">
        <v>1261</v>
      </c>
      <c r="F772" t="s">
        <v>1362</v>
      </c>
      <c r="G772" t="s">
        <v>1523</v>
      </c>
      <c r="H772" t="s">
        <v>67</v>
      </c>
    </row>
    <row r="773" spans="1:8">
      <c r="A773">
        <v>351521</v>
      </c>
      <c r="B773" t="s">
        <v>2558</v>
      </c>
      <c r="C773" t="s">
        <v>2530</v>
      </c>
      <c r="D773" t="s">
        <v>1427</v>
      </c>
      <c r="E773" t="s">
        <v>1261</v>
      </c>
      <c r="F773" t="s">
        <v>1362</v>
      </c>
      <c r="G773" t="s">
        <v>1523</v>
      </c>
      <c r="H773" t="s">
        <v>67</v>
      </c>
    </row>
    <row r="774" spans="1:8">
      <c r="A774">
        <v>299961</v>
      </c>
      <c r="B774" t="s">
        <v>2559</v>
      </c>
      <c r="C774" t="s">
        <v>2531</v>
      </c>
      <c r="D774" t="s">
        <v>1427</v>
      </c>
      <c r="E774" t="s">
        <v>1261</v>
      </c>
      <c r="F774" t="s">
        <v>1362</v>
      </c>
      <c r="G774" t="s">
        <v>1523</v>
      </c>
      <c r="H774" t="s">
        <v>67</v>
      </c>
    </row>
    <row r="775" spans="1:8">
      <c r="A775">
        <v>351742</v>
      </c>
      <c r="B775" t="s">
        <v>2560</v>
      </c>
      <c r="C775" t="s">
        <v>2532</v>
      </c>
      <c r="D775" t="s">
        <v>1427</v>
      </c>
      <c r="E775" t="s">
        <v>512</v>
      </c>
      <c r="F775" t="s">
        <v>602</v>
      </c>
      <c r="G775" t="s">
        <v>1528</v>
      </c>
      <c r="H775" t="s">
        <v>65</v>
      </c>
    </row>
    <row r="776" spans="1:8">
      <c r="A776">
        <v>351793</v>
      </c>
      <c r="B776" t="s">
        <v>2561</v>
      </c>
      <c r="C776" t="s">
        <v>2533</v>
      </c>
      <c r="D776" t="s">
        <v>1427</v>
      </c>
      <c r="E776" t="s">
        <v>512</v>
      </c>
      <c r="F776" t="s">
        <v>602</v>
      </c>
      <c r="G776" t="s">
        <v>1528</v>
      </c>
      <c r="H776" t="s">
        <v>65</v>
      </c>
    </row>
    <row r="777" spans="1:8">
      <c r="A777">
        <v>351801</v>
      </c>
      <c r="B777" t="s">
        <v>2562</v>
      </c>
      <c r="C777" t="s">
        <v>2534</v>
      </c>
      <c r="D777" t="s">
        <v>1427</v>
      </c>
      <c r="E777" t="s">
        <v>512</v>
      </c>
      <c r="F777" t="s">
        <v>602</v>
      </c>
      <c r="G777" t="s">
        <v>1528</v>
      </c>
      <c r="H777" t="s">
        <v>65</v>
      </c>
    </row>
    <row r="778" spans="1:8">
      <c r="A778">
        <v>351827</v>
      </c>
      <c r="B778" t="s">
        <v>2563</v>
      </c>
      <c r="C778" t="s">
        <v>2535</v>
      </c>
      <c r="D778" t="s">
        <v>1427</v>
      </c>
      <c r="E778" t="s">
        <v>512</v>
      </c>
      <c r="F778" t="s">
        <v>602</v>
      </c>
      <c r="G778" t="s">
        <v>1528</v>
      </c>
      <c r="H778" t="s">
        <v>65</v>
      </c>
    </row>
    <row r="779" spans="1:8">
      <c r="A779">
        <v>351828</v>
      </c>
      <c r="B779" t="s">
        <v>2564</v>
      </c>
      <c r="C779" t="s">
        <v>2536</v>
      </c>
      <c r="D779" t="s">
        <v>1427</v>
      </c>
      <c r="E779" t="s">
        <v>1326</v>
      </c>
      <c r="F779" t="s">
        <v>1369</v>
      </c>
      <c r="G779" t="s">
        <v>1528</v>
      </c>
      <c r="H779" t="s">
        <v>65</v>
      </c>
    </row>
    <row r="780" spans="1:8">
      <c r="A780">
        <v>351829</v>
      </c>
      <c r="B780" t="s">
        <v>2565</v>
      </c>
      <c r="C780" t="s">
        <v>2537</v>
      </c>
      <c r="D780" t="s">
        <v>1427</v>
      </c>
      <c r="E780" t="s">
        <v>1326</v>
      </c>
      <c r="F780" t="s">
        <v>1369</v>
      </c>
      <c r="G780" t="s">
        <v>1528</v>
      </c>
      <c r="H780" t="s">
        <v>65</v>
      </c>
    </row>
    <row r="781" spans="1:8">
      <c r="A781">
        <v>351261</v>
      </c>
      <c r="B781" t="s">
        <v>2566</v>
      </c>
      <c r="C781" t="s">
        <v>2538</v>
      </c>
      <c r="D781" t="s">
        <v>1427</v>
      </c>
      <c r="E781" t="s">
        <v>1326</v>
      </c>
      <c r="F781" t="s">
        <v>1369</v>
      </c>
      <c r="G781" t="s">
        <v>1528</v>
      </c>
      <c r="H781" t="s">
        <v>65</v>
      </c>
    </row>
    <row r="782" spans="1:8">
      <c r="A782">
        <v>311051</v>
      </c>
      <c r="B782" t="s">
        <v>2567</v>
      </c>
      <c r="C782" t="s">
        <v>2734</v>
      </c>
      <c r="D782" t="s">
        <v>1427</v>
      </c>
      <c r="E782" t="s">
        <v>1326</v>
      </c>
      <c r="F782" t="s">
        <v>1369</v>
      </c>
      <c r="G782" t="s">
        <v>1528</v>
      </c>
      <c r="H782" t="s">
        <v>65</v>
      </c>
    </row>
    <row r="783" spans="1:8">
      <c r="A783">
        <v>351783</v>
      </c>
      <c r="B783" t="s">
        <v>2568</v>
      </c>
      <c r="C783" t="s">
        <v>2539</v>
      </c>
      <c r="D783" t="s">
        <v>1427</v>
      </c>
      <c r="E783" t="s">
        <v>1334</v>
      </c>
      <c r="F783" t="s">
        <v>1362</v>
      </c>
      <c r="G783" t="s">
        <v>1523</v>
      </c>
      <c r="H783" t="s">
        <v>67</v>
      </c>
    </row>
    <row r="784" spans="1:8">
      <c r="A784">
        <v>351805</v>
      </c>
      <c r="B784" t="s">
        <v>2569</v>
      </c>
      <c r="C784" t="s">
        <v>2540</v>
      </c>
      <c r="D784" t="s">
        <v>1427</v>
      </c>
      <c r="E784" t="s">
        <v>1334</v>
      </c>
      <c r="F784" t="s">
        <v>1362</v>
      </c>
      <c r="G784" t="s">
        <v>1523</v>
      </c>
      <c r="H784" t="s">
        <v>67</v>
      </c>
    </row>
    <row r="785" spans="1:8">
      <c r="A785">
        <v>351475</v>
      </c>
      <c r="B785" t="s">
        <v>2570</v>
      </c>
      <c r="C785" t="s">
        <v>2541</v>
      </c>
      <c r="D785" t="s">
        <v>1427</v>
      </c>
      <c r="E785" t="s">
        <v>1334</v>
      </c>
      <c r="F785" t="s">
        <v>1362</v>
      </c>
      <c r="G785" t="s">
        <v>1523</v>
      </c>
      <c r="H785" t="s">
        <v>67</v>
      </c>
    </row>
    <row r="786" spans="1:8">
      <c r="A786">
        <v>351807</v>
      </c>
      <c r="B786" t="s">
        <v>2571</v>
      </c>
      <c r="C786" t="s">
        <v>2542</v>
      </c>
      <c r="D786" t="s">
        <v>1427</v>
      </c>
      <c r="E786" t="s">
        <v>1201</v>
      </c>
      <c r="F786" t="s">
        <v>1362</v>
      </c>
      <c r="G786" t="s">
        <v>1523</v>
      </c>
      <c r="H786" t="s">
        <v>67</v>
      </c>
    </row>
    <row r="787" spans="1:8">
      <c r="A787">
        <v>351800</v>
      </c>
      <c r="B787" t="s">
        <v>2572</v>
      </c>
      <c r="C787" t="s">
        <v>2543</v>
      </c>
      <c r="D787" t="s">
        <v>1427</v>
      </c>
      <c r="E787" t="s">
        <v>1201</v>
      </c>
      <c r="F787" t="s">
        <v>1362</v>
      </c>
      <c r="G787" t="s">
        <v>1523</v>
      </c>
      <c r="H787" t="s">
        <v>67</v>
      </c>
    </row>
    <row r="788" spans="1:8">
      <c r="A788">
        <v>351785</v>
      </c>
      <c r="B788" t="s">
        <v>2573</v>
      </c>
      <c r="C788" t="s">
        <v>2544</v>
      </c>
      <c r="D788" t="s">
        <v>1427</v>
      </c>
      <c r="E788" t="s">
        <v>1201</v>
      </c>
      <c r="F788" t="s">
        <v>1362</v>
      </c>
      <c r="G788" t="s">
        <v>1523</v>
      </c>
      <c r="H788" t="s">
        <v>67</v>
      </c>
    </row>
    <row r="789" spans="1:8">
      <c r="A789">
        <v>351767</v>
      </c>
      <c r="B789" t="s">
        <v>2645</v>
      </c>
      <c r="C789" t="s">
        <v>2579</v>
      </c>
      <c r="D789" t="s">
        <v>1427</v>
      </c>
      <c r="E789" t="s">
        <v>2380</v>
      </c>
      <c r="F789" t="s">
        <v>602</v>
      </c>
      <c r="G789" t="s">
        <v>1528</v>
      </c>
      <c r="H789" t="s">
        <v>65</v>
      </c>
    </row>
    <row r="790" spans="1:8">
      <c r="A790">
        <v>351752</v>
      </c>
      <c r="B790" t="s">
        <v>2646</v>
      </c>
      <c r="C790" t="s">
        <v>2580</v>
      </c>
      <c r="D790" t="s">
        <v>1427</v>
      </c>
      <c r="E790" t="s">
        <v>2380</v>
      </c>
      <c r="F790" t="s">
        <v>602</v>
      </c>
      <c r="G790" t="s">
        <v>1528</v>
      </c>
      <c r="H790" t="s">
        <v>65</v>
      </c>
    </row>
    <row r="791" spans="1:8">
      <c r="A791">
        <v>351750</v>
      </c>
      <c r="B791" t="s">
        <v>2647</v>
      </c>
      <c r="C791" t="s">
        <v>2581</v>
      </c>
      <c r="D791" t="s">
        <v>1427</v>
      </c>
      <c r="E791" t="s">
        <v>2380</v>
      </c>
      <c r="F791" t="s">
        <v>602</v>
      </c>
      <c r="G791" t="s">
        <v>1528</v>
      </c>
      <c r="H791" t="s">
        <v>65</v>
      </c>
    </row>
    <row r="792" spans="1:8">
      <c r="A792">
        <v>351744</v>
      </c>
      <c r="B792" t="s">
        <v>2648</v>
      </c>
      <c r="C792" t="s">
        <v>2582</v>
      </c>
      <c r="D792" t="s">
        <v>1427</v>
      </c>
      <c r="E792" t="s">
        <v>2380</v>
      </c>
      <c r="F792" t="s">
        <v>602</v>
      </c>
      <c r="G792" t="s">
        <v>1528</v>
      </c>
      <c r="H792" t="s">
        <v>65</v>
      </c>
    </row>
    <row r="793" spans="1:8">
      <c r="A793">
        <v>351796</v>
      </c>
      <c r="B793" t="s">
        <v>2649</v>
      </c>
      <c r="C793" t="s">
        <v>2583</v>
      </c>
      <c r="D793" t="s">
        <v>1427</v>
      </c>
      <c r="E793" t="s">
        <v>2380</v>
      </c>
      <c r="F793" t="s">
        <v>602</v>
      </c>
      <c r="G793" t="s">
        <v>1528</v>
      </c>
      <c r="H793" t="s">
        <v>65</v>
      </c>
    </row>
    <row r="794" spans="1:8">
      <c r="A794">
        <v>352075</v>
      </c>
      <c r="B794" t="s">
        <v>2650</v>
      </c>
      <c r="C794" t="s">
        <v>2584</v>
      </c>
      <c r="D794" t="s">
        <v>1427</v>
      </c>
      <c r="E794" t="s">
        <v>2380</v>
      </c>
      <c r="F794" t="s">
        <v>602</v>
      </c>
      <c r="G794" t="s">
        <v>1528</v>
      </c>
      <c r="H794" t="s">
        <v>65</v>
      </c>
    </row>
    <row r="795" spans="1:8">
      <c r="A795">
        <v>352085</v>
      </c>
      <c r="B795" t="s">
        <v>2651</v>
      </c>
      <c r="C795" t="s">
        <v>2735</v>
      </c>
      <c r="D795" t="s">
        <v>1427</v>
      </c>
      <c r="E795" t="s">
        <v>2380</v>
      </c>
      <c r="F795" t="s">
        <v>602</v>
      </c>
      <c r="G795" t="s">
        <v>1528</v>
      </c>
      <c r="H795" t="s">
        <v>65</v>
      </c>
    </row>
    <row r="796" spans="1:8">
      <c r="A796">
        <v>352083</v>
      </c>
      <c r="B796" t="s">
        <v>2652</v>
      </c>
      <c r="C796" t="s">
        <v>2585</v>
      </c>
      <c r="D796" t="s">
        <v>1427</v>
      </c>
      <c r="E796" t="s">
        <v>584</v>
      </c>
      <c r="F796" t="s">
        <v>1362</v>
      </c>
      <c r="G796" t="s">
        <v>1523</v>
      </c>
      <c r="H796" t="s">
        <v>67</v>
      </c>
    </row>
    <row r="797" spans="1:8">
      <c r="A797">
        <v>352084</v>
      </c>
      <c r="B797" t="s">
        <v>2653</v>
      </c>
      <c r="C797" t="s">
        <v>2586</v>
      </c>
      <c r="D797" t="s">
        <v>1427</v>
      </c>
      <c r="E797" t="s">
        <v>584</v>
      </c>
      <c r="F797" t="s">
        <v>1362</v>
      </c>
      <c r="G797" t="s">
        <v>1523</v>
      </c>
      <c r="H797" t="s">
        <v>67</v>
      </c>
    </row>
    <row r="798" spans="1:8">
      <c r="A798">
        <v>351799</v>
      </c>
      <c r="B798" t="s">
        <v>2654</v>
      </c>
      <c r="C798" t="s">
        <v>2587</v>
      </c>
      <c r="D798" t="s">
        <v>1427</v>
      </c>
      <c r="E798" t="s">
        <v>584</v>
      </c>
      <c r="F798" t="s">
        <v>1362</v>
      </c>
      <c r="G798" t="s">
        <v>1523</v>
      </c>
      <c r="H798" t="s">
        <v>67</v>
      </c>
    </row>
    <row r="799" spans="1:8">
      <c r="A799">
        <v>352081</v>
      </c>
      <c r="B799" t="s">
        <v>2655</v>
      </c>
      <c r="C799" t="s">
        <v>2588</v>
      </c>
      <c r="D799" t="s">
        <v>1427</v>
      </c>
      <c r="E799" t="s">
        <v>789</v>
      </c>
      <c r="F799" t="s">
        <v>1369</v>
      </c>
      <c r="G799" t="s">
        <v>1528</v>
      </c>
      <c r="H799" t="s">
        <v>65</v>
      </c>
    </row>
    <row r="800" spans="1:8">
      <c r="A800">
        <v>352087</v>
      </c>
      <c r="B800" t="s">
        <v>2656</v>
      </c>
      <c r="C800" t="s">
        <v>2589</v>
      </c>
      <c r="D800" t="s">
        <v>1427</v>
      </c>
      <c r="E800" t="s">
        <v>1195</v>
      </c>
      <c r="F800" t="s">
        <v>1363</v>
      </c>
      <c r="G800" t="s">
        <v>1530</v>
      </c>
      <c r="H800" t="s">
        <v>66</v>
      </c>
    </row>
    <row r="801" spans="1:8">
      <c r="A801">
        <v>352088</v>
      </c>
      <c r="B801" t="s">
        <v>2657</v>
      </c>
      <c r="C801" t="s">
        <v>2590</v>
      </c>
      <c r="D801" t="s">
        <v>1427</v>
      </c>
      <c r="E801" t="s">
        <v>1195</v>
      </c>
      <c r="F801" t="s">
        <v>1363</v>
      </c>
      <c r="G801" t="s">
        <v>1530</v>
      </c>
      <c r="H801" t="s">
        <v>66</v>
      </c>
    </row>
    <row r="802" spans="1:8">
      <c r="A802">
        <v>352074</v>
      </c>
      <c r="B802" t="s">
        <v>2658</v>
      </c>
      <c r="C802" t="s">
        <v>2591</v>
      </c>
      <c r="D802" t="s">
        <v>1427</v>
      </c>
      <c r="E802" t="s">
        <v>1201</v>
      </c>
      <c r="F802" t="s">
        <v>1362</v>
      </c>
      <c r="G802" t="s">
        <v>1523</v>
      </c>
      <c r="H802" t="s">
        <v>67</v>
      </c>
    </row>
    <row r="803" spans="1:8">
      <c r="A803">
        <v>352082</v>
      </c>
      <c r="B803" t="s">
        <v>2659</v>
      </c>
      <c r="C803" t="s">
        <v>2592</v>
      </c>
      <c r="D803" t="s">
        <v>1427</v>
      </c>
      <c r="E803" t="s">
        <v>1201</v>
      </c>
      <c r="F803" t="s">
        <v>1362</v>
      </c>
      <c r="G803" t="s">
        <v>1523</v>
      </c>
      <c r="H803" t="s">
        <v>67</v>
      </c>
    </row>
    <row r="804" spans="1:8">
      <c r="A804">
        <v>351786</v>
      </c>
      <c r="B804" t="s">
        <v>2660</v>
      </c>
      <c r="C804" t="s">
        <v>2593</v>
      </c>
      <c r="D804" t="s">
        <v>1427</v>
      </c>
      <c r="E804" t="s">
        <v>1261</v>
      </c>
      <c r="F804" t="s">
        <v>1362</v>
      </c>
      <c r="G804" t="s">
        <v>1523</v>
      </c>
      <c r="H804" t="s">
        <v>67</v>
      </c>
    </row>
    <row r="805" spans="1:8">
      <c r="A805">
        <v>351791</v>
      </c>
      <c r="B805" t="s">
        <v>2661</v>
      </c>
      <c r="C805" t="s">
        <v>2594</v>
      </c>
      <c r="D805" t="s">
        <v>1427</v>
      </c>
      <c r="E805" t="s">
        <v>1261</v>
      </c>
      <c r="F805" t="s">
        <v>1362</v>
      </c>
      <c r="G805" t="s">
        <v>1523</v>
      </c>
      <c r="H805" t="s">
        <v>67</v>
      </c>
    </row>
    <row r="806" spans="1:8">
      <c r="A806">
        <v>352079</v>
      </c>
      <c r="B806" t="s">
        <v>2662</v>
      </c>
      <c r="C806" t="s">
        <v>2736</v>
      </c>
      <c r="D806" t="s">
        <v>1427</v>
      </c>
      <c r="E806" t="s">
        <v>1261</v>
      </c>
      <c r="F806" t="s">
        <v>1362</v>
      </c>
      <c r="G806" t="s">
        <v>1523</v>
      </c>
      <c r="H806" t="s">
        <v>67</v>
      </c>
    </row>
    <row r="807" spans="1:8">
      <c r="A807">
        <v>352077</v>
      </c>
      <c r="B807" t="s">
        <v>2663</v>
      </c>
      <c r="C807" t="s">
        <v>2595</v>
      </c>
      <c r="D807" t="s">
        <v>1427</v>
      </c>
      <c r="E807" t="s">
        <v>1261</v>
      </c>
      <c r="F807" t="s">
        <v>1362</v>
      </c>
      <c r="G807" t="s">
        <v>1523</v>
      </c>
      <c r="H807" t="s">
        <v>67</v>
      </c>
    </row>
    <row r="808" spans="1:8">
      <c r="A808">
        <v>270265</v>
      </c>
      <c r="B808" t="s">
        <v>2664</v>
      </c>
      <c r="C808" t="s">
        <v>2596</v>
      </c>
      <c r="D808" t="s">
        <v>1427</v>
      </c>
      <c r="E808" t="s">
        <v>1334</v>
      </c>
      <c r="F808" t="s">
        <v>1362</v>
      </c>
      <c r="G808" t="s">
        <v>1523</v>
      </c>
      <c r="H808" t="s">
        <v>67</v>
      </c>
    </row>
    <row r="809" spans="1:8">
      <c r="A809">
        <v>352311</v>
      </c>
      <c r="B809" t="s">
        <v>2665</v>
      </c>
      <c r="C809" t="s">
        <v>2597</v>
      </c>
      <c r="D809" t="s">
        <v>1427</v>
      </c>
      <c r="E809" t="s">
        <v>476</v>
      </c>
      <c r="F809" t="s">
        <v>1362</v>
      </c>
      <c r="G809" t="s">
        <v>1523</v>
      </c>
      <c r="H809" t="s">
        <v>67</v>
      </c>
    </row>
    <row r="810" spans="1:8">
      <c r="A810">
        <v>352402</v>
      </c>
      <c r="B810" t="s">
        <v>2666</v>
      </c>
      <c r="C810" t="s">
        <v>2598</v>
      </c>
      <c r="D810" t="s">
        <v>1427</v>
      </c>
      <c r="E810" t="s">
        <v>476</v>
      </c>
      <c r="F810" t="s">
        <v>1362</v>
      </c>
      <c r="G810" t="s">
        <v>1523</v>
      </c>
      <c r="H810" t="s">
        <v>67</v>
      </c>
    </row>
    <row r="811" spans="1:8">
      <c r="A811">
        <v>352359</v>
      </c>
      <c r="B811" t="s">
        <v>2667</v>
      </c>
      <c r="C811" t="s">
        <v>2737</v>
      </c>
      <c r="D811" t="s">
        <v>1427</v>
      </c>
      <c r="E811" t="s">
        <v>476</v>
      </c>
      <c r="F811" t="s">
        <v>1362</v>
      </c>
      <c r="G811" t="s">
        <v>1523</v>
      </c>
      <c r="H811" t="s">
        <v>67</v>
      </c>
    </row>
    <row r="812" spans="1:8">
      <c r="A812">
        <v>352394</v>
      </c>
      <c r="B812" t="s">
        <v>2668</v>
      </c>
      <c r="C812" t="s">
        <v>2738</v>
      </c>
      <c r="D812" t="s">
        <v>1427</v>
      </c>
      <c r="E812" t="s">
        <v>476</v>
      </c>
      <c r="F812" t="s">
        <v>1362</v>
      </c>
      <c r="G812" t="s">
        <v>1523</v>
      </c>
      <c r="H812" t="s">
        <v>67</v>
      </c>
    </row>
    <row r="813" spans="1:8">
      <c r="A813">
        <v>200043</v>
      </c>
      <c r="B813" t="s">
        <v>2669</v>
      </c>
      <c r="C813" t="s">
        <v>2599</v>
      </c>
      <c r="D813" t="s">
        <v>1427</v>
      </c>
      <c r="E813" t="s">
        <v>476</v>
      </c>
      <c r="F813" t="s">
        <v>1362</v>
      </c>
      <c r="G813" t="s">
        <v>1523</v>
      </c>
      <c r="H813" t="s">
        <v>67</v>
      </c>
    </row>
    <row r="814" spans="1:8">
      <c r="A814">
        <v>352186</v>
      </c>
      <c r="B814" t="s">
        <v>2670</v>
      </c>
      <c r="C814" t="s">
        <v>2600</v>
      </c>
      <c r="D814" t="s">
        <v>1427</v>
      </c>
      <c r="E814" t="s">
        <v>1068</v>
      </c>
      <c r="F814" t="s">
        <v>1362</v>
      </c>
      <c r="G814" t="s">
        <v>1523</v>
      </c>
      <c r="H814" t="s">
        <v>67</v>
      </c>
    </row>
    <row r="815" spans="1:8">
      <c r="A815">
        <v>352184</v>
      </c>
      <c r="B815" t="s">
        <v>2671</v>
      </c>
      <c r="C815" t="s">
        <v>2601</v>
      </c>
      <c r="D815" t="s">
        <v>1427</v>
      </c>
      <c r="E815" t="s">
        <v>1068</v>
      </c>
      <c r="F815" t="s">
        <v>1362</v>
      </c>
      <c r="G815" t="s">
        <v>1523</v>
      </c>
      <c r="H815" t="s">
        <v>67</v>
      </c>
    </row>
    <row r="816" spans="1:8">
      <c r="A816">
        <v>352301</v>
      </c>
      <c r="B816" t="s">
        <v>2672</v>
      </c>
      <c r="C816" t="s">
        <v>2602</v>
      </c>
      <c r="D816" t="s">
        <v>1427</v>
      </c>
      <c r="E816" t="s">
        <v>1179</v>
      </c>
      <c r="F816" t="s">
        <v>1369</v>
      </c>
      <c r="G816" t="s">
        <v>1528</v>
      </c>
      <c r="H816" t="s">
        <v>65</v>
      </c>
    </row>
    <row r="817" spans="1:8">
      <c r="A817">
        <v>352304</v>
      </c>
      <c r="B817" t="s">
        <v>2673</v>
      </c>
      <c r="C817" t="s">
        <v>2603</v>
      </c>
      <c r="D817" t="s">
        <v>1427</v>
      </c>
      <c r="E817" t="s">
        <v>1179</v>
      </c>
      <c r="F817" t="s">
        <v>1369</v>
      </c>
      <c r="G817" t="s">
        <v>1528</v>
      </c>
      <c r="H817" t="s">
        <v>65</v>
      </c>
    </row>
    <row r="818" spans="1:8">
      <c r="A818">
        <v>352309</v>
      </c>
      <c r="B818" t="s">
        <v>2674</v>
      </c>
      <c r="C818" t="s">
        <v>2739</v>
      </c>
      <c r="D818" t="s">
        <v>1427</v>
      </c>
      <c r="E818" t="s">
        <v>1332</v>
      </c>
      <c r="F818" t="s">
        <v>602</v>
      </c>
      <c r="G818" t="s">
        <v>1528</v>
      </c>
      <c r="H818" t="s">
        <v>65</v>
      </c>
    </row>
    <row r="819" spans="1:8">
      <c r="A819">
        <v>352312</v>
      </c>
      <c r="B819" t="s">
        <v>2675</v>
      </c>
      <c r="C819" t="s">
        <v>2604</v>
      </c>
      <c r="D819" t="s">
        <v>1427</v>
      </c>
      <c r="E819" t="s">
        <v>1332</v>
      </c>
      <c r="F819" t="s">
        <v>602</v>
      </c>
      <c r="G819" t="s">
        <v>1528</v>
      </c>
      <c r="H819" t="s">
        <v>65</v>
      </c>
    </row>
    <row r="820" spans="1:8">
      <c r="A820">
        <v>352404</v>
      </c>
      <c r="B820" t="s">
        <v>2676</v>
      </c>
      <c r="C820" t="s">
        <v>2605</v>
      </c>
      <c r="D820" t="s">
        <v>1427</v>
      </c>
      <c r="E820" t="s">
        <v>512</v>
      </c>
      <c r="F820" t="s">
        <v>602</v>
      </c>
      <c r="G820" t="s">
        <v>1528</v>
      </c>
      <c r="H820" t="s">
        <v>65</v>
      </c>
    </row>
    <row r="821" spans="1:8">
      <c r="A821">
        <v>352183</v>
      </c>
      <c r="B821" t="s">
        <v>2677</v>
      </c>
      <c r="C821" t="s">
        <v>2606</v>
      </c>
      <c r="D821" t="s">
        <v>1427</v>
      </c>
      <c r="E821" t="s">
        <v>1006</v>
      </c>
      <c r="F821" t="s">
        <v>1359</v>
      </c>
      <c r="G821" t="s">
        <v>1527</v>
      </c>
      <c r="H821" t="s">
        <v>59</v>
      </c>
    </row>
    <row r="822" spans="1:8">
      <c r="A822">
        <v>352182</v>
      </c>
      <c r="B822" t="s">
        <v>2678</v>
      </c>
      <c r="C822" t="s">
        <v>2740</v>
      </c>
      <c r="D822" t="s">
        <v>1427</v>
      </c>
      <c r="E822" t="s">
        <v>1006</v>
      </c>
      <c r="F822" t="s">
        <v>1359</v>
      </c>
      <c r="G822" t="s">
        <v>1527</v>
      </c>
      <c r="H822" t="s">
        <v>59</v>
      </c>
    </row>
    <row r="823" spans="1:8">
      <c r="A823">
        <v>352266</v>
      </c>
      <c r="B823" t="s">
        <v>2679</v>
      </c>
      <c r="C823" t="s">
        <v>2741</v>
      </c>
      <c r="D823" t="s">
        <v>1427</v>
      </c>
      <c r="E823" t="s">
        <v>1006</v>
      </c>
      <c r="F823" t="s">
        <v>1359</v>
      </c>
      <c r="G823" t="s">
        <v>1527</v>
      </c>
      <c r="H823" t="s">
        <v>59</v>
      </c>
    </row>
    <row r="824" spans="1:8">
      <c r="A824">
        <v>352275</v>
      </c>
      <c r="B824" t="s">
        <v>2680</v>
      </c>
      <c r="C824" t="s">
        <v>2607</v>
      </c>
      <c r="D824" t="s">
        <v>1427</v>
      </c>
      <c r="E824" t="s">
        <v>1006</v>
      </c>
      <c r="F824" t="s">
        <v>1359</v>
      </c>
      <c r="G824" t="s">
        <v>1527</v>
      </c>
      <c r="H824" t="s">
        <v>59</v>
      </c>
    </row>
    <row r="825" spans="1:8">
      <c r="A825">
        <v>352187</v>
      </c>
      <c r="B825" t="s">
        <v>2681</v>
      </c>
      <c r="C825" t="s">
        <v>2742</v>
      </c>
      <c r="D825" t="s">
        <v>1427</v>
      </c>
      <c r="E825" t="s">
        <v>1006</v>
      </c>
      <c r="F825" t="s">
        <v>1359</v>
      </c>
      <c r="G825" t="s">
        <v>1527</v>
      </c>
      <c r="H825" t="s">
        <v>59</v>
      </c>
    </row>
    <row r="826" spans="1:8">
      <c r="A826">
        <v>352188</v>
      </c>
      <c r="B826" t="s">
        <v>2682</v>
      </c>
      <c r="C826" t="s">
        <v>2608</v>
      </c>
      <c r="D826" t="s">
        <v>1427</v>
      </c>
      <c r="E826" t="s">
        <v>941</v>
      </c>
      <c r="F826" t="s">
        <v>1359</v>
      </c>
      <c r="G826" t="s">
        <v>1527</v>
      </c>
      <c r="H826" t="s">
        <v>59</v>
      </c>
    </row>
    <row r="827" spans="1:8">
      <c r="A827">
        <v>352346</v>
      </c>
      <c r="B827" t="s">
        <v>2683</v>
      </c>
      <c r="C827" t="s">
        <v>2743</v>
      </c>
      <c r="D827" t="s">
        <v>1427</v>
      </c>
      <c r="E827" t="s">
        <v>941</v>
      </c>
      <c r="F827" t="s">
        <v>1359</v>
      </c>
      <c r="G827" t="s">
        <v>1527</v>
      </c>
      <c r="H827" t="s">
        <v>59</v>
      </c>
    </row>
    <row r="828" spans="1:8">
      <c r="A828">
        <v>352348</v>
      </c>
      <c r="B828" t="s">
        <v>2684</v>
      </c>
      <c r="C828" t="s">
        <v>2609</v>
      </c>
      <c r="D828" t="s">
        <v>1427</v>
      </c>
      <c r="E828" t="s">
        <v>941</v>
      </c>
      <c r="F828" t="s">
        <v>1359</v>
      </c>
      <c r="G828" t="s">
        <v>1527</v>
      </c>
      <c r="H828" t="s">
        <v>59</v>
      </c>
    </row>
    <row r="829" spans="1:8">
      <c r="A829">
        <v>352354</v>
      </c>
      <c r="B829" t="s">
        <v>2685</v>
      </c>
      <c r="C829" t="s">
        <v>2610</v>
      </c>
      <c r="D829" t="s">
        <v>1427</v>
      </c>
      <c r="E829" t="s">
        <v>941</v>
      </c>
      <c r="F829" t="s">
        <v>1359</v>
      </c>
      <c r="G829" t="s">
        <v>1527</v>
      </c>
      <c r="H829" t="s">
        <v>59</v>
      </c>
    </row>
    <row r="830" spans="1:8">
      <c r="A830">
        <v>352397</v>
      </c>
      <c r="B830" t="s">
        <v>2686</v>
      </c>
      <c r="C830" t="s">
        <v>2611</v>
      </c>
      <c r="D830" t="s">
        <v>1427</v>
      </c>
      <c r="E830" t="s">
        <v>690</v>
      </c>
      <c r="F830" t="s">
        <v>1359</v>
      </c>
      <c r="G830" t="s">
        <v>1527</v>
      </c>
      <c r="H830" t="s">
        <v>59</v>
      </c>
    </row>
    <row r="831" spans="1:8">
      <c r="A831">
        <v>352352</v>
      </c>
      <c r="B831" t="s">
        <v>2687</v>
      </c>
      <c r="C831" t="s">
        <v>2612</v>
      </c>
      <c r="D831" t="s">
        <v>1427</v>
      </c>
      <c r="E831" t="s">
        <v>690</v>
      </c>
      <c r="F831" t="s">
        <v>1359</v>
      </c>
      <c r="G831" t="s">
        <v>1527</v>
      </c>
      <c r="H831" t="s">
        <v>59</v>
      </c>
    </row>
    <row r="832" spans="1:8">
      <c r="A832">
        <v>352557</v>
      </c>
      <c r="B832" t="s">
        <v>2688</v>
      </c>
      <c r="C832" t="s">
        <v>2613</v>
      </c>
      <c r="D832" t="s">
        <v>1427</v>
      </c>
      <c r="E832" t="s">
        <v>690</v>
      </c>
      <c r="F832" t="s">
        <v>1359</v>
      </c>
      <c r="G832" t="s">
        <v>1527</v>
      </c>
      <c r="H832" t="s">
        <v>59</v>
      </c>
    </row>
    <row r="833" spans="1:8">
      <c r="A833">
        <v>352553</v>
      </c>
      <c r="B833" t="s">
        <v>2689</v>
      </c>
      <c r="C833" t="s">
        <v>2614</v>
      </c>
      <c r="D833" t="s">
        <v>1427</v>
      </c>
      <c r="E833" t="s">
        <v>690</v>
      </c>
      <c r="F833" t="s">
        <v>1359</v>
      </c>
      <c r="G833" t="s">
        <v>1527</v>
      </c>
      <c r="H833" t="s">
        <v>59</v>
      </c>
    </row>
    <row r="834" spans="1:8">
      <c r="A834">
        <v>352547</v>
      </c>
      <c r="B834" t="s">
        <v>2690</v>
      </c>
      <c r="C834" t="s">
        <v>2615</v>
      </c>
      <c r="D834" t="s">
        <v>1427</v>
      </c>
      <c r="E834" t="s">
        <v>690</v>
      </c>
      <c r="F834" t="s">
        <v>1359</v>
      </c>
      <c r="G834" t="s">
        <v>1527</v>
      </c>
      <c r="H834" t="s">
        <v>59</v>
      </c>
    </row>
    <row r="835" spans="1:8">
      <c r="A835">
        <v>352901</v>
      </c>
      <c r="B835" t="s">
        <v>2691</v>
      </c>
      <c r="C835" t="s">
        <v>2616</v>
      </c>
      <c r="D835" t="s">
        <v>1427</v>
      </c>
      <c r="E835" t="s">
        <v>941</v>
      </c>
      <c r="F835" t="s">
        <v>1359</v>
      </c>
      <c r="G835" t="s">
        <v>1527</v>
      </c>
      <c r="H835" t="s">
        <v>59</v>
      </c>
    </row>
    <row r="836" spans="1:8">
      <c r="A836">
        <v>352906</v>
      </c>
      <c r="B836" t="s">
        <v>2692</v>
      </c>
      <c r="C836" t="s">
        <v>2617</v>
      </c>
      <c r="D836" t="s">
        <v>1427</v>
      </c>
      <c r="E836" t="s">
        <v>476</v>
      </c>
      <c r="F836" t="s">
        <v>1362</v>
      </c>
      <c r="G836" t="s">
        <v>1523</v>
      </c>
      <c r="H836" t="s">
        <v>67</v>
      </c>
    </row>
    <row r="837" spans="1:8">
      <c r="A837">
        <v>352907</v>
      </c>
      <c r="B837" t="s">
        <v>2693</v>
      </c>
      <c r="C837" t="s">
        <v>2618</v>
      </c>
      <c r="D837" t="s">
        <v>1427</v>
      </c>
      <c r="E837" t="s">
        <v>476</v>
      </c>
      <c r="F837" t="s">
        <v>1362</v>
      </c>
      <c r="G837" t="s">
        <v>1523</v>
      </c>
      <c r="H837" t="s">
        <v>67</v>
      </c>
    </row>
    <row r="838" spans="1:8">
      <c r="A838">
        <v>352903</v>
      </c>
      <c r="B838" t="s">
        <v>2694</v>
      </c>
      <c r="C838" t="s">
        <v>2619</v>
      </c>
      <c r="D838" t="s">
        <v>1427</v>
      </c>
      <c r="E838" t="s">
        <v>476</v>
      </c>
      <c r="F838" t="s">
        <v>1362</v>
      </c>
      <c r="G838" t="s">
        <v>1523</v>
      </c>
      <c r="H838" t="s">
        <v>67</v>
      </c>
    </row>
    <row r="839" spans="1:8">
      <c r="A839">
        <v>352882</v>
      </c>
      <c r="B839" t="s">
        <v>2695</v>
      </c>
      <c r="C839" t="s">
        <v>2620</v>
      </c>
      <c r="D839" t="s">
        <v>1427</v>
      </c>
      <c r="E839" t="s">
        <v>476</v>
      </c>
      <c r="F839" t="s">
        <v>1362</v>
      </c>
      <c r="G839" t="s">
        <v>1523</v>
      </c>
      <c r="H839" t="s">
        <v>67</v>
      </c>
    </row>
    <row r="840" spans="1:8">
      <c r="A840">
        <v>352886</v>
      </c>
      <c r="B840" t="s">
        <v>2696</v>
      </c>
      <c r="C840" t="s">
        <v>2621</v>
      </c>
      <c r="D840" t="s">
        <v>1427</v>
      </c>
      <c r="E840" t="s">
        <v>476</v>
      </c>
      <c r="F840" t="s">
        <v>1362</v>
      </c>
      <c r="G840" t="s">
        <v>1523</v>
      </c>
      <c r="H840" t="s">
        <v>67</v>
      </c>
    </row>
    <row r="841" spans="1:8">
      <c r="A841">
        <v>352884</v>
      </c>
      <c r="B841" t="s">
        <v>2697</v>
      </c>
      <c r="C841" t="s">
        <v>2622</v>
      </c>
      <c r="D841" t="s">
        <v>1427</v>
      </c>
      <c r="E841" t="s">
        <v>476</v>
      </c>
      <c r="F841" t="s">
        <v>1362</v>
      </c>
      <c r="G841" t="s">
        <v>1523</v>
      </c>
      <c r="H841" t="s">
        <v>67</v>
      </c>
    </row>
    <row r="842" spans="1:8">
      <c r="A842">
        <v>352918</v>
      </c>
      <c r="B842" t="s">
        <v>2698</v>
      </c>
      <c r="C842" t="s">
        <v>2623</v>
      </c>
      <c r="D842" t="s">
        <v>1427</v>
      </c>
      <c r="E842" t="s">
        <v>512</v>
      </c>
      <c r="F842" t="s">
        <v>602</v>
      </c>
      <c r="G842" t="s">
        <v>1537</v>
      </c>
      <c r="H842" t="s">
        <v>65</v>
      </c>
    </row>
    <row r="843" spans="1:8">
      <c r="A843">
        <v>352916</v>
      </c>
      <c r="B843" t="s">
        <v>2699</v>
      </c>
      <c r="C843" t="s">
        <v>2624</v>
      </c>
      <c r="D843" t="s">
        <v>1427</v>
      </c>
      <c r="E843" t="s">
        <v>512</v>
      </c>
      <c r="F843" t="s">
        <v>602</v>
      </c>
      <c r="G843" t="s">
        <v>1537</v>
      </c>
      <c r="H843" t="s">
        <v>65</v>
      </c>
    </row>
    <row r="844" spans="1:8">
      <c r="A844">
        <v>340625</v>
      </c>
      <c r="B844" t="s">
        <v>2700</v>
      </c>
      <c r="C844" t="s">
        <v>2744</v>
      </c>
      <c r="D844" t="s">
        <v>1427</v>
      </c>
      <c r="E844" t="s">
        <v>1068</v>
      </c>
      <c r="F844" t="s">
        <v>1362</v>
      </c>
      <c r="G844" t="s">
        <v>1523</v>
      </c>
      <c r="H844" t="s">
        <v>67</v>
      </c>
    </row>
    <row r="845" spans="1:8">
      <c r="A845">
        <v>352881</v>
      </c>
      <c r="B845" t="s">
        <v>2701</v>
      </c>
      <c r="C845" t="s">
        <v>2745</v>
      </c>
      <c r="D845" t="s">
        <v>1427</v>
      </c>
      <c r="E845" t="s">
        <v>1068</v>
      </c>
      <c r="F845" t="s">
        <v>1362</v>
      </c>
      <c r="G845" t="s">
        <v>1523</v>
      </c>
      <c r="H845" t="s">
        <v>67</v>
      </c>
    </row>
    <row r="846" spans="1:8">
      <c r="A846">
        <v>352885</v>
      </c>
      <c r="B846" t="s">
        <v>2702</v>
      </c>
      <c r="C846" t="s">
        <v>2625</v>
      </c>
      <c r="D846" t="s">
        <v>1427</v>
      </c>
      <c r="E846" t="s">
        <v>1068</v>
      </c>
      <c r="F846" t="s">
        <v>1362</v>
      </c>
      <c r="G846" t="s">
        <v>1523</v>
      </c>
      <c r="H846" t="s">
        <v>67</v>
      </c>
    </row>
    <row r="847" spans="1:8">
      <c r="A847">
        <v>352905</v>
      </c>
      <c r="B847" t="s">
        <v>2703</v>
      </c>
      <c r="C847" t="s">
        <v>949</v>
      </c>
      <c r="D847" t="s">
        <v>1427</v>
      </c>
      <c r="E847" t="s">
        <v>1068</v>
      </c>
      <c r="F847" t="s">
        <v>1362</v>
      </c>
      <c r="G847" t="s">
        <v>1523</v>
      </c>
      <c r="H847" t="s">
        <v>67</v>
      </c>
    </row>
    <row r="848" spans="1:8">
      <c r="A848">
        <v>352944</v>
      </c>
      <c r="B848" t="s">
        <v>2704</v>
      </c>
      <c r="C848" t="s">
        <v>2626</v>
      </c>
      <c r="D848" t="s">
        <v>1427</v>
      </c>
      <c r="E848" t="s">
        <v>1179</v>
      </c>
      <c r="F848" t="s">
        <v>1369</v>
      </c>
      <c r="G848" t="s">
        <v>1528</v>
      </c>
      <c r="H848" t="s">
        <v>65</v>
      </c>
    </row>
    <row r="849" spans="1:8">
      <c r="A849">
        <v>352941</v>
      </c>
      <c r="B849" t="s">
        <v>2705</v>
      </c>
      <c r="C849" t="s">
        <v>2627</v>
      </c>
      <c r="D849" t="s">
        <v>1427</v>
      </c>
      <c r="E849" t="s">
        <v>1179</v>
      </c>
      <c r="F849" t="s">
        <v>1369</v>
      </c>
      <c r="G849" t="s">
        <v>1528</v>
      </c>
      <c r="H849" t="s">
        <v>65</v>
      </c>
    </row>
    <row r="850" spans="1:8">
      <c r="A850">
        <v>352936</v>
      </c>
      <c r="B850" t="s">
        <v>2706</v>
      </c>
      <c r="C850" t="s">
        <v>2628</v>
      </c>
      <c r="D850" t="s">
        <v>1427</v>
      </c>
      <c r="E850" t="s">
        <v>1179</v>
      </c>
      <c r="F850" t="s">
        <v>1369</v>
      </c>
      <c r="G850" t="s">
        <v>1528</v>
      </c>
      <c r="H850" t="s">
        <v>65</v>
      </c>
    </row>
    <row r="851" spans="1:8">
      <c r="A851">
        <v>352935</v>
      </c>
      <c r="B851" t="s">
        <v>2707</v>
      </c>
      <c r="C851" t="s">
        <v>2629</v>
      </c>
      <c r="D851" t="s">
        <v>1427</v>
      </c>
      <c r="E851" t="s">
        <v>1179</v>
      </c>
      <c r="F851" t="s">
        <v>1369</v>
      </c>
      <c r="G851" t="s">
        <v>1528</v>
      </c>
      <c r="H851" t="s">
        <v>65</v>
      </c>
    </row>
    <row r="852" spans="1:8">
      <c r="A852">
        <v>352937</v>
      </c>
      <c r="B852" t="s">
        <v>2708</v>
      </c>
      <c r="C852" t="s">
        <v>2630</v>
      </c>
      <c r="D852" t="s">
        <v>1427</v>
      </c>
      <c r="E852" t="s">
        <v>1179</v>
      </c>
      <c r="F852" t="s">
        <v>1369</v>
      </c>
      <c r="G852" t="s">
        <v>1528</v>
      </c>
      <c r="H852" t="s">
        <v>65</v>
      </c>
    </row>
    <row r="853" spans="1:8">
      <c r="A853">
        <v>352894</v>
      </c>
      <c r="B853" t="s">
        <v>2709</v>
      </c>
      <c r="C853" t="s">
        <v>2631</v>
      </c>
      <c r="D853" t="s">
        <v>1427</v>
      </c>
      <c r="E853" t="s">
        <v>1179</v>
      </c>
      <c r="F853" t="s">
        <v>1369</v>
      </c>
      <c r="G853" t="s">
        <v>1528</v>
      </c>
      <c r="H853" t="s">
        <v>65</v>
      </c>
    </row>
    <row r="854" spans="1:8">
      <c r="A854">
        <v>352897</v>
      </c>
      <c r="B854" t="s">
        <v>2710</v>
      </c>
      <c r="C854" t="s">
        <v>2632</v>
      </c>
      <c r="D854" t="s">
        <v>1427</v>
      </c>
      <c r="E854" t="s">
        <v>1179</v>
      </c>
      <c r="F854" t="s">
        <v>1369</v>
      </c>
      <c r="G854" t="s">
        <v>1528</v>
      </c>
      <c r="H854" t="s">
        <v>65</v>
      </c>
    </row>
    <row r="855" spans="1:8">
      <c r="A855">
        <v>352893</v>
      </c>
      <c r="B855" t="s">
        <v>2711</v>
      </c>
      <c r="C855" t="s">
        <v>2633</v>
      </c>
      <c r="D855" t="s">
        <v>1427</v>
      </c>
      <c r="E855" t="s">
        <v>1179</v>
      </c>
      <c r="F855" t="s">
        <v>1369</v>
      </c>
      <c r="G855" t="s">
        <v>1528</v>
      </c>
      <c r="H855" t="s">
        <v>65</v>
      </c>
    </row>
    <row r="856" spans="1:8">
      <c r="A856">
        <v>352895</v>
      </c>
      <c r="B856" t="s">
        <v>2712</v>
      </c>
      <c r="C856" t="s">
        <v>2634</v>
      </c>
      <c r="D856" t="s">
        <v>1427</v>
      </c>
      <c r="E856" t="s">
        <v>1179</v>
      </c>
      <c r="F856" t="s">
        <v>1369</v>
      </c>
      <c r="G856" t="s">
        <v>1528</v>
      </c>
      <c r="H856" t="s">
        <v>65</v>
      </c>
    </row>
    <row r="857" spans="1:8">
      <c r="A857">
        <v>352892</v>
      </c>
      <c r="B857" t="s">
        <v>2713</v>
      </c>
      <c r="C857" t="s">
        <v>2635</v>
      </c>
      <c r="D857" t="s">
        <v>1427</v>
      </c>
      <c r="E857" t="s">
        <v>1179</v>
      </c>
      <c r="F857" t="s">
        <v>1369</v>
      </c>
      <c r="G857" t="s">
        <v>1528</v>
      </c>
      <c r="H857" t="s">
        <v>65</v>
      </c>
    </row>
    <row r="858" spans="1:8">
      <c r="A858">
        <v>352938</v>
      </c>
      <c r="B858" t="s">
        <v>2714</v>
      </c>
      <c r="C858" t="s">
        <v>2636</v>
      </c>
      <c r="D858" t="s">
        <v>1427</v>
      </c>
      <c r="E858" t="s">
        <v>1326</v>
      </c>
      <c r="F858" t="s">
        <v>1369</v>
      </c>
      <c r="G858" t="s">
        <v>1548</v>
      </c>
      <c r="H858" t="s">
        <v>65</v>
      </c>
    </row>
    <row r="859" spans="1:8">
      <c r="A859">
        <v>352888</v>
      </c>
      <c r="B859" t="s">
        <v>2715</v>
      </c>
      <c r="C859" t="s">
        <v>2637</v>
      </c>
      <c r="D859" t="s">
        <v>1427</v>
      </c>
      <c r="E859" t="s">
        <v>1332</v>
      </c>
      <c r="F859" t="s">
        <v>602</v>
      </c>
      <c r="G859" t="s">
        <v>1528</v>
      </c>
      <c r="H859" t="s">
        <v>65</v>
      </c>
    </row>
    <row r="860" spans="1:8">
      <c r="A860">
        <v>352889</v>
      </c>
      <c r="B860" t="s">
        <v>2716</v>
      </c>
      <c r="C860" t="s">
        <v>2638</v>
      </c>
      <c r="D860" t="s">
        <v>1427</v>
      </c>
      <c r="E860" t="s">
        <v>1332</v>
      </c>
      <c r="F860" t="s">
        <v>602</v>
      </c>
      <c r="G860" t="s">
        <v>1528</v>
      </c>
      <c r="H860" t="s">
        <v>65</v>
      </c>
    </row>
    <row r="861" spans="1:8">
      <c r="A861">
        <v>352899</v>
      </c>
      <c r="B861" t="s">
        <v>2717</v>
      </c>
      <c r="C861" t="s">
        <v>2639</v>
      </c>
      <c r="D861" t="s">
        <v>1427</v>
      </c>
      <c r="E861" t="s">
        <v>1332</v>
      </c>
      <c r="F861" t="s">
        <v>602</v>
      </c>
      <c r="G861" t="s">
        <v>1528</v>
      </c>
      <c r="H861" t="s">
        <v>65</v>
      </c>
    </row>
    <row r="862" spans="1:8">
      <c r="A862">
        <v>352887</v>
      </c>
      <c r="B862" t="s">
        <v>2718</v>
      </c>
      <c r="C862" t="s">
        <v>2640</v>
      </c>
      <c r="D862" t="s">
        <v>1427</v>
      </c>
      <c r="E862" t="s">
        <v>1332</v>
      </c>
      <c r="F862" t="s">
        <v>602</v>
      </c>
      <c r="G862" t="s">
        <v>1528</v>
      </c>
      <c r="H862" t="s">
        <v>65</v>
      </c>
    </row>
    <row r="863" spans="1:8">
      <c r="A863">
        <v>352890</v>
      </c>
      <c r="B863" t="s">
        <v>2719</v>
      </c>
      <c r="C863" t="s">
        <v>2641</v>
      </c>
      <c r="D863" t="s">
        <v>1427</v>
      </c>
      <c r="E863" t="s">
        <v>1332</v>
      </c>
      <c r="F863" t="s">
        <v>602</v>
      </c>
      <c r="G863" t="s">
        <v>1528</v>
      </c>
      <c r="H863" t="s">
        <v>65</v>
      </c>
    </row>
    <row r="864" spans="1:8">
      <c r="A864">
        <v>352940</v>
      </c>
      <c r="B864" t="s">
        <v>2720</v>
      </c>
      <c r="C864" t="s">
        <v>2642</v>
      </c>
      <c r="D864" t="s">
        <v>1427</v>
      </c>
      <c r="E864" t="s">
        <v>1332</v>
      </c>
      <c r="F864" t="s">
        <v>602</v>
      </c>
      <c r="G864" t="s">
        <v>1528</v>
      </c>
      <c r="H864" t="s">
        <v>65</v>
      </c>
    </row>
    <row r="865" spans="1:8">
      <c r="A865">
        <v>352915</v>
      </c>
      <c r="B865" t="s">
        <v>2721</v>
      </c>
      <c r="C865" t="s">
        <v>2643</v>
      </c>
      <c r="D865" t="s">
        <v>1427</v>
      </c>
      <c r="E865" t="s">
        <v>1332</v>
      </c>
      <c r="F865" t="s">
        <v>602</v>
      </c>
      <c r="G865" t="s">
        <v>1528</v>
      </c>
      <c r="H865" t="s">
        <v>65</v>
      </c>
    </row>
    <row r="866" spans="1:8">
      <c r="A866">
        <v>352919</v>
      </c>
      <c r="B866" t="s">
        <v>2722</v>
      </c>
      <c r="C866" t="s">
        <v>2644</v>
      </c>
      <c r="D866" t="s">
        <v>1427</v>
      </c>
      <c r="E866" t="s">
        <v>1332</v>
      </c>
      <c r="F866" t="s">
        <v>602</v>
      </c>
      <c r="G866" t="s">
        <v>1528</v>
      </c>
      <c r="H866" t="s">
        <v>65</v>
      </c>
    </row>
    <row r="867" spans="1:8">
      <c r="A867">
        <v>353184</v>
      </c>
      <c r="B867" t="s">
        <v>2861</v>
      </c>
      <c r="C867" t="s">
        <v>2746</v>
      </c>
      <c r="D867" t="s">
        <v>1427</v>
      </c>
      <c r="E867" t="s">
        <v>476</v>
      </c>
      <c r="F867" t="s">
        <v>1362</v>
      </c>
      <c r="G867" t="s">
        <v>1523</v>
      </c>
      <c r="H867" t="s">
        <v>67</v>
      </c>
    </row>
    <row r="868" spans="1:8">
      <c r="A868">
        <v>353186</v>
      </c>
      <c r="B868" t="s">
        <v>2862</v>
      </c>
      <c r="C868" t="s">
        <v>2747</v>
      </c>
      <c r="D868" t="s">
        <v>1427</v>
      </c>
      <c r="E868" t="s">
        <v>476</v>
      </c>
      <c r="F868" t="s">
        <v>1362</v>
      </c>
      <c r="G868" t="s">
        <v>1523</v>
      </c>
      <c r="H868" t="s">
        <v>67</v>
      </c>
    </row>
    <row r="869" spans="1:8">
      <c r="A869">
        <v>353115</v>
      </c>
      <c r="B869" t="s">
        <v>2863</v>
      </c>
      <c r="C869" t="s">
        <v>2748</v>
      </c>
      <c r="D869" t="s">
        <v>1427</v>
      </c>
      <c r="E869" t="s">
        <v>512</v>
      </c>
      <c r="F869" t="s">
        <v>602</v>
      </c>
      <c r="G869" t="s">
        <v>1528</v>
      </c>
      <c r="H869" t="s">
        <v>65</v>
      </c>
    </row>
    <row r="870" spans="1:8">
      <c r="A870">
        <v>353117</v>
      </c>
      <c r="B870" t="s">
        <v>2864</v>
      </c>
      <c r="C870" t="s">
        <v>2749</v>
      </c>
      <c r="D870" t="s">
        <v>1427</v>
      </c>
      <c r="E870" t="s">
        <v>512</v>
      </c>
      <c r="F870" t="s">
        <v>602</v>
      </c>
      <c r="G870" t="s">
        <v>1528</v>
      </c>
      <c r="H870" t="s">
        <v>65</v>
      </c>
    </row>
    <row r="871" spans="1:8">
      <c r="A871">
        <v>353121</v>
      </c>
      <c r="B871" t="s">
        <v>2865</v>
      </c>
      <c r="C871" t="s">
        <v>2750</v>
      </c>
      <c r="D871" t="s">
        <v>1427</v>
      </c>
      <c r="E871" t="s">
        <v>512</v>
      </c>
      <c r="F871" t="s">
        <v>602</v>
      </c>
      <c r="G871" t="s">
        <v>1528</v>
      </c>
      <c r="H871" t="s">
        <v>65</v>
      </c>
    </row>
    <row r="872" spans="1:8">
      <c r="A872">
        <v>353122</v>
      </c>
      <c r="B872" t="s">
        <v>2866</v>
      </c>
      <c r="C872" t="s">
        <v>2751</v>
      </c>
      <c r="D872" t="s">
        <v>1427</v>
      </c>
      <c r="E872" t="s">
        <v>512</v>
      </c>
      <c r="F872" t="s">
        <v>602</v>
      </c>
      <c r="G872" t="s">
        <v>1528</v>
      </c>
      <c r="H872" t="s">
        <v>65</v>
      </c>
    </row>
    <row r="873" spans="1:8">
      <c r="A873">
        <v>353167</v>
      </c>
      <c r="B873" t="s">
        <v>2867</v>
      </c>
      <c r="C873" t="s">
        <v>2752</v>
      </c>
      <c r="D873" t="s">
        <v>1427</v>
      </c>
      <c r="E873" t="s">
        <v>512</v>
      </c>
      <c r="F873" t="s">
        <v>602</v>
      </c>
      <c r="G873" t="s">
        <v>1528</v>
      </c>
      <c r="H873" t="s">
        <v>65</v>
      </c>
    </row>
    <row r="874" spans="1:8">
      <c r="A874">
        <v>353166</v>
      </c>
      <c r="B874" t="s">
        <v>2868</v>
      </c>
      <c r="C874" t="s">
        <v>2753</v>
      </c>
      <c r="D874" t="s">
        <v>1427</v>
      </c>
      <c r="E874" t="s">
        <v>2380</v>
      </c>
      <c r="F874" t="s">
        <v>602</v>
      </c>
      <c r="G874" t="s">
        <v>1528</v>
      </c>
      <c r="H874" t="s">
        <v>65</v>
      </c>
    </row>
    <row r="875" spans="1:8">
      <c r="A875">
        <v>353199</v>
      </c>
      <c r="B875" t="s">
        <v>2869</v>
      </c>
      <c r="C875" t="s">
        <v>2754</v>
      </c>
      <c r="D875" t="s">
        <v>1427</v>
      </c>
      <c r="E875" t="s">
        <v>690</v>
      </c>
      <c r="F875" t="s">
        <v>1359</v>
      </c>
      <c r="G875" t="s">
        <v>1527</v>
      </c>
      <c r="H875" t="s">
        <v>59</v>
      </c>
    </row>
    <row r="876" spans="1:8">
      <c r="A876">
        <v>353198</v>
      </c>
      <c r="B876" t="s">
        <v>2870</v>
      </c>
      <c r="C876" t="s">
        <v>2755</v>
      </c>
      <c r="D876" t="s">
        <v>1427</v>
      </c>
      <c r="E876" t="s">
        <v>690</v>
      </c>
      <c r="F876" t="s">
        <v>1359</v>
      </c>
      <c r="G876" t="s">
        <v>1527</v>
      </c>
      <c r="H876" t="s">
        <v>59</v>
      </c>
    </row>
    <row r="877" spans="1:8">
      <c r="A877">
        <v>353194</v>
      </c>
      <c r="B877" t="s">
        <v>2871</v>
      </c>
      <c r="C877" t="s">
        <v>2756</v>
      </c>
      <c r="D877" t="s">
        <v>1427</v>
      </c>
      <c r="E877" t="s">
        <v>941</v>
      </c>
      <c r="F877" t="s">
        <v>1359</v>
      </c>
      <c r="G877" t="s">
        <v>1527</v>
      </c>
      <c r="H877" t="s">
        <v>59</v>
      </c>
    </row>
    <row r="878" spans="1:8">
      <c r="A878">
        <v>353187</v>
      </c>
      <c r="B878" t="s">
        <v>2872</v>
      </c>
      <c r="C878" t="s">
        <v>2757</v>
      </c>
      <c r="D878" t="s">
        <v>1427</v>
      </c>
      <c r="E878" t="s">
        <v>1006</v>
      </c>
      <c r="F878" t="s">
        <v>1359</v>
      </c>
      <c r="G878" t="s">
        <v>1527</v>
      </c>
      <c r="H878" t="s">
        <v>59</v>
      </c>
    </row>
    <row r="879" spans="1:8">
      <c r="A879">
        <v>353189</v>
      </c>
      <c r="B879" t="s">
        <v>2873</v>
      </c>
      <c r="C879" t="s">
        <v>2758</v>
      </c>
      <c r="D879" t="s">
        <v>1427</v>
      </c>
      <c r="E879" t="s">
        <v>690</v>
      </c>
      <c r="F879" t="s">
        <v>1359</v>
      </c>
      <c r="G879" t="s">
        <v>1527</v>
      </c>
      <c r="H879" t="s">
        <v>59</v>
      </c>
    </row>
    <row r="880" spans="1:8">
      <c r="A880">
        <v>353191</v>
      </c>
      <c r="B880" t="s">
        <v>2874</v>
      </c>
      <c r="C880" t="s">
        <v>2759</v>
      </c>
      <c r="D880" t="s">
        <v>1427</v>
      </c>
      <c r="E880" t="s">
        <v>1006</v>
      </c>
      <c r="F880" t="s">
        <v>1359</v>
      </c>
      <c r="G880" t="s">
        <v>1527</v>
      </c>
      <c r="H880" t="s">
        <v>59</v>
      </c>
    </row>
    <row r="881" spans="1:8">
      <c r="A881">
        <v>264892</v>
      </c>
      <c r="B881" t="s">
        <v>2875</v>
      </c>
      <c r="C881" t="s">
        <v>2760</v>
      </c>
      <c r="D881" t="s">
        <v>1427</v>
      </c>
      <c r="E881" t="s">
        <v>1201</v>
      </c>
      <c r="F881" t="s">
        <v>1362</v>
      </c>
      <c r="G881" t="s">
        <v>1523</v>
      </c>
      <c r="H881" t="s">
        <v>67</v>
      </c>
    </row>
    <row r="882" spans="1:8">
      <c r="A882">
        <v>353176</v>
      </c>
      <c r="B882" t="s">
        <v>2876</v>
      </c>
      <c r="C882" t="s">
        <v>2761</v>
      </c>
      <c r="D882" t="s">
        <v>1427</v>
      </c>
      <c r="E882" t="s">
        <v>1201</v>
      </c>
      <c r="F882" t="s">
        <v>1362</v>
      </c>
      <c r="G882" t="s">
        <v>1523</v>
      </c>
      <c r="H882" t="s">
        <v>67</v>
      </c>
    </row>
    <row r="883" spans="1:8">
      <c r="A883">
        <v>353179</v>
      </c>
      <c r="B883" t="s">
        <v>2877</v>
      </c>
      <c r="C883" t="s">
        <v>2762</v>
      </c>
      <c r="D883" t="s">
        <v>1427</v>
      </c>
      <c r="E883" t="s">
        <v>1201</v>
      </c>
      <c r="F883" t="s">
        <v>1362</v>
      </c>
      <c r="G883" t="s">
        <v>1523</v>
      </c>
      <c r="H883" t="s">
        <v>67</v>
      </c>
    </row>
    <row r="884" spans="1:8">
      <c r="A884">
        <v>353125</v>
      </c>
      <c r="B884" t="s">
        <v>2878</v>
      </c>
      <c r="C884" t="s">
        <v>2763</v>
      </c>
      <c r="D884" t="s">
        <v>1427</v>
      </c>
      <c r="E884" t="s">
        <v>1326</v>
      </c>
      <c r="F884" t="s">
        <v>1369</v>
      </c>
      <c r="G884" t="s">
        <v>1528</v>
      </c>
      <c r="H884" t="s">
        <v>65</v>
      </c>
    </row>
    <row r="885" spans="1:8">
      <c r="A885">
        <v>353126</v>
      </c>
      <c r="B885" t="s">
        <v>2879</v>
      </c>
      <c r="C885" t="s">
        <v>2764</v>
      </c>
      <c r="D885" t="s">
        <v>1427</v>
      </c>
      <c r="E885" t="s">
        <v>1326</v>
      </c>
      <c r="F885" t="s">
        <v>1369</v>
      </c>
      <c r="G885" t="s">
        <v>1528</v>
      </c>
      <c r="H885" t="s">
        <v>65</v>
      </c>
    </row>
    <row r="886" spans="1:8">
      <c r="A886">
        <v>353128</v>
      </c>
      <c r="B886" t="s">
        <v>2880</v>
      </c>
      <c r="C886" t="s">
        <v>2765</v>
      </c>
      <c r="D886" t="s">
        <v>1427</v>
      </c>
      <c r="E886" t="s">
        <v>1326</v>
      </c>
      <c r="F886" t="s">
        <v>1369</v>
      </c>
      <c r="G886" t="s">
        <v>1528</v>
      </c>
      <c r="H886" t="s">
        <v>65</v>
      </c>
    </row>
    <row r="887" spans="1:8">
      <c r="A887">
        <v>353130</v>
      </c>
      <c r="B887" t="s">
        <v>2881</v>
      </c>
      <c r="C887" t="s">
        <v>2766</v>
      </c>
      <c r="D887" t="s">
        <v>1427</v>
      </c>
      <c r="E887" t="s">
        <v>1326</v>
      </c>
      <c r="F887" t="s">
        <v>1369</v>
      </c>
      <c r="G887" t="s">
        <v>1528</v>
      </c>
      <c r="H887" t="s">
        <v>65</v>
      </c>
    </row>
    <row r="888" spans="1:8">
      <c r="A888">
        <v>353132</v>
      </c>
      <c r="B888" t="s">
        <v>2882</v>
      </c>
      <c r="C888" t="s">
        <v>2767</v>
      </c>
      <c r="D888" t="s">
        <v>1427</v>
      </c>
      <c r="E888" t="s">
        <v>1326</v>
      </c>
      <c r="F888" t="s">
        <v>1369</v>
      </c>
      <c r="G888" t="s">
        <v>1528</v>
      </c>
      <c r="H888" t="s">
        <v>65</v>
      </c>
    </row>
    <row r="889" spans="1:8">
      <c r="A889">
        <v>353165</v>
      </c>
      <c r="B889" t="s">
        <v>2883</v>
      </c>
      <c r="C889" t="s">
        <v>2768</v>
      </c>
      <c r="D889" t="s">
        <v>1427</v>
      </c>
      <c r="E889" t="s">
        <v>1326</v>
      </c>
      <c r="F889" t="s">
        <v>1369</v>
      </c>
      <c r="G889" t="s">
        <v>1528</v>
      </c>
      <c r="H889" t="s">
        <v>65</v>
      </c>
    </row>
    <row r="890" spans="1:8">
      <c r="A890">
        <v>353171</v>
      </c>
      <c r="B890" t="s">
        <v>2884</v>
      </c>
      <c r="C890" t="s">
        <v>2769</v>
      </c>
      <c r="D890" t="s">
        <v>1427</v>
      </c>
      <c r="E890" t="s">
        <v>1326</v>
      </c>
      <c r="F890" t="s">
        <v>1369</v>
      </c>
      <c r="G890" t="s">
        <v>1528</v>
      </c>
      <c r="H890" t="s">
        <v>65</v>
      </c>
    </row>
    <row r="891" spans="1:8">
      <c r="A891">
        <v>353168</v>
      </c>
      <c r="B891" t="s">
        <v>2885</v>
      </c>
      <c r="C891" t="s">
        <v>2770</v>
      </c>
      <c r="D891" t="s">
        <v>1427</v>
      </c>
      <c r="E891" t="s">
        <v>1334</v>
      </c>
      <c r="F891" t="s">
        <v>1362</v>
      </c>
      <c r="G891" t="s">
        <v>1523</v>
      </c>
      <c r="H891" t="s">
        <v>67</v>
      </c>
    </row>
    <row r="892" spans="1:8">
      <c r="A892">
        <v>353169</v>
      </c>
      <c r="B892" t="s">
        <v>2886</v>
      </c>
      <c r="C892" t="s">
        <v>2771</v>
      </c>
      <c r="D892" t="s">
        <v>1427</v>
      </c>
      <c r="E892" t="s">
        <v>1334</v>
      </c>
      <c r="F892" t="s">
        <v>1362</v>
      </c>
      <c r="G892" t="s">
        <v>1523</v>
      </c>
      <c r="H892" t="s">
        <v>67</v>
      </c>
    </row>
    <row r="893" spans="1:8">
      <c r="A893">
        <v>109540</v>
      </c>
      <c r="B893" t="s">
        <v>2887</v>
      </c>
      <c r="C893" t="s">
        <v>2772</v>
      </c>
      <c r="D893" t="s">
        <v>1427</v>
      </c>
      <c r="E893" t="s">
        <v>476</v>
      </c>
      <c r="F893" t="s">
        <v>1362</v>
      </c>
      <c r="G893" t="s">
        <v>1523</v>
      </c>
      <c r="H893" t="s">
        <v>67</v>
      </c>
    </row>
    <row r="894" spans="1:8">
      <c r="A894">
        <v>290160</v>
      </c>
      <c r="B894" t="s">
        <v>2888</v>
      </c>
      <c r="C894" t="s">
        <v>2773</v>
      </c>
      <c r="D894" t="s">
        <v>1427</v>
      </c>
      <c r="E894" t="s">
        <v>476</v>
      </c>
      <c r="F894" t="s">
        <v>1362</v>
      </c>
      <c r="G894" t="s">
        <v>1523</v>
      </c>
      <c r="H894" t="s">
        <v>67</v>
      </c>
    </row>
    <row r="895" spans="1:8">
      <c r="A895">
        <v>118127</v>
      </c>
      <c r="B895" t="s">
        <v>2889</v>
      </c>
      <c r="C895" t="s">
        <v>2774</v>
      </c>
      <c r="D895" t="s">
        <v>1427</v>
      </c>
      <c r="E895" t="s">
        <v>476</v>
      </c>
      <c r="F895" t="s">
        <v>1362</v>
      </c>
      <c r="G895" t="s">
        <v>1523</v>
      </c>
      <c r="H895" t="s">
        <v>67</v>
      </c>
    </row>
    <row r="896" spans="1:8">
      <c r="A896">
        <v>300992</v>
      </c>
      <c r="B896" t="s">
        <v>2890</v>
      </c>
      <c r="C896" t="s">
        <v>2775</v>
      </c>
      <c r="D896" t="s">
        <v>1427</v>
      </c>
      <c r="E896" t="s">
        <v>476</v>
      </c>
      <c r="F896" t="s">
        <v>1362</v>
      </c>
      <c r="G896" t="s">
        <v>1523</v>
      </c>
      <c r="H896" t="s">
        <v>67</v>
      </c>
    </row>
    <row r="897" spans="1:8">
      <c r="A897">
        <v>187169</v>
      </c>
      <c r="B897" t="s">
        <v>2891</v>
      </c>
      <c r="C897" t="s">
        <v>2776</v>
      </c>
      <c r="D897" t="s">
        <v>1427</v>
      </c>
      <c r="E897" t="s">
        <v>512</v>
      </c>
      <c r="F897" t="s">
        <v>602</v>
      </c>
      <c r="G897" t="s">
        <v>1528</v>
      </c>
      <c r="H897" t="s">
        <v>65</v>
      </c>
    </row>
    <row r="898" spans="1:8">
      <c r="A898">
        <v>349497</v>
      </c>
      <c r="B898" t="s">
        <v>2892</v>
      </c>
      <c r="C898" t="s">
        <v>2777</v>
      </c>
      <c r="D898" t="s">
        <v>1427</v>
      </c>
      <c r="E898" t="s">
        <v>512</v>
      </c>
      <c r="F898" t="s">
        <v>602</v>
      </c>
      <c r="G898" t="s">
        <v>1528</v>
      </c>
      <c r="H898" t="s">
        <v>65</v>
      </c>
    </row>
    <row r="899" spans="1:8">
      <c r="A899">
        <v>349488</v>
      </c>
      <c r="B899" t="s">
        <v>2893</v>
      </c>
      <c r="C899" t="s">
        <v>2778</v>
      </c>
      <c r="D899" t="s">
        <v>1427</v>
      </c>
      <c r="E899" t="s">
        <v>512</v>
      </c>
      <c r="F899" t="s">
        <v>602</v>
      </c>
      <c r="G899" t="s">
        <v>1528</v>
      </c>
      <c r="H899" t="s">
        <v>65</v>
      </c>
    </row>
    <row r="900" spans="1:8">
      <c r="A900">
        <v>345096</v>
      </c>
      <c r="B900" t="s">
        <v>2894</v>
      </c>
      <c r="C900" t="s">
        <v>2779</v>
      </c>
      <c r="D900" t="s">
        <v>1427</v>
      </c>
      <c r="E900" t="s">
        <v>512</v>
      </c>
      <c r="F900" t="s">
        <v>602</v>
      </c>
      <c r="G900" t="s">
        <v>1528</v>
      </c>
      <c r="H900" t="s">
        <v>65</v>
      </c>
    </row>
    <row r="901" spans="1:8">
      <c r="A901">
        <v>345433</v>
      </c>
      <c r="B901" t="s">
        <v>2895</v>
      </c>
      <c r="C901" t="s">
        <v>2780</v>
      </c>
      <c r="D901" t="s">
        <v>1427</v>
      </c>
      <c r="E901" t="s">
        <v>1334</v>
      </c>
      <c r="F901" t="s">
        <v>1362</v>
      </c>
      <c r="G901" t="s">
        <v>1523</v>
      </c>
      <c r="H901" t="s">
        <v>67</v>
      </c>
    </row>
    <row r="902" spans="1:8">
      <c r="A902">
        <v>350713</v>
      </c>
      <c r="B902" t="s">
        <v>2896</v>
      </c>
      <c r="C902" t="s">
        <v>2781</v>
      </c>
      <c r="D902" t="s">
        <v>1427</v>
      </c>
      <c r="E902" t="s">
        <v>584</v>
      </c>
      <c r="F902" t="s">
        <v>1362</v>
      </c>
      <c r="G902" t="s">
        <v>1523</v>
      </c>
      <c r="H902" t="s">
        <v>67</v>
      </c>
    </row>
    <row r="903" spans="1:8">
      <c r="A903">
        <v>345181</v>
      </c>
      <c r="B903" t="s">
        <v>2897</v>
      </c>
      <c r="C903" t="s">
        <v>2782</v>
      </c>
      <c r="D903" t="s">
        <v>1427</v>
      </c>
      <c r="E903" t="s">
        <v>584</v>
      </c>
      <c r="F903" t="s">
        <v>1362</v>
      </c>
      <c r="G903" t="s">
        <v>1523</v>
      </c>
      <c r="H903" t="s">
        <v>67</v>
      </c>
    </row>
    <row r="904" spans="1:8">
      <c r="A904">
        <v>292179</v>
      </c>
      <c r="B904" t="s">
        <v>2898</v>
      </c>
      <c r="C904" t="s">
        <v>2783</v>
      </c>
      <c r="D904" t="s">
        <v>1427</v>
      </c>
      <c r="E904" t="s">
        <v>1068</v>
      </c>
      <c r="F904" t="s">
        <v>1362</v>
      </c>
      <c r="G904" t="s">
        <v>1523</v>
      </c>
      <c r="H904" t="s">
        <v>67</v>
      </c>
    </row>
    <row r="905" spans="1:8">
      <c r="A905">
        <v>198530</v>
      </c>
      <c r="B905" t="s">
        <v>2899</v>
      </c>
      <c r="C905" t="s">
        <v>2784</v>
      </c>
      <c r="D905" t="s">
        <v>1427</v>
      </c>
      <c r="E905" t="s">
        <v>1068</v>
      </c>
      <c r="F905" t="s">
        <v>1362</v>
      </c>
      <c r="G905" t="s">
        <v>1523</v>
      </c>
      <c r="H905" t="s">
        <v>67</v>
      </c>
    </row>
    <row r="906" spans="1:8">
      <c r="A906">
        <v>239699</v>
      </c>
      <c r="B906" t="s">
        <v>2900</v>
      </c>
      <c r="C906" t="s">
        <v>2785</v>
      </c>
      <c r="D906" t="s">
        <v>1427</v>
      </c>
      <c r="E906" t="s">
        <v>1068</v>
      </c>
      <c r="F906" t="s">
        <v>1362</v>
      </c>
      <c r="G906" t="s">
        <v>1523</v>
      </c>
      <c r="H906" t="s">
        <v>67</v>
      </c>
    </row>
    <row r="907" spans="1:8">
      <c r="A907">
        <v>234989</v>
      </c>
      <c r="B907" t="s">
        <v>2901</v>
      </c>
      <c r="C907" t="s">
        <v>2786</v>
      </c>
      <c r="D907" t="s">
        <v>1427</v>
      </c>
      <c r="E907" t="s">
        <v>1179</v>
      </c>
      <c r="F907" t="s">
        <v>1369</v>
      </c>
      <c r="G907" t="s">
        <v>1528</v>
      </c>
      <c r="H907" t="s">
        <v>65</v>
      </c>
    </row>
    <row r="908" spans="1:8">
      <c r="A908">
        <v>346145</v>
      </c>
      <c r="B908" t="s">
        <v>2902</v>
      </c>
      <c r="C908" t="s">
        <v>2787</v>
      </c>
      <c r="D908" t="s">
        <v>1427</v>
      </c>
      <c r="E908" t="s">
        <v>1179</v>
      </c>
      <c r="F908" t="s">
        <v>1369</v>
      </c>
      <c r="G908" t="s">
        <v>1528</v>
      </c>
      <c r="H908" t="s">
        <v>65</v>
      </c>
    </row>
    <row r="909" spans="1:8">
      <c r="A909">
        <v>345112</v>
      </c>
      <c r="B909" t="s">
        <v>2903</v>
      </c>
      <c r="C909" t="s">
        <v>2788</v>
      </c>
      <c r="D909" t="s">
        <v>1427</v>
      </c>
      <c r="E909" t="s">
        <v>1179</v>
      </c>
      <c r="F909" t="s">
        <v>1369</v>
      </c>
      <c r="G909" t="s">
        <v>1528</v>
      </c>
      <c r="H909" t="s">
        <v>65</v>
      </c>
    </row>
    <row r="910" spans="1:8">
      <c r="A910">
        <v>349540</v>
      </c>
      <c r="B910" t="s">
        <v>2904</v>
      </c>
      <c r="C910" t="s">
        <v>2789</v>
      </c>
      <c r="D910" t="s">
        <v>1427</v>
      </c>
      <c r="E910" t="s">
        <v>1179</v>
      </c>
      <c r="F910" t="s">
        <v>1369</v>
      </c>
      <c r="G910" t="s">
        <v>1528</v>
      </c>
      <c r="H910" t="s">
        <v>65</v>
      </c>
    </row>
    <row r="911" spans="1:8">
      <c r="A911">
        <v>345436</v>
      </c>
      <c r="B911" t="s">
        <v>2905</v>
      </c>
      <c r="C911" t="s">
        <v>2790</v>
      </c>
      <c r="D911" t="s">
        <v>1427</v>
      </c>
      <c r="E911" t="s">
        <v>1179</v>
      </c>
      <c r="F911" t="s">
        <v>1369</v>
      </c>
      <c r="G911" t="s">
        <v>1528</v>
      </c>
      <c r="H911" t="s">
        <v>65</v>
      </c>
    </row>
    <row r="912" spans="1:8">
      <c r="A912">
        <v>290643</v>
      </c>
      <c r="B912" t="s">
        <v>2906</v>
      </c>
      <c r="C912" t="s">
        <v>2791</v>
      </c>
      <c r="D912" t="s">
        <v>1427</v>
      </c>
      <c r="E912" t="s">
        <v>1201</v>
      </c>
      <c r="F912" t="s">
        <v>1362</v>
      </c>
      <c r="G912" t="s">
        <v>1523</v>
      </c>
      <c r="H912" t="s">
        <v>67</v>
      </c>
    </row>
    <row r="913" spans="1:8">
      <c r="A913">
        <v>350557</v>
      </c>
      <c r="B913" t="s">
        <v>2907</v>
      </c>
      <c r="C913" t="s">
        <v>2792</v>
      </c>
      <c r="D913" t="s">
        <v>1427</v>
      </c>
      <c r="E913" t="s">
        <v>1201</v>
      </c>
      <c r="F913" t="s">
        <v>1362</v>
      </c>
      <c r="G913" t="s">
        <v>1523</v>
      </c>
      <c r="H913" t="s">
        <v>67</v>
      </c>
    </row>
    <row r="914" spans="1:8">
      <c r="A914">
        <v>290287</v>
      </c>
      <c r="B914" t="s">
        <v>2908</v>
      </c>
      <c r="C914" t="s">
        <v>2793</v>
      </c>
      <c r="D914" t="s">
        <v>1427</v>
      </c>
      <c r="E914" t="s">
        <v>1201</v>
      </c>
      <c r="F914" t="s">
        <v>1362</v>
      </c>
      <c r="G914" t="s">
        <v>1523</v>
      </c>
      <c r="H914" t="s">
        <v>67</v>
      </c>
    </row>
    <row r="915" spans="1:8">
      <c r="A915">
        <v>300530</v>
      </c>
      <c r="B915" t="s">
        <v>2909</v>
      </c>
      <c r="C915" t="s">
        <v>2794</v>
      </c>
      <c r="D915" t="s">
        <v>1427</v>
      </c>
      <c r="E915" t="s">
        <v>1201</v>
      </c>
      <c r="F915" t="s">
        <v>1362</v>
      </c>
      <c r="G915" t="s">
        <v>1523</v>
      </c>
      <c r="H915" t="s">
        <v>67</v>
      </c>
    </row>
    <row r="916" spans="1:8">
      <c r="A916">
        <v>65286</v>
      </c>
      <c r="B916" t="s">
        <v>2910</v>
      </c>
      <c r="C916" t="s">
        <v>2795</v>
      </c>
      <c r="D916" t="s">
        <v>1427</v>
      </c>
      <c r="E916" t="s">
        <v>1261</v>
      </c>
      <c r="F916" t="s">
        <v>1362</v>
      </c>
      <c r="G916" t="s">
        <v>1523</v>
      </c>
      <c r="H916" t="s">
        <v>67</v>
      </c>
    </row>
    <row r="917" spans="1:8">
      <c r="A917">
        <v>294102</v>
      </c>
      <c r="B917" t="s">
        <v>2911</v>
      </c>
      <c r="C917" t="s">
        <v>2796</v>
      </c>
      <c r="D917" t="s">
        <v>1427</v>
      </c>
      <c r="E917" t="s">
        <v>1261</v>
      </c>
      <c r="F917" t="s">
        <v>1362</v>
      </c>
      <c r="G917" t="s">
        <v>1523</v>
      </c>
      <c r="H917" t="s">
        <v>67</v>
      </c>
    </row>
    <row r="918" spans="1:8">
      <c r="A918">
        <v>329307</v>
      </c>
      <c r="B918" t="s">
        <v>2912</v>
      </c>
      <c r="C918" t="s">
        <v>2797</v>
      </c>
      <c r="D918" t="s">
        <v>1427</v>
      </c>
      <c r="E918" t="s">
        <v>1261</v>
      </c>
      <c r="F918" t="s">
        <v>1362</v>
      </c>
      <c r="G918" t="s">
        <v>1523</v>
      </c>
      <c r="H918" t="s">
        <v>67</v>
      </c>
    </row>
    <row r="919" spans="1:8">
      <c r="A919">
        <v>121113</v>
      </c>
      <c r="B919" t="s">
        <v>2913</v>
      </c>
      <c r="C919" t="s">
        <v>2798</v>
      </c>
      <c r="D919" t="s">
        <v>1427</v>
      </c>
      <c r="E919" t="s">
        <v>1326</v>
      </c>
      <c r="F919" t="s">
        <v>1369</v>
      </c>
      <c r="G919" t="s">
        <v>1528</v>
      </c>
      <c r="H919" t="s">
        <v>65</v>
      </c>
    </row>
    <row r="920" spans="1:8">
      <c r="A920">
        <v>267921</v>
      </c>
      <c r="B920" t="s">
        <v>2914</v>
      </c>
      <c r="C920" t="s">
        <v>2799</v>
      </c>
      <c r="D920" t="s">
        <v>1427</v>
      </c>
      <c r="E920" t="s">
        <v>1326</v>
      </c>
      <c r="F920" t="s">
        <v>1369</v>
      </c>
      <c r="G920" t="s">
        <v>1528</v>
      </c>
      <c r="H920" t="s">
        <v>65</v>
      </c>
    </row>
    <row r="921" spans="1:8">
      <c r="A921">
        <v>349572</v>
      </c>
      <c r="B921" t="s">
        <v>2915</v>
      </c>
      <c r="C921" t="s">
        <v>2800</v>
      </c>
      <c r="D921" t="s">
        <v>1427</v>
      </c>
      <c r="E921" t="s">
        <v>1326</v>
      </c>
      <c r="F921" t="s">
        <v>1369</v>
      </c>
      <c r="G921" t="s">
        <v>1528</v>
      </c>
      <c r="H921" t="s">
        <v>65</v>
      </c>
    </row>
    <row r="922" spans="1:8">
      <c r="A922">
        <v>349554</v>
      </c>
      <c r="B922" t="s">
        <v>2916</v>
      </c>
      <c r="C922" t="s">
        <v>2801</v>
      </c>
      <c r="D922" t="s">
        <v>1427</v>
      </c>
      <c r="E922" t="s">
        <v>1326</v>
      </c>
      <c r="F922" t="s">
        <v>1369</v>
      </c>
      <c r="G922" t="s">
        <v>1528</v>
      </c>
      <c r="H922" t="s">
        <v>65</v>
      </c>
    </row>
    <row r="923" spans="1:8">
      <c r="A923">
        <v>290267</v>
      </c>
      <c r="B923" t="s">
        <v>2917</v>
      </c>
      <c r="C923" t="s">
        <v>2802</v>
      </c>
      <c r="D923" t="s">
        <v>1427</v>
      </c>
      <c r="E923" t="s">
        <v>1332</v>
      </c>
      <c r="F923" t="s">
        <v>602</v>
      </c>
      <c r="G923" t="s">
        <v>1528</v>
      </c>
      <c r="H923" t="s">
        <v>65</v>
      </c>
    </row>
    <row r="924" spans="1:8">
      <c r="A924">
        <v>345108</v>
      </c>
      <c r="B924" t="s">
        <v>2918</v>
      </c>
      <c r="C924" t="s">
        <v>2803</v>
      </c>
      <c r="D924" t="s">
        <v>1427</v>
      </c>
      <c r="E924" t="s">
        <v>1332</v>
      </c>
      <c r="F924" t="s">
        <v>602</v>
      </c>
      <c r="G924" t="s">
        <v>1528</v>
      </c>
      <c r="H924" t="s">
        <v>65</v>
      </c>
    </row>
    <row r="925" spans="1:8">
      <c r="A925">
        <v>350715</v>
      </c>
      <c r="B925" t="s">
        <v>2919</v>
      </c>
      <c r="C925" t="s">
        <v>2804</v>
      </c>
      <c r="D925" t="s">
        <v>1427</v>
      </c>
      <c r="E925" t="s">
        <v>1332</v>
      </c>
      <c r="F925" t="s">
        <v>602</v>
      </c>
      <c r="G925" t="s">
        <v>1528</v>
      </c>
      <c r="H925" t="s">
        <v>65</v>
      </c>
    </row>
    <row r="926" spans="1:8">
      <c r="A926">
        <v>345435</v>
      </c>
      <c r="B926" t="s">
        <v>2920</v>
      </c>
      <c r="C926" t="s">
        <v>2805</v>
      </c>
      <c r="D926" t="s">
        <v>1427</v>
      </c>
      <c r="E926" t="s">
        <v>1332</v>
      </c>
      <c r="F926" t="s">
        <v>602</v>
      </c>
      <c r="G926" t="s">
        <v>1528</v>
      </c>
      <c r="H926" t="s">
        <v>65</v>
      </c>
    </row>
    <row r="927" spans="1:8">
      <c r="A927">
        <v>349489</v>
      </c>
      <c r="B927" t="s">
        <v>2921</v>
      </c>
      <c r="C927" t="s">
        <v>2806</v>
      </c>
      <c r="D927" t="s">
        <v>1427</v>
      </c>
      <c r="E927" t="s">
        <v>1332</v>
      </c>
      <c r="F927" t="s">
        <v>602</v>
      </c>
      <c r="G927" t="s">
        <v>1528</v>
      </c>
      <c r="H927" t="s">
        <v>65</v>
      </c>
    </row>
    <row r="928" spans="1:8">
      <c r="A928">
        <v>329159</v>
      </c>
      <c r="B928" t="s">
        <v>2922</v>
      </c>
      <c r="C928" t="s">
        <v>2807</v>
      </c>
      <c r="D928" t="s">
        <v>1427</v>
      </c>
      <c r="E928" t="s">
        <v>1326</v>
      </c>
      <c r="F928" t="s">
        <v>1369</v>
      </c>
      <c r="G928" t="s">
        <v>1548</v>
      </c>
      <c r="H928" t="s">
        <v>65</v>
      </c>
    </row>
    <row r="929" spans="1:8">
      <c r="A929">
        <v>329506</v>
      </c>
      <c r="B929" t="s">
        <v>2923</v>
      </c>
      <c r="C929" t="s">
        <v>2808</v>
      </c>
      <c r="D929" t="s">
        <v>1427</v>
      </c>
      <c r="E929" t="s">
        <v>1326</v>
      </c>
      <c r="F929" t="s">
        <v>1369</v>
      </c>
      <c r="G929" t="s">
        <v>1548</v>
      </c>
      <c r="H929" t="s">
        <v>65</v>
      </c>
    </row>
    <row r="930" spans="1:8">
      <c r="A930">
        <v>346140</v>
      </c>
      <c r="B930" t="s">
        <v>2924</v>
      </c>
      <c r="C930" t="s">
        <v>2809</v>
      </c>
      <c r="D930" t="s">
        <v>1427</v>
      </c>
      <c r="E930" t="s">
        <v>2380</v>
      </c>
      <c r="F930" t="s">
        <v>602</v>
      </c>
      <c r="G930" t="s">
        <v>1528</v>
      </c>
      <c r="H930" t="s">
        <v>65</v>
      </c>
    </row>
    <row r="931" spans="1:8">
      <c r="A931">
        <v>346139</v>
      </c>
      <c r="B931" t="s">
        <v>2925</v>
      </c>
      <c r="C931" t="s">
        <v>2810</v>
      </c>
      <c r="D931" t="s">
        <v>1427</v>
      </c>
      <c r="E931" t="s">
        <v>2380</v>
      </c>
      <c r="F931" t="s">
        <v>602</v>
      </c>
      <c r="G931" t="s">
        <v>1528</v>
      </c>
      <c r="H931" t="s">
        <v>65</v>
      </c>
    </row>
    <row r="932" spans="1:8">
      <c r="A932">
        <v>349502</v>
      </c>
      <c r="B932" t="s">
        <v>2926</v>
      </c>
      <c r="C932" t="s">
        <v>2811</v>
      </c>
      <c r="D932" t="s">
        <v>1427</v>
      </c>
      <c r="E932" t="s">
        <v>1201</v>
      </c>
      <c r="F932" t="s">
        <v>1362</v>
      </c>
      <c r="G932" t="s">
        <v>1523</v>
      </c>
      <c r="H932" t="s">
        <v>67</v>
      </c>
    </row>
    <row r="933" spans="1:8">
      <c r="A933">
        <v>274127</v>
      </c>
      <c r="B933" t="s">
        <v>2927</v>
      </c>
      <c r="C933" t="s">
        <v>2812</v>
      </c>
      <c r="D933" t="s">
        <v>1427</v>
      </c>
      <c r="E933" t="s">
        <v>1334</v>
      </c>
      <c r="F933" t="s">
        <v>1362</v>
      </c>
      <c r="G933" t="s">
        <v>1523</v>
      </c>
      <c r="H933" t="s">
        <v>67</v>
      </c>
    </row>
    <row r="934" spans="1:8">
      <c r="A934">
        <v>267972</v>
      </c>
      <c r="B934" t="s">
        <v>2928</v>
      </c>
      <c r="C934" t="s">
        <v>2813</v>
      </c>
      <c r="D934" t="s">
        <v>1427</v>
      </c>
      <c r="E934" t="s">
        <v>2380</v>
      </c>
      <c r="F934" t="s">
        <v>602</v>
      </c>
      <c r="G934" t="s">
        <v>1528</v>
      </c>
      <c r="H934" t="s">
        <v>65</v>
      </c>
    </row>
    <row r="935" spans="1:8">
      <c r="A935">
        <v>345434</v>
      </c>
      <c r="B935" t="s">
        <v>2929</v>
      </c>
      <c r="C935" t="s">
        <v>2814</v>
      </c>
      <c r="D935" t="s">
        <v>1427</v>
      </c>
      <c r="E935" t="s">
        <v>1326</v>
      </c>
      <c r="F935" t="s">
        <v>1369</v>
      </c>
      <c r="G935" t="s">
        <v>1528</v>
      </c>
      <c r="H935" t="s">
        <v>65</v>
      </c>
    </row>
    <row r="936" spans="1:8">
      <c r="A936">
        <v>345121</v>
      </c>
      <c r="B936" t="s">
        <v>2930</v>
      </c>
      <c r="C936" t="s">
        <v>2815</v>
      </c>
      <c r="D936" t="s">
        <v>1427</v>
      </c>
      <c r="E936" t="s">
        <v>789</v>
      </c>
      <c r="F936" t="s">
        <v>1369</v>
      </c>
      <c r="G936" t="s">
        <v>1528</v>
      </c>
      <c r="H936" t="s">
        <v>65</v>
      </c>
    </row>
    <row r="937" spans="1:8">
      <c r="A937">
        <v>346144</v>
      </c>
      <c r="B937" t="s">
        <v>2931</v>
      </c>
      <c r="C937" t="s">
        <v>2816</v>
      </c>
      <c r="D937" t="s">
        <v>1427</v>
      </c>
      <c r="E937" t="s">
        <v>789</v>
      </c>
      <c r="F937" t="s">
        <v>1369</v>
      </c>
      <c r="G937" t="s">
        <v>1528</v>
      </c>
      <c r="H937" t="s">
        <v>65</v>
      </c>
    </row>
    <row r="938" spans="1:8">
      <c r="A938">
        <v>345175</v>
      </c>
      <c r="B938" t="s">
        <v>2932</v>
      </c>
      <c r="C938" t="s">
        <v>2817</v>
      </c>
      <c r="D938" t="s">
        <v>1427</v>
      </c>
      <c r="E938" t="s">
        <v>789</v>
      </c>
      <c r="F938" t="s">
        <v>1369</v>
      </c>
      <c r="G938" t="s">
        <v>1528</v>
      </c>
      <c r="H938" t="s">
        <v>65</v>
      </c>
    </row>
    <row r="939" spans="1:8">
      <c r="A939">
        <v>353391</v>
      </c>
      <c r="B939" t="s">
        <v>2933</v>
      </c>
      <c r="C939" t="s">
        <v>2818</v>
      </c>
      <c r="D939" t="s">
        <v>1427</v>
      </c>
      <c r="E939" t="s">
        <v>1332</v>
      </c>
      <c r="F939" t="s">
        <v>602</v>
      </c>
      <c r="G939" t="s">
        <v>1528</v>
      </c>
      <c r="H939" t="s">
        <v>65</v>
      </c>
    </row>
    <row r="940" spans="1:8">
      <c r="A940">
        <v>353389</v>
      </c>
      <c r="B940" t="s">
        <v>2934</v>
      </c>
      <c r="C940" t="s">
        <v>2819</v>
      </c>
      <c r="D940" t="s">
        <v>1427</v>
      </c>
      <c r="E940" t="s">
        <v>1332</v>
      </c>
      <c r="F940" t="s">
        <v>602</v>
      </c>
      <c r="G940" t="s">
        <v>1528</v>
      </c>
      <c r="H940" t="s">
        <v>65</v>
      </c>
    </row>
    <row r="941" spans="1:8">
      <c r="A941">
        <v>353387</v>
      </c>
      <c r="B941" t="s">
        <v>2935</v>
      </c>
      <c r="C941" t="s">
        <v>2820</v>
      </c>
      <c r="D941" t="s">
        <v>1427</v>
      </c>
      <c r="E941" t="s">
        <v>1332</v>
      </c>
      <c r="F941" t="s">
        <v>602</v>
      </c>
      <c r="G941" t="s">
        <v>1528</v>
      </c>
      <c r="H941" t="s">
        <v>65</v>
      </c>
    </row>
    <row r="942" spans="1:8">
      <c r="A942">
        <v>353386</v>
      </c>
      <c r="B942" t="s">
        <v>2936</v>
      </c>
      <c r="C942" t="s">
        <v>2821</v>
      </c>
      <c r="D942" t="s">
        <v>1427</v>
      </c>
      <c r="E942" t="s">
        <v>1332</v>
      </c>
      <c r="F942" t="s">
        <v>602</v>
      </c>
      <c r="G942" t="s">
        <v>1528</v>
      </c>
      <c r="H942" t="s">
        <v>65</v>
      </c>
    </row>
    <row r="943" spans="1:8">
      <c r="A943">
        <v>353385</v>
      </c>
      <c r="B943" t="s">
        <v>2937</v>
      </c>
      <c r="C943" t="s">
        <v>2822</v>
      </c>
      <c r="D943" t="s">
        <v>1427</v>
      </c>
      <c r="E943" t="s">
        <v>1332</v>
      </c>
      <c r="F943" t="s">
        <v>602</v>
      </c>
      <c r="G943" t="s">
        <v>1528</v>
      </c>
      <c r="H943" t="s">
        <v>65</v>
      </c>
    </row>
    <row r="944" spans="1:8">
      <c r="A944">
        <v>353521</v>
      </c>
      <c r="B944" t="s">
        <v>2938</v>
      </c>
      <c r="C944" t="s">
        <v>2823</v>
      </c>
      <c r="D944" t="s">
        <v>1427</v>
      </c>
      <c r="E944" t="s">
        <v>1332</v>
      </c>
      <c r="F944" t="s">
        <v>602</v>
      </c>
      <c r="G944" t="s">
        <v>1528</v>
      </c>
      <c r="H944" t="s">
        <v>65</v>
      </c>
    </row>
    <row r="945" spans="1:8">
      <c r="A945">
        <v>353415</v>
      </c>
      <c r="B945" t="s">
        <v>2939</v>
      </c>
      <c r="C945" t="s">
        <v>2824</v>
      </c>
      <c r="D945" t="s">
        <v>1427</v>
      </c>
      <c r="E945" t="s">
        <v>1332</v>
      </c>
      <c r="F945" t="s">
        <v>602</v>
      </c>
      <c r="G945" t="s">
        <v>1528</v>
      </c>
      <c r="H945" t="s">
        <v>65</v>
      </c>
    </row>
    <row r="946" spans="1:8">
      <c r="A946">
        <v>353388</v>
      </c>
      <c r="B946" t="s">
        <v>2940</v>
      </c>
      <c r="C946" t="s">
        <v>2825</v>
      </c>
      <c r="D946" t="s">
        <v>1427</v>
      </c>
      <c r="E946" t="s">
        <v>1332</v>
      </c>
      <c r="F946" t="s">
        <v>602</v>
      </c>
      <c r="G946" t="s">
        <v>1528</v>
      </c>
      <c r="H946" t="s">
        <v>65</v>
      </c>
    </row>
    <row r="947" spans="1:8">
      <c r="A947">
        <v>353523</v>
      </c>
      <c r="B947" t="s">
        <v>2941</v>
      </c>
      <c r="C947" t="s">
        <v>2826</v>
      </c>
      <c r="D947" t="s">
        <v>1427</v>
      </c>
      <c r="E947" t="s">
        <v>1332</v>
      </c>
      <c r="F947" t="s">
        <v>602</v>
      </c>
      <c r="G947" t="s">
        <v>1528</v>
      </c>
      <c r="H947" t="s">
        <v>65</v>
      </c>
    </row>
    <row r="948" spans="1:8">
      <c r="A948">
        <v>353526</v>
      </c>
      <c r="B948" t="s">
        <v>2942</v>
      </c>
      <c r="C948" t="s">
        <v>2827</v>
      </c>
      <c r="D948" t="s">
        <v>1427</v>
      </c>
      <c r="E948" t="s">
        <v>1332</v>
      </c>
      <c r="F948" t="s">
        <v>602</v>
      </c>
      <c r="G948" t="s">
        <v>1528</v>
      </c>
      <c r="H948" t="s">
        <v>65</v>
      </c>
    </row>
    <row r="949" spans="1:8">
      <c r="A949">
        <v>353528</v>
      </c>
      <c r="B949" t="s">
        <v>2943</v>
      </c>
      <c r="C949" t="s">
        <v>2828</v>
      </c>
      <c r="D949" t="s">
        <v>1427</v>
      </c>
      <c r="E949" t="s">
        <v>1332</v>
      </c>
      <c r="F949" t="s">
        <v>602</v>
      </c>
      <c r="G949" t="s">
        <v>1528</v>
      </c>
      <c r="H949" t="s">
        <v>65</v>
      </c>
    </row>
    <row r="950" spans="1:8">
      <c r="A950">
        <v>353530</v>
      </c>
      <c r="B950" t="s">
        <v>2944</v>
      </c>
      <c r="C950" t="s">
        <v>2829</v>
      </c>
      <c r="D950" t="s">
        <v>1427</v>
      </c>
      <c r="E950" t="s">
        <v>2380</v>
      </c>
      <c r="F950" t="s">
        <v>602</v>
      </c>
      <c r="G950" t="s">
        <v>1528</v>
      </c>
      <c r="H950" t="s">
        <v>65</v>
      </c>
    </row>
    <row r="951" spans="1:8">
      <c r="A951">
        <v>353466</v>
      </c>
      <c r="B951" t="s">
        <v>2945</v>
      </c>
      <c r="C951" t="s">
        <v>2830</v>
      </c>
      <c r="D951" t="s">
        <v>1427</v>
      </c>
      <c r="E951" t="s">
        <v>2380</v>
      </c>
      <c r="F951" t="s">
        <v>602</v>
      </c>
      <c r="G951" t="s">
        <v>1528</v>
      </c>
      <c r="H951" t="s">
        <v>65</v>
      </c>
    </row>
    <row r="952" spans="1:8">
      <c r="A952">
        <v>353459</v>
      </c>
      <c r="B952" t="s">
        <v>2946</v>
      </c>
      <c r="C952" t="s">
        <v>2831</v>
      </c>
      <c r="D952" t="s">
        <v>1427</v>
      </c>
      <c r="E952" t="s">
        <v>2380</v>
      </c>
      <c r="F952" t="s">
        <v>602</v>
      </c>
      <c r="G952" t="s">
        <v>1528</v>
      </c>
      <c r="H952" t="s">
        <v>65</v>
      </c>
    </row>
    <row r="953" spans="1:8">
      <c r="A953">
        <v>353452</v>
      </c>
      <c r="B953" t="s">
        <v>2947</v>
      </c>
      <c r="C953" t="s">
        <v>2832</v>
      </c>
      <c r="D953" t="s">
        <v>1427</v>
      </c>
      <c r="E953" t="s">
        <v>512</v>
      </c>
      <c r="F953" t="s">
        <v>602</v>
      </c>
      <c r="G953" t="s">
        <v>1528</v>
      </c>
      <c r="H953" t="s">
        <v>65</v>
      </c>
    </row>
    <row r="954" spans="1:8">
      <c r="A954">
        <v>353445</v>
      </c>
      <c r="B954" t="s">
        <v>2948</v>
      </c>
      <c r="C954" t="s">
        <v>2833</v>
      </c>
      <c r="D954" t="s">
        <v>1427</v>
      </c>
      <c r="E954" t="s">
        <v>512</v>
      </c>
      <c r="F954" t="s">
        <v>602</v>
      </c>
      <c r="G954" t="s">
        <v>1528</v>
      </c>
      <c r="H954" t="s">
        <v>65</v>
      </c>
    </row>
    <row r="955" spans="1:8">
      <c r="A955">
        <v>353439</v>
      </c>
      <c r="B955" t="s">
        <v>2949</v>
      </c>
      <c r="C955" t="s">
        <v>866</v>
      </c>
      <c r="D955" t="s">
        <v>1427</v>
      </c>
      <c r="E955" t="s">
        <v>789</v>
      </c>
      <c r="F955" t="s">
        <v>1369</v>
      </c>
      <c r="G955" t="s">
        <v>1528</v>
      </c>
      <c r="H955" t="s">
        <v>65</v>
      </c>
    </row>
    <row r="956" spans="1:8">
      <c r="A956">
        <v>353401</v>
      </c>
      <c r="B956" t="s">
        <v>2950</v>
      </c>
      <c r="C956" t="s">
        <v>2834</v>
      </c>
      <c r="D956" t="s">
        <v>1427</v>
      </c>
      <c r="E956" t="s">
        <v>1326</v>
      </c>
      <c r="F956" t="s">
        <v>1369</v>
      </c>
      <c r="G956" t="s">
        <v>1528</v>
      </c>
      <c r="H956" t="s">
        <v>65</v>
      </c>
    </row>
    <row r="957" spans="1:8">
      <c r="A957">
        <v>353413</v>
      </c>
      <c r="B957" t="s">
        <v>2951</v>
      </c>
      <c r="C957" t="s">
        <v>2835</v>
      </c>
      <c r="D957" t="s">
        <v>1427</v>
      </c>
      <c r="E957" t="s">
        <v>1068</v>
      </c>
      <c r="F957" t="s">
        <v>1362</v>
      </c>
      <c r="G957" t="s">
        <v>1523</v>
      </c>
      <c r="H957" t="s">
        <v>67</v>
      </c>
    </row>
    <row r="958" spans="1:8">
      <c r="A958">
        <v>353395</v>
      </c>
      <c r="B958" t="s">
        <v>2952</v>
      </c>
      <c r="C958" t="s">
        <v>2836</v>
      </c>
      <c r="D958" t="s">
        <v>1427</v>
      </c>
      <c r="E958" t="s">
        <v>1068</v>
      </c>
      <c r="F958" t="s">
        <v>1362</v>
      </c>
      <c r="G958" t="s">
        <v>1523</v>
      </c>
      <c r="H958" t="s">
        <v>67</v>
      </c>
    </row>
    <row r="959" spans="1:8">
      <c r="A959">
        <v>353394</v>
      </c>
      <c r="B959" t="s">
        <v>2953</v>
      </c>
      <c r="C959" t="s">
        <v>2837</v>
      </c>
      <c r="D959" t="s">
        <v>1427</v>
      </c>
      <c r="E959" t="s">
        <v>476</v>
      </c>
      <c r="F959" t="s">
        <v>1362</v>
      </c>
      <c r="G959" t="s">
        <v>1523</v>
      </c>
      <c r="H959" t="s">
        <v>67</v>
      </c>
    </row>
    <row r="960" spans="1:8">
      <c r="A960">
        <v>353534</v>
      </c>
      <c r="B960" t="s">
        <v>2954</v>
      </c>
      <c r="C960" t="s">
        <v>2838</v>
      </c>
      <c r="D960" t="s">
        <v>1427</v>
      </c>
      <c r="E960" t="s">
        <v>476</v>
      </c>
      <c r="F960" t="s">
        <v>1362</v>
      </c>
      <c r="G960" t="s">
        <v>1523</v>
      </c>
      <c r="H960" t="s">
        <v>67</v>
      </c>
    </row>
    <row r="961" spans="1:8">
      <c r="A961">
        <v>353532</v>
      </c>
      <c r="B961" t="s">
        <v>2955</v>
      </c>
      <c r="C961" t="s">
        <v>2839</v>
      </c>
      <c r="D961" t="s">
        <v>1427</v>
      </c>
      <c r="E961" t="s">
        <v>1261</v>
      </c>
      <c r="F961" t="s">
        <v>1362</v>
      </c>
      <c r="G961" t="s">
        <v>1523</v>
      </c>
      <c r="H961" t="s">
        <v>67</v>
      </c>
    </row>
    <row r="962" spans="1:8">
      <c r="A962">
        <v>353402</v>
      </c>
      <c r="B962" t="s">
        <v>2956</v>
      </c>
      <c r="C962" t="s">
        <v>2840</v>
      </c>
      <c r="D962" t="s">
        <v>1427</v>
      </c>
      <c r="E962" t="s">
        <v>1261</v>
      </c>
      <c r="F962" t="s">
        <v>1362</v>
      </c>
      <c r="G962" t="s">
        <v>1523</v>
      </c>
      <c r="H962" t="s">
        <v>67</v>
      </c>
    </row>
    <row r="963" spans="1:8">
      <c r="A963">
        <v>353404</v>
      </c>
      <c r="B963" t="s">
        <v>2957</v>
      </c>
      <c r="C963" t="s">
        <v>2841</v>
      </c>
      <c r="D963" t="s">
        <v>1427</v>
      </c>
      <c r="E963" t="s">
        <v>1261</v>
      </c>
      <c r="F963" t="s">
        <v>1362</v>
      </c>
      <c r="G963" t="s">
        <v>1523</v>
      </c>
      <c r="H963" t="s">
        <v>67</v>
      </c>
    </row>
    <row r="964" spans="1:8">
      <c r="A964">
        <v>353392</v>
      </c>
      <c r="B964" t="s">
        <v>2958</v>
      </c>
      <c r="C964" t="s">
        <v>2842</v>
      </c>
      <c r="D964" t="s">
        <v>1427</v>
      </c>
      <c r="E964" t="s">
        <v>584</v>
      </c>
      <c r="F964" t="s">
        <v>1362</v>
      </c>
      <c r="G964" t="s">
        <v>1523</v>
      </c>
      <c r="H964" t="s">
        <v>67</v>
      </c>
    </row>
    <row r="965" spans="1:8">
      <c r="A965">
        <v>248950</v>
      </c>
      <c r="B965" t="s">
        <v>2959</v>
      </c>
      <c r="C965" t="s">
        <v>2843</v>
      </c>
      <c r="D965" t="s">
        <v>1427</v>
      </c>
      <c r="E965" t="s">
        <v>1334</v>
      </c>
      <c r="F965" t="s">
        <v>1362</v>
      </c>
      <c r="G965" t="s">
        <v>1523</v>
      </c>
      <c r="H965" t="s">
        <v>67</v>
      </c>
    </row>
    <row r="966" spans="1:8">
      <c r="A966">
        <v>353757</v>
      </c>
      <c r="B966" t="s">
        <v>2960</v>
      </c>
      <c r="C966" t="s">
        <v>2844</v>
      </c>
      <c r="D966" t="s">
        <v>1427</v>
      </c>
      <c r="E966" t="s">
        <v>1179</v>
      </c>
      <c r="F966" t="s">
        <v>1369</v>
      </c>
      <c r="G966" t="s">
        <v>1528</v>
      </c>
      <c r="H966" t="s">
        <v>65</v>
      </c>
    </row>
    <row r="967" spans="1:8">
      <c r="A967">
        <v>353775</v>
      </c>
      <c r="B967" t="s">
        <v>2961</v>
      </c>
      <c r="C967" t="s">
        <v>2845</v>
      </c>
      <c r="D967" t="s">
        <v>1427</v>
      </c>
      <c r="E967" t="s">
        <v>1179</v>
      </c>
      <c r="F967" t="s">
        <v>1369</v>
      </c>
      <c r="G967" t="s">
        <v>1528</v>
      </c>
      <c r="H967" t="s">
        <v>65</v>
      </c>
    </row>
    <row r="968" spans="1:8">
      <c r="A968">
        <v>351301</v>
      </c>
      <c r="B968" t="s">
        <v>2962</v>
      </c>
      <c r="C968" t="s">
        <v>2846</v>
      </c>
      <c r="D968" t="s">
        <v>1427</v>
      </c>
      <c r="E968" t="s">
        <v>1179</v>
      </c>
      <c r="F968" t="s">
        <v>1369</v>
      </c>
      <c r="G968" t="s">
        <v>1528</v>
      </c>
      <c r="H968" t="s">
        <v>65</v>
      </c>
    </row>
    <row r="969" spans="1:8">
      <c r="A969">
        <v>353780</v>
      </c>
      <c r="B969" t="s">
        <v>2963</v>
      </c>
      <c r="C969" t="s">
        <v>2847</v>
      </c>
      <c r="D969" t="s">
        <v>1427</v>
      </c>
      <c r="E969" t="s">
        <v>1179</v>
      </c>
      <c r="F969" t="s">
        <v>1369</v>
      </c>
      <c r="G969" t="s">
        <v>1528</v>
      </c>
      <c r="H969" t="s">
        <v>65</v>
      </c>
    </row>
    <row r="970" spans="1:8">
      <c r="A970">
        <v>353743</v>
      </c>
      <c r="B970" t="s">
        <v>2964</v>
      </c>
      <c r="C970" t="s">
        <v>2848</v>
      </c>
      <c r="D970" t="s">
        <v>1427</v>
      </c>
      <c r="E970" t="s">
        <v>1179</v>
      </c>
      <c r="F970" t="s">
        <v>1369</v>
      </c>
      <c r="G970" t="s">
        <v>1528</v>
      </c>
      <c r="H970" t="s">
        <v>65</v>
      </c>
    </row>
    <row r="971" spans="1:8">
      <c r="A971">
        <v>353739</v>
      </c>
      <c r="B971" t="s">
        <v>2965</v>
      </c>
      <c r="C971" t="s">
        <v>2849</v>
      </c>
      <c r="D971" t="s">
        <v>1427</v>
      </c>
      <c r="E971" t="s">
        <v>1179</v>
      </c>
      <c r="F971" t="s">
        <v>1369</v>
      </c>
      <c r="G971" t="s">
        <v>1528</v>
      </c>
      <c r="H971" t="s">
        <v>65</v>
      </c>
    </row>
    <row r="972" spans="1:8">
      <c r="A972">
        <v>353762</v>
      </c>
      <c r="B972" t="s">
        <v>2966</v>
      </c>
      <c r="C972" t="s">
        <v>2850</v>
      </c>
      <c r="D972" t="s">
        <v>1427</v>
      </c>
      <c r="E972" t="s">
        <v>1179</v>
      </c>
      <c r="F972" t="s">
        <v>1369</v>
      </c>
      <c r="G972" t="s">
        <v>1528</v>
      </c>
      <c r="H972" t="s">
        <v>65</v>
      </c>
    </row>
    <row r="973" spans="1:8">
      <c r="A973">
        <v>353748</v>
      </c>
      <c r="B973" t="s">
        <v>2967</v>
      </c>
      <c r="C973" t="s">
        <v>2851</v>
      </c>
      <c r="D973" t="s">
        <v>1427</v>
      </c>
      <c r="E973" t="s">
        <v>1179</v>
      </c>
      <c r="F973" t="s">
        <v>1369</v>
      </c>
      <c r="G973" t="s">
        <v>1528</v>
      </c>
      <c r="H973" t="s">
        <v>65</v>
      </c>
    </row>
    <row r="974" spans="1:8">
      <c r="A974">
        <v>353752</v>
      </c>
      <c r="B974" t="s">
        <v>2968</v>
      </c>
      <c r="C974" t="s">
        <v>2852</v>
      </c>
      <c r="D974" t="s">
        <v>1427</v>
      </c>
      <c r="E974" t="s">
        <v>1261</v>
      </c>
      <c r="F974" t="s">
        <v>1362</v>
      </c>
      <c r="G974" t="s">
        <v>1523</v>
      </c>
      <c r="H974" t="s">
        <v>67</v>
      </c>
    </row>
    <row r="975" spans="1:8">
      <c r="A975">
        <v>353746</v>
      </c>
      <c r="B975" t="s">
        <v>2969</v>
      </c>
      <c r="C975" t="s">
        <v>2853</v>
      </c>
      <c r="D975" t="s">
        <v>1427</v>
      </c>
      <c r="E975" t="s">
        <v>1261</v>
      </c>
      <c r="F975" t="s">
        <v>1362</v>
      </c>
      <c r="G975" t="s">
        <v>1523</v>
      </c>
      <c r="H975" t="s">
        <v>67</v>
      </c>
    </row>
    <row r="976" spans="1:8">
      <c r="A976">
        <v>353754</v>
      </c>
      <c r="B976" t="s">
        <v>2970</v>
      </c>
      <c r="C976" t="s">
        <v>2854</v>
      </c>
      <c r="D976" t="s">
        <v>1427</v>
      </c>
      <c r="E976" t="s">
        <v>1006</v>
      </c>
      <c r="F976" t="s">
        <v>1359</v>
      </c>
      <c r="G976" t="s">
        <v>1527</v>
      </c>
      <c r="H976" t="s">
        <v>59</v>
      </c>
    </row>
    <row r="977" spans="1:8">
      <c r="A977">
        <v>353833</v>
      </c>
      <c r="B977" t="s">
        <v>2971</v>
      </c>
      <c r="C977" t="s">
        <v>2855</v>
      </c>
      <c r="D977" t="s">
        <v>1427</v>
      </c>
      <c r="E977" t="s">
        <v>1006</v>
      </c>
      <c r="F977" t="s">
        <v>1359</v>
      </c>
      <c r="G977" t="s">
        <v>1527</v>
      </c>
      <c r="H977" t="s">
        <v>59</v>
      </c>
    </row>
    <row r="978" spans="1:8">
      <c r="A978">
        <v>353759</v>
      </c>
      <c r="B978" t="s">
        <v>2972</v>
      </c>
      <c r="C978" t="s">
        <v>2856</v>
      </c>
      <c r="D978" t="s">
        <v>1427</v>
      </c>
      <c r="E978" t="s">
        <v>941</v>
      </c>
      <c r="F978" t="s">
        <v>1359</v>
      </c>
      <c r="G978" t="s">
        <v>1527</v>
      </c>
      <c r="H978" t="s">
        <v>59</v>
      </c>
    </row>
    <row r="979" spans="1:8">
      <c r="A979">
        <v>353777</v>
      </c>
      <c r="B979" t="s">
        <v>2973</v>
      </c>
      <c r="C979" t="s">
        <v>2857</v>
      </c>
      <c r="D979" t="s">
        <v>1427</v>
      </c>
      <c r="E979" t="s">
        <v>941</v>
      </c>
      <c r="F979" t="s">
        <v>1359</v>
      </c>
      <c r="G979" t="s">
        <v>1527</v>
      </c>
      <c r="H979" t="s">
        <v>59</v>
      </c>
    </row>
    <row r="980" spans="1:8">
      <c r="A980">
        <v>353753</v>
      </c>
      <c r="B980" t="s">
        <v>2974</v>
      </c>
      <c r="C980" t="s">
        <v>2858</v>
      </c>
      <c r="D980" t="s">
        <v>1427</v>
      </c>
      <c r="E980" t="s">
        <v>690</v>
      </c>
      <c r="F980" t="s">
        <v>1359</v>
      </c>
      <c r="G980" t="s">
        <v>1527</v>
      </c>
      <c r="H980" t="s">
        <v>59</v>
      </c>
    </row>
    <row r="981" spans="1:8">
      <c r="A981">
        <v>353437</v>
      </c>
      <c r="B981" t="s">
        <v>2975</v>
      </c>
      <c r="C981" t="s">
        <v>2859</v>
      </c>
      <c r="D981" t="s">
        <v>1427</v>
      </c>
      <c r="E981" t="s">
        <v>512</v>
      </c>
      <c r="F981" t="s">
        <v>602</v>
      </c>
      <c r="G981" t="s">
        <v>1537</v>
      </c>
      <c r="H981" t="s">
        <v>65</v>
      </c>
    </row>
    <row r="982" spans="1:8">
      <c r="A982">
        <v>354326</v>
      </c>
      <c r="B982" t="s">
        <v>3037</v>
      </c>
      <c r="C982" t="s">
        <v>2976</v>
      </c>
      <c r="D982" t="s">
        <v>1427</v>
      </c>
      <c r="E982" t="s">
        <v>789</v>
      </c>
      <c r="F982" t="s">
        <v>1369</v>
      </c>
      <c r="G982" t="s">
        <v>1528</v>
      </c>
      <c r="H982" t="s">
        <v>65</v>
      </c>
    </row>
    <row r="983" spans="1:8">
      <c r="A983">
        <v>354329</v>
      </c>
      <c r="B983" t="s">
        <v>3038</v>
      </c>
      <c r="C983" t="s">
        <v>2977</v>
      </c>
      <c r="D983" t="s">
        <v>1427</v>
      </c>
      <c r="E983" t="s">
        <v>789</v>
      </c>
      <c r="F983" t="s">
        <v>1369</v>
      </c>
      <c r="G983" t="s">
        <v>1528</v>
      </c>
      <c r="H983" t="s">
        <v>65</v>
      </c>
    </row>
    <row r="984" spans="1:8">
      <c r="A984">
        <v>354333</v>
      </c>
      <c r="B984" t="s">
        <v>3039</v>
      </c>
      <c r="C984" t="s">
        <v>2978</v>
      </c>
      <c r="D984" t="s">
        <v>1427</v>
      </c>
      <c r="E984" t="s">
        <v>789</v>
      </c>
      <c r="F984" t="s">
        <v>1369</v>
      </c>
      <c r="G984" t="s">
        <v>1528</v>
      </c>
      <c r="H984" t="s">
        <v>65</v>
      </c>
    </row>
    <row r="985" spans="1:8">
      <c r="A985">
        <v>296234</v>
      </c>
      <c r="B985" t="s">
        <v>3040</v>
      </c>
      <c r="C985" t="s">
        <v>2979</v>
      </c>
      <c r="D985" t="s">
        <v>1427</v>
      </c>
      <c r="E985" t="s">
        <v>789</v>
      </c>
      <c r="F985" t="s">
        <v>1369</v>
      </c>
      <c r="G985" t="s">
        <v>1528</v>
      </c>
      <c r="H985" t="s">
        <v>65</v>
      </c>
    </row>
    <row r="986" spans="1:8">
      <c r="A986">
        <v>354334</v>
      </c>
      <c r="B986" t="s">
        <v>3041</v>
      </c>
      <c r="C986" t="s">
        <v>2980</v>
      </c>
      <c r="D986" t="s">
        <v>1427</v>
      </c>
      <c r="E986" t="s">
        <v>789</v>
      </c>
      <c r="F986" t="s">
        <v>1369</v>
      </c>
      <c r="G986" t="s">
        <v>1528</v>
      </c>
      <c r="H986" t="s">
        <v>65</v>
      </c>
    </row>
    <row r="987" spans="1:8">
      <c r="A987">
        <v>354339</v>
      </c>
      <c r="B987" t="s">
        <v>3042</v>
      </c>
      <c r="C987" t="s">
        <v>2981</v>
      </c>
      <c r="D987" t="s">
        <v>1427</v>
      </c>
      <c r="E987" t="s">
        <v>789</v>
      </c>
      <c r="F987" t="s">
        <v>1369</v>
      </c>
      <c r="G987" t="s">
        <v>1528</v>
      </c>
      <c r="H987" t="s">
        <v>65</v>
      </c>
    </row>
    <row r="988" spans="1:8">
      <c r="A988">
        <v>354338</v>
      </c>
      <c r="B988" t="s">
        <v>3043</v>
      </c>
      <c r="C988" t="s">
        <v>2982</v>
      </c>
      <c r="D988" t="s">
        <v>1427</v>
      </c>
      <c r="E988" t="s">
        <v>789</v>
      </c>
      <c r="F988" t="s">
        <v>1369</v>
      </c>
      <c r="G988" t="s">
        <v>1528</v>
      </c>
      <c r="H988" t="s">
        <v>65</v>
      </c>
    </row>
    <row r="989" spans="1:8">
      <c r="A989">
        <v>354345</v>
      </c>
      <c r="B989" t="s">
        <v>3044</v>
      </c>
      <c r="C989" t="s">
        <v>2983</v>
      </c>
      <c r="D989" t="s">
        <v>1427</v>
      </c>
      <c r="E989" t="s">
        <v>789</v>
      </c>
      <c r="F989" t="s">
        <v>1369</v>
      </c>
      <c r="G989" t="s">
        <v>1528</v>
      </c>
      <c r="H989" t="s">
        <v>65</v>
      </c>
    </row>
    <row r="990" spans="1:8">
      <c r="A990">
        <v>354353</v>
      </c>
      <c r="B990" t="s">
        <v>3045</v>
      </c>
      <c r="C990" t="s">
        <v>2984</v>
      </c>
      <c r="D990" t="s">
        <v>1427</v>
      </c>
      <c r="E990" t="s">
        <v>789</v>
      </c>
      <c r="F990" t="s">
        <v>1369</v>
      </c>
      <c r="G990" t="s">
        <v>1528</v>
      </c>
      <c r="H990" t="s">
        <v>65</v>
      </c>
    </row>
    <row r="991" spans="1:8">
      <c r="A991">
        <v>354360</v>
      </c>
      <c r="B991" t="s">
        <v>3046</v>
      </c>
      <c r="C991" t="s">
        <v>2985</v>
      </c>
      <c r="D991" t="s">
        <v>1427</v>
      </c>
      <c r="E991" t="s">
        <v>789</v>
      </c>
      <c r="F991" t="s">
        <v>1369</v>
      </c>
      <c r="G991" t="s">
        <v>1528</v>
      </c>
      <c r="H991" t="s">
        <v>65</v>
      </c>
    </row>
    <row r="992" spans="1:8">
      <c r="A992">
        <v>354296</v>
      </c>
      <c r="B992" t="s">
        <v>3047</v>
      </c>
      <c r="C992" t="s">
        <v>2986</v>
      </c>
      <c r="D992" t="s">
        <v>1427</v>
      </c>
      <c r="E992" t="s">
        <v>2380</v>
      </c>
      <c r="F992" t="s">
        <v>602</v>
      </c>
      <c r="G992" t="s">
        <v>1528</v>
      </c>
      <c r="H992" t="s">
        <v>65</v>
      </c>
    </row>
    <row r="993" spans="1:8">
      <c r="A993">
        <v>354292</v>
      </c>
      <c r="B993" t="s">
        <v>3048</v>
      </c>
      <c r="C993" t="s">
        <v>2987</v>
      </c>
      <c r="D993" t="s">
        <v>1427</v>
      </c>
      <c r="E993" t="s">
        <v>2380</v>
      </c>
      <c r="F993" t="s">
        <v>602</v>
      </c>
      <c r="G993" t="s">
        <v>1528</v>
      </c>
      <c r="H993" t="s">
        <v>65</v>
      </c>
    </row>
    <row r="994" spans="1:8">
      <c r="A994">
        <v>354293</v>
      </c>
      <c r="B994" t="s">
        <v>3049</v>
      </c>
      <c r="C994" t="s">
        <v>2988</v>
      </c>
      <c r="D994" t="s">
        <v>1427</v>
      </c>
      <c r="E994" t="s">
        <v>2380</v>
      </c>
      <c r="F994" t="s">
        <v>602</v>
      </c>
      <c r="G994" t="s">
        <v>1528</v>
      </c>
      <c r="H994" t="s">
        <v>65</v>
      </c>
    </row>
    <row r="995" spans="1:8">
      <c r="A995">
        <v>354315</v>
      </c>
      <c r="B995" t="s">
        <v>3050</v>
      </c>
      <c r="C995" t="s">
        <v>2989</v>
      </c>
      <c r="D995" t="s">
        <v>1427</v>
      </c>
      <c r="E995" t="s">
        <v>2380</v>
      </c>
      <c r="F995" t="s">
        <v>602</v>
      </c>
      <c r="G995" t="s">
        <v>1528</v>
      </c>
      <c r="H995" t="s">
        <v>65</v>
      </c>
    </row>
    <row r="996" spans="1:8">
      <c r="A996">
        <v>354316</v>
      </c>
      <c r="B996" t="s">
        <v>3051</v>
      </c>
      <c r="C996" t="s">
        <v>2990</v>
      </c>
      <c r="D996" t="s">
        <v>1427</v>
      </c>
      <c r="E996" t="s">
        <v>2380</v>
      </c>
      <c r="F996" t="s">
        <v>602</v>
      </c>
      <c r="G996" t="s">
        <v>1528</v>
      </c>
      <c r="H996" t="s">
        <v>65</v>
      </c>
    </row>
    <row r="997" spans="1:8">
      <c r="A997">
        <v>354318</v>
      </c>
      <c r="B997" t="s">
        <v>3052</v>
      </c>
      <c r="C997" t="s">
        <v>2991</v>
      </c>
      <c r="D997" t="s">
        <v>1427</v>
      </c>
      <c r="E997" t="s">
        <v>2380</v>
      </c>
      <c r="F997" t="s">
        <v>602</v>
      </c>
      <c r="G997" t="s">
        <v>1528</v>
      </c>
      <c r="H997" t="s">
        <v>65</v>
      </c>
    </row>
    <row r="998" spans="1:8">
      <c r="A998">
        <v>344512</v>
      </c>
      <c r="B998" t="s">
        <v>3053</v>
      </c>
      <c r="C998" t="s">
        <v>2992</v>
      </c>
      <c r="D998" t="s">
        <v>1427</v>
      </c>
      <c r="E998" t="s">
        <v>2380</v>
      </c>
      <c r="F998" t="s">
        <v>602</v>
      </c>
      <c r="G998" t="s">
        <v>1528</v>
      </c>
      <c r="H998" t="s">
        <v>65</v>
      </c>
    </row>
    <row r="999" spans="1:8">
      <c r="A999">
        <v>354319</v>
      </c>
      <c r="B999" t="s">
        <v>3054</v>
      </c>
      <c r="C999" t="s">
        <v>2993</v>
      </c>
      <c r="D999" t="s">
        <v>1427</v>
      </c>
      <c r="E999" t="s">
        <v>2380</v>
      </c>
      <c r="F999" t="s">
        <v>602</v>
      </c>
      <c r="G999" t="s">
        <v>1528</v>
      </c>
      <c r="H999" t="s">
        <v>65</v>
      </c>
    </row>
    <row r="1000" spans="1:8">
      <c r="A1000">
        <v>354328</v>
      </c>
      <c r="B1000" t="s">
        <v>3055</v>
      </c>
      <c r="C1000" t="s">
        <v>2994</v>
      </c>
      <c r="D1000" t="s">
        <v>1427</v>
      </c>
      <c r="E1000" t="s">
        <v>2380</v>
      </c>
      <c r="F1000" t="s">
        <v>602</v>
      </c>
      <c r="G1000" t="s">
        <v>1528</v>
      </c>
      <c r="H1000" t="s">
        <v>65</v>
      </c>
    </row>
    <row r="1001" spans="1:8">
      <c r="A1001">
        <v>249865</v>
      </c>
      <c r="B1001" t="s">
        <v>3056</v>
      </c>
      <c r="C1001" t="s">
        <v>2995</v>
      </c>
      <c r="D1001" t="s">
        <v>1427</v>
      </c>
      <c r="E1001" t="s">
        <v>584</v>
      </c>
      <c r="F1001" t="s">
        <v>1362</v>
      </c>
      <c r="G1001" t="s">
        <v>1523</v>
      </c>
      <c r="H1001" t="s">
        <v>67</v>
      </c>
    </row>
    <row r="1002" spans="1:8">
      <c r="A1002">
        <v>354320</v>
      </c>
      <c r="B1002" t="s">
        <v>3057</v>
      </c>
      <c r="C1002" t="s">
        <v>2996</v>
      </c>
      <c r="D1002" t="s">
        <v>1427</v>
      </c>
      <c r="E1002" t="s">
        <v>584</v>
      </c>
      <c r="F1002" t="s">
        <v>1362</v>
      </c>
      <c r="G1002" t="s">
        <v>1523</v>
      </c>
      <c r="H1002" t="s">
        <v>67</v>
      </c>
    </row>
    <row r="1003" spans="1:8">
      <c r="A1003">
        <v>354323</v>
      </c>
      <c r="B1003" t="s">
        <v>3058</v>
      </c>
      <c r="C1003" t="s">
        <v>2997</v>
      </c>
      <c r="D1003" t="s">
        <v>1427</v>
      </c>
      <c r="E1003" t="s">
        <v>584</v>
      </c>
      <c r="F1003" t="s">
        <v>1362</v>
      </c>
      <c r="G1003" t="s">
        <v>1523</v>
      </c>
      <c r="H1003" t="s">
        <v>67</v>
      </c>
    </row>
    <row r="1004" spans="1:8">
      <c r="A1004">
        <v>354324</v>
      </c>
      <c r="B1004" t="s">
        <v>3059</v>
      </c>
      <c r="C1004" t="s">
        <v>2998</v>
      </c>
      <c r="D1004" t="s">
        <v>1427</v>
      </c>
      <c r="E1004" t="s">
        <v>584</v>
      </c>
      <c r="F1004" t="s">
        <v>1362</v>
      </c>
      <c r="G1004" t="s">
        <v>1523</v>
      </c>
      <c r="H1004" t="s">
        <v>67</v>
      </c>
    </row>
    <row r="1005" spans="1:8">
      <c r="A1005">
        <v>354336</v>
      </c>
      <c r="B1005" t="s">
        <v>3060</v>
      </c>
      <c r="C1005" t="s">
        <v>2999</v>
      </c>
      <c r="D1005" t="s">
        <v>1427</v>
      </c>
      <c r="E1005" t="s">
        <v>584</v>
      </c>
      <c r="F1005" t="s">
        <v>1362</v>
      </c>
      <c r="G1005" t="s">
        <v>1523</v>
      </c>
      <c r="H1005" t="s">
        <v>67</v>
      </c>
    </row>
    <row r="1006" spans="1:8">
      <c r="A1006">
        <v>354349</v>
      </c>
      <c r="B1006" t="s">
        <v>3061</v>
      </c>
      <c r="C1006" t="s">
        <v>3000</v>
      </c>
      <c r="D1006" t="s">
        <v>1427</v>
      </c>
      <c r="E1006" t="s">
        <v>1261</v>
      </c>
      <c r="F1006" t="s">
        <v>1362</v>
      </c>
      <c r="G1006" t="s">
        <v>1523</v>
      </c>
      <c r="H1006" t="s">
        <v>67</v>
      </c>
    </row>
    <row r="1007" spans="1:8">
      <c r="A1007">
        <v>354352</v>
      </c>
      <c r="B1007" t="s">
        <v>3062</v>
      </c>
      <c r="C1007" t="s">
        <v>3001</v>
      </c>
      <c r="D1007" t="s">
        <v>1427</v>
      </c>
      <c r="E1007" t="s">
        <v>1261</v>
      </c>
      <c r="F1007" t="s">
        <v>1362</v>
      </c>
      <c r="G1007" t="s">
        <v>1523</v>
      </c>
      <c r="H1007" t="s">
        <v>67</v>
      </c>
    </row>
    <row r="1008" spans="1:8">
      <c r="A1008">
        <v>354356</v>
      </c>
      <c r="B1008" t="s">
        <v>3063</v>
      </c>
      <c r="C1008" t="s">
        <v>3002</v>
      </c>
      <c r="D1008" t="s">
        <v>1427</v>
      </c>
      <c r="E1008" t="s">
        <v>476</v>
      </c>
      <c r="F1008" t="s">
        <v>1362</v>
      </c>
      <c r="G1008" t="s">
        <v>1523</v>
      </c>
      <c r="H1008" t="s">
        <v>67</v>
      </c>
    </row>
    <row r="1009" spans="1:8">
      <c r="A1009">
        <v>354357</v>
      </c>
      <c r="B1009" t="s">
        <v>3064</v>
      </c>
      <c r="C1009" t="s">
        <v>3003</v>
      </c>
      <c r="D1009" t="s">
        <v>1427</v>
      </c>
      <c r="E1009" t="s">
        <v>1261</v>
      </c>
      <c r="F1009" t="s">
        <v>1362</v>
      </c>
      <c r="G1009" t="s">
        <v>1523</v>
      </c>
      <c r="H1009" t="s">
        <v>67</v>
      </c>
    </row>
    <row r="1010" spans="1:8">
      <c r="A1010">
        <v>354347</v>
      </c>
      <c r="B1010" t="s">
        <v>3065</v>
      </c>
      <c r="C1010" t="s">
        <v>3004</v>
      </c>
      <c r="D1010" t="s">
        <v>1427</v>
      </c>
      <c r="E1010" t="s">
        <v>690</v>
      </c>
      <c r="F1010" t="s">
        <v>1359</v>
      </c>
      <c r="G1010" t="s">
        <v>1527</v>
      </c>
      <c r="H1010" t="s">
        <v>59</v>
      </c>
    </row>
    <row r="1011" spans="1:8">
      <c r="A1011">
        <v>354350</v>
      </c>
      <c r="B1011" t="s">
        <v>3066</v>
      </c>
      <c r="C1011" t="s">
        <v>3005</v>
      </c>
      <c r="D1011" t="s">
        <v>1427</v>
      </c>
      <c r="E1011" t="s">
        <v>690</v>
      </c>
      <c r="F1011" t="s">
        <v>1359</v>
      </c>
      <c r="G1011" t="s">
        <v>1527</v>
      </c>
      <c r="H1011" t="s">
        <v>59</v>
      </c>
    </row>
    <row r="1012" spans="1:8">
      <c r="A1012">
        <v>354335</v>
      </c>
      <c r="B1012" t="s">
        <v>3067</v>
      </c>
      <c r="C1012" t="s">
        <v>3006</v>
      </c>
      <c r="D1012" t="s">
        <v>1427</v>
      </c>
      <c r="E1012" t="s">
        <v>941</v>
      </c>
      <c r="F1012" t="s">
        <v>1359</v>
      </c>
      <c r="G1012" t="s">
        <v>1527</v>
      </c>
      <c r="H1012" t="s">
        <v>59</v>
      </c>
    </row>
    <row r="1013" spans="1:8">
      <c r="A1013">
        <v>354341</v>
      </c>
      <c r="B1013" t="s">
        <v>3068</v>
      </c>
      <c r="C1013" t="s">
        <v>3007</v>
      </c>
      <c r="D1013" t="s">
        <v>1427</v>
      </c>
      <c r="E1013" t="s">
        <v>941</v>
      </c>
      <c r="F1013" t="s">
        <v>1359</v>
      </c>
      <c r="G1013" t="s">
        <v>1527</v>
      </c>
      <c r="H1013" t="s">
        <v>59</v>
      </c>
    </row>
    <row r="1014" spans="1:8">
      <c r="A1014">
        <v>354344</v>
      </c>
      <c r="B1014" t="s">
        <v>3069</v>
      </c>
      <c r="C1014" t="s">
        <v>3008</v>
      </c>
      <c r="D1014" t="s">
        <v>1427</v>
      </c>
      <c r="E1014" t="s">
        <v>941</v>
      </c>
      <c r="F1014" t="s">
        <v>1359</v>
      </c>
      <c r="G1014" t="s">
        <v>1527</v>
      </c>
      <c r="H1014" t="s">
        <v>59</v>
      </c>
    </row>
    <row r="1015" spans="1:8">
      <c r="A1015">
        <v>354343</v>
      </c>
      <c r="B1015" t="s">
        <v>3070</v>
      </c>
      <c r="C1015" t="s">
        <v>3009</v>
      </c>
      <c r="D1015" t="s">
        <v>1427</v>
      </c>
      <c r="E1015" t="s">
        <v>941</v>
      </c>
      <c r="F1015" t="s">
        <v>1359</v>
      </c>
      <c r="G1015" t="s">
        <v>1527</v>
      </c>
      <c r="H1015" t="s">
        <v>59</v>
      </c>
    </row>
    <row r="1016" spans="1:8">
      <c r="A1016">
        <v>276658</v>
      </c>
      <c r="B1016" t="s">
        <v>3071</v>
      </c>
      <c r="C1016" t="s">
        <v>3010</v>
      </c>
      <c r="D1016" t="s">
        <v>1427</v>
      </c>
      <c r="E1016" t="s">
        <v>1006</v>
      </c>
      <c r="F1016" t="s">
        <v>1359</v>
      </c>
      <c r="G1016" t="s">
        <v>1527</v>
      </c>
      <c r="H1016" t="s">
        <v>59</v>
      </c>
    </row>
    <row r="1017" spans="1:8">
      <c r="A1017">
        <v>354330</v>
      </c>
      <c r="B1017" t="s">
        <v>3072</v>
      </c>
      <c r="C1017" t="s">
        <v>3011</v>
      </c>
      <c r="D1017" t="s">
        <v>1427</v>
      </c>
      <c r="E1017" t="s">
        <v>1006</v>
      </c>
      <c r="F1017" t="s">
        <v>1359</v>
      </c>
      <c r="G1017" t="s">
        <v>1527</v>
      </c>
      <c r="H1017" t="s">
        <v>59</v>
      </c>
    </row>
    <row r="1018" spans="1:8">
      <c r="A1018">
        <v>354331</v>
      </c>
      <c r="B1018" t="s">
        <v>3073</v>
      </c>
      <c r="C1018" t="s">
        <v>3012</v>
      </c>
      <c r="D1018" t="s">
        <v>1427</v>
      </c>
      <c r="E1018" t="s">
        <v>1006</v>
      </c>
      <c r="F1018" t="s">
        <v>1359</v>
      </c>
      <c r="G1018" t="s">
        <v>1527</v>
      </c>
      <c r="H1018" t="s">
        <v>59</v>
      </c>
    </row>
    <row r="1019" spans="1:8">
      <c r="A1019">
        <v>354639</v>
      </c>
      <c r="B1019" t="s">
        <v>3074</v>
      </c>
      <c r="C1019" t="s">
        <v>3013</v>
      </c>
      <c r="D1019" t="s">
        <v>1427</v>
      </c>
      <c r="E1019" t="s">
        <v>512</v>
      </c>
      <c r="F1019" t="s">
        <v>602</v>
      </c>
      <c r="G1019" t="s">
        <v>1528</v>
      </c>
      <c r="H1019" t="s">
        <v>65</v>
      </c>
    </row>
    <row r="1020" spans="1:8">
      <c r="A1020">
        <v>354649</v>
      </c>
      <c r="B1020" t="s">
        <v>3075</v>
      </c>
      <c r="C1020" t="s">
        <v>3014</v>
      </c>
      <c r="D1020" t="s">
        <v>1427</v>
      </c>
      <c r="E1020" t="s">
        <v>512</v>
      </c>
      <c r="F1020" t="s">
        <v>602</v>
      </c>
      <c r="G1020" t="s">
        <v>1528</v>
      </c>
      <c r="H1020" t="s">
        <v>65</v>
      </c>
    </row>
    <row r="1021" spans="1:8">
      <c r="A1021">
        <v>354658</v>
      </c>
      <c r="B1021" t="s">
        <v>3076</v>
      </c>
      <c r="C1021" t="s">
        <v>3015</v>
      </c>
      <c r="D1021" t="s">
        <v>1427</v>
      </c>
      <c r="E1021" t="s">
        <v>1179</v>
      </c>
      <c r="F1021" t="s">
        <v>1369</v>
      </c>
      <c r="G1021" t="s">
        <v>1528</v>
      </c>
      <c r="H1021" t="s">
        <v>65</v>
      </c>
    </row>
    <row r="1022" spans="1:8">
      <c r="A1022">
        <v>354670</v>
      </c>
      <c r="B1022" t="s">
        <v>3077</v>
      </c>
      <c r="C1022" t="s">
        <v>3016</v>
      </c>
      <c r="D1022" t="s">
        <v>1427</v>
      </c>
      <c r="E1022" t="s">
        <v>1179</v>
      </c>
      <c r="F1022" t="s">
        <v>1369</v>
      </c>
      <c r="G1022" t="s">
        <v>1528</v>
      </c>
      <c r="H1022" t="s">
        <v>65</v>
      </c>
    </row>
    <row r="1023" spans="1:8">
      <c r="A1023">
        <v>354682</v>
      </c>
      <c r="B1023" t="s">
        <v>3078</v>
      </c>
      <c r="C1023" t="s">
        <v>3017</v>
      </c>
      <c r="D1023" t="s">
        <v>1427</v>
      </c>
      <c r="E1023" t="s">
        <v>1179</v>
      </c>
      <c r="F1023" t="s">
        <v>1369</v>
      </c>
      <c r="G1023" t="s">
        <v>1528</v>
      </c>
      <c r="H1023" t="s">
        <v>65</v>
      </c>
    </row>
    <row r="1024" spans="1:8">
      <c r="A1024">
        <v>354644</v>
      </c>
      <c r="B1024" t="s">
        <v>3079</v>
      </c>
      <c r="C1024" t="s">
        <v>3018</v>
      </c>
      <c r="D1024" t="s">
        <v>1427</v>
      </c>
      <c r="E1024" t="s">
        <v>1326</v>
      </c>
      <c r="F1024" t="s">
        <v>1369</v>
      </c>
      <c r="G1024" t="s">
        <v>1528</v>
      </c>
      <c r="H1024" t="s">
        <v>65</v>
      </c>
    </row>
    <row r="1025" spans="1:8">
      <c r="A1025">
        <v>354646</v>
      </c>
      <c r="B1025" t="s">
        <v>3080</v>
      </c>
      <c r="C1025" t="s">
        <v>3019</v>
      </c>
      <c r="D1025" t="s">
        <v>1427</v>
      </c>
      <c r="E1025" t="s">
        <v>1326</v>
      </c>
      <c r="F1025" t="s">
        <v>1369</v>
      </c>
      <c r="G1025" t="s">
        <v>1528</v>
      </c>
      <c r="H1025" t="s">
        <v>65</v>
      </c>
    </row>
    <row r="1026" spans="1:8">
      <c r="A1026">
        <v>354657</v>
      </c>
      <c r="B1026" t="s">
        <v>3081</v>
      </c>
      <c r="C1026" t="s">
        <v>3020</v>
      </c>
      <c r="D1026" t="s">
        <v>1427</v>
      </c>
      <c r="E1026" t="s">
        <v>1326</v>
      </c>
      <c r="F1026" t="s">
        <v>1369</v>
      </c>
      <c r="G1026" t="s">
        <v>1528</v>
      </c>
      <c r="H1026" t="s">
        <v>65</v>
      </c>
    </row>
    <row r="1027" spans="1:8">
      <c r="A1027">
        <v>354653</v>
      </c>
      <c r="B1027" t="s">
        <v>3082</v>
      </c>
      <c r="C1027" t="s">
        <v>3021</v>
      </c>
      <c r="D1027" t="s">
        <v>1427</v>
      </c>
      <c r="E1027" t="s">
        <v>1334</v>
      </c>
      <c r="F1027" t="s">
        <v>1362</v>
      </c>
      <c r="G1027" t="s">
        <v>1523</v>
      </c>
      <c r="H1027" t="s">
        <v>67</v>
      </c>
    </row>
    <row r="1028" spans="1:8">
      <c r="A1028">
        <v>354655</v>
      </c>
      <c r="B1028" t="s">
        <v>3083</v>
      </c>
      <c r="C1028" t="s">
        <v>3022</v>
      </c>
      <c r="D1028" t="s">
        <v>1427</v>
      </c>
      <c r="E1028" t="s">
        <v>1334</v>
      </c>
      <c r="F1028" t="s">
        <v>1362</v>
      </c>
      <c r="G1028" t="s">
        <v>1523</v>
      </c>
      <c r="H1028" t="s">
        <v>67</v>
      </c>
    </row>
    <row r="1029" spans="1:8">
      <c r="A1029">
        <v>354659</v>
      </c>
      <c r="B1029" t="s">
        <v>3084</v>
      </c>
      <c r="C1029" t="s">
        <v>3023</v>
      </c>
      <c r="D1029" t="s">
        <v>1427</v>
      </c>
      <c r="E1029" t="s">
        <v>1201</v>
      </c>
      <c r="F1029" t="s">
        <v>1362</v>
      </c>
      <c r="G1029" t="s">
        <v>1523</v>
      </c>
      <c r="H1029" t="s">
        <v>67</v>
      </c>
    </row>
    <row r="1030" spans="1:8">
      <c r="A1030">
        <v>354661</v>
      </c>
      <c r="B1030" t="s">
        <v>3085</v>
      </c>
      <c r="C1030" t="s">
        <v>3024</v>
      </c>
      <c r="D1030" t="s">
        <v>1427</v>
      </c>
      <c r="E1030" t="s">
        <v>1201</v>
      </c>
      <c r="F1030" t="s">
        <v>1362</v>
      </c>
      <c r="G1030" t="s">
        <v>1523</v>
      </c>
      <c r="H1030" t="s">
        <v>67</v>
      </c>
    </row>
    <row r="1031" spans="1:8">
      <c r="A1031">
        <v>354348</v>
      </c>
      <c r="B1031" t="s">
        <v>3086</v>
      </c>
      <c r="C1031" t="s">
        <v>3025</v>
      </c>
      <c r="D1031" t="s">
        <v>1427</v>
      </c>
      <c r="E1031" t="s">
        <v>1201</v>
      </c>
      <c r="F1031" t="s">
        <v>1362</v>
      </c>
      <c r="G1031" t="s">
        <v>1523</v>
      </c>
      <c r="H1031" t="s">
        <v>67</v>
      </c>
    </row>
    <row r="1032" spans="1:8">
      <c r="A1032">
        <v>354667</v>
      </c>
      <c r="B1032" t="s">
        <v>3087</v>
      </c>
      <c r="C1032" t="s">
        <v>3026</v>
      </c>
      <c r="D1032" t="s">
        <v>1427</v>
      </c>
      <c r="E1032" t="s">
        <v>1068</v>
      </c>
      <c r="F1032" t="s">
        <v>1362</v>
      </c>
      <c r="G1032" t="s">
        <v>1523</v>
      </c>
      <c r="H1032" t="s">
        <v>67</v>
      </c>
    </row>
    <row r="1033" spans="1:8">
      <c r="A1033">
        <v>354676</v>
      </c>
      <c r="B1033" t="s">
        <v>3088</v>
      </c>
      <c r="C1033" t="s">
        <v>3027</v>
      </c>
      <c r="D1033" t="s">
        <v>1427</v>
      </c>
      <c r="E1033" t="s">
        <v>1068</v>
      </c>
      <c r="F1033" t="s">
        <v>1362</v>
      </c>
      <c r="G1033" t="s">
        <v>1523</v>
      </c>
      <c r="H1033" t="s">
        <v>67</v>
      </c>
    </row>
    <row r="1034" spans="1:8">
      <c r="A1034">
        <v>354679</v>
      </c>
      <c r="B1034" t="s">
        <v>3089</v>
      </c>
      <c r="C1034" t="s">
        <v>3028</v>
      </c>
      <c r="D1034" t="s">
        <v>1427</v>
      </c>
      <c r="E1034" t="s">
        <v>1068</v>
      </c>
      <c r="F1034" t="s">
        <v>1362</v>
      </c>
      <c r="G1034" t="s">
        <v>1523</v>
      </c>
      <c r="H1034" t="s">
        <v>67</v>
      </c>
    </row>
    <row r="1035" spans="1:8">
      <c r="A1035">
        <v>354686</v>
      </c>
      <c r="B1035" t="s">
        <v>3090</v>
      </c>
      <c r="C1035" t="s">
        <v>3029</v>
      </c>
      <c r="D1035" t="s">
        <v>1427</v>
      </c>
      <c r="E1035" t="s">
        <v>941</v>
      </c>
      <c r="F1035" t="s">
        <v>1359</v>
      </c>
      <c r="G1035" t="s">
        <v>1527</v>
      </c>
      <c r="H1035" t="s">
        <v>59</v>
      </c>
    </row>
    <row r="1036" spans="1:8">
      <c r="A1036">
        <v>354687</v>
      </c>
      <c r="B1036" t="s">
        <v>3091</v>
      </c>
      <c r="C1036" t="s">
        <v>3030</v>
      </c>
      <c r="D1036" t="s">
        <v>1427</v>
      </c>
      <c r="E1036" t="s">
        <v>941</v>
      </c>
      <c r="F1036" t="s">
        <v>1359</v>
      </c>
      <c r="G1036" t="s">
        <v>1527</v>
      </c>
      <c r="H1036" t="s">
        <v>59</v>
      </c>
    </row>
    <row r="1037" spans="1:8">
      <c r="A1037">
        <v>354688</v>
      </c>
      <c r="B1037" t="s">
        <v>3092</v>
      </c>
      <c r="C1037" t="s">
        <v>3031</v>
      </c>
      <c r="D1037" t="s">
        <v>1427</v>
      </c>
      <c r="E1037" t="s">
        <v>941</v>
      </c>
      <c r="F1037" t="s">
        <v>1359</v>
      </c>
      <c r="G1037" t="s">
        <v>1527</v>
      </c>
      <c r="H1037" t="s">
        <v>59</v>
      </c>
    </row>
    <row r="1038" spans="1:8">
      <c r="A1038">
        <v>354691</v>
      </c>
      <c r="B1038" t="s">
        <v>3093</v>
      </c>
      <c r="C1038" t="s">
        <v>3032</v>
      </c>
      <c r="D1038" t="s">
        <v>1427</v>
      </c>
      <c r="E1038" t="s">
        <v>941</v>
      </c>
      <c r="F1038" t="s">
        <v>1359</v>
      </c>
      <c r="G1038" t="s">
        <v>1527</v>
      </c>
      <c r="H1038" t="s">
        <v>59</v>
      </c>
    </row>
    <row r="1039" spans="1:8">
      <c r="A1039">
        <v>354692</v>
      </c>
      <c r="B1039" t="s">
        <v>3094</v>
      </c>
      <c r="C1039" t="s">
        <v>3033</v>
      </c>
      <c r="D1039" t="s">
        <v>1427</v>
      </c>
      <c r="E1039" t="s">
        <v>690</v>
      </c>
      <c r="F1039" t="s">
        <v>1359</v>
      </c>
      <c r="G1039" t="s">
        <v>1527</v>
      </c>
      <c r="H1039" t="s">
        <v>59</v>
      </c>
    </row>
    <row r="1040" spans="1:8">
      <c r="A1040">
        <v>354689</v>
      </c>
      <c r="B1040" t="s">
        <v>3095</v>
      </c>
      <c r="C1040" t="s">
        <v>3034</v>
      </c>
      <c r="D1040" t="s">
        <v>1427</v>
      </c>
      <c r="E1040" t="s">
        <v>690</v>
      </c>
      <c r="F1040" t="s">
        <v>1359</v>
      </c>
      <c r="G1040" t="s">
        <v>1527</v>
      </c>
      <c r="H1040" t="s">
        <v>59</v>
      </c>
    </row>
    <row r="1041" spans="1:8">
      <c r="A1041">
        <v>354718</v>
      </c>
      <c r="B1041" t="s">
        <v>3096</v>
      </c>
      <c r="C1041" t="s">
        <v>3035</v>
      </c>
      <c r="D1041" t="s">
        <v>1427</v>
      </c>
      <c r="E1041" t="s">
        <v>690</v>
      </c>
      <c r="F1041" t="s">
        <v>1359</v>
      </c>
      <c r="G1041" t="s">
        <v>1527</v>
      </c>
      <c r="H1041" t="s">
        <v>59</v>
      </c>
    </row>
    <row r="1042" spans="1:8">
      <c r="A1042">
        <v>354731</v>
      </c>
      <c r="B1042" t="s">
        <v>3097</v>
      </c>
      <c r="C1042" t="s">
        <v>3036</v>
      </c>
      <c r="D1042" t="s">
        <v>1427</v>
      </c>
      <c r="E1042" t="s">
        <v>690</v>
      </c>
      <c r="F1042" t="s">
        <v>1359</v>
      </c>
      <c r="G1042" t="s">
        <v>1527</v>
      </c>
      <c r="H1042" t="s">
        <v>59</v>
      </c>
    </row>
    <row r="1043" spans="1:8">
      <c r="A1043">
        <v>267969</v>
      </c>
      <c r="B1043" t="s">
        <v>1377</v>
      </c>
      <c r="C1043" t="s">
        <v>1350</v>
      </c>
      <c r="D1043" t="s">
        <v>1427</v>
      </c>
      <c r="E1043" t="s">
        <v>1334</v>
      </c>
      <c r="F1043" t="s">
        <v>1362</v>
      </c>
      <c r="G1043" t="s">
        <v>1523</v>
      </c>
      <c r="H1043" t="s">
        <v>67</v>
      </c>
    </row>
    <row r="1044" spans="1:8">
      <c r="A1044">
        <v>172892</v>
      </c>
      <c r="B1044" t="s">
        <v>2302</v>
      </c>
      <c r="C1044" t="s">
        <v>2272</v>
      </c>
      <c r="D1044" t="s">
        <v>1427</v>
      </c>
      <c r="E1044" t="s">
        <v>1334</v>
      </c>
      <c r="F1044" t="s">
        <v>1362</v>
      </c>
      <c r="G1044" t="s">
        <v>1523</v>
      </c>
      <c r="H1044" t="s">
        <v>67</v>
      </c>
    </row>
    <row r="1045" spans="1:8">
      <c r="A1045">
        <v>355196</v>
      </c>
      <c r="B1045" t="s">
        <v>3131</v>
      </c>
      <c r="C1045" t="s">
        <v>3098</v>
      </c>
      <c r="D1045" t="s">
        <v>1427</v>
      </c>
      <c r="E1045" t="s">
        <v>584</v>
      </c>
      <c r="F1045" t="s">
        <v>1362</v>
      </c>
      <c r="G1045" t="s">
        <v>1523</v>
      </c>
      <c r="H1045" t="s">
        <v>67</v>
      </c>
    </row>
    <row r="1046" spans="1:8">
      <c r="A1046">
        <v>355192</v>
      </c>
      <c r="B1046" t="s">
        <v>3132</v>
      </c>
      <c r="C1046" t="s">
        <v>3099</v>
      </c>
      <c r="D1046" t="s">
        <v>1427</v>
      </c>
      <c r="E1046" t="s">
        <v>476</v>
      </c>
      <c r="F1046" t="s">
        <v>1362</v>
      </c>
      <c r="G1046" t="s">
        <v>1523</v>
      </c>
      <c r="H1046" t="s">
        <v>67</v>
      </c>
    </row>
    <row r="1047" spans="1:8">
      <c r="A1047">
        <v>355171</v>
      </c>
      <c r="B1047" t="s">
        <v>3133</v>
      </c>
      <c r="C1047" t="s">
        <v>3100</v>
      </c>
      <c r="D1047" t="s">
        <v>1427</v>
      </c>
      <c r="E1047" t="s">
        <v>476</v>
      </c>
      <c r="F1047" t="s">
        <v>1362</v>
      </c>
      <c r="G1047" t="s">
        <v>1523</v>
      </c>
      <c r="H1047" t="s">
        <v>67</v>
      </c>
    </row>
    <row r="1048" spans="1:8">
      <c r="A1048">
        <v>355127</v>
      </c>
      <c r="B1048" t="s">
        <v>3134</v>
      </c>
      <c r="C1048" t="s">
        <v>3101</v>
      </c>
      <c r="D1048" t="s">
        <v>1427</v>
      </c>
      <c r="E1048" t="s">
        <v>476</v>
      </c>
      <c r="F1048" t="s">
        <v>1362</v>
      </c>
      <c r="G1048" t="s">
        <v>1523</v>
      </c>
      <c r="H1048" t="s">
        <v>67</v>
      </c>
    </row>
    <row r="1049" spans="1:8">
      <c r="A1049">
        <v>355173</v>
      </c>
      <c r="B1049" t="s">
        <v>3135</v>
      </c>
      <c r="C1049" t="s">
        <v>3102</v>
      </c>
      <c r="D1049" t="s">
        <v>1427</v>
      </c>
      <c r="E1049" t="s">
        <v>2380</v>
      </c>
      <c r="F1049" t="s">
        <v>602</v>
      </c>
      <c r="G1049" t="s">
        <v>1528</v>
      </c>
      <c r="H1049" t="s">
        <v>65</v>
      </c>
    </row>
    <row r="1050" spans="1:8">
      <c r="A1050">
        <v>355182</v>
      </c>
      <c r="B1050" t="s">
        <v>3136</v>
      </c>
      <c r="C1050" t="s">
        <v>3103</v>
      </c>
      <c r="D1050" t="s">
        <v>1427</v>
      </c>
      <c r="E1050" t="s">
        <v>476</v>
      </c>
      <c r="F1050" t="s">
        <v>1362</v>
      </c>
      <c r="G1050" t="s">
        <v>1523</v>
      </c>
      <c r="H1050" t="s">
        <v>67</v>
      </c>
    </row>
    <row r="1051" spans="1:8">
      <c r="A1051">
        <v>355125</v>
      </c>
      <c r="B1051" t="s">
        <v>3137</v>
      </c>
      <c r="C1051" t="s">
        <v>3104</v>
      </c>
      <c r="D1051" t="s">
        <v>1427</v>
      </c>
      <c r="E1051" t="s">
        <v>584</v>
      </c>
      <c r="F1051" t="s">
        <v>1362</v>
      </c>
      <c r="G1051" t="s">
        <v>1523</v>
      </c>
      <c r="H1051" t="s">
        <v>67</v>
      </c>
    </row>
    <row r="1052" spans="1:8">
      <c r="A1052">
        <v>355188</v>
      </c>
      <c r="B1052" t="s">
        <v>3138</v>
      </c>
      <c r="C1052" t="s">
        <v>3105</v>
      </c>
      <c r="D1052" t="s">
        <v>1427</v>
      </c>
      <c r="E1052" t="s">
        <v>584</v>
      </c>
      <c r="F1052" t="s">
        <v>1362</v>
      </c>
      <c r="G1052" t="s">
        <v>1523</v>
      </c>
      <c r="H1052" t="s">
        <v>67</v>
      </c>
    </row>
    <row r="1053" spans="1:8">
      <c r="A1053">
        <v>355122</v>
      </c>
      <c r="B1053" t="s">
        <v>3139</v>
      </c>
      <c r="C1053" t="s">
        <v>3106</v>
      </c>
      <c r="D1053" t="s">
        <v>1427</v>
      </c>
      <c r="E1053" t="s">
        <v>584</v>
      </c>
      <c r="F1053" t="s">
        <v>1362</v>
      </c>
      <c r="G1053" t="s">
        <v>1523</v>
      </c>
      <c r="H1053" t="s">
        <v>67</v>
      </c>
    </row>
    <row r="1054" spans="1:8">
      <c r="A1054">
        <v>211562</v>
      </c>
      <c r="B1054" t="s">
        <v>3140</v>
      </c>
      <c r="C1054" t="s">
        <v>3107</v>
      </c>
      <c r="D1054" t="s">
        <v>1427</v>
      </c>
      <c r="E1054" t="s">
        <v>789</v>
      </c>
      <c r="F1054" t="s">
        <v>1369</v>
      </c>
      <c r="G1054" t="s">
        <v>1528</v>
      </c>
      <c r="H1054" t="s">
        <v>65</v>
      </c>
    </row>
    <row r="1055" spans="1:8">
      <c r="A1055">
        <v>355203</v>
      </c>
      <c r="B1055" t="s">
        <v>3141</v>
      </c>
      <c r="C1055" t="s">
        <v>3108</v>
      </c>
      <c r="D1055" t="s">
        <v>1427</v>
      </c>
      <c r="E1055" t="s">
        <v>789</v>
      </c>
      <c r="F1055" t="s">
        <v>1369</v>
      </c>
      <c r="G1055" t="s">
        <v>1528</v>
      </c>
      <c r="H1055" t="s">
        <v>65</v>
      </c>
    </row>
    <row r="1056" spans="1:8">
      <c r="A1056">
        <v>355204</v>
      </c>
      <c r="B1056" t="s">
        <v>3142</v>
      </c>
      <c r="C1056" t="s">
        <v>3109</v>
      </c>
      <c r="D1056" t="s">
        <v>1427</v>
      </c>
      <c r="E1056" t="s">
        <v>789</v>
      </c>
      <c r="F1056" t="s">
        <v>1369</v>
      </c>
      <c r="G1056" t="s">
        <v>1528</v>
      </c>
      <c r="H1056" t="s">
        <v>65</v>
      </c>
    </row>
    <row r="1057" spans="1:8">
      <c r="A1057">
        <v>355117</v>
      </c>
      <c r="B1057" t="s">
        <v>3143</v>
      </c>
      <c r="C1057" t="s">
        <v>3110</v>
      </c>
      <c r="D1057" t="s">
        <v>1427</v>
      </c>
      <c r="E1057" t="s">
        <v>789</v>
      </c>
      <c r="F1057" t="s">
        <v>1369</v>
      </c>
      <c r="G1057" t="s">
        <v>1528</v>
      </c>
      <c r="H1057" t="s">
        <v>65</v>
      </c>
    </row>
    <row r="1058" spans="1:8">
      <c r="A1058">
        <v>355186</v>
      </c>
      <c r="B1058" t="s">
        <v>3144</v>
      </c>
      <c r="C1058" t="s">
        <v>3111</v>
      </c>
      <c r="D1058" t="s">
        <v>1427</v>
      </c>
      <c r="E1058" t="s">
        <v>1068</v>
      </c>
      <c r="F1058" t="s">
        <v>1362</v>
      </c>
      <c r="G1058" t="s">
        <v>1523</v>
      </c>
      <c r="H1058" t="s">
        <v>67</v>
      </c>
    </row>
    <row r="1059" spans="1:8">
      <c r="A1059">
        <v>355119</v>
      </c>
      <c r="B1059" t="s">
        <v>3145</v>
      </c>
      <c r="C1059" t="s">
        <v>3112</v>
      </c>
      <c r="D1059" t="s">
        <v>1427</v>
      </c>
      <c r="E1059" t="s">
        <v>1068</v>
      </c>
      <c r="F1059" t="s">
        <v>1362</v>
      </c>
      <c r="G1059" t="s">
        <v>1523</v>
      </c>
      <c r="H1059" t="s">
        <v>67</v>
      </c>
    </row>
    <row r="1060" spans="1:8">
      <c r="A1060">
        <v>355191</v>
      </c>
      <c r="B1060" t="s">
        <v>3146</v>
      </c>
      <c r="C1060" t="s">
        <v>3113</v>
      </c>
      <c r="D1060" t="s">
        <v>1427</v>
      </c>
      <c r="E1060" t="s">
        <v>1068</v>
      </c>
      <c r="F1060" t="s">
        <v>1362</v>
      </c>
      <c r="G1060" t="s">
        <v>1523</v>
      </c>
      <c r="H1060" t="s">
        <v>67</v>
      </c>
    </row>
    <row r="1061" spans="1:8">
      <c r="A1061">
        <v>355116</v>
      </c>
      <c r="B1061" t="s">
        <v>3147</v>
      </c>
      <c r="C1061" t="s">
        <v>3114</v>
      </c>
      <c r="D1061" t="s">
        <v>1427</v>
      </c>
      <c r="E1061" t="s">
        <v>1179</v>
      </c>
      <c r="F1061" t="s">
        <v>1369</v>
      </c>
      <c r="G1061" t="s">
        <v>1528</v>
      </c>
      <c r="H1061" t="s">
        <v>65</v>
      </c>
    </row>
    <row r="1062" spans="1:8">
      <c r="A1062">
        <v>332938</v>
      </c>
      <c r="B1062" t="s">
        <v>3148</v>
      </c>
      <c r="C1062" t="s">
        <v>2982</v>
      </c>
      <c r="D1062" t="s">
        <v>1427</v>
      </c>
      <c r="E1062" t="s">
        <v>1179</v>
      </c>
      <c r="F1062" t="s">
        <v>1369</v>
      </c>
      <c r="G1062" t="s">
        <v>1528</v>
      </c>
      <c r="H1062" t="s">
        <v>65</v>
      </c>
    </row>
    <row r="1063" spans="1:8">
      <c r="A1063">
        <v>355202</v>
      </c>
      <c r="B1063" t="s">
        <v>3149</v>
      </c>
      <c r="C1063" t="s">
        <v>3115</v>
      </c>
      <c r="D1063" t="s">
        <v>1427</v>
      </c>
      <c r="E1063" t="s">
        <v>1261</v>
      </c>
      <c r="F1063" t="s">
        <v>1362</v>
      </c>
      <c r="G1063" t="s">
        <v>1523</v>
      </c>
      <c r="H1063" t="s">
        <v>67</v>
      </c>
    </row>
    <row r="1064" spans="1:8">
      <c r="A1064">
        <v>355172</v>
      </c>
      <c r="B1064" t="s">
        <v>3150</v>
      </c>
      <c r="C1064" t="s">
        <v>3116</v>
      </c>
      <c r="D1064" t="s">
        <v>1427</v>
      </c>
      <c r="E1064" t="s">
        <v>1261</v>
      </c>
      <c r="F1064" t="s">
        <v>1362</v>
      </c>
      <c r="G1064" t="s">
        <v>1523</v>
      </c>
      <c r="H1064" t="s">
        <v>67</v>
      </c>
    </row>
    <row r="1065" spans="1:8">
      <c r="A1065">
        <v>355121</v>
      </c>
      <c r="B1065" t="s">
        <v>3151</v>
      </c>
      <c r="C1065" t="s">
        <v>3117</v>
      </c>
      <c r="D1065" t="s">
        <v>1427</v>
      </c>
      <c r="E1065" t="s">
        <v>1261</v>
      </c>
      <c r="F1065" t="s">
        <v>1362</v>
      </c>
      <c r="G1065" t="s">
        <v>1523</v>
      </c>
      <c r="H1065" t="s">
        <v>67</v>
      </c>
    </row>
    <row r="1066" spans="1:8">
      <c r="A1066">
        <v>355194</v>
      </c>
      <c r="B1066" t="s">
        <v>3152</v>
      </c>
      <c r="C1066" t="s">
        <v>3118</v>
      </c>
      <c r="D1066" t="s">
        <v>1427</v>
      </c>
      <c r="E1066" t="s">
        <v>1261</v>
      </c>
      <c r="F1066" t="s">
        <v>1362</v>
      </c>
      <c r="G1066" t="s">
        <v>1523</v>
      </c>
      <c r="H1066" t="s">
        <v>67</v>
      </c>
    </row>
    <row r="1067" spans="1:8">
      <c r="A1067">
        <v>355176</v>
      </c>
      <c r="B1067" t="s">
        <v>3153</v>
      </c>
      <c r="C1067" t="s">
        <v>3119</v>
      </c>
      <c r="D1067" t="s">
        <v>1427</v>
      </c>
      <c r="E1067" t="s">
        <v>1332</v>
      </c>
      <c r="F1067" t="s">
        <v>602</v>
      </c>
      <c r="G1067" t="s">
        <v>1528</v>
      </c>
      <c r="H1067" t="s">
        <v>65</v>
      </c>
    </row>
    <row r="1068" spans="1:8">
      <c r="A1068">
        <v>355205</v>
      </c>
      <c r="B1068" t="s">
        <v>3154</v>
      </c>
      <c r="C1068" t="s">
        <v>3120</v>
      </c>
      <c r="D1068" t="s">
        <v>1427</v>
      </c>
      <c r="E1068" t="s">
        <v>1332</v>
      </c>
      <c r="F1068" t="s">
        <v>602</v>
      </c>
      <c r="G1068" t="s">
        <v>1528</v>
      </c>
      <c r="H1068" t="s">
        <v>65</v>
      </c>
    </row>
    <row r="1069" spans="1:8">
      <c r="A1069">
        <v>355181</v>
      </c>
      <c r="B1069" t="s">
        <v>3155</v>
      </c>
      <c r="C1069" t="s">
        <v>3121</v>
      </c>
      <c r="D1069" t="s">
        <v>1427</v>
      </c>
      <c r="E1069" t="s">
        <v>1332</v>
      </c>
      <c r="F1069" t="s">
        <v>602</v>
      </c>
      <c r="G1069" t="s">
        <v>1528</v>
      </c>
      <c r="H1069" t="s">
        <v>65</v>
      </c>
    </row>
    <row r="1070" spans="1:8">
      <c r="A1070">
        <v>355178</v>
      </c>
      <c r="B1070" t="s">
        <v>3156</v>
      </c>
      <c r="C1070" t="s">
        <v>3122</v>
      </c>
      <c r="D1070" t="s">
        <v>1427</v>
      </c>
      <c r="E1070" t="s">
        <v>1332</v>
      </c>
      <c r="F1070" t="s">
        <v>602</v>
      </c>
      <c r="G1070" t="s">
        <v>1528</v>
      </c>
      <c r="H1070" t="s">
        <v>65</v>
      </c>
    </row>
    <row r="1071" spans="1:8">
      <c r="A1071">
        <v>241756</v>
      </c>
      <c r="B1071" t="s">
        <v>3157</v>
      </c>
      <c r="C1071" t="s">
        <v>3123</v>
      </c>
      <c r="D1071" t="s">
        <v>1427</v>
      </c>
      <c r="E1071" t="s">
        <v>1006</v>
      </c>
      <c r="F1071" t="s">
        <v>1359</v>
      </c>
      <c r="G1071" t="s">
        <v>1527</v>
      </c>
      <c r="H1071" t="s">
        <v>59</v>
      </c>
    </row>
    <row r="1072" spans="1:8">
      <c r="A1072">
        <v>278977</v>
      </c>
      <c r="B1072" t="s">
        <v>3158</v>
      </c>
      <c r="C1072" t="s">
        <v>3124</v>
      </c>
      <c r="D1072" t="s">
        <v>1427</v>
      </c>
      <c r="E1072" t="s">
        <v>1006</v>
      </c>
      <c r="F1072" t="s">
        <v>1359</v>
      </c>
      <c r="G1072" t="s">
        <v>1527</v>
      </c>
      <c r="H1072" t="s">
        <v>59</v>
      </c>
    </row>
    <row r="1073" spans="1:8">
      <c r="A1073">
        <v>355288</v>
      </c>
      <c r="B1073" t="s">
        <v>3159</v>
      </c>
      <c r="C1073" t="s">
        <v>3125</v>
      </c>
      <c r="D1073" t="s">
        <v>1427</v>
      </c>
      <c r="E1073" t="s">
        <v>1006</v>
      </c>
      <c r="F1073" t="s">
        <v>1359</v>
      </c>
      <c r="G1073" t="s">
        <v>1527</v>
      </c>
      <c r="H1073" t="s">
        <v>59</v>
      </c>
    </row>
    <row r="1074" spans="1:8">
      <c r="A1074">
        <v>355299</v>
      </c>
      <c r="B1074" t="s">
        <v>3160</v>
      </c>
      <c r="C1074" t="s">
        <v>3126</v>
      </c>
      <c r="D1074" t="s">
        <v>1427</v>
      </c>
      <c r="E1074" t="s">
        <v>1006</v>
      </c>
      <c r="F1074" t="s">
        <v>1359</v>
      </c>
      <c r="G1074" t="s">
        <v>1527</v>
      </c>
      <c r="H1074" t="s">
        <v>59</v>
      </c>
    </row>
    <row r="1075" spans="1:8">
      <c r="A1075">
        <v>355206</v>
      </c>
      <c r="B1075" t="s">
        <v>3161</v>
      </c>
      <c r="C1075" t="s">
        <v>3127</v>
      </c>
      <c r="D1075" t="s">
        <v>1427</v>
      </c>
      <c r="E1075" t="s">
        <v>512</v>
      </c>
      <c r="F1075" t="s">
        <v>602</v>
      </c>
      <c r="G1075" t="s">
        <v>1528</v>
      </c>
      <c r="H1075" t="s">
        <v>65</v>
      </c>
    </row>
    <row r="1076" spans="1:8">
      <c r="A1076">
        <v>355364</v>
      </c>
      <c r="B1076" t="s">
        <v>3188</v>
      </c>
      <c r="C1076" t="s">
        <v>3165</v>
      </c>
      <c r="D1076" t="s">
        <v>1427</v>
      </c>
      <c r="E1076" t="s">
        <v>584</v>
      </c>
      <c r="F1076" t="s">
        <v>1362</v>
      </c>
      <c r="G1076" t="s">
        <v>1523</v>
      </c>
      <c r="H1076" t="s">
        <v>67</v>
      </c>
    </row>
    <row r="1077" spans="1:8">
      <c r="A1077">
        <v>355367</v>
      </c>
      <c r="B1077" t="s">
        <v>3189</v>
      </c>
      <c r="C1077" t="s">
        <v>3166</v>
      </c>
      <c r="D1077" t="s">
        <v>1427</v>
      </c>
      <c r="E1077" t="s">
        <v>584</v>
      </c>
      <c r="F1077" t="s">
        <v>1362</v>
      </c>
      <c r="G1077" t="s">
        <v>1523</v>
      </c>
      <c r="H1077" t="s">
        <v>67</v>
      </c>
    </row>
    <row r="1078" spans="1:8">
      <c r="A1078">
        <v>355369</v>
      </c>
      <c r="B1078" t="s">
        <v>3190</v>
      </c>
      <c r="C1078" t="s">
        <v>3167</v>
      </c>
      <c r="D1078" t="s">
        <v>1427</v>
      </c>
      <c r="E1078" t="s">
        <v>584</v>
      </c>
      <c r="F1078" t="s">
        <v>1362</v>
      </c>
      <c r="G1078" t="s">
        <v>1523</v>
      </c>
      <c r="H1078" t="s">
        <v>67</v>
      </c>
    </row>
    <row r="1079" spans="1:8">
      <c r="A1079">
        <v>355169</v>
      </c>
      <c r="B1079" t="s">
        <v>3191</v>
      </c>
      <c r="C1079" t="s">
        <v>3168</v>
      </c>
      <c r="D1079" t="s">
        <v>1427</v>
      </c>
      <c r="E1079" t="s">
        <v>1261</v>
      </c>
      <c r="F1079" t="s">
        <v>1362</v>
      </c>
      <c r="G1079" t="s">
        <v>1523</v>
      </c>
      <c r="H1079" t="s">
        <v>67</v>
      </c>
    </row>
    <row r="1080" spans="1:8">
      <c r="A1080">
        <v>355366</v>
      </c>
      <c r="B1080" t="s">
        <v>3192</v>
      </c>
      <c r="C1080" t="s">
        <v>3169</v>
      </c>
      <c r="D1080" t="s">
        <v>1427</v>
      </c>
      <c r="E1080" t="s">
        <v>1261</v>
      </c>
      <c r="F1080" t="s">
        <v>1362</v>
      </c>
      <c r="G1080" t="s">
        <v>1523</v>
      </c>
      <c r="H1080" t="s">
        <v>67</v>
      </c>
    </row>
    <row r="1081" spans="1:8">
      <c r="A1081">
        <v>334378</v>
      </c>
      <c r="B1081" t="s">
        <v>3193</v>
      </c>
      <c r="C1081" t="s">
        <v>3170</v>
      </c>
      <c r="D1081" t="s">
        <v>1427</v>
      </c>
      <c r="E1081" t="s">
        <v>941</v>
      </c>
      <c r="F1081" t="s">
        <v>1359</v>
      </c>
      <c r="G1081" t="s">
        <v>1527</v>
      </c>
      <c r="H1081" t="s">
        <v>59</v>
      </c>
    </row>
    <row r="1082" spans="1:8">
      <c r="A1082">
        <v>355498</v>
      </c>
      <c r="B1082" t="s">
        <v>3194</v>
      </c>
      <c r="C1082" t="s">
        <v>3171</v>
      </c>
      <c r="D1082" t="s">
        <v>1427</v>
      </c>
      <c r="E1082" t="s">
        <v>512</v>
      </c>
      <c r="F1082" t="s">
        <v>602</v>
      </c>
      <c r="G1082" t="s">
        <v>1528</v>
      </c>
      <c r="H1082" t="s">
        <v>65</v>
      </c>
    </row>
    <row r="1083" spans="1:8">
      <c r="A1083">
        <v>355497</v>
      </c>
      <c r="B1083" t="s">
        <v>3195</v>
      </c>
      <c r="C1083" t="s">
        <v>3172</v>
      </c>
      <c r="D1083" t="s">
        <v>1427</v>
      </c>
      <c r="E1083" t="s">
        <v>512</v>
      </c>
      <c r="F1083" t="s">
        <v>602</v>
      </c>
      <c r="G1083" t="s">
        <v>1528</v>
      </c>
      <c r="H1083" t="s">
        <v>65</v>
      </c>
    </row>
    <row r="1084" spans="1:8">
      <c r="A1084">
        <v>355499</v>
      </c>
      <c r="B1084" t="s">
        <v>3196</v>
      </c>
      <c r="C1084" t="s">
        <v>3173</v>
      </c>
      <c r="D1084" t="s">
        <v>1427</v>
      </c>
      <c r="E1084" t="s">
        <v>512</v>
      </c>
      <c r="F1084" t="s">
        <v>602</v>
      </c>
      <c r="G1084" t="s">
        <v>1528</v>
      </c>
      <c r="H1084" t="s">
        <v>65</v>
      </c>
    </row>
    <row r="1085" spans="1:8">
      <c r="A1085">
        <v>303356</v>
      </c>
      <c r="B1085" t="s">
        <v>3197</v>
      </c>
      <c r="C1085" t="s">
        <v>3174</v>
      </c>
      <c r="D1085" t="s">
        <v>1427</v>
      </c>
      <c r="E1085" t="s">
        <v>512</v>
      </c>
      <c r="F1085" t="s">
        <v>602</v>
      </c>
      <c r="G1085" t="s">
        <v>1528</v>
      </c>
      <c r="H1085" t="s">
        <v>65</v>
      </c>
    </row>
    <row r="1086" spans="1:8">
      <c r="A1086">
        <v>354643</v>
      </c>
      <c r="B1086" t="s">
        <v>3198</v>
      </c>
      <c r="C1086" t="s">
        <v>3175</v>
      </c>
      <c r="D1086" t="s">
        <v>1427</v>
      </c>
      <c r="E1086" t="s">
        <v>512</v>
      </c>
      <c r="F1086" t="s">
        <v>602</v>
      </c>
      <c r="G1086" t="s">
        <v>1528</v>
      </c>
      <c r="H1086" t="s">
        <v>65</v>
      </c>
    </row>
    <row r="1087" spans="1:8">
      <c r="A1087">
        <v>355502</v>
      </c>
      <c r="B1087" t="s">
        <v>3199</v>
      </c>
      <c r="C1087" t="s">
        <v>3176</v>
      </c>
      <c r="D1087" t="s">
        <v>1427</v>
      </c>
      <c r="E1087" t="s">
        <v>789</v>
      </c>
      <c r="F1087" t="s">
        <v>1369</v>
      </c>
      <c r="G1087" t="s">
        <v>1528</v>
      </c>
      <c r="H1087" t="s">
        <v>65</v>
      </c>
    </row>
    <row r="1088" spans="1:8">
      <c r="A1088">
        <v>355372</v>
      </c>
      <c r="B1088" t="s">
        <v>3200</v>
      </c>
      <c r="C1088" t="s">
        <v>3177</v>
      </c>
      <c r="D1088" t="s">
        <v>1427</v>
      </c>
      <c r="E1088" t="s">
        <v>1326</v>
      </c>
      <c r="F1088" t="s">
        <v>1369</v>
      </c>
      <c r="G1088" t="s">
        <v>1528</v>
      </c>
      <c r="H1088" t="s">
        <v>65</v>
      </c>
    </row>
    <row r="1089" spans="1:9">
      <c r="A1089">
        <v>355546</v>
      </c>
      <c r="B1089" t="s">
        <v>3201</v>
      </c>
      <c r="C1089" t="s">
        <v>3178</v>
      </c>
      <c r="D1089" t="s">
        <v>1427</v>
      </c>
      <c r="E1089" t="s">
        <v>1326</v>
      </c>
      <c r="F1089" t="s">
        <v>1369</v>
      </c>
      <c r="G1089" t="s">
        <v>1528</v>
      </c>
      <c r="H1089" t="s">
        <v>65</v>
      </c>
    </row>
    <row r="1090" spans="1:9">
      <c r="A1090">
        <v>354638</v>
      </c>
      <c r="B1090" t="s">
        <v>3202</v>
      </c>
      <c r="C1090" t="s">
        <v>3179</v>
      </c>
      <c r="D1090" t="s">
        <v>1427</v>
      </c>
      <c r="E1090" t="s">
        <v>1201</v>
      </c>
      <c r="F1090" t="s">
        <v>1362</v>
      </c>
      <c r="G1090" t="s">
        <v>1523</v>
      </c>
      <c r="H1090" t="s">
        <v>67</v>
      </c>
    </row>
    <row r="1091" spans="1:9">
      <c r="A1091">
        <v>278410</v>
      </c>
      <c r="B1091" t="s">
        <v>3203</v>
      </c>
      <c r="C1091" t="s">
        <v>3180</v>
      </c>
      <c r="D1091" t="s">
        <v>1427</v>
      </c>
      <c r="E1091" t="s">
        <v>1334</v>
      </c>
      <c r="F1091" t="s">
        <v>1362</v>
      </c>
      <c r="G1091" t="s">
        <v>1523</v>
      </c>
      <c r="H1091" t="s">
        <v>67</v>
      </c>
    </row>
    <row r="1092" spans="1:9">
      <c r="A1092">
        <v>355550</v>
      </c>
      <c r="B1092" t="s">
        <v>3204</v>
      </c>
      <c r="C1092" t="s">
        <v>3181</v>
      </c>
      <c r="D1092" t="s">
        <v>1427</v>
      </c>
      <c r="E1092" t="s">
        <v>1334</v>
      </c>
      <c r="F1092" t="s">
        <v>1362</v>
      </c>
      <c r="G1092" t="s">
        <v>1523</v>
      </c>
      <c r="H1092" t="s">
        <v>67</v>
      </c>
    </row>
    <row r="1093" spans="1:9">
      <c r="A1093">
        <v>355549</v>
      </c>
      <c r="B1093" t="s">
        <v>3205</v>
      </c>
      <c r="C1093" t="s">
        <v>3182</v>
      </c>
      <c r="D1093" t="s">
        <v>1427</v>
      </c>
      <c r="E1093" t="s">
        <v>1334</v>
      </c>
      <c r="F1093" t="s">
        <v>1362</v>
      </c>
      <c r="G1093" t="s">
        <v>1523</v>
      </c>
      <c r="H1093" t="s">
        <v>67</v>
      </c>
    </row>
    <row r="1094" spans="1:9">
      <c r="A1094">
        <v>355512</v>
      </c>
      <c r="B1094" t="s">
        <v>3206</v>
      </c>
      <c r="C1094" t="s">
        <v>3183</v>
      </c>
      <c r="D1094" t="s">
        <v>1427</v>
      </c>
      <c r="E1094" t="s">
        <v>584</v>
      </c>
      <c r="F1094" t="s">
        <v>1362</v>
      </c>
      <c r="G1094" t="s">
        <v>1523</v>
      </c>
      <c r="H1094" t="s">
        <v>67</v>
      </c>
    </row>
    <row r="1095" spans="1:9">
      <c r="A1095">
        <v>355304</v>
      </c>
      <c r="B1095" t="s">
        <v>3207</v>
      </c>
      <c r="C1095" t="s">
        <v>3184</v>
      </c>
      <c r="D1095" t="s">
        <v>1427</v>
      </c>
      <c r="E1095" t="s">
        <v>1068</v>
      </c>
      <c r="F1095" t="s">
        <v>1362</v>
      </c>
      <c r="G1095" t="s">
        <v>1523</v>
      </c>
      <c r="H1095" t="s">
        <v>67</v>
      </c>
    </row>
    <row r="1096" spans="1:9">
      <c r="A1096">
        <v>240248</v>
      </c>
      <c r="B1096" t="s">
        <v>1378</v>
      </c>
      <c r="C1096" t="s">
        <v>1351</v>
      </c>
      <c r="D1096" t="s">
        <v>1427</v>
      </c>
      <c r="E1096" t="s">
        <v>789</v>
      </c>
      <c r="F1096" t="s">
        <v>1369</v>
      </c>
      <c r="G1096" t="s">
        <v>1528</v>
      </c>
      <c r="H1096" t="s">
        <v>65</v>
      </c>
      <c r="I1096" t="s">
        <v>3185</v>
      </c>
    </row>
    <row r="1097" spans="1:9">
      <c r="A1097">
        <v>310657</v>
      </c>
      <c r="B1097" t="s">
        <v>1379</v>
      </c>
      <c r="C1097" t="s">
        <v>1352</v>
      </c>
      <c r="D1097" t="s">
        <v>1427</v>
      </c>
      <c r="E1097" t="s">
        <v>1261</v>
      </c>
      <c r="F1097" t="s">
        <v>1362</v>
      </c>
      <c r="G1097" t="s">
        <v>1523</v>
      </c>
      <c r="H1097" t="s">
        <v>67</v>
      </c>
      <c r="I1097" t="s">
        <v>3185</v>
      </c>
    </row>
    <row r="1098" spans="1:9">
      <c r="A1098">
        <v>273874</v>
      </c>
      <c r="B1098" t="s">
        <v>1385</v>
      </c>
      <c r="C1098" t="s">
        <v>1358</v>
      </c>
      <c r="D1098" t="s">
        <v>1427</v>
      </c>
      <c r="E1098" t="s">
        <v>1326</v>
      </c>
      <c r="F1098" t="s">
        <v>1369</v>
      </c>
      <c r="G1098" t="s">
        <v>1528</v>
      </c>
      <c r="H1098" t="s">
        <v>65</v>
      </c>
      <c r="I1098" t="s">
        <v>3185</v>
      </c>
    </row>
    <row r="1099" spans="1:9">
      <c r="A1099">
        <v>299079</v>
      </c>
      <c r="B1099" t="s">
        <v>1381</v>
      </c>
      <c r="C1099" t="s">
        <v>1354</v>
      </c>
      <c r="D1099" t="s">
        <v>1427</v>
      </c>
      <c r="E1099" t="s">
        <v>476</v>
      </c>
      <c r="F1099" t="s">
        <v>1362</v>
      </c>
      <c r="G1099" t="s">
        <v>1523</v>
      </c>
      <c r="H1099" t="s">
        <v>67</v>
      </c>
      <c r="I1099" t="s">
        <v>3185</v>
      </c>
    </row>
    <row r="1100" spans="1:9">
      <c r="A1100">
        <v>329247</v>
      </c>
      <c r="B1100" t="s">
        <v>1737</v>
      </c>
      <c r="C1100" t="s">
        <v>1738</v>
      </c>
      <c r="D1100" t="s">
        <v>1427</v>
      </c>
      <c r="E1100" t="s">
        <v>1068</v>
      </c>
      <c r="F1100" t="s">
        <v>1362</v>
      </c>
      <c r="G1100" t="s">
        <v>1523</v>
      </c>
      <c r="H1100" t="s">
        <v>67</v>
      </c>
      <c r="I1100" t="s">
        <v>3185</v>
      </c>
    </row>
    <row r="1101" spans="1:9">
      <c r="A1101">
        <v>303501</v>
      </c>
      <c r="B1101" t="s">
        <v>912</v>
      </c>
      <c r="C1101" t="s">
        <v>913</v>
      </c>
      <c r="D1101" t="s">
        <v>1427</v>
      </c>
      <c r="E1101" t="s">
        <v>584</v>
      </c>
      <c r="F1101" t="s">
        <v>1362</v>
      </c>
      <c r="G1101" t="s">
        <v>1523</v>
      </c>
      <c r="H1101" t="s">
        <v>67</v>
      </c>
      <c r="I1101" t="s">
        <v>3185</v>
      </c>
    </row>
    <row r="1102" spans="1:9">
      <c r="A1102">
        <v>260127</v>
      </c>
      <c r="B1102" t="s">
        <v>908</v>
      </c>
      <c r="C1102" t="s">
        <v>909</v>
      </c>
      <c r="D1102" t="s">
        <v>1427</v>
      </c>
      <c r="E1102" t="s">
        <v>1201</v>
      </c>
      <c r="F1102" t="s">
        <v>1362</v>
      </c>
      <c r="G1102" t="s">
        <v>1523</v>
      </c>
      <c r="H1102" t="s">
        <v>67</v>
      </c>
      <c r="I1102" t="s">
        <v>3185</v>
      </c>
    </row>
    <row r="1103" spans="1:9">
      <c r="A1103">
        <v>296775</v>
      </c>
      <c r="B1103" t="s">
        <v>1383</v>
      </c>
      <c r="C1103" t="s">
        <v>1356</v>
      </c>
      <c r="D1103" t="s">
        <v>1427</v>
      </c>
      <c r="E1103" t="s">
        <v>1326</v>
      </c>
      <c r="F1103" t="s">
        <v>1369</v>
      </c>
      <c r="G1103" t="s">
        <v>1528</v>
      </c>
      <c r="H1103" t="s">
        <v>65</v>
      </c>
      <c r="I1103" t="s">
        <v>3185</v>
      </c>
    </row>
    <row r="1104" spans="1:9">
      <c r="A1104">
        <v>310989</v>
      </c>
      <c r="B1104" t="s">
        <v>523</v>
      </c>
      <c r="C1104" t="s">
        <v>524</v>
      </c>
      <c r="D1104" t="s">
        <v>1427</v>
      </c>
      <c r="E1104" t="s">
        <v>1179</v>
      </c>
      <c r="F1104" t="s">
        <v>1369</v>
      </c>
      <c r="G1104" t="s">
        <v>1528</v>
      </c>
      <c r="H1104" t="s">
        <v>65</v>
      </c>
      <c r="I1104" t="s">
        <v>3185</v>
      </c>
    </row>
    <row r="1105" spans="1:9">
      <c r="A1105">
        <v>293363</v>
      </c>
      <c r="B1105" t="s">
        <v>1384</v>
      </c>
      <c r="C1105" t="s">
        <v>1357</v>
      </c>
      <c r="D1105" t="s">
        <v>1427</v>
      </c>
      <c r="E1105" t="s">
        <v>512</v>
      </c>
      <c r="F1105" t="s">
        <v>602</v>
      </c>
      <c r="G1105" t="s">
        <v>1528</v>
      </c>
      <c r="H1105" t="s">
        <v>65</v>
      </c>
      <c r="I1105" t="s">
        <v>3185</v>
      </c>
    </row>
    <row r="1106" spans="1:9">
      <c r="A1106">
        <v>325860</v>
      </c>
      <c r="B1106" t="s">
        <v>1618</v>
      </c>
      <c r="C1106" t="s">
        <v>1619</v>
      </c>
      <c r="D1106" t="s">
        <v>1427</v>
      </c>
      <c r="E1106" t="s">
        <v>1179</v>
      </c>
      <c r="F1106" t="s">
        <v>1369</v>
      </c>
      <c r="G1106" t="s">
        <v>1528</v>
      </c>
      <c r="H1106" t="s">
        <v>65</v>
      </c>
      <c r="I1106" t="s">
        <v>3185</v>
      </c>
    </row>
    <row r="1107" spans="1:9">
      <c r="A1107">
        <v>350790</v>
      </c>
      <c r="B1107" t="s">
        <v>2492</v>
      </c>
      <c r="C1107" t="s">
        <v>2423</v>
      </c>
      <c r="D1107" t="s">
        <v>1427</v>
      </c>
      <c r="E1107" t="s">
        <v>476</v>
      </c>
      <c r="F1107" t="s">
        <v>1362</v>
      </c>
      <c r="G1107" t="s">
        <v>1523</v>
      </c>
      <c r="H1107" t="s">
        <v>67</v>
      </c>
      <c r="I1107" t="s">
        <v>3185</v>
      </c>
    </row>
    <row r="1108" spans="1:9">
      <c r="A1108">
        <v>300222</v>
      </c>
      <c r="B1108" t="s">
        <v>3162</v>
      </c>
      <c r="C1108" t="s">
        <v>3128</v>
      </c>
      <c r="D1108" t="s">
        <v>1427</v>
      </c>
      <c r="E1108" t="s">
        <v>789</v>
      </c>
      <c r="F1108" t="s">
        <v>1369</v>
      </c>
      <c r="G1108" t="s">
        <v>1528</v>
      </c>
      <c r="H1108" t="s">
        <v>65</v>
      </c>
      <c r="I1108" t="s">
        <v>3185</v>
      </c>
    </row>
    <row r="1109" spans="1:9">
      <c r="A1109">
        <v>347795</v>
      </c>
      <c r="B1109" t="s">
        <v>3163</v>
      </c>
      <c r="C1109" t="s">
        <v>3129</v>
      </c>
      <c r="D1109" t="s">
        <v>1427</v>
      </c>
      <c r="E1109" t="s">
        <v>789</v>
      </c>
      <c r="F1109" t="s">
        <v>1369</v>
      </c>
      <c r="G1109" t="s">
        <v>1528</v>
      </c>
      <c r="H1109" t="s">
        <v>65</v>
      </c>
      <c r="I1109" t="s">
        <v>3185</v>
      </c>
    </row>
    <row r="1110" spans="1:9">
      <c r="A1110">
        <v>349528</v>
      </c>
      <c r="B1110" t="s">
        <v>3164</v>
      </c>
      <c r="C1110" t="s">
        <v>3130</v>
      </c>
      <c r="D1110" t="s">
        <v>1427</v>
      </c>
      <c r="E1110" t="s">
        <v>789</v>
      </c>
      <c r="F1110" t="s">
        <v>1369</v>
      </c>
      <c r="G1110" t="s">
        <v>1528</v>
      </c>
      <c r="H1110" t="s">
        <v>65</v>
      </c>
      <c r="I1110" t="s">
        <v>3185</v>
      </c>
    </row>
    <row r="1111" spans="1:9">
      <c r="A1111">
        <v>26469</v>
      </c>
      <c r="B1111" t="s">
        <v>1695</v>
      </c>
      <c r="C1111" t="s">
        <v>1696</v>
      </c>
      <c r="D1111" t="s">
        <v>1697</v>
      </c>
      <c r="E1111" t="s">
        <v>1698</v>
      </c>
      <c r="F1111" t="s">
        <v>1699</v>
      </c>
      <c r="G1111" t="s">
        <v>3186</v>
      </c>
      <c r="H1111" t="s">
        <v>63</v>
      </c>
      <c r="I1111" t="s">
        <v>63</v>
      </c>
    </row>
    <row r="1112" spans="1:9">
      <c r="A1112">
        <v>138778</v>
      </c>
      <c r="B1112" t="s">
        <v>1386</v>
      </c>
      <c r="C1112" t="s">
        <v>1359</v>
      </c>
      <c r="D1112" t="s">
        <v>1654</v>
      </c>
      <c r="E1112" t="s">
        <v>1368</v>
      </c>
      <c r="F1112" t="s">
        <v>1420</v>
      </c>
      <c r="G1112" t="s">
        <v>3186</v>
      </c>
      <c r="H1112" t="s">
        <v>63</v>
      </c>
      <c r="I1112" t="s">
        <v>63</v>
      </c>
    </row>
    <row r="1113" spans="1:9">
      <c r="A1113">
        <v>80701</v>
      </c>
      <c r="B1113" t="s">
        <v>1387</v>
      </c>
      <c r="C1113" t="s">
        <v>1360</v>
      </c>
      <c r="D1113" t="s">
        <v>1429</v>
      </c>
      <c r="E1113" t="s">
        <v>1362</v>
      </c>
      <c r="F1113" t="s">
        <v>1368</v>
      </c>
      <c r="G1113" t="s">
        <v>3186</v>
      </c>
      <c r="H1113" t="s">
        <v>63</v>
      </c>
      <c r="I1113" t="s">
        <v>63</v>
      </c>
    </row>
    <row r="1114" spans="1:9">
      <c r="A1114">
        <v>54896</v>
      </c>
      <c r="B1114" t="s">
        <v>1388</v>
      </c>
      <c r="C1114" t="s">
        <v>1361</v>
      </c>
      <c r="D1114" t="s">
        <v>1426</v>
      </c>
      <c r="E1114" t="s">
        <v>1366</v>
      </c>
      <c r="F1114" t="s">
        <v>1368</v>
      </c>
      <c r="G1114" t="s">
        <v>1518</v>
      </c>
      <c r="H1114" t="s">
        <v>63</v>
      </c>
      <c r="I1114" t="s">
        <v>63</v>
      </c>
    </row>
    <row r="1115" spans="1:9">
      <c r="A1115">
        <v>230924</v>
      </c>
      <c r="B1115" t="s">
        <v>1389</v>
      </c>
      <c r="C1115" t="s">
        <v>2860</v>
      </c>
      <c r="D1115" t="s">
        <v>1426</v>
      </c>
      <c r="E1115" t="s">
        <v>1369</v>
      </c>
      <c r="F1115" t="s">
        <v>1368</v>
      </c>
      <c r="G1115" t="s">
        <v>1518</v>
      </c>
      <c r="H1115" t="s">
        <v>63</v>
      </c>
      <c r="I1115" t="s">
        <v>63</v>
      </c>
    </row>
    <row r="1116" spans="1:9">
      <c r="A1116">
        <v>27746</v>
      </c>
      <c r="B1116" t="s">
        <v>1390</v>
      </c>
      <c r="C1116" t="s">
        <v>1362</v>
      </c>
      <c r="D1116" t="s">
        <v>1654</v>
      </c>
      <c r="E1116" t="s">
        <v>1368</v>
      </c>
      <c r="F1116" t="s">
        <v>1420</v>
      </c>
      <c r="G1116" t="s">
        <v>3186</v>
      </c>
      <c r="H1116" t="s">
        <v>63</v>
      </c>
      <c r="I1116" t="s">
        <v>63</v>
      </c>
    </row>
    <row r="1117" spans="1:9">
      <c r="A1117">
        <v>183717</v>
      </c>
      <c r="B1117" t="s">
        <v>1391</v>
      </c>
      <c r="C1117" t="s">
        <v>1363</v>
      </c>
      <c r="D1117" t="s">
        <v>1654</v>
      </c>
      <c r="E1117" t="s">
        <v>1368</v>
      </c>
      <c r="F1117" t="s">
        <v>1420</v>
      </c>
      <c r="G1117" t="s">
        <v>3186</v>
      </c>
      <c r="H1117" t="s">
        <v>63</v>
      </c>
      <c r="I1117" t="s">
        <v>63</v>
      </c>
    </row>
    <row r="1118" spans="1:9">
      <c r="A1118">
        <v>54884</v>
      </c>
      <c r="B1118" t="s">
        <v>1392</v>
      </c>
      <c r="C1118" t="s">
        <v>1364</v>
      </c>
      <c r="D1118" t="s">
        <v>1426</v>
      </c>
      <c r="E1118" t="s">
        <v>1363</v>
      </c>
      <c r="F1118" t="s">
        <v>1368</v>
      </c>
      <c r="G1118" t="s">
        <v>1518</v>
      </c>
      <c r="H1118" t="s">
        <v>63</v>
      </c>
      <c r="I1118" t="s">
        <v>63</v>
      </c>
    </row>
    <row r="1119" spans="1:9">
      <c r="A1119">
        <v>255419</v>
      </c>
      <c r="B1119" t="s">
        <v>1393</v>
      </c>
      <c r="C1119" t="s">
        <v>1365</v>
      </c>
      <c r="D1119" t="s">
        <v>1655</v>
      </c>
      <c r="E1119" t="s">
        <v>1368</v>
      </c>
      <c r="F1119" t="s">
        <v>1420</v>
      </c>
      <c r="G1119" t="s">
        <v>3186</v>
      </c>
      <c r="H1119" t="s">
        <v>63</v>
      </c>
      <c r="I1119" t="s">
        <v>63</v>
      </c>
    </row>
    <row r="1120" spans="1:9">
      <c r="A1120">
        <v>165823</v>
      </c>
      <c r="B1120" t="s">
        <v>1394</v>
      </c>
      <c r="C1120" t="s">
        <v>1366</v>
      </c>
      <c r="D1120" t="s">
        <v>1654</v>
      </c>
      <c r="E1120" t="s">
        <v>1368</v>
      </c>
      <c r="F1120" t="s">
        <v>1420</v>
      </c>
      <c r="G1120" t="s">
        <v>3186</v>
      </c>
      <c r="H1120" t="s">
        <v>63</v>
      </c>
      <c r="I1120" t="s">
        <v>63</v>
      </c>
    </row>
    <row r="1121" spans="1:9">
      <c r="A1121">
        <v>185123</v>
      </c>
      <c r="B1121" t="s">
        <v>1395</v>
      </c>
      <c r="C1121" t="s">
        <v>1367</v>
      </c>
      <c r="D1121" t="s">
        <v>1426</v>
      </c>
      <c r="E1121" t="s">
        <v>1359</v>
      </c>
      <c r="F1121" t="s">
        <v>1368</v>
      </c>
      <c r="G1121" t="s">
        <v>1518</v>
      </c>
      <c r="H1121" t="s">
        <v>63</v>
      </c>
      <c r="I1121" t="s">
        <v>63</v>
      </c>
    </row>
    <row r="1122" spans="1:9">
      <c r="A1122">
        <v>115983</v>
      </c>
      <c r="B1122" t="s">
        <v>1396</v>
      </c>
      <c r="C1122" t="s">
        <v>1368</v>
      </c>
      <c r="D1122" t="s">
        <v>1656</v>
      </c>
      <c r="E1122" t="s">
        <v>1420</v>
      </c>
      <c r="F1122" t="s">
        <v>1698</v>
      </c>
      <c r="G1122" t="s">
        <v>3186</v>
      </c>
      <c r="H1122" t="s">
        <v>63</v>
      </c>
      <c r="I1122" t="s">
        <v>63</v>
      </c>
    </row>
    <row r="1123" spans="1:9">
      <c r="A1123">
        <v>31531</v>
      </c>
      <c r="B1123" t="s">
        <v>1397</v>
      </c>
      <c r="C1123" t="s">
        <v>1369</v>
      </c>
      <c r="D1123" t="s">
        <v>1654</v>
      </c>
      <c r="E1123" t="s">
        <v>1368</v>
      </c>
      <c r="F1123" t="s">
        <v>1368</v>
      </c>
      <c r="G1123" t="s">
        <v>3186</v>
      </c>
      <c r="H1123" t="s">
        <v>63</v>
      </c>
      <c r="I1123" t="s">
        <v>63</v>
      </c>
    </row>
    <row r="1124" spans="1:9">
      <c r="A1124">
        <v>80601</v>
      </c>
      <c r="B1124" t="s">
        <v>1398</v>
      </c>
      <c r="C1124" t="s">
        <v>1370</v>
      </c>
      <c r="D1124" t="s">
        <v>1426</v>
      </c>
      <c r="E1124" t="s">
        <v>1363</v>
      </c>
      <c r="F1124" t="s">
        <v>1368</v>
      </c>
      <c r="G1124" t="s">
        <v>1518</v>
      </c>
      <c r="H1124" t="s">
        <v>63</v>
      </c>
      <c r="I1124" t="s">
        <v>63</v>
      </c>
    </row>
    <row r="1125" spans="1:9">
      <c r="A1125">
        <v>145024</v>
      </c>
      <c r="B1125" t="s">
        <v>1399</v>
      </c>
      <c r="C1125" t="s">
        <v>1371</v>
      </c>
      <c r="D1125" t="s">
        <v>1426</v>
      </c>
      <c r="E1125" t="s">
        <v>1369</v>
      </c>
      <c r="F1125" t="s">
        <v>1368</v>
      </c>
      <c r="G1125" t="s">
        <v>1518</v>
      </c>
      <c r="H1125" t="s">
        <v>63</v>
      </c>
      <c r="I1125" t="s">
        <v>63</v>
      </c>
    </row>
    <row r="1126" spans="1:9">
      <c r="A1126">
        <v>172950</v>
      </c>
      <c r="B1126" t="s">
        <v>1400</v>
      </c>
      <c r="C1126" t="s">
        <v>1372</v>
      </c>
      <c r="D1126" t="s">
        <v>1426</v>
      </c>
      <c r="E1126" t="s">
        <v>1362</v>
      </c>
      <c r="F1126" t="s">
        <v>1368</v>
      </c>
      <c r="G1126" t="s">
        <v>1518</v>
      </c>
      <c r="H1126" t="s">
        <v>63</v>
      </c>
      <c r="I1126" t="s">
        <v>63</v>
      </c>
    </row>
    <row r="1127" spans="1:9">
      <c r="A1127">
        <v>312060</v>
      </c>
      <c r="B1127" t="s">
        <v>1403</v>
      </c>
      <c r="C1127" t="s">
        <v>1375</v>
      </c>
      <c r="D1127" t="s">
        <v>1657</v>
      </c>
      <c r="E1127" t="s">
        <v>1368</v>
      </c>
      <c r="F1127" t="s">
        <v>1420</v>
      </c>
      <c r="G1127" t="s">
        <v>3186</v>
      </c>
      <c r="H1127" t="s">
        <v>63</v>
      </c>
      <c r="I1127" t="s">
        <v>63</v>
      </c>
    </row>
    <row r="1128" spans="1:9">
      <c r="A1128">
        <v>183053</v>
      </c>
      <c r="B1128" t="s">
        <v>1401</v>
      </c>
      <c r="C1128" t="s">
        <v>1373</v>
      </c>
      <c r="D1128" t="s">
        <v>1426</v>
      </c>
      <c r="E1128" t="s">
        <v>1362</v>
      </c>
      <c r="F1128" t="s">
        <v>1368</v>
      </c>
      <c r="G1128" t="s">
        <v>1518</v>
      </c>
      <c r="H1128" t="s">
        <v>63</v>
      </c>
      <c r="I1128" t="s">
        <v>63</v>
      </c>
    </row>
    <row r="1129" spans="1:9">
      <c r="A1129">
        <v>81571</v>
      </c>
      <c r="B1129" t="s">
        <v>1402</v>
      </c>
      <c r="C1129" t="s">
        <v>1374</v>
      </c>
      <c r="D1129" t="s">
        <v>1426</v>
      </c>
      <c r="E1129" t="s">
        <v>1369</v>
      </c>
      <c r="F1129" t="s">
        <v>1368</v>
      </c>
      <c r="G1129" t="s">
        <v>1518</v>
      </c>
      <c r="H1129" t="s">
        <v>63</v>
      </c>
      <c r="I1129" t="s">
        <v>63</v>
      </c>
    </row>
    <row r="1130" spans="1:9">
      <c r="A1130">
        <v>44106</v>
      </c>
      <c r="B1130" t="s">
        <v>601</v>
      </c>
      <c r="C1130" t="s">
        <v>602</v>
      </c>
      <c r="D1130" t="s">
        <v>1654</v>
      </c>
      <c r="E1130" t="s">
        <v>1368</v>
      </c>
      <c r="F1130" t="s">
        <v>1368</v>
      </c>
      <c r="G1130" t="s">
        <v>3186</v>
      </c>
      <c r="H1130" t="s">
        <v>63</v>
      </c>
      <c r="I1130" t="s">
        <v>63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4CA58-7710-4851-8877-FAAC9C35E461}">
  <dimension ref="A1:A17"/>
  <sheetViews>
    <sheetView workbookViewId="0">
      <selection activeCell="E2" sqref="E2"/>
    </sheetView>
  </sheetViews>
  <sheetFormatPr defaultRowHeight="14.4"/>
  <cols>
    <col min="1" max="1" width="107.6640625" bestFit="1" customWidth="1"/>
  </cols>
  <sheetData>
    <row r="1" spans="1:1">
      <c r="A1" s="5" t="s">
        <v>428</v>
      </c>
    </row>
    <row r="2" spans="1:1">
      <c r="A2" t="s">
        <v>430</v>
      </c>
    </row>
    <row r="3" spans="1:1">
      <c r="A3" t="s">
        <v>431</v>
      </c>
    </row>
    <row r="4" spans="1:1">
      <c r="A4" s="5" t="s">
        <v>432</v>
      </c>
    </row>
    <row r="5" spans="1:1">
      <c r="A5" t="s">
        <v>433</v>
      </c>
    </row>
    <row r="6" spans="1:1">
      <c r="A6" t="s">
        <v>434</v>
      </c>
    </row>
    <row r="7" spans="1:1">
      <c r="A7" s="5" t="s">
        <v>59</v>
      </c>
    </row>
    <row r="8" spans="1:1">
      <c r="A8" t="s">
        <v>435</v>
      </c>
    </row>
    <row r="9" spans="1:1">
      <c r="A9" s="5" t="s">
        <v>67</v>
      </c>
    </row>
    <row r="10" spans="1:1">
      <c r="A10" t="s">
        <v>436</v>
      </c>
    </row>
    <row r="11" spans="1:1">
      <c r="A11" s="5" t="s">
        <v>65</v>
      </c>
    </row>
    <row r="12" spans="1:1">
      <c r="A12" t="s">
        <v>437</v>
      </c>
    </row>
    <row r="13" spans="1:1">
      <c r="A13" t="s">
        <v>438</v>
      </c>
    </row>
    <row r="14" spans="1:1">
      <c r="A14" s="5" t="s">
        <v>62</v>
      </c>
    </row>
    <row r="15" spans="1:1">
      <c r="A15" t="s">
        <v>439</v>
      </c>
    </row>
    <row r="16" spans="1:1">
      <c r="A16" s="5" t="s">
        <v>61</v>
      </c>
    </row>
    <row r="17" spans="1:1">
      <c r="A17" t="s">
        <v>440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20</vt:i4>
      </vt:variant>
    </vt:vector>
  </HeadingPairs>
  <TitlesOfParts>
    <vt:vector size="20" baseType="lpstr">
      <vt:lpstr>Genel</vt:lpstr>
      <vt:lpstr>Genel Müşteri Çıkış</vt:lpstr>
      <vt:lpstr>Genel Müşteri Çıkış (2)</vt:lpstr>
      <vt:lpstr>Çalışma saatleri</vt:lpstr>
      <vt:lpstr>Sayfa1</vt:lpstr>
      <vt:lpstr>2025 Birimler Pivot</vt:lpstr>
      <vt:lpstr>Haftalık Genel</vt:lpstr>
      <vt:lpstr>KPI TABLO</vt:lpstr>
      <vt:lpstr>Koli Kabul</vt:lpstr>
      <vt:lpstr>Adresleme</vt:lpstr>
      <vt:lpstr>Takım Lideri+Odp Çalışma Saat</vt:lpstr>
      <vt:lpstr>Toplama</vt:lpstr>
      <vt:lpstr>Sorter</vt:lpstr>
      <vt:lpstr>Taşıma Süre</vt:lpstr>
      <vt:lpstr>Tekli-Eksik Sevk</vt:lpstr>
      <vt:lpstr>Kargo</vt:lpstr>
      <vt:lpstr>Adres Denetim</vt:lpstr>
      <vt:lpstr>İade Kabul</vt:lpstr>
      <vt:lpstr>Personel Listesi</vt:lpstr>
      <vt:lpstr>Parametreler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ILTER</dc:creator>
  <cp:lastModifiedBy>OMER ILTER</cp:lastModifiedBy>
  <dcterms:created xsi:type="dcterms:W3CDTF">2015-06-05T18:19:34Z</dcterms:created>
  <dcterms:modified xsi:type="dcterms:W3CDTF">2026-10-13T06:10:56Z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6f6488-6f7b-4340-b880-828136ff7811_Enabled">
    <vt:lpwstr>true</vt:lpwstr>
  </property>
  <property fmtid="{D5CDD505-2E9C-101B-9397-08002B2CF9AE}" pid="3" name="MSIP_Label_c66f6488-6f7b-4340-b880-828136ff7811_SetDate">
    <vt:lpwstr>2025-01-16T13:46:08Z</vt:lpwstr>
  </property>
  <property fmtid="{D5CDD505-2E9C-101B-9397-08002B2CF9AE}" pid="4" name="MSIP_Label_c66f6488-6f7b-4340-b880-828136ff7811_Method">
    <vt:lpwstr>Privileged</vt:lpwstr>
  </property>
  <property fmtid="{D5CDD505-2E9C-101B-9397-08002B2CF9AE}" pid="5" name="MSIP_Label_c66f6488-6f7b-4340-b880-828136ff7811_Name">
    <vt:lpwstr>c66f6488-6f7b-4340-b880-828136ff7811</vt:lpwstr>
  </property>
  <property fmtid="{D5CDD505-2E9C-101B-9397-08002B2CF9AE}" pid="6" name="MSIP_Label_c66f6488-6f7b-4340-b880-828136ff7811_SiteId">
    <vt:lpwstr>832c1bc9-1e43-4f93-a086-708d36b0c95d</vt:lpwstr>
  </property>
  <property fmtid="{D5CDD505-2E9C-101B-9397-08002B2CF9AE}" pid="7" name="MSIP_Label_c66f6488-6f7b-4340-b880-828136ff7811_ActionId">
    <vt:lpwstr>8ecf7062-0df0-44b8-90f7-251c26aabdc4</vt:lpwstr>
  </property>
  <property fmtid="{D5CDD505-2E9C-101B-9397-08002B2CF9AE}" pid="8" name="MSIP_Label_c66f6488-6f7b-4340-b880-828136ff7811_ContentBits">
    <vt:lpwstr>0</vt:lpwstr>
  </property>
</Properties>
</file>